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26cb45561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2e9a429e93649d0"/>
    <x:sheet xmlns:r="http://schemas.openxmlformats.org/officeDocument/2006/relationships" name="Settings" sheetId="2" r:id="R38ddebf600414dff"/>
    <x:sheet xmlns:r="http://schemas.openxmlformats.org/officeDocument/2006/relationships" name="Projects" sheetId="3" r:id="Rbb92fcf85fbb4ef5"/>
    <x:sheet xmlns:r="http://schemas.openxmlformats.org/officeDocument/2006/relationships" name="Budgets" sheetId="4" r:id="R499dfb67330342a5"/>
    <x:sheet xmlns:r="http://schemas.openxmlformats.org/officeDocument/2006/relationships" name="Supplier POs" sheetId="5" r:id="R4eccf618298f42f1"/>
    <x:sheet xmlns:r="http://schemas.openxmlformats.org/officeDocument/2006/relationships" name="Receipts" sheetId="6" r:id="Re3b999ffd2db484d"/>
    <x:sheet xmlns:r="http://schemas.openxmlformats.org/officeDocument/2006/relationships" name="Deliveries" sheetId="7" r:id="R43cabc70da084223"/>
    <x:sheet xmlns:r="http://schemas.openxmlformats.org/officeDocument/2006/relationships" name="Invoices" sheetId="8" r:id="R41a8cb42865047fe"/>
    <x:sheet xmlns:r="http://schemas.openxmlformats.org/officeDocument/2006/relationships" name="Costs" sheetId="9" r:id="Rede020a6ad3d4253"/>
    <x:sheet xmlns:r="http://schemas.openxmlformats.org/officeDocument/2006/relationships" name="Exceptions" sheetId="10" r:id="R169a810f05934112"/>
    <x:sheet xmlns:r="http://schemas.openxmlformats.org/officeDocument/2006/relationships" name="Project Control" sheetId="11" r:id="Rafd75343fae444aa"/>
    <x:sheet xmlns:r="http://schemas.openxmlformats.org/officeDocument/2006/relationships" name="Dashboard" sheetId="12" r:id="Rfe81cd52669f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1D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80e26a77a4d1d" /><Relationship Type="http://schemas.openxmlformats.org/officeDocument/2006/relationships/theme" Target="/xl/theme/theme1.xml" Id="Rd002f0ab186b4474" /><Relationship Type="http://schemas.openxmlformats.org/officeDocument/2006/relationships/sharedStrings" Target="/xl/sharedStrings.xml" Id="R0840b89406e94861" /><Relationship Type="http://schemas.openxmlformats.org/officeDocument/2006/relationships/worksheet" Target="/xl/worksheets/sheet1.xml" Id="R22e9a429e93649d0" /><Relationship Type="http://schemas.openxmlformats.org/officeDocument/2006/relationships/worksheet" Target="/xl/worksheets/sheet2.xml" Id="R38ddebf600414dff" /><Relationship Type="http://schemas.openxmlformats.org/officeDocument/2006/relationships/worksheet" Target="/xl/worksheets/sheet3.xml" Id="Rbb92fcf85fbb4ef5" /><Relationship Type="http://schemas.openxmlformats.org/officeDocument/2006/relationships/worksheet" Target="/xl/worksheets/sheet4.xml" Id="R499dfb67330342a5" /><Relationship Type="http://schemas.openxmlformats.org/officeDocument/2006/relationships/worksheet" Target="/xl/worksheets/sheet5.xml" Id="R4eccf618298f42f1" /><Relationship Type="http://schemas.openxmlformats.org/officeDocument/2006/relationships/worksheet" Target="/xl/worksheets/sheet6.xml" Id="Re3b999ffd2db484d" /><Relationship Type="http://schemas.openxmlformats.org/officeDocument/2006/relationships/worksheet" Target="/xl/worksheets/sheet7.xml" Id="R43cabc70da084223" /><Relationship Type="http://schemas.openxmlformats.org/officeDocument/2006/relationships/worksheet" Target="/xl/worksheets/sheet8.xml" Id="R41a8cb42865047fe" /><Relationship Type="http://schemas.openxmlformats.org/officeDocument/2006/relationships/worksheet" Target="/xl/worksheets/sheet9.xml" Id="Rede020a6ad3d4253" /><Relationship Type="http://schemas.openxmlformats.org/officeDocument/2006/relationships/worksheet" Target="/xl/worksheets/sheet10.xml" Id="R169a810f05934112" /><Relationship Type="http://schemas.openxmlformats.org/officeDocument/2006/relationships/worksheet" Target="/xl/worksheets/sheet11.xml" Id="Rafd75343fae444aa" /><Relationship Type="http://schemas.openxmlformats.org/officeDocument/2006/relationships/worksheet" Target="/xl/worksheets/sheet12.xml" Id="Rfe81cd52669f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95" hidden="0" customWidth="1"/>
  </x:cols>
  <x:sheetData>
    <x:row r="1" ht="31" customHeight="1">
      <x:c r="A1" s="4" t="str">
        <x:v>BUD OPERATIONAL MANAGEMENT | SIMULATED MODEL</x:v>
      </x:c>
      <x:c r="B1" s="4" t="str">
        <x:v>DESCRIPTION</x:v>
      </x:c>
    </x:row>
    <x:row r="2">
      <x:c r="A2" t="str">
        <x:v>Purpose</x:v>
      </x:c>
      <x:c r="B2" t="str">
        <x:v>Project-based operations control prototype; all records fictional.</x:v>
      </x:c>
    </x:row>
    <x:row r="3">
      <x:c r="A3" t="str">
        <x:v>Scope</x:v>
      </x:c>
      <x:c r="B3" t="str">
        <x:v>Customer PO → Budget → Supplier PO → Receipt → Delivery → Invoice → Cost reconciliation</x:v>
      </x:c>
    </x:row>
    <x:row r="4">
      <x:c r="A4" t="str">
        <x:v>How to use</x:v>
      </x:c>
      <x:c r="B4" t="str">
        <x:v>Edit blue/white input cells on operational sheets; formula columns are calculated.</x:v>
      </x:c>
    </x:row>
    <x:row r="5">
      <x:c r="A5" t="str">
        <x:v>Currency</x:v>
      </x:c>
      <x:c r="B5" t="str">
        <x:v>Each project uses its own currency; dashboard financial totals use MXN-converted amounts.</x:v>
      </x:c>
    </x:row>
    <x:row r="6">
      <x:c r="A6" t="str">
        <x:v>Rates</x:v>
      </x:c>
      <x:c r="B6" t="str">
        <x:v>Illustrative FX rates; replace for real-world simulations. No statutory customs duty assumptions.</x:v>
      </x:c>
    </x:row>
    <x:row r="7">
      <x:c r="A7" t="str">
        <x:v>Limitations</x:v>
      </x:c>
      <x:c r="B7" t="str">
        <x:v>Not historical ERP, not audited; statuses require manual updates by responsible function.</x:v>
      </x:c>
    </x:row>
    <x:row r="8">
      <x:c r="A8" t="str">
        <x:v>Project lifecycle</x:v>
      </x:c>
      <x:c r="B8" t="str">
        <x:v>Invoicing closes only when 100% invoiced; reconciliation follows.</x:v>
      </x:c>
    </x:row>
    <x:row r="9">
      <x:c r="A9" t="str">
        <x:v>Change control</x:v>
      </x:c>
      <x:c r="B9" t="str">
        <x:v>Revised customer PO and budget version; additional supplier PO under same project.</x:v>
      </x:c>
    </x:row>
    <x:row r="10">
      <x:c r="A10" t="str">
        <x:v>Data privacy</x:v>
      </x:c>
      <x:c r="B10" t="str">
        <x:v>Fictional customers, suppliers and project IDs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70" hidden="0" customWidth="1"/>
  </x:cols>
  <x:sheetData>
    <x:row r="1" ht="31" customHeight="1">
      <x:c r="A1" s="4" t="str">
        <x:v>Parameter</x:v>
      </x:c>
      <x:c r="B1" s="4" t="str">
        <x:v>Value</x:v>
      </x:c>
      <x:c r="C1" s="4" t="str">
        <x:v>Explanation</x:v>
      </x:c>
    </x:row>
    <x:row r="2">
      <x:c r="A2" t="str">
        <x:v>MXN per USD</x:v>
      </x:c>
      <x:c r="B2" t="n">
        <x:v>18.5</x:v>
      </x:c>
      <x:c r="C2" t="str">
        <x:v>Fictional illustrative rate</x:v>
      </x:c>
    </x:row>
    <x:row r="3">
      <x:c r="A3" t="str">
        <x:v>Default markup on cost</x:v>
      </x:c>
      <x:c r="B3" s="8" t="n">
        <x:v>0.3</x:v>
      </x:c>
      <x:c r="C3" t="str">
        <x:v>Markup ≠ margin on sales</x:v>
      </x:c>
    </x:row>
    <x:row r="4">
      <x:c r="A4" t="str">
        <x:v>Delivery buffer days</x:v>
      </x:c>
      <x:c r="B4" t="n">
        <x:v>14</x:v>
      </x:c>
      <x:c r="C4" t="str">
        <x:v>Historical planning buffer; not guaranteed</x:v>
      </x:c>
    </x:row>
    <x:row r="5">
      <x:c r="A5" t="str">
        <x:v>Report month</x:v>
      </x:c>
      <x:c r="B5" s="10" t="n">
        <x:v>46296</x:v>
      </x:c>
      <x:c r="C5" t="str">
        <x:v>Fictional sample period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2" hidden="0" customWidth="1"/>
    <x:col min="4" max="4" width="17" hidden="0" customWidth="1"/>
    <x:col min="5" max="5" width="13" hidden="0" customWidth="1"/>
    <x:col min="6" max="6" width="24" hidden="0" customWidth="1"/>
    <x:col min="7" max="7" width="17" hidden="0" customWidth="1"/>
    <x:col min="8" max="8" width="18" hidden="0" customWidth="1"/>
    <x:col min="9" max="9" width="19" hidden="0" customWidth="1"/>
    <x:col min="10" max="10" width="20" hidden="0" customWidth="1"/>
    <x:col min="11" max="11" width="30" hidden="0" customWidth="1"/>
  </x:cols>
  <x:sheetData>
    <x:row r="1" ht="31" customHeight="1">
      <x:c r="A1" s="4" t="str">
        <x:v>Project ID</x:v>
      </x:c>
      <x:c r="B1" s="4" t="str">
        <x:v>Customer</x:v>
      </x:c>
      <x:c r="C1" s="4" t="str">
        <x:v>Customer PO current</x:v>
      </x:c>
      <x:c r="D1" s="4" t="str">
        <x:v>Selling entity</x:v>
      </x:c>
      <x:c r="E1" s="4" t="str">
        <x:v>Currency</x:v>
      </x:c>
      <x:c r="F1" s="4" t="str">
        <x:v>Business unit</x:v>
      </x:c>
      <x:c r="G1" s="4" t="str">
        <x:v>ERP status</x:v>
      </x:c>
      <x:c r="H1" s="4" t="str">
        <x:v>PO date</x:v>
      </x:c>
      <x:c r="I1" s="4" t="str">
        <x:v>Target delivery</x:v>
      </x:c>
      <x:c r="J1" s="4" t="str">
        <x:v>Route</x:v>
      </x:c>
      <x:c r="K1" s="4" t="str">
        <x:v>Notes</x:v>
      </x:c>
    </x:row>
    <x:row r="2">
      <x:c r="A2" t="str">
        <x:v>BUD-001</x:v>
      </x:c>
      <x:c r="B2" t="str">
        <x:v>Alpha Industrial</x:v>
      </x:c>
      <x:c r="C2" t="str">
        <x:v>PO-A100</x:v>
      </x:c>
      <x:c r="D2" t="str">
        <x:v>MX</x:v>
      </x:c>
      <x:c r="E2" t="str">
        <x:v>MXN</x:v>
      </x:c>
      <x:c r="F2" t="str">
        <x:v>Strategic Services</x:v>
      </x:c>
      <x:c r="G2" t="str">
        <x:v>Active</x:v>
      </x:c>
      <x:c r="H2" t="str">
        <x:v>2026-10-02</x:v>
      </x:c>
      <x:c r="I2" t="str">
        <x:v>2026-10-25</x:v>
      </x:c>
      <x:c r="J2" t="str">
        <x:v>MX Domestic</x:v>
      </x:c>
      <x:c r="K2" t="str">
        <x:v>Customer approved</x:v>
      </x:c>
    </x:row>
    <x:row r="3">
      <x:c r="A3" t="str">
        <x:v>BUD-002</x:v>
      </x:c>
      <x:c r="B3" t="str">
        <x:v>Beta Manufacturing</x:v>
      </x:c>
      <x:c r="C3" t="str">
        <x:v>PO-B200-R1</x:v>
      </x:c>
      <x:c r="D3" t="str">
        <x:v>MX</x:v>
      </x:c>
      <x:c r="E3" t="str">
        <x:v>USD</x:v>
      </x:c>
      <x:c r="F3" t="str">
        <x:v>Strategic Services</x:v>
      </x:c>
      <x:c r="G3" t="str">
        <x:v>Active</x:v>
      </x:c>
      <x:c r="H3" t="str">
        <x:v>2026-10-04</x:v>
      </x:c>
      <x:c r="I3" t="str">
        <x:v>2026-11-05</x:v>
      </x:c>
      <x:c r="J3" t="str">
        <x:v>US→MX</x:v>
      </x:c>
      <x:c r="K3" t="str">
        <x:v>Revised scope</x:v>
      </x:c>
    </x:row>
    <x:row r="4">
      <x:c r="A4" t="str">
        <x:v>BUD-003</x:v>
      </x:c>
      <x:c r="B4" t="str">
        <x:v>Gamma Components</x:v>
      </x:c>
      <x:c r="C4" t="str">
        <x:v>PO-C300</x:v>
      </x:c>
      <x:c r="D4" t="str">
        <x:v>US</x:v>
      </x:c>
      <x:c r="E4" t="str">
        <x:v>USD</x:v>
      </x:c>
      <x:c r="F4" t="str">
        <x:v>Strategic Services</x:v>
      </x:c>
      <x:c r="G4" t="str">
        <x:v>Invoiced</x:v>
      </x:c>
      <x:c r="H4" t="str">
        <x:v>2026-09-08</x:v>
      </x:c>
      <x:c r="I4" t="str">
        <x:v>2026-10-20</x:v>
      </x:c>
      <x:c r="J4" t="str">
        <x:v>US Domestic</x:v>
      </x:c>
      <x:c r="K4" t="str">
        <x:v>Cost review pending</x:v>
      </x:c>
    </x:row>
    <x:row r="5">
      <x:c r="A5" t="str">
        <x:v>BUD-004</x:v>
      </x:c>
      <x:c r="B5" t="str">
        <x:v>Delta Assembly</x:v>
      </x:c>
      <x:c r="C5" t="str">
        <x:v>PO-D400</x:v>
      </x:c>
      <x:c r="D5" t="str">
        <x:v>MX</x:v>
      </x:c>
      <x:c r="E5" t="str">
        <x:v>MXN</x:v>
      </x:c>
      <x:c r="F5" t="str">
        <x:v>Strategic Services</x:v>
      </x:c>
      <x:c r="G5" t="str">
        <x:v>Active</x:v>
      </x:c>
      <x:c r="H5" t="str">
        <x:v>2026-10-10</x:v>
      </x:c>
      <x:c r="I5" t="str">
        <x:v>2026-11-12</x:v>
      </x:c>
      <x:c r="J5" t="str">
        <x:v>MX Domestic</x:v>
      </x:c>
      <x:c r="K5" t="str">
        <x:v>Partial receipt</x:v>
      </x:c>
    </x:row>
  </x:sheetData>
  <x:dataValidations count="1">
    <x:dataValidation type="list" sqref="G2:G100">
      <x:formula1>"Active,Invoiced,Closed"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3" hidden="0" customWidth="1"/>
    <x:col min="4" max="4" width="18" hidden="0" customWidth="1"/>
    <x:col min="5" max="5" width="20" hidden="0" customWidth="1"/>
    <x:col min="6" max="6" width="17" hidden="0" customWidth="1"/>
    <x:col min="7" max="7" width="27" hidden="0" customWidth="1"/>
    <x:col min="8" max="8" width="20" hidden="0" customWidth="1"/>
    <x:col min="9" max="9" width="24" hidden="0" customWidth="1"/>
  </x:cols>
  <x:sheetData>
    <x:row r="1" ht="31" customHeight="1">
      <x:c r="A1" s="4" t="str">
        <x:v>Project ID</x:v>
      </x:c>
      <x:c r="B1" s="4" t="str">
        <x:v>Version</x:v>
      </x:c>
      <x:c r="C1" s="4" t="str">
        <x:v>Customer PO ref</x:v>
      </x:c>
      <x:c r="D1" s="4" t="str">
        <x:v>Est. cost</x:v>
      </x:c>
      <x:c r="E1" s="4" t="str">
        <x:v>Markup on cost</x:v>
      </x:c>
      <x:c r="F1" s="4" t="str">
        <x:v>Budget date</x:v>
      </x:c>
      <x:c r="G1" s="4" t="str">
        <x:v>Reason</x:v>
      </x:c>
      <x:c r="H1" s="4" t="str">
        <x:v>Target sale price</x:v>
      </x:c>
      <x:c r="I1" s="4" t="str">
        <x:v>Target gross margin %</x:v>
      </x:c>
    </x:row>
    <x:row r="2">
      <x:c r="A2" t="str">
        <x:v>BUD-001</x:v>
      </x:c>
      <x:c r="B2" t="n">
        <x:v>1</x:v>
      </x:c>
      <x:c r="C2" t="str">
        <x:v>PO-A100</x:v>
      </x:c>
      <x:c r="D2" t="n">
        <x:v>100000</x:v>
      </x:c>
      <x:c r="E2" s="8" t="n">
        <x:v>0.3</x:v>
      </x:c>
      <x:c r="F2" t="str">
        <x:v>2026-10-02</x:v>
      </x:c>
      <x:c r="G2" t="str">
        <x:v>Initial</x:v>
      </x:c>
      <x:c r="H2" t="n">
        <x:f>D2*(1+E2)</x:f>
        <x:v>130000</x:v>
      </x:c>
      <x:c r="I2" s="8" t="n">
        <x:f>IFERROR((H2-D2)/H2,0)</x:f>
        <x:v>0.23076923076923078</x:v>
      </x:c>
    </x:row>
    <x:row r="3">
      <x:c r="A3" t="str">
        <x:v>BUD-002</x:v>
      </x:c>
      <x:c r="B3" t="n">
        <x:v>1</x:v>
      </x:c>
      <x:c r="C3" t="str">
        <x:v>PO-B200</x:v>
      </x:c>
      <x:c r="D3" t="n">
        <x:v>18000</x:v>
      </x:c>
      <x:c r="E3" s="8" t="n">
        <x:v>0.3</x:v>
      </x:c>
      <x:c r="F3" t="str">
        <x:v>2026-10-04</x:v>
      </x:c>
      <x:c r="G3" t="str">
        <x:v>Original</x:v>
      </x:c>
      <x:c r="H3" t="n">
        <x:f>D3*(1+E3)</x:f>
        <x:v>23400</x:v>
      </x:c>
      <x:c r="I3" s="8" t="n">
        <x:f>IFERROR((H3-D3)/H3,0)</x:f>
        <x:v>0.23076923076923078</x:v>
      </x:c>
    </x:row>
    <x:row r="4">
      <x:c r="A4" t="str">
        <x:v>BUD-002</x:v>
      </x:c>
      <x:c r="B4" t="n">
        <x:v>2</x:v>
      </x:c>
      <x:c r="C4" t="str">
        <x:v>PO-B200-R1</x:v>
      </x:c>
      <x:c r="D4" t="n">
        <x:v>21500</x:v>
      </x:c>
      <x:c r="E4" s="8" t="n">
        <x:v>0.3</x:v>
      </x:c>
      <x:c r="F4" t="str">
        <x:v>2026-10-12</x:v>
      </x:c>
      <x:c r="G4" t="str">
        <x:v>Scope expansion</x:v>
      </x:c>
      <x:c r="H4" t="n">
        <x:f>D4*(1+E4)</x:f>
        <x:v>27950</x:v>
      </x:c>
      <x:c r="I4" s="8" t="n">
        <x:f>IFERROR((H4-D4)/H4,0)</x:f>
        <x:v>0.23076923076923078</x:v>
      </x:c>
    </x:row>
    <x:row r="5">
      <x:c r="A5" t="str">
        <x:v>BUD-003</x:v>
      </x:c>
      <x:c r="B5" t="n">
        <x:v>1</x:v>
      </x:c>
      <x:c r="C5" t="str">
        <x:v>PO-C300</x:v>
      </x:c>
      <x:c r="D5" t="n">
        <x:v>8000</x:v>
      </x:c>
      <x:c r="E5" s="8" t="n">
        <x:v>0.3</x:v>
      </x:c>
      <x:c r="F5" t="str">
        <x:v>2026-09-08</x:v>
      </x:c>
      <x:c r="G5" t="str">
        <x:v>Initial</x:v>
      </x:c>
      <x:c r="H5" t="n">
        <x:f>D5*(1+E5)</x:f>
        <x:v>10400</x:v>
      </x:c>
      <x:c r="I5" s="8" t="n">
        <x:f>IFERROR((H5-D5)/H5,0)</x:f>
        <x:v>0.23076923076923078</x:v>
      </x:c>
    </x:row>
    <x:row r="6">
      <x:c r="A6" t="str">
        <x:v>BUD-004</x:v>
      </x:c>
      <x:c r="B6" t="n">
        <x:v>1</x:v>
      </x:c>
      <x:c r="C6" t="str">
        <x:v>PO-D400</x:v>
      </x:c>
      <x:c r="D6" t="n">
        <x:v>65000</x:v>
      </x:c>
      <x:c r="E6" s="8" t="n">
        <x:v>0.3</x:v>
      </x:c>
      <x:c r="F6" t="str">
        <x:v>2026-10-10</x:v>
      </x:c>
      <x:c r="G6" t="str">
        <x:v>Initial</x:v>
      </x:c>
      <x:c r="H6" t="n">
        <x:f>D6*(1+E6)</x:f>
        <x:v>84500</x:v>
      </x:c>
      <x:c r="I6" s="8" t="n">
        <x:f>IFERROR((H6-D6)/H6,0)</x:f>
        <x:v>0.23076923076923078</x:v>
      </x:c>
    </x:row>
    <x:row r="7">
      <x:c r="E7" s="8"/>
      <x:c r="I7" s="8"/>
    </x:row>
    <x:row r="8">
      <x:c r="E8" s="8"/>
      <x:c r="I8" s="8"/>
    </x:row>
    <x:row r="9">
      <x:c r="E9" s="8"/>
      <x:c r="I9" s="8"/>
    </x:row>
    <x:row r="10">
      <x:c r="E10" s="8"/>
      <x:c r="I10" s="8"/>
    </x:row>
    <x:row r="11">
      <x:c r="E11" s="8"/>
      <x:c r="I11" s="8"/>
    </x:row>
    <x:row r="12">
      <x:c r="E12" s="8"/>
      <x:c r="I12" s="8"/>
    </x:row>
    <x:row r="13">
      <x:c r="E13" s="8"/>
      <x:c r="I13" s="8"/>
    </x:row>
    <x:row r="14">
      <x:c r="E14" s="8"/>
      <x:c r="I14" s="8"/>
    </x:row>
    <x:row r="15">
      <x:c r="E15" s="8"/>
      <x:c r="I15" s="8"/>
    </x:row>
    <x:row r="16">
      <x:c r="E16" s="8"/>
      <x:c r="I16" s="8"/>
    </x:row>
    <x:row r="17">
      <x:c r="E17" s="8"/>
      <x:c r="I17" s="8"/>
    </x:row>
    <x:row r="18">
      <x:c r="E18" s="8"/>
      <x:c r="I18" s="8"/>
    </x:row>
    <x:row r="19">
      <x:c r="E19" s="8"/>
      <x:c r="I19" s="8"/>
    </x:row>
    <x:row r="20">
      <x:c r="E20" s="8"/>
      <x:c r="I20" s="8"/>
    </x:row>
    <x:row r="21">
      <x:c r="E21" s="8"/>
      <x:c r="I21" s="8"/>
    </x:row>
    <x:row r="22">
      <x:c r="E22" s="8"/>
      <x:c r="I22" s="8"/>
    </x:row>
    <x:row r="23">
      <x:c r="E23" s="8"/>
      <x:c r="I23" s="8"/>
    </x:row>
    <x:row r="24">
      <x:c r="E24" s="8"/>
      <x:c r="I24" s="8"/>
    </x:row>
    <x:row r="25">
      <x:c r="E25" s="8"/>
      <x:c r="I25" s="8"/>
    </x:row>
    <x:row r="26">
      <x:c r="E26" s="8"/>
      <x:c r="I26" s="8"/>
    </x:row>
    <x:row r="27">
      <x:c r="E27" s="8"/>
      <x:c r="I27" s="8"/>
    </x:row>
    <x:row r="28">
      <x:c r="E28" s="8"/>
      <x:c r="I28" s="8"/>
    </x:row>
    <x:row r="29">
      <x:c r="E29" s="8"/>
      <x:c r="I29" s="8"/>
    </x:row>
    <x:row r="30">
      <x:c r="E30" s="8"/>
      <x:c r="I30" s="8"/>
    </x:row>
    <x:row r="31">
      <x:c r="E31" s="8"/>
      <x:c r="I31" s="8"/>
    </x:row>
    <x:row r="32">
      <x:c r="E32" s="8"/>
      <x:c r="I32" s="8"/>
    </x:row>
    <x:row r="33">
      <x:c r="E33" s="8"/>
      <x:c r="I33" s="8"/>
    </x:row>
    <x:row r="34">
      <x:c r="E34" s="8"/>
      <x:c r="I34" s="8"/>
    </x:row>
    <x:row r="35">
      <x:c r="E35" s="8"/>
      <x:c r="I35" s="8"/>
    </x:row>
    <x:row r="36">
      <x:c r="E36" s="8"/>
      <x:c r="I36" s="8"/>
    </x:row>
    <x:row r="37">
      <x:c r="E37" s="8"/>
      <x:c r="I37" s="8"/>
    </x:row>
    <x:row r="38">
      <x:c r="E38" s="8"/>
      <x:c r="I38" s="8"/>
    </x:row>
    <x:row r="39">
      <x:c r="E39" s="8"/>
      <x:c r="I39" s="8"/>
    </x:row>
    <x:row r="40">
      <x:c r="E40" s="8"/>
      <x:c r="I40" s="8"/>
    </x:row>
    <x:row r="41">
      <x:c r="E41" s="8"/>
      <x:c r="I41" s="8"/>
    </x:row>
    <x:row r="42">
      <x:c r="E42" s="8"/>
      <x:c r="I42" s="8"/>
    </x:row>
    <x:row r="43">
      <x:c r="E43" s="8"/>
      <x:c r="I43" s="8"/>
    </x:row>
    <x:row r="44">
      <x:c r="E44" s="8"/>
      <x:c r="I44" s="8"/>
    </x:row>
    <x:row r="45">
      <x:c r="E45" s="8"/>
      <x:c r="I45" s="8"/>
    </x:row>
    <x:row r="46">
      <x:c r="E46" s="8"/>
      <x:c r="I46" s="8"/>
    </x:row>
    <x:row r="47">
      <x:c r="E47" s="8"/>
      <x:c r="I47" s="8"/>
    </x:row>
    <x:row r="48">
      <x:c r="E48" s="8"/>
      <x:c r="I48" s="8"/>
    </x:row>
    <x:row r="49">
      <x:c r="E49" s="8"/>
      <x:c r="I49" s="8"/>
    </x:row>
    <x:row r="50">
      <x:c r="E50" s="8"/>
      <x:c r="I50" s="8"/>
    </x:row>
    <x:row r="51">
      <x:c r="E51" s="8"/>
      <x:c r="I51" s="8"/>
    </x:row>
    <x:row r="52">
      <x:c r="E52" s="8"/>
      <x:c r="I52" s="8"/>
    </x:row>
    <x:row r="53">
      <x:c r="E53" s="8"/>
      <x:c r="I53" s="8"/>
    </x:row>
    <x:row r="54">
      <x:c r="E54" s="8"/>
      <x:c r="I54" s="8"/>
    </x:row>
    <x:row r="55">
      <x:c r="E55" s="8"/>
      <x:c r="I55" s="8"/>
    </x:row>
    <x:row r="56">
      <x:c r="E56" s="8"/>
      <x:c r="I56" s="8"/>
    </x:row>
    <x:row r="57">
      <x:c r="E57" s="8"/>
      <x:c r="I57" s="8"/>
    </x:row>
    <x:row r="58">
      <x:c r="E58" s="8"/>
      <x:c r="I58" s="8"/>
    </x:row>
    <x:row r="59">
      <x:c r="E59" s="8"/>
      <x:c r="I59" s="8"/>
    </x:row>
    <x:row r="60">
      <x:c r="E60" s="8"/>
      <x:c r="I60" s="8"/>
    </x:row>
    <x:row r="61">
      <x:c r="E61" s="8"/>
      <x:c r="I61" s="8"/>
    </x:row>
    <x:row r="62">
      <x:c r="E62" s="8"/>
      <x:c r="I62" s="8"/>
    </x:row>
    <x:row r="63">
      <x:c r="E63" s="8"/>
      <x:c r="I63" s="8"/>
    </x:row>
    <x:row r="64">
      <x:c r="E64" s="8"/>
      <x:c r="I64" s="8"/>
    </x:row>
    <x:row r="65">
      <x:c r="E65" s="8"/>
      <x:c r="I65" s="8"/>
    </x:row>
    <x:row r="66">
      <x:c r="E66" s="8"/>
      <x:c r="I66" s="8"/>
    </x:row>
    <x:row r="67">
      <x:c r="E67" s="8"/>
      <x:c r="I67" s="8"/>
    </x:row>
    <x:row r="68">
      <x:c r="E68" s="8"/>
      <x:c r="I68" s="8"/>
    </x:row>
    <x:row r="69">
      <x:c r="E69" s="8"/>
      <x:c r="I69" s="8"/>
    </x:row>
    <x:row r="70">
      <x:c r="E70" s="8"/>
      <x:c r="I70" s="8"/>
    </x:row>
    <x:row r="71">
      <x:c r="E71" s="8"/>
      <x:c r="I71" s="8"/>
    </x:row>
    <x:row r="72">
      <x:c r="E72" s="8"/>
      <x:c r="I72" s="8"/>
    </x:row>
    <x:row r="73">
      <x:c r="E73" s="8"/>
      <x:c r="I73" s="8"/>
    </x:row>
    <x:row r="74">
      <x:c r="E74" s="8"/>
      <x:c r="I74" s="8"/>
    </x:row>
    <x:row r="75">
      <x:c r="E75" s="8"/>
      <x:c r="I75" s="8"/>
    </x:row>
    <x:row r="76">
      <x:c r="E76" s="8"/>
      <x:c r="I76" s="8"/>
    </x:row>
    <x:row r="77">
      <x:c r="E77" s="8"/>
      <x:c r="I77" s="8"/>
    </x:row>
    <x:row r="78">
      <x:c r="E78" s="8"/>
      <x:c r="I78" s="8"/>
    </x:row>
    <x:row r="79">
      <x:c r="E79" s="8"/>
      <x:c r="I79" s="8"/>
    </x:row>
    <x:row r="80">
      <x:c r="E80" s="8"/>
      <x:c r="I80" s="8"/>
    </x:row>
    <x:row r="81">
      <x:c r="E81" s="8"/>
      <x:c r="I81" s="8"/>
    </x:row>
    <x:row r="82">
      <x:c r="E82" s="8"/>
      <x:c r="I82" s="8"/>
    </x:row>
    <x:row r="83">
      <x:c r="E83" s="8"/>
      <x:c r="I83" s="8"/>
    </x:row>
    <x:row r="84">
      <x:c r="E84" s="8"/>
      <x:c r="I84" s="8"/>
    </x:row>
    <x:row r="85">
      <x:c r="E85" s="8"/>
      <x:c r="I85" s="8"/>
    </x:row>
    <x:row r="86">
      <x:c r="E86" s="8"/>
      <x:c r="I86" s="8"/>
    </x:row>
    <x:row r="87">
      <x:c r="E87" s="8"/>
      <x:c r="I87" s="8"/>
    </x:row>
    <x:row r="88">
      <x:c r="E88" s="8"/>
      <x:c r="I88" s="8"/>
    </x:row>
    <x:row r="89">
      <x:c r="E89" s="8"/>
      <x:c r="I89" s="8"/>
    </x:row>
    <x:row r="90">
      <x:c r="E90" s="8"/>
      <x:c r="I90" s="8"/>
    </x:row>
    <x:row r="91">
      <x:c r="E91" s="8"/>
      <x:c r="I91" s="8"/>
    </x:row>
    <x:row r="92">
      <x:c r="E92" s="8"/>
      <x:c r="I92" s="8"/>
    </x:row>
    <x:row r="93">
      <x:c r="E93" s="8"/>
      <x:c r="I93" s="8"/>
    </x:row>
    <x:row r="94">
      <x:c r="E94" s="8"/>
      <x:c r="I94" s="8"/>
    </x:row>
    <x:row r="95">
      <x:c r="E95" s="8"/>
      <x:c r="I95" s="8"/>
    </x:row>
    <x:row r="96">
      <x:c r="E96" s="8"/>
      <x:c r="I96" s="8"/>
    </x:row>
    <x:row r="97">
      <x:c r="E97" s="8"/>
      <x:c r="I97" s="8"/>
    </x:row>
    <x:row r="98">
      <x:c r="E98" s="8"/>
      <x:c r="I98" s="8"/>
    </x:row>
    <x:row r="99">
      <x:c r="E99" s="8"/>
      <x:c r="I99" s="8"/>
    </x:row>
    <x:row r="100">
      <x:c r="E100" s="8"/>
      <x:c r="I1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16" hidden="0" customWidth="1"/>
    <x:col min="5" max="5" width="19" hidden="0" customWidth="1"/>
    <x:col min="6" max="6" width="17" hidden="0" customWidth="1"/>
    <x:col min="7" max="7" width="19" hidden="0" customWidth="1"/>
    <x:col min="8" max="8" width="17" hidden="0" customWidth="1"/>
    <x:col min="9" max="9" width="13" hidden="0" customWidth="1"/>
    <x:col min="10" max="10" width="19" hidden="0" customWidth="1"/>
    <x:col min="11" max="11" width="18" hidden="0" customWidth="1"/>
    <x:col min="12" max="12" width="17" hidden="0" customWidth="1"/>
  </x:cols>
  <x:sheetData>
    <x:row r="1" ht="31" customHeight="1">
      <x:c r="A1" s="4" t="str">
        <x:v>Supplier PO</x:v>
      </x:c>
      <x:c r="B1" s="4" t="str">
        <x:v>Project ID</x:v>
      </x:c>
      <x:c r="C1" s="4" t="str">
        <x:v>Supplier (fictional)</x:v>
      </x:c>
      <x:c r="D1" s="4" t="str">
        <x:v>Ordered qty</x:v>
      </x:c>
      <x:c r="E1" s="4" t="str">
        <x:v>Open qty input</x:v>
      </x:c>
      <x:c r="F1" s="4" t="str">
        <x:v>PO date</x:v>
      </x:c>
      <x:c r="G1" s="4" t="str">
        <x:v>Confirmed ETA</x:v>
      </x:c>
      <x:c r="H1" s="4" t="str">
        <x:v>Status</x:v>
      </x:c>
      <x:c r="I1" s="4" t="str">
        <x:v>Currency</x:v>
      </x:c>
      <x:c r="J1" s="4" t="str">
        <x:v>PO value</x:v>
      </x:c>
      <x:c r="K1" s="4" t="str">
        <x:v>Received qty</x:v>
      </x:c>
      <x:c r="L1" s="4" t="str">
        <x:v>Qty pending</x:v>
      </x:c>
    </x:row>
    <x:row r="2">
      <x:c r="A2" t="str">
        <x:v>SPO-001</x:v>
      </x:c>
      <x:c r="B2" t="str">
        <x:v>BUD-001</x:v>
      </x:c>
      <x:c r="C2" t="str">
        <x:v>MetalWorks MX</x:v>
      </x:c>
      <x:c r="D2" t="n">
        <x:v>100</x:v>
      </x:c>
      <x:c r="E2" t="n">
        <x:v>100</x:v>
      </x:c>
      <x:c r="F2" t="str">
        <x:v>2026-10-03</x:v>
      </x:c>
      <x:c r="G2" t="str">
        <x:v>2026-10-19</x:v>
      </x:c>
      <x:c r="H2" t="str">
        <x:v>Issued</x:v>
      </x:c>
      <x:c r="I2" t="str">
        <x:v>MXN</x:v>
      </x:c>
      <x:c r="J2" t="n">
        <x:v>75000</x:v>
      </x:c>
      <x:c r="K2" t="n">
        <x:f>SUMIF(Receipts!B$2:B$100,A2,Receipts!D$2:D$100)</x:f>
        <x:v>100</x:v>
      </x:c>
      <x:c r="L2" t="n">
        <x:f>MAX(0,D2-K2)</x:f>
        <x:v>0</x:v>
      </x:c>
    </x:row>
    <x:row r="3">
      <x:c r="A3" t="str">
        <x:v>SPO-002</x:v>
      </x:c>
      <x:c r="B3" t="str">
        <x:v>BUD-002</x:v>
      </x:c>
      <x:c r="C3" t="str">
        <x:v>Global Parts US</x:v>
      </x:c>
      <x:c r="D3" t="n">
        <x:v>10</x:v>
      </x:c>
      <x:c r="E3" t="n">
        <x:v>10</x:v>
      </x:c>
      <x:c r="F3" t="str">
        <x:v>2026-10-05</x:v>
      </x:c>
      <x:c r="G3" t="str">
        <x:v>2026-10-30</x:v>
      </x:c>
      <x:c r="H3" t="str">
        <x:v>Issued</x:v>
      </x:c>
      <x:c r="I3" t="str">
        <x:v>USD</x:v>
      </x:c>
      <x:c r="J3" t="n">
        <x:v>16000</x:v>
      </x:c>
      <x:c r="K3" t="n">
        <x:f>SUMIF(Receipts!B$2:B$100,A3,Receipts!D$2:D$100)</x:f>
        <x:v>8</x:v>
      </x:c>
      <x:c r="L3" t="n">
        <x:f>MAX(0,D3-K3)</x:f>
        <x:v>2</x:v>
      </x:c>
    </x:row>
    <x:row r="4">
      <x:c r="A4" t="str">
        <x:v>SPO-003</x:v>
      </x:c>
      <x:c r="B4" t="str">
        <x:v>BUD-002</x:v>
      </x:c>
      <x:c r="C4" t="str">
        <x:v>Global Parts US</x:v>
      </x:c>
      <x:c r="D4" t="n">
        <x:v>2</x:v>
      </x:c>
      <x:c r="E4" t="n">
        <x:v>2</x:v>
      </x:c>
      <x:c r="F4" t="str">
        <x:v>2026-10-13</x:v>
      </x:c>
      <x:c r="G4" t="str">
        <x:v>2026-11-04</x:v>
      </x:c>
      <x:c r="H4" t="str">
        <x:v>Issued</x:v>
      </x:c>
      <x:c r="I4" t="str">
        <x:v>USD</x:v>
      </x:c>
      <x:c r="J4" t="n">
        <x:v>3000</x:v>
      </x:c>
      <x:c r="K4" t="n">
        <x:f>SUMIF(Receipts!B$2:B$100,A4,Receipts!D$2:D$100)</x:f>
        <x:v>0</x:v>
      </x:c>
      <x:c r="L4" t="n">
        <x:f>MAX(0,D4-K4)</x:f>
        <x:v>2</x:v>
      </x:c>
    </x:row>
    <x:row r="5">
      <x:c r="A5" t="str">
        <x:v>SPO-004</x:v>
      </x:c>
      <x:c r="B5" t="str">
        <x:v>BUD-003</x:v>
      </x:c>
      <x:c r="C5" t="str">
        <x:v>Precision Tools US</x:v>
      </x:c>
      <x:c r="D5" t="n">
        <x:v>8</x:v>
      </x:c>
      <x:c r="E5" t="n">
        <x:v>8</x:v>
      </x:c>
      <x:c r="F5" t="str">
        <x:v>2026-09-10</x:v>
      </x:c>
      <x:c r="G5" t="str">
        <x:v>2026-10-11</x:v>
      </x:c>
      <x:c r="H5" t="str">
        <x:v>Issued</x:v>
      </x:c>
      <x:c r="I5" t="str">
        <x:v>USD</x:v>
      </x:c>
      <x:c r="J5" t="n">
        <x:v>7600</x:v>
      </x:c>
      <x:c r="K5" t="n">
        <x:f>SUMIF(Receipts!B$2:B$100,A5,Receipts!D$2:D$100)</x:f>
        <x:v>8</x:v>
      </x:c>
      <x:c r="L5" t="n">
        <x:f>MAX(0,D5-K5)</x:f>
        <x:v>0</x:v>
      </x:c>
    </x:row>
    <x:row r="6">
      <x:c r="A6" t="str">
        <x:v>SPO-005</x:v>
      </x:c>
      <x:c r="B6" t="str">
        <x:v>BUD-004</x:v>
      </x:c>
      <x:c r="C6" t="str">
        <x:v>Industrial Supply MX</x:v>
      </x:c>
      <x:c r="D6" t="n">
        <x:v>20</x:v>
      </x:c>
      <x:c r="E6" t="n">
        <x:v>20</x:v>
      </x:c>
      <x:c r="F6" t="str">
        <x:v>2026-10-11</x:v>
      </x:c>
      <x:c r="G6" t="str">
        <x:v>2026-11-05</x:v>
      </x:c>
      <x:c r="H6" t="str">
        <x:v>Issued</x:v>
      </x:c>
      <x:c r="I6" t="str">
        <x:v>MXN</x:v>
      </x:c>
      <x:c r="J6" t="n">
        <x:v>52000</x:v>
      </x:c>
      <x:c r="K6" t="n">
        <x:f>SUMIF(Receipts!B$2:B$100,A6,Receipts!D$2:D$100)</x:f>
        <x:v>12</x:v>
      </x:c>
      <x:c r="L6" t="n">
        <x:f>MAX(0,D6-K6)</x:f>
        <x:v>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20" hidden="0" customWidth="1"/>
    <x:col min="6" max="6" width="22" hidden="0" customWidth="1"/>
  </x:cols>
  <x:sheetData>
    <x:row r="1" ht="31" customHeight="1">
      <x:c r="A1" s="4" t="str">
        <x:v>Receipt ID</x:v>
      </x:c>
      <x:c r="B1" s="4" t="str">
        <x:v>Supplier PO</x:v>
      </x:c>
      <x:c r="C1" s="4" t="str">
        <x:v>Project ID</x:v>
      </x:c>
      <x:c r="D1" s="4" t="str">
        <x:v>Qty received</x:v>
      </x:c>
      <x:c r="E1" s="4" t="str">
        <x:v>Receipt date</x:v>
      </x:c>
      <x:c r="F1" s="4" t="str">
        <x:v>Recorded by</x:v>
      </x:c>
    </x:row>
    <x:row r="2">
      <x:c r="A2" t="str">
        <x:v>REC-001</x:v>
      </x:c>
      <x:c r="B2" t="str">
        <x:v>SPO-001</x:v>
      </x:c>
      <x:c r="C2" t="str">
        <x:v>BUD-001</x:v>
      </x:c>
      <x:c r="D2" t="n">
        <x:v>100</x:v>
      </x:c>
      <x:c r="E2" t="str">
        <x:v>2026-10-18</x:v>
      </x:c>
      <x:c r="F2" t="str">
        <x:v>Warehouse</x:v>
      </x:c>
    </x:row>
    <x:row r="3">
      <x:c r="A3" t="str">
        <x:v>REC-002</x:v>
      </x:c>
      <x:c r="B3" t="str">
        <x:v>SPO-002</x:v>
      </x:c>
      <x:c r="C3" t="str">
        <x:v>BUD-002</x:v>
      </x:c>
      <x:c r="D3" t="n">
        <x:v>8</x:v>
      </x:c>
      <x:c r="E3" t="str">
        <x:v>2026-10-21</x:v>
      </x:c>
      <x:c r="F3" t="str">
        <x:v>Warehouse</x:v>
      </x:c>
    </x:row>
    <x:row r="4">
      <x:c r="A4" t="str">
        <x:v>REC-003</x:v>
      </x:c>
      <x:c r="B4" t="str">
        <x:v>SPO-004</x:v>
      </x:c>
      <x:c r="C4" t="str">
        <x:v>BUD-003</x:v>
      </x:c>
      <x:c r="D4" t="n">
        <x:v>8</x:v>
      </x:c>
      <x:c r="E4" t="str">
        <x:v>2026-10-10</x:v>
      </x:c>
      <x:c r="F4" t="str">
        <x:v>Warehouse</x:v>
      </x:c>
    </x:row>
    <x:row r="5">
      <x:c r="A5" t="str">
        <x:v>REC-004</x:v>
      </x:c>
      <x:c r="B5" t="str">
        <x:v>SPO-005</x:v>
      </x:c>
      <x:c r="C5" t="str">
        <x:v>BUD-004</x:v>
      </x:c>
      <x:c r="D5" t="n">
        <x:v>12</x:v>
      </x:c>
      <x:c r="E5" t="str">
        <x:v>2026-10-14</x:v>
      </x:c>
      <x:c r="F5" t="str">
        <x:v>Warehouse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9" hidden="0" customWidth="1"/>
    <x:col min="4" max="4" width="20" hidden="0" customWidth="1"/>
    <x:col min="5" max="5" width="18" hidden="0" customWidth="1"/>
    <x:col min="6" max="6" width="27" hidden="0" customWidth="1"/>
  </x:cols>
  <x:sheetData>
    <x:row r="1" ht="31" customHeight="1">
      <x:c r="A1" s="4" t="str">
        <x:v>Delivery ID</x:v>
      </x:c>
      <x:c r="B1" s="4" t="str">
        <x:v>Project ID</x:v>
      </x:c>
      <x:c r="C1" s="4" t="str">
        <x:v>Qty delivered</x:v>
      </x:c>
      <x:c r="D1" s="4" t="str">
        <x:v>Delivery date</x:v>
      </x:c>
      <x:c r="E1" s="4" t="str">
        <x:v>Proof ref</x:v>
      </x:c>
      <x:c r="F1" s="4" t="str">
        <x:v>Customer agreed partial</x:v>
      </x:c>
    </x:row>
    <x:row r="2">
      <x:c r="A2" t="str">
        <x:v>DEL-001</x:v>
      </x:c>
      <x:c r="B2" t="str">
        <x:v>BUD-001</x:v>
      </x:c>
      <x:c r="C2" t="n">
        <x:v>100</x:v>
      </x:c>
      <x:c r="D2" t="str">
        <x:v>2026-10-19</x:v>
      </x:c>
      <x:c r="E2" t="str">
        <x:v>POD-001</x:v>
      </x:c>
      <x:c r="F2" t="str">
        <x:v>Yes</x:v>
      </x:c>
    </x:row>
    <x:row r="3">
      <x:c r="A3" t="str">
        <x:v>DEL-002</x:v>
      </x:c>
      <x:c r="B3" t="str">
        <x:v>BUD-002</x:v>
      </x:c>
      <x:c r="C3" t="n">
        <x:v>8</x:v>
      </x:c>
      <x:c r="D3" t="str">
        <x:v>2026-10-22</x:v>
      </x:c>
      <x:c r="E3" t="str">
        <x:v>POD-002</x:v>
      </x:c>
      <x:c r="F3" t="str">
        <x:v>Yes</x:v>
      </x:c>
    </x:row>
    <x:row r="4">
      <x:c r="A4" t="str">
        <x:v>DEL-003</x:v>
      </x:c>
      <x:c r="B4" t="str">
        <x:v>BUD-003</x:v>
      </x:c>
      <x:c r="C4" t="n">
        <x:v>8</x:v>
      </x:c>
      <x:c r="D4" t="str">
        <x:v>2026-10-11</x:v>
      </x:c>
      <x:c r="E4" t="str">
        <x:v>POD-003</x:v>
      </x:c>
      <x:c r="F4" t="str">
        <x:v>Yes</x:v>
      </x:c>
    </x:row>
    <x:row r="5">
      <x:c r="A5" t="str">
        <x:v>DEL-004</x:v>
      </x:c>
      <x:c r="B5" t="str">
        <x:v>BUD-004</x:v>
      </x:c>
      <x:c r="C5" t="n">
        <x:v>12</x:v>
      </x:c>
      <x:c r="D5" t="str">
        <x:v>2026-10-15</x:v>
      </x:c>
      <x:c r="E5" t="str">
        <x:v>POD-004</x:v>
      </x:c>
      <x:c r="F5" t="str">
        <x:v>Yes</x:v>
      </x:c>
    </x:row>
  </x:sheetData>
  <x:dataValidations count="1">
    <x:dataValidation type="list" sqref="F2:F100">
      <x:formula1>"Yes,No,N/A"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5" hidden="0" customWidth="1"/>
    <x:col min="7" max="7" width="20" hidden="0" customWidth="1"/>
    <x:col min="8" max="8" width="20" hidden="0" customWidth="1"/>
  </x:cols>
  <x:sheetData>
    <x:row r="1" ht="31" customHeight="1">
      <x:c r="A1" s="4" t="str">
        <x:v>Invoice ID</x:v>
      </x:c>
      <x:c r="B1" s="4" t="str">
        <x:v>Project ID</x:v>
      </x:c>
      <x:c r="C1" s="4" t="str">
        <x:v>Invoicing entity</x:v>
      </x:c>
      <x:c r="D1" s="4" t="str">
        <x:v>Qty invoiced</x:v>
      </x:c>
      <x:c r="E1" s="4" t="str">
        <x:v>Invoice amount</x:v>
      </x:c>
      <x:c r="F1" s="4" t="str">
        <x:v>Currency</x:v>
      </x:c>
      <x:c r="G1" s="4" t="str">
        <x:v>Invoice date</x:v>
      </x:c>
      <x:c r="H1" s="4" t="str">
        <x:v>Amount MXN</x:v>
      </x:c>
    </x:row>
    <x:row r="2">
      <x:c r="A2" t="str">
        <x:v>INV-001</x:v>
      </x:c>
      <x:c r="B2" t="str">
        <x:v>BUD-001</x:v>
      </x:c>
      <x:c r="C2" t="str">
        <x:v>MX</x:v>
      </x:c>
      <x:c r="D2" t="n">
        <x:v>100</x:v>
      </x:c>
      <x:c r="E2" t="n">
        <x:v>130000</x:v>
      </x:c>
      <x:c r="F2" t="str">
        <x:v>MXN</x:v>
      </x:c>
      <x:c r="G2" t="str">
        <x:v>2026-10-20</x:v>
      </x:c>
      <x:c r="H2" t="n">
        <x:f>IF(F2="USD",E2*Settings!$B$2,E2)</x:f>
        <x:v>130000</x:v>
      </x:c>
    </x:row>
    <x:row r="3">
      <x:c r="A3" t="str">
        <x:v>INV-002</x:v>
      </x:c>
      <x:c r="B3" t="str">
        <x:v>BUD-002</x:v>
      </x:c>
      <x:c r="C3" t="str">
        <x:v>MX</x:v>
      </x:c>
      <x:c r="D3" t="n">
        <x:v>8</x:v>
      </x:c>
      <x:c r="E3" t="n">
        <x:v>18000</x:v>
      </x:c>
      <x:c r="F3" t="str">
        <x:v>USD</x:v>
      </x:c>
      <x:c r="G3" t="str">
        <x:v>2026-10-23</x:v>
      </x:c>
      <x:c r="H3" t="n">
        <x:f>IF(F3="USD",E3*Settings!$B$2,E3)</x:f>
        <x:v>333000</x:v>
      </x:c>
    </x:row>
    <x:row r="4">
      <x:c r="A4" t="str">
        <x:v>INV-003</x:v>
      </x:c>
      <x:c r="B4" t="str">
        <x:v>BUD-003</x:v>
      </x:c>
      <x:c r="C4" t="str">
        <x:v>US</x:v>
      </x:c>
      <x:c r="D4" t="n">
        <x:v>8</x:v>
      </x:c>
      <x:c r="E4" t="n">
        <x:v>10400</x:v>
      </x:c>
      <x:c r="F4" t="str">
        <x:v>USD</x:v>
      </x:c>
      <x:c r="G4" t="str">
        <x:v>2026-10-12</x:v>
      </x:c>
      <x:c r="H4" t="n">
        <x:f>IF(F4="USD",E4*Settings!$B$2,E4)</x:f>
        <x:v>192400</x:v>
      </x:c>
    </x:row>
    <x:row r="5">
      <x:c r="A5" t="str">
        <x:v>INV-004</x:v>
      </x:c>
      <x:c r="B5" t="str">
        <x:v>BUD-004</x:v>
      </x:c>
      <x:c r="C5" t="str">
        <x:v>MX</x:v>
      </x:c>
      <x:c r="D5" t="n">
        <x:v>12</x:v>
      </x:c>
      <x:c r="E5" t="n">
        <x:v>39000</x:v>
      </x:c>
      <x:c r="F5" t="str">
        <x:v>MXN</x:v>
      </x:c>
      <x:c r="G5" t="str">
        <x:v>2026-10-16</x:v>
      </x:c>
      <x:c r="H5" t="n">
        <x:f>IF(F5="USD",E5*Settings!$B$2,E5)</x:f>
        <x:v>39000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4" hidden="0" customWidth="1"/>
    <x:col min="4" max="4" width="18" hidden="0" customWidth="1"/>
    <x:col min="5" max="5" width="22" hidden="0" customWidth="1"/>
    <x:col min="6" max="6" width="18" hidden="0" customWidth="1"/>
    <x:col min="7" max="7" width="32" hidden="0" customWidth="1"/>
    <x:col min="8" max="8" width="20" hidden="0" customWidth="1"/>
  </x:cols>
  <x:sheetData>
    <x:row r="1" ht="31" customHeight="1">
      <x:c r="A1" s="4" t="str">
        <x:v>Cost entry</x:v>
      </x:c>
      <x:c r="B1" s="4" t="str">
        <x:v>Project ID</x:v>
      </x:c>
      <x:c r="C1" s="4" t="str">
        <x:v>Currency</x:v>
      </x:c>
      <x:c r="D1" s="4" t="str">
        <x:v>ERP amount</x:v>
      </x:c>
      <x:c r="E1" s="4" t="str">
        <x:v>Review status</x:v>
      </x:c>
      <x:c r="F1" s="4" t="str">
        <x:v>Entry date</x:v>
      </x:c>
      <x:c r="G1" s="4" t="str">
        <x:v>Discrepancy note</x:v>
      </x:c>
      <x:c r="H1" s="4" t="str">
        <x:v>Cost MXN</x:v>
      </x:c>
    </x:row>
    <x:row r="2">
      <x:c r="A2" t="str">
        <x:v>CST-001</x:v>
      </x:c>
      <x:c r="B2" t="str">
        <x:v>BUD-001</x:v>
      </x:c>
      <x:c r="C2" t="str">
        <x:v>MXN</x:v>
      </x:c>
      <x:c r="D2" t="n">
        <x:v>72000</x:v>
      </x:c>
      <x:c r="E2" t="str">
        <x:v>Recognized</x:v>
      </x:c>
      <x:c r="F2" t="str">
        <x:v>2026-10-22</x:v>
      </x:c>
      <x:c r="G2" t="str">
        <x:v>None</x:v>
      </x:c>
      <x:c r="H2" t="n">
        <x:f>IF(C2="USD",D2*Settings!$B$2,D2)</x:f>
        <x:v>72000</x:v>
      </x:c>
    </x:row>
    <x:row r="3">
      <x:c r="A3" t="str">
        <x:v>CST-002</x:v>
      </x:c>
      <x:c r="B3" t="str">
        <x:v>BUD-002</x:v>
      </x:c>
      <x:c r="C3" t="str">
        <x:v>USD</x:v>
      </x:c>
      <x:c r="D3" t="n">
        <x:v>15400</x:v>
      </x:c>
      <x:c r="E3" t="str">
        <x:v>Recognized</x:v>
      </x:c>
      <x:c r="F3" t="str">
        <x:v>2026-10-23</x:v>
      </x:c>
      <x:c r="G3" t="str">
        <x:v>None</x:v>
      </x:c>
      <x:c r="H3" t="n">
        <x:f>IF(C3="USD",D3*Settings!$B$2,D3)</x:f>
        <x:v>284900</x:v>
      </x:c>
    </x:row>
    <x:row r="4">
      <x:c r="A4" t="str">
        <x:v>CST-003</x:v>
      </x:c>
      <x:c r="B4" t="str">
        <x:v>BUD-003</x:v>
      </x:c>
      <x:c r="C4" t="str">
        <x:v>USD</x:v>
      </x:c>
      <x:c r="D4" t="n">
        <x:v>7900</x:v>
      </x:c>
      <x:c r="E4" t="str">
        <x:v>Under review</x:v>
      </x:c>
      <x:c r="F4" t="str">
        <x:v>2026-10-24</x:v>
      </x:c>
      <x:c r="G4" t="str">
        <x:v>Possible misallocation</x:v>
      </x:c>
      <x:c r="H4" t="n">
        <x:f>IF(C4="USD",D4*Settings!$B$2,D4)</x:f>
        <x:v>146150</x:v>
      </x:c>
    </x:row>
    <x:row r="5">
      <x:c r="A5" t="str">
        <x:v>CST-004</x:v>
      </x:c>
      <x:c r="B5" t="str">
        <x:v>BUD-004</x:v>
      </x:c>
      <x:c r="C5" t="str">
        <x:v>MXN</x:v>
      </x:c>
      <x:c r="D5" t="n">
        <x:v>32000</x:v>
      </x:c>
      <x:c r="E5" t="str">
        <x:v>Recognized</x:v>
      </x:c>
      <x:c r="F5" t="str">
        <x:v>2026-10-18</x:v>
      </x:c>
      <x:c r="G5" t="str">
        <x:v>None</x:v>
      </x:c>
      <x:c r="H5" t="n">
        <x:f>IF(C5="USD",D5*Settings!$B$2,D5)</x:f>
        <x:v>32000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20" hidden="0" customWidth="1"/>
    <x:col min="7" max="7" width="31" hidden="0" customWidth="1"/>
    <x:col min="8" max="8" width="35" hidden="0" customWidth="1"/>
  </x:cols>
  <x:sheetData>
    <x:row r="1" ht="31" customHeight="1">
      <x:c r="A1" s="4" t="str">
        <x:v>Exception ID</x:v>
      </x:c>
      <x:c r="B1" s="4" t="str">
        <x:v>Project ID</x:v>
      </x:c>
      <x:c r="C1" s="4" t="str">
        <x:v>Category</x:v>
      </x:c>
      <x:c r="D1" s="4" t="str">
        <x:v>Correction owner</x:v>
      </x:c>
      <x:c r="E1" s="4" t="str">
        <x:v>Status</x:v>
      </x:c>
      <x:c r="F1" s="4" t="str">
        <x:v>Raised date</x:v>
      </x:c>
      <x:c r="G1" s="4" t="str">
        <x:v>Evidence / next step</x:v>
      </x:c>
      <x:c r="H1" s="4" t="str">
        <x:v>Notes</x:v>
      </x:c>
    </x:row>
    <x:row r="2">
      <x:c r="A2" t="str">
        <x:v>EX-001</x:v>
      </x:c>
      <x:c r="B2" t="str">
        <x:v>BUD-003</x:v>
      </x:c>
      <x:c r="C2" t="str">
        <x:v>ERP cost attribution</x:v>
      </x:c>
      <x:c r="D2" t="str">
        <x:v>Finance / entry originator</x:v>
      </x:c>
      <x:c r="E2" t="str">
        <x:v>Open</x:v>
      </x:c>
      <x:c r="F2" t="str">
        <x:v>2026-10-24</x:v>
      </x:c>
      <x:c r="G2" t="str">
        <x:v>Pending verification</x:v>
      </x:c>
      <x:c r="H2" t="str">
        <x:v>Do not edit accounting directly</x:v>
      </x:c>
    </x:row>
    <x:row r="3">
      <x:c r="A3" t="str">
        <x:v>EX-002</x:v>
      </x:c>
      <x:c r="B3" t="str">
        <x:v>BUD-002</x:v>
      </x:c>
      <x:c r="C3" t="str">
        <x:v>Customer PO revision</x:v>
      </x:c>
      <x:c r="D3" t="str">
        <x:v>Sales / Purchasing</x:v>
      </x:c>
      <x:c r="E3" t="str">
        <x:v>Resolved</x:v>
      </x:c>
      <x:c r="F3" t="str">
        <x:v>2026-10-12</x:v>
      </x:c>
      <x:c r="G3" t="str">
        <x:v>Revised PO received</x:v>
      </x:c>
      <x:c r="H3" t="str">
        <x:v>Additional supplier PO created</x:v>
      </x:c>
    </x:row>
  </x:sheetData>
  <x:dataValidations count="1">
    <x:dataValidation type="list" sqref="E2:E100">
      <x:formula1>"Open,In progress,Resolved"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5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2" hidden="0" customWidth="1"/>
    <x:col min="10" max="10" width="21" hidden="0" customWidth="1"/>
    <x:col min="11" max="11" width="21" hidden="0" customWidth="1"/>
  </x:cols>
  <x:sheetData>
    <x:row r="1" ht="31" customHeight="1">
      <x:c r="A1" s="4" t="str">
        <x:v>Project ID</x:v>
      </x:c>
      <x:c r="B1" s="4" t="str">
        <x:v>Customer</x:v>
      </x:c>
      <x:c r="C1" s="4" t="str">
        <x:v>Currency</x:v>
      </x:c>
      <x:c r="D1" s="4" t="str">
        <x:v>Latest budget version</x:v>
      </x:c>
      <x:c r="E1" s="4" t="str">
        <x:v>Planned cost (local)</x:v>
      </x:c>
      <x:c r="F1" s="4" t="str">
        <x:v>Target sale (local)</x:v>
      </x:c>
      <x:c r="G1" s="4" t="str">
        <x:v>Invoiced (local)</x:v>
      </x:c>
      <x:c r="H1" s="4" t="str">
        <x:v>ERP cost (local)</x:v>
      </x:c>
      <x:c r="I1" s="4" t="str">
        <x:v>Revenue MXN</x:v>
      </x:c>
      <x:c r="J1" s="4" t="str">
        <x:v>Cost MXN</x:v>
      </x:c>
      <x:c r="K1" s="4" t="str">
        <x:v>Variance MXN</x:v>
      </x:c>
    </x:row>
    <x:row r="2">
      <x:c r="A2" t="str">
        <x:v>BUD-001</x:v>
      </x:c>
      <x:c r="B2" t="str">
        <x:f>IFERROR(INDEX(Projects!B$2:B$100,MATCH(A2,Projects!A$2:A$100,0)),"")</x:f>
        <x:v>Alpha Industrial</x:v>
      </x:c>
      <x:c r="C2" t="str">
        <x:f>IFERROR(INDEX(Projects!E$2:E$100,MATCH(A2,Projects!A$2:A$100,0)),"")</x:f>
        <x:v>MXN</x:v>
      </x:c>
      <x:c r="D2" t="n">
        <x:f>_xlfn.MAXIFS(Budgets!B$2:B$100,Budgets!A$2:A$100,A2)</x:f>
        <x:v>1</x:v>
      </x:c>
      <x:c r="E2" t="n">
        <x:f>SUMIFS(Budgets!D$2:D$100,Budgets!A$2:A$100,A2,Budgets!B$2:B$100,D2)</x:f>
        <x:v>100000</x:v>
      </x:c>
      <x:c r="F2" t="n">
        <x:f>SUMIFS(Budgets!H$2:H$100,Budgets!A$2:A$100,A2,Budgets!B$2:B$100,D2)</x:f>
        <x:v>130000</x:v>
      </x:c>
      <x:c r="G2" t="n">
        <x:f>SUMIF(Invoices!B$2:B$100,A2,Invoices!E$2:E$100)</x:f>
        <x:v>130000</x:v>
      </x:c>
      <x:c r="H2" t="n">
        <x:f>SUMIF(Costs!B$2:B$100,A2,Costs!D$2:D$100)</x:f>
        <x:v>72000</x:v>
      </x:c>
      <x:c r="I2" t="n">
        <x:f>SUMIF(Invoices!B$2:B$100,A2,Invoices!H$2:H$100)</x:f>
        <x:v>130000</x:v>
      </x:c>
      <x:c r="J2" t="n">
        <x:f>SUMIF(Costs!B$2:B$100,A2,Costs!H$2:H$100)</x:f>
        <x:v>72000</x:v>
      </x:c>
      <x:c r="K2" t="n">
        <x:f>I2-J2</x:f>
        <x:v>58000</x:v>
      </x:c>
    </x:row>
    <x:row r="3">
      <x:c r="A3" t="str">
        <x:v>BUD-002</x:v>
      </x:c>
      <x:c r="B3" t="str">
        <x:f>IFERROR(INDEX(Projects!B$2:B$100,MATCH(A3,Projects!A$2:A$100,0)),"")</x:f>
        <x:v>Beta Manufacturing</x:v>
      </x:c>
      <x:c r="C3" t="str">
        <x:f>IFERROR(INDEX(Projects!E$2:E$100,MATCH(A3,Projects!A$2:A$100,0)),"")</x:f>
        <x:v>USD</x:v>
      </x:c>
      <x:c r="D3" t="n">
        <x:f>_xlfn.MAXIFS(Budgets!B$2:B$100,Budgets!A$2:A$100,A3)</x:f>
        <x:v>2</x:v>
      </x:c>
      <x:c r="E3" t="n">
        <x:f>SUMIFS(Budgets!D$2:D$100,Budgets!A$2:A$100,A3,Budgets!B$2:B$100,D3)</x:f>
        <x:v>21500</x:v>
      </x:c>
      <x:c r="F3" t="n">
        <x:f>SUMIFS(Budgets!H$2:H$100,Budgets!A$2:A$100,A3,Budgets!B$2:B$100,D3)</x:f>
        <x:v>27950</x:v>
      </x:c>
      <x:c r="G3" t="n">
        <x:f>SUMIF(Invoices!B$2:B$100,A3,Invoices!E$2:E$100)</x:f>
        <x:v>18000</x:v>
      </x:c>
      <x:c r="H3" t="n">
        <x:f>SUMIF(Costs!B$2:B$100,A3,Costs!D$2:D$100)</x:f>
        <x:v>15400</x:v>
      </x:c>
      <x:c r="I3" t="n">
        <x:f>SUMIF(Invoices!B$2:B$100,A3,Invoices!H$2:H$100)</x:f>
        <x:v>333000</x:v>
      </x:c>
      <x:c r="J3" t="n">
        <x:f>SUMIF(Costs!B$2:B$100,A3,Costs!H$2:H$100)</x:f>
        <x:v>284900</x:v>
      </x:c>
      <x:c r="K3" t="n">
        <x:f>I3-J3</x:f>
        <x:v>48100</x:v>
      </x:c>
    </x:row>
    <x:row r="4">
      <x:c r="A4" t="str">
        <x:v>BUD-003</x:v>
      </x:c>
      <x:c r="B4" t="str">
        <x:f>IFERROR(INDEX(Projects!B$2:B$100,MATCH(A4,Projects!A$2:A$100,0)),"")</x:f>
        <x:v>Gamma Components</x:v>
      </x:c>
      <x:c r="C4" t="str">
        <x:f>IFERROR(INDEX(Projects!E$2:E$100,MATCH(A4,Projects!A$2:A$100,0)),"")</x:f>
        <x:v>USD</x:v>
      </x:c>
      <x:c r="D4" t="n">
        <x:f>_xlfn.MAXIFS(Budgets!B$2:B$100,Budgets!A$2:A$100,A4)</x:f>
        <x:v>1</x:v>
      </x:c>
      <x:c r="E4" t="n">
        <x:f>SUMIFS(Budgets!D$2:D$100,Budgets!A$2:A$100,A4,Budgets!B$2:B$100,D4)</x:f>
        <x:v>8000</x:v>
      </x:c>
      <x:c r="F4" t="n">
        <x:f>SUMIFS(Budgets!H$2:H$100,Budgets!A$2:A$100,A4,Budgets!B$2:B$100,D4)</x:f>
        <x:v>10400</x:v>
      </x:c>
      <x:c r="G4" t="n">
        <x:f>SUMIF(Invoices!B$2:B$100,A4,Invoices!E$2:E$100)</x:f>
        <x:v>10400</x:v>
      </x:c>
      <x:c r="H4" t="n">
        <x:f>SUMIF(Costs!B$2:B$100,A4,Costs!D$2:D$100)</x:f>
        <x:v>7900</x:v>
      </x:c>
      <x:c r="I4" t="n">
        <x:f>SUMIF(Invoices!B$2:B$100,A4,Invoices!H$2:H$100)</x:f>
        <x:v>192400</x:v>
      </x:c>
      <x:c r="J4" t="n">
        <x:f>SUMIF(Costs!B$2:B$100,A4,Costs!H$2:H$100)</x:f>
        <x:v>146150</x:v>
      </x:c>
      <x:c r="K4" t="n">
        <x:f>I4-J4</x:f>
        <x:v>46250</x:v>
      </x:c>
    </x:row>
    <x:row r="5">
      <x:c r="A5" t="str">
        <x:v>BUD-004</x:v>
      </x:c>
      <x:c r="B5" t="str">
        <x:f>IFERROR(INDEX(Projects!B$2:B$100,MATCH(A5,Projects!A$2:A$100,0)),"")</x:f>
        <x:v>Delta Assembly</x:v>
      </x:c>
      <x:c r="C5" t="str">
        <x:f>IFERROR(INDEX(Projects!E$2:E$100,MATCH(A5,Projects!A$2:A$100,0)),"")</x:f>
        <x:v>MXN</x:v>
      </x:c>
      <x:c r="D5" t="n">
        <x:f>_xlfn.MAXIFS(Budgets!B$2:B$100,Budgets!A$2:A$100,A5)</x:f>
        <x:v>1</x:v>
      </x:c>
      <x:c r="E5" t="n">
        <x:f>SUMIFS(Budgets!D$2:D$100,Budgets!A$2:A$100,A5,Budgets!B$2:B$100,D5)</x:f>
        <x:v>65000</x:v>
      </x:c>
      <x:c r="F5" t="n">
        <x:f>SUMIFS(Budgets!H$2:H$100,Budgets!A$2:A$100,A5,Budgets!B$2:B$100,D5)</x:f>
        <x:v>84500</x:v>
      </x:c>
      <x:c r="G5" t="n">
        <x:f>SUMIF(Invoices!B$2:B$100,A5,Invoices!E$2:E$100)</x:f>
        <x:v>39000</x:v>
      </x:c>
      <x:c r="H5" t="n">
        <x:f>SUMIF(Costs!B$2:B$100,A5,Costs!D$2:D$100)</x:f>
        <x:v>32000</x:v>
      </x:c>
      <x:c r="I5" t="n">
        <x:f>SUMIF(Invoices!B$2:B$100,A5,Invoices!H$2:H$100)</x:f>
        <x:v>39000</x:v>
      </x:c>
      <x:c r="J5" t="n">
        <x:f>SUMIF(Costs!B$2:B$100,A5,Costs!H$2:H$100)</x:f>
        <x:v>32000</x:v>
      </x:c>
      <x:c r="K5" t="n">
        <x:f>I5-J5</x:f>
        <x:v>7000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75" hidden="0" customWidth="1"/>
  </x:cols>
  <x:sheetData>
    <x:row r="1" ht="32" customHeight="1">
      <x:c r="A1" s="4" t="str">
        <x:v>BUD | OPERATIONAL PULSE</x:v>
      </x:c>
      <x:c r="B1" s="4" t="str">
        <x:v>Value</x:v>
      </x:c>
      <x:c r="C1" s="4" t="str">
        <x:v>Interpretation</x:v>
      </x:c>
    </x:row>
    <x:row r="2">
      <x:c r="A2" t="str">
        <x:v>Projects registered</x:v>
      </x:c>
      <x:c r="B2" t="n">
        <x:f>COUNTA(Projects!A2:A100)</x:f>
        <x:v>4</x:v>
      </x:c>
      <x:c r="C2" t="str">
        <x:v>Count of simulated projects</x:v>
      </x:c>
    </x:row>
    <x:row r="3">
      <x:c r="A3" t="str">
        <x:v>Active projects</x:v>
      </x:c>
      <x:c r="B3" t="n">
        <x:f>COUNTIF(Projects!G2:G100,"Active")</x:f>
        <x:v>3</x:v>
      </x:c>
      <x:c r="C3" t="str">
        <x:v>ERP status Active</x:v>
      </x:c>
    </x:row>
    <x:row r="4">
      <x:c r="A4" t="str">
        <x:v>Customer invoicing (MXN)</x:v>
      </x:c>
      <x:c r="B4" s="12" t="n">
        <x:f>SUM(Invoices!H2:H5)</x:f>
        <x:v>694400</x:v>
      </x:c>
      <x:c r="C4" t="str">
        <x:v>All invoice amounts normalized to MXN</x:v>
      </x:c>
    </x:row>
    <x:row r="5">
      <x:c r="A5" t="str">
        <x:v>ERP recognized costs (MXN)</x:v>
      </x:c>
      <x:c r="B5" s="12" t="n">
        <x:f>SUM(Costs!H2:H5)</x:f>
        <x:v>535050</x:v>
      </x:c>
      <x:c r="C5" t="str">
        <x:v>Includes unresolved entries</x:v>
      </x:c>
    </x:row>
    <x:row r="6">
      <x:c r="A6" t="str">
        <x:v>Invoiced less ERP costs (MXN)</x:v>
      </x:c>
      <x:c r="B6" s="12" t="n">
        <x:f>B4-B5</x:f>
        <x:v>159350</x:v>
      </x:c>
      <x:c r="C6" t="str">
        <x:v>Not net profit; project-level indicative difference</x:v>
      </x:c>
    </x:row>
    <x:row r="7">
      <x:c r="A7" t="str">
        <x:v>Open exceptions</x:v>
      </x:c>
      <x:c r="B7" t="n">
        <x:f>COUNTIF(Exceptions!E2:E100,"Open")</x:f>
        <x:v>1</x:v>
      </x:c>
      <x:c r="C7" t="str">
        <x:v>Follow-up required</x:v>
      </x:c>
    </x:row>
    <x:row r="8">
      <x:c r="A8" t="str">
        <x:v>Supplier units pending</x:v>
      </x:c>
      <x:c r="B8" t="n">
        <x:f>SUM('Supplier POs'!L2:L6)</x:f>
        <x:v>12</x:v>
      </x:c>
      <x:c r="C8" t="str">
        <x:v>Ordered less received</x:v>
      </x:c>
    </x:row>
    <x:row r="9">
      <x:c r="A9" t="str">
        <x:v>Delivered units</x:v>
      </x:c>
      <x:c r="B9" t="n">
        <x:f>SUM(Deliveries!C2:C100)</x:f>
        <x:v>128</x:v>
      </x:c>
      <x:c r="C9" t="str">
        <x:v>Across all projects; not comparable product units</x:v>
      </x:c>
    </x:row>
    <x:row r="10">
      <x:c r="A10" s="15" t="str">
        <x:v>Caution</x:v>
      </x:c>
      <x:c r="B10" s="15" t="str">
        <x:v>SIMULATED</x:v>
      </x:c>
      <x:c r="C10" s="15" t="str">
        <x:v>No real company data, no verified historical KPIs</x:v>
      </x:c>
    </x:row>
  </x:sheetData>
  <x:pageMargins left="0.7" right="0.7" top="0.75" bottom="0.75" header="0.3" footer="0.3"/>
</x:worksheet>
</file>