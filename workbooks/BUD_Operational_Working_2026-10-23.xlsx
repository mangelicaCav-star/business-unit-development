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9bb630cae348a0" /></Relationships>
</file>

<file path=xl/workbook.xml><?xml version="1.0" encoding="utf-8"?>
<x:workbook xmlns:x="http://schemas.openxmlformats.org/spreadsheetml/2006/main">
  <x:sheets>
    <x:sheet xmlns:r="http://schemas.openxmlformats.org/officeDocument/2006/relationships" name="Guide" sheetId="1" r:id="R68c8a85c8aad4307"/>
    <x:sheet xmlns:r="http://schemas.openxmlformats.org/officeDocument/2006/relationships" name="Settings" sheetId="2" r:id="Rc1ae793142204a6f"/>
    <x:sheet xmlns:r="http://schemas.openxmlformats.org/officeDocument/2006/relationships" name="ERP Snapshot" sheetId="3" r:id="R65a5df17bec149f1"/>
    <x:sheet xmlns:r="http://schemas.openxmlformats.org/officeDocument/2006/relationships" name="Exceptions" sheetId="4" r:id="R51b217c070574707"/>
    <x:sheet xmlns:r="http://schemas.openxmlformats.org/officeDocument/2006/relationships" name="Project Control" sheetId="5" r:id="R9c723ae69dab4839"/>
    <x:sheet xmlns:r="http://schemas.openxmlformats.org/officeDocument/2006/relationships" name="PO Value &amp; Cost Control" sheetId="6" r:id="R39779e6052b84328"/>
    <x:sheet xmlns:r="http://schemas.openxmlformats.org/officeDocument/2006/relationships" name="Dashboard" sheetId="7" r:id="Rc6aaad40e4f14719"/>
    <x:sheet xmlns:r="http://schemas.openxmlformats.org/officeDocument/2006/relationships" name="Update Log" sheetId="8" r:id="Rdb4c881472a143a9"/>
    <x:sheet xmlns:r="http://schemas.openxmlformats.org/officeDocument/2006/relationships" name="Decisions &amp; Parking Lot" sheetId="9" r:id="R5093fd6c20144aac"/>
    <x:sheet xmlns:r="http://schemas.openxmlformats.org/officeDocument/2006/relationships" name="Commercial Catalogs" sheetId="10" r:id="R6346fd3521014363"/>
    <x:sheet xmlns:r="http://schemas.openxmlformats.org/officeDocument/2006/relationships" name="Selling Entities" sheetId="11" r:id="Raa734e0d401b4459"/>
    <x:sheet xmlns:r="http://schemas.openxmlformats.org/officeDocument/2006/relationships" name="Project History" sheetId="12" r:id="Rad53c73bc8f2451a"/>
    <x:sheet xmlns:r="http://schemas.openxmlformats.org/officeDocument/2006/relationships" name="Monthly Project Activity" sheetId="13" r:id="R5be5f3565ca343df"/>
    <x:sheet xmlns:r="http://schemas.openxmlformats.org/officeDocument/2006/relationships" name="Monthly BU Close" sheetId="14" r:id="R9fcfc9cb3cde4f7a"/>
    <x:sheet xmlns:r="http://schemas.openxmlformats.org/officeDocument/2006/relationships" name="Monthly Brand Detail" sheetId="15" r:id="Rf70587257b5147a7"/>
    <x:sheet xmlns:r="http://schemas.openxmlformats.org/officeDocument/2006/relationships" name="v0.6 Scope &amp; Rules" sheetId="17" r:id="Rd6d5fd3278e244e4"/>
    <x:sheet xmlns:r="http://schemas.openxmlformats.org/officeDocument/2006/relationships" name="Management Report" sheetId="18" r:id="R7a81fb0924004db5"/>
    <x:sheet xmlns:r="http://schemas.openxmlformats.org/officeDocument/2006/relationships" name="Monthly Trend" sheetId="19" r:id="R432e7244a5954ea2"/>
    <x:sheet xmlns:r="http://schemas.openxmlformats.org/officeDocument/2006/relationships" name="BU Entity Matrix" sheetId="20" r:id="R932b11b91504438a"/>
    <x:sheet xmlns:r="http://schemas.openxmlformats.org/officeDocument/2006/relationships" name="Reporting Methodology" sheetId="21" r:id="Reca450817d714ad1"/>
    <x:sheet xmlns:r="http://schemas.openxmlformats.org/officeDocument/2006/relationships" name="PO Authorization" sheetId="22" r:id="Rc8887791d1694fca"/>
    <x:sheet xmlns:r="http://schemas.openxmlformats.org/officeDocument/2006/relationships" name="v0.7.1 Change Log" sheetId="23" r:id="Rda8d1760edcf4450"/>
    <x:sheet xmlns:r="http://schemas.openxmlformats.org/officeDocument/2006/relationships" name="v0.7.1 Test Results" sheetId="24" r:id="R97b62b5f69f94e9c"/>
    <x:sheet xmlns:r="http://schemas.openxmlformats.org/officeDocument/2006/relationships" name="Invoice Register" sheetId="25" r:id="R1f2f071e5c05418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Red](#,##0.00)"/>
    <x:numFmt numFmtId="202" formatCode="#,##0.00;[Red](#,##0.00);0.00"/>
    <x:numFmt numFmtId="203" formatCode="0"/>
    <x:numFmt numFmtId="204" formatCode="yyyy-mm-dd"/>
  </x:numFmts>
  <x:fonts count="9">
    <x:font>
      <x:sz val="11"/>
      <x:name val="Carlito"/>
    </x:font>
    <x:font>
      <x:b/>
      <x:sz val="11"/>
      <x:color rgb="FFFFFFFF"/>
      <x:name val="Carlito"/>
    </x:font>
    <x:font>
      <x:b/>
      <x:sz val="11"/>
      <x:color rgb="FFFFFFFF"/>
      <x:name val="Aptos"/>
    </x:font>
    <x:font>
      <x:sz val="10"/>
      <x:color rgb="FF172B3A"/>
      <x:name val="Aptos"/>
    </x:font>
    <x:font>
      <x:b/>
      <x:sz val="10"/>
      <x:color rgb="FFFFFFFF"/>
      <x:name val="Aptos"/>
    </x:font>
    <x:font>
      <x:b/>
      <x:sz val="10"/>
      <x:color rgb="FF173047"/>
      <x:name val="Aptos"/>
    </x:font>
    <x:font>
      <x:sz val="10"/>
      <x:color rgb="FF40576A"/>
      <x:name val="Aptos"/>
    </x:font>
    <x:font>
      <x:sz val="11"/>
      <x:color rgb="FF173047"/>
      <x:name val="Aptos"/>
    </x:font>
    <x:font>
      <x:b/>
      <x:sz val="10"/>
      <x:color rgb="FF536575"/>
      <x:name val="Aptos"/>
    </x:font>
  </x:fonts>
  <x:fills count="22">
    <x:fill>
      <x:patternFill patternType="none"/>
    </x:fill>
    <x:fill>
      <x:patternFill patternType="gray125"/>
    </x:fill>
    <x:fill>
      <x:patternFill patternType="solid">
        <x:fgColor rgb="FF17324F"/>
      </x:patternFill>
    </x:fill>
    <x:fill>
      <x:patternFill patternType="solid">
        <x:fgColor rgb="FF17324F"/>
      </x:patternFill>
    </x:fill>
    <x:fill>
      <x:patternFill patternType="solid">
        <x:fgColor rgb="FF17324F"/>
      </x:patternFill>
    </x:fill>
    <x:fill>
      <x:patternFill patternType="solid">
        <x:fgColor rgb="FF116A76"/>
      </x:patternFill>
    </x:fill>
    <x:fill>
      <x:patternFill patternType="solid">
        <x:fgColor rgb="FF17324F"/>
      </x:patternFill>
    </x:fill>
    <x:fill>
      <x:patternFill patternType="solid">
        <x:fgColor rgb="FF15334A"/>
      </x:patternFill>
    </x:fill>
    <x:fill>
      <x:patternFill patternType="solid">
        <x:fgColor rgb="FFD9F3E8"/>
      </x:patternFill>
    </x:fill>
    <x:fill>
      <x:patternFill patternType="solid">
        <x:fgColor rgb="FFFFF0D0"/>
      </x:patternFill>
    </x:fill>
    <x:fill>
      <x:patternFill patternType="solid">
        <x:fgColor rgb="FF15334A"/>
      </x:patternFill>
    </x:fill>
    <x:fill>
      <x:patternFill patternType="solid">
        <x:fgColor rgb="FFD9F3E8"/>
      </x:patternFill>
    </x:fill>
    <x:fill>
      <x:patternFill patternType="solid">
        <x:fgColor rgb="FF173047"/>
      </x:patternFill>
    </x:fill>
    <x:fill>
      <x:patternFill patternType="solid">
        <x:fgColor rgb="FF087F87"/>
      </x:patternFill>
    </x:fill>
    <x:fill>
      <x:patternFill patternType="solid">
        <x:fgColor rgb="FFFFF2CC"/>
      </x:patternFill>
    </x:fill>
    <x:fill>
      <x:patternFill patternType="solid">
        <x:fgColor rgb="FFE6EFF4"/>
      </x:patternFill>
    </x:fill>
    <x:fill>
      <x:patternFill patternType="solid">
        <x:fgColor rgb="FFFFF2CC"/>
      </x:patternFill>
    </x:fill>
    <x:fill>
      <x:patternFill patternType="solid">
        <x:fgColor rgb="FFE5E7EB"/>
      </x:patternFill>
    </x:fill>
    <x:fill>
      <x:patternFill patternType="solid">
        <x:fgColor rgb="FFF2F4F5"/>
      </x:patternFill>
    </x:fill>
    <x:fill>
      <x:patternFill patternType="solid">
        <x:fgColor rgb="FF173047"/>
      </x:patternFill>
    </x:fill>
    <x:fill>
      <x:patternFill patternType="solid">
        <x:fgColor rgb="FFE6EFF4"/>
      </x:patternFill>
    </x:fill>
    <x:fill>
      <x:patternFill patternType="solid">
        <x:fgColor rgb="FF087F87"/>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5" borderId="0" xfId="0" applyNumberFormat="1" applyFont="1" applyFill="1" applyBorder="1" applyAlignment="1">
      <x:alignment wrapText="1"/>
    </x:xf>
    <x:xf numFmtId="201" fontId="0" fillId="0" borderId="0" xfId="0" applyNumberFormat="1" applyFont="1" applyFill="1" applyBorder="1"/>
    <x:xf numFmtId="201" fontId="1" fillId="4" borderId="0" xfId="0" applyNumberFormat="1" applyFont="1" applyFill="1" applyBorder="1"/>
    <x:xf numFmtId="201" fontId="1" fillId="2" borderId="0" xfId="0" applyNumberFormat="1" applyFont="1" applyFill="1" applyBorder="1"/>
    <x:xf numFmtId="0" fontId="1"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0" fillId="11"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13" borderId="0" xfId="0" applyNumberFormat="1" applyFont="1" applyFill="1" applyBorder="1" applyAlignment="1">
      <x:alignment vertical="center" wrapText="1"/>
    </x:xf>
    <x:xf numFmtId="0" fontId="4" fillId="13" borderId="0" xfId="0" applyNumberFormat="1" applyFont="1" applyFill="1" applyBorder="1" applyAlignment="1">
      <x:alignment vertical="center" wrapText="1"/>
    </x:xf>
    <x:xf numFmtId="0" fontId="3" fillId="14" borderId="0" xfId="0" applyNumberFormat="1" applyFont="1" applyFill="1" applyBorder="1" applyAlignment="1">
      <x:alignment vertical="center" wrapText="1"/>
    </x:xf>
    <x:xf numFmtId="202" fontId="3" fillId="0" borderId="0" xfId="0" applyNumberFormat="1" applyFont="1" applyFill="1" applyBorder="1"/>
    <x:xf numFmtId="202" fontId="3" fillId="0" borderId="0" xfId="0" applyNumberFormat="1" applyFont="1" applyFill="1" applyBorder="1" applyAlignment="1">
      <x:alignment horizontal="right"/>
    </x:xf>
    <x:xf numFmtId="203" fontId="3" fillId="0" borderId="0" xfId="0" applyNumberFormat="1" applyFont="1" applyFill="1" applyBorder="1" applyAlignment="1">
      <x:alignment horizontal="right"/>
    </x:xf>
    <x:xf numFmtId="0" fontId="3" fillId="15" borderId="0" xfId="0" applyNumberFormat="1" applyFont="1" applyFill="1" applyBorder="1"/>
    <x:xf numFmtId="202" fontId="3" fillId="15" borderId="0" xfId="0" applyNumberFormat="1" applyFont="1" applyFill="1" applyBorder="1" applyAlignment="1">
      <x:alignment horizontal="right"/>
    </x:xf>
    <x:xf numFmtId="202" fontId="5" fillId="0" borderId="0" xfId="0" applyNumberFormat="1" applyFont="1" applyFill="1" applyBorder="1" applyAlignment="1">
      <x:alignment horizontal="right"/>
    </x:xf>
    <x:xf numFmtId="0" fontId="6" fillId="0" borderId="0" xfId="0" applyNumberFormat="1" applyFont="1" applyFill="1" applyBorder="1"/>
    <x:xf numFmtId="0" fontId="6" fillId="0" borderId="0" xfId="0" applyNumberFormat="1" applyFont="1" applyFill="1" applyBorder="1" applyAlignment="1">
      <x:alignment wrapText="1"/>
    </x:xf>
    <x:xf numFmtId="0" fontId="0" fillId="16" borderId="0" xfId="0" applyNumberFormat="1" applyFont="1" applyFill="1" applyBorder="1"/>
    <x:xf numFmtId="202" fontId="0" fillId="16" borderId="0" xfId="0" applyNumberFormat="1" applyFont="1" applyFill="1" applyBorder="1"/>
    <x:xf numFmtId="202" fontId="0" fillId="0" borderId="0" xfId="0" applyNumberFormat="1" applyFont="1" applyFill="1" applyBorder="1"/>
    <x:xf numFmtId="202" fontId="0" fillId="17" borderId="0" xfId="0" applyNumberFormat="1" applyFont="1" applyFill="1" applyBorder="1"/>
    <x:xf numFmtId="0" fontId="1" fillId="18" borderId="0" xfId="0" applyNumberFormat="1" applyFont="1" applyFill="1" applyBorder="1" applyAlignment="1">
      <x:alignment wrapText="1"/>
    </x:xf>
    <x:xf numFmtId="0" fontId="0" fillId="18" borderId="0" xfId="0" applyNumberFormat="1" applyFont="1" applyFill="1" applyBorder="1"/>
    <x:xf numFmtId="201" fontId="0" fillId="18" borderId="0" xfId="0" applyNumberFormat="1" applyFont="1" applyFill="1" applyBorder="1"/>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0" fillId="20" borderId="0" xfId="0" applyNumberFormat="1" applyFont="1" applyFill="1" applyBorder="1"/>
    <x:xf numFmtId="204" fontId="0" fillId="16" borderId="0" xfId="0" applyNumberFormat="1" applyFont="1" applyFill="1" applyBorder="1"/>
    <x:xf numFmtId="202" fontId="0" fillId="20"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202" fontId="0" fillId="0" borderId="0" xfId="0" applyNumberFormat="1" applyFont="1" applyFill="1" applyBorder="1" applyAlignment="1">
      <x:alignment wrapText="1"/>
    </x:xf>
    <x:xf numFmtId="0" fontId="8" fillId="18" borderId="0"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3bddb60fb74201" /><Relationship Type="http://schemas.openxmlformats.org/officeDocument/2006/relationships/theme" Target="/xl/theme/theme1.xml" Id="Rd6057b239c454239" /><Relationship Type="http://schemas.openxmlformats.org/officeDocument/2006/relationships/sharedStrings" Target="/xl/sharedStrings.xml" Id="R1a2de64f5bdb47dd" /><Relationship Type="http://schemas.openxmlformats.org/officeDocument/2006/relationships/worksheet" Target="/xl/worksheets/sheet1.xml" Id="R68c8a85c8aad4307" /><Relationship Type="http://schemas.openxmlformats.org/officeDocument/2006/relationships/worksheet" Target="/xl/worksheets/sheet2.xml" Id="Rc1ae793142204a6f" /><Relationship Type="http://schemas.openxmlformats.org/officeDocument/2006/relationships/worksheet" Target="/xl/worksheets/sheet3.xml" Id="R65a5df17bec149f1" /><Relationship Type="http://schemas.openxmlformats.org/officeDocument/2006/relationships/worksheet" Target="/xl/worksheets/sheet4.xml" Id="R51b217c070574707" /><Relationship Type="http://schemas.openxmlformats.org/officeDocument/2006/relationships/worksheet" Target="/xl/worksheets/sheet5.xml" Id="R9c723ae69dab4839" /><Relationship Type="http://schemas.openxmlformats.org/officeDocument/2006/relationships/worksheet" Target="/xl/worksheets/sheet6.xml" Id="R39779e6052b84328" /><Relationship Type="http://schemas.openxmlformats.org/officeDocument/2006/relationships/worksheet" Target="/xl/worksheets/sheet7.xml" Id="Rc6aaad40e4f14719" /><Relationship Type="http://schemas.openxmlformats.org/officeDocument/2006/relationships/worksheet" Target="/xl/worksheets/sheet8.xml" Id="Rdb4c881472a143a9" /><Relationship Type="http://schemas.openxmlformats.org/officeDocument/2006/relationships/worksheet" Target="/xl/worksheets/sheet9.xml" Id="R5093fd6c20144aac" /><Relationship Type="http://schemas.openxmlformats.org/officeDocument/2006/relationships/worksheet" Target="/xl/worksheets/sheet10.xml" Id="R6346fd3521014363" /><Relationship Type="http://schemas.openxmlformats.org/officeDocument/2006/relationships/worksheet" Target="/xl/worksheets/sheet11.xml" Id="Raa734e0d401b4459" /><Relationship Type="http://schemas.openxmlformats.org/officeDocument/2006/relationships/worksheet" Target="/xl/worksheets/sheet12.xml" Id="Rad53c73bc8f2451a" /><Relationship Type="http://schemas.openxmlformats.org/officeDocument/2006/relationships/worksheet" Target="/xl/worksheets/sheet13.xml" Id="R5be5f3565ca343df" /><Relationship Type="http://schemas.openxmlformats.org/officeDocument/2006/relationships/worksheet" Target="/xl/worksheets/sheet14.xml" Id="R9fcfc9cb3cde4f7a" /><Relationship Type="http://schemas.openxmlformats.org/officeDocument/2006/relationships/worksheet" Target="/xl/worksheets/sheet15.xml" Id="Rf70587257b5147a7" /><Relationship Type="http://schemas.openxmlformats.org/officeDocument/2006/relationships/worksheet" Target="/xl/worksheets/sheet16.xml" Id="Rd6d5fd3278e244e4" /><Relationship Type="http://schemas.openxmlformats.org/officeDocument/2006/relationships/worksheet" Target="/xl/worksheets/sheet17.xml" Id="R7a81fb0924004db5" /><Relationship Type="http://schemas.openxmlformats.org/officeDocument/2006/relationships/worksheet" Target="/xl/worksheets/sheet18.xml" Id="R432e7244a5954ea2" /><Relationship Type="http://schemas.openxmlformats.org/officeDocument/2006/relationships/worksheet" Target="/xl/worksheets/sheet19.xml" Id="R932b11b91504438a" /><Relationship Type="http://schemas.openxmlformats.org/officeDocument/2006/relationships/worksheet" Target="/xl/worksheets/sheet20.xml" Id="Reca450817d714ad1" /><Relationship Type="http://schemas.openxmlformats.org/officeDocument/2006/relationships/worksheet" Target="/xl/worksheets/sheet21.xml" Id="Rc8887791d1694fca" /><Relationship Type="http://schemas.openxmlformats.org/officeDocument/2006/relationships/worksheet" Target="/xl/worksheets/sheet22.xml" Id="Rda8d1760edcf4450" /><Relationship Type="http://schemas.openxmlformats.org/officeDocument/2006/relationships/worksheet" Target="/xl/worksheets/sheet23.xml" Id="R97b62b5f69f94e9c" /><Relationship Type="http://schemas.openxmlformats.org/officeDocument/2006/relationships/worksheet" Target="/xl/worksheets/sheet24.xml" Id="R1f2f071e5c054184" /></Relationships>
</file>

<file path=xl/drawings/_rels/drawing1.xml.rels>&#65279;<?xml version="1.0" encoding="utf-8"?><Relationships xmlns="http://schemas.openxmlformats.org/package/2006/relationships"><Relationship Type="http://schemas.openxmlformats.org/officeDocument/2006/relationships/chart" Target="/xl/drawings/charts/chart1.xml" Id="R20b5f8eff115434b"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PO intake</c:v>
          </c:tx>
          <c:cat>
            <c:strRef>
              <c:f>'Monthly Trend'!$A$2:$A$3</c:f>
              <c:strCache>
                <c:ptCount val="0"/>
              </c:strCache>
            </c:strRef>
          </c:cat>
          <c:val>
            <c:numRef>
              <c:f>'Monthly Trend'!$B$2:$B$3</c:f>
              <c:numCache>
                <c:formatCode>General</c:formatCode>
                <c:ptCount val="0"/>
              </c:numCache>
            </c:numRef>
          </c:val>
        </c:ser>
        <c:ser>
          <c:idx val="1"/>
          <c:order val="1"/>
          <c:tx>
            <c:v>Invoiced</c:v>
          </c:tx>
          <c:cat>
            <c:strRef>
              <c:f>'Monthly Trend'!$A$2:$A$3</c:f>
              <c:strCache>
                <c:ptCount val="0"/>
              </c:strCache>
            </c:strRef>
          </c:cat>
          <c:val>
            <c:numRef>
              <c:f>'Monthly Trend'!$C$2:$C$3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5</xdr:row>
      <xdr:rowOff>0</xdr:rowOff>
    </xdr:from>
    <xdr:to>
      <xdr:col>10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0b5f8eff115434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&#65279;<?xml version="1.0" encoding="utf-8"?><Relationships xmlns="http://schemas.openxmlformats.org/package/2006/relationships"><Relationship Type="http://schemas.openxmlformats.org/officeDocument/2006/relationships/drawing" Target="/xl/drawings/drawing1.xml" Id="R84901318e1424efc"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88" hidden="0" customWidth="1"/>
  </x:cols>
  <x:sheetData>
    <x:row r="1" ht="15" hidden="0" customHeight="1">
      <x:c r="A1" s="4" t="str">
        <x:v>Section</x:v>
      </x:c>
      <x:c r="B1" s="4" t="str">
        <x:v>Operating instruction</x:v>
      </x:c>
    </x:row>
    <x:row r="2" ht="26.399999618530273" hidden="0" customHeight="1">
      <x:c r="A2" s="25" t="str">
        <x:v>Purpose</x:v>
      </x:c>
      <x:c r="B2" s="25" t="str">
        <x:v>BUD is an ERP-sourced operational project-control and management-reporting tool. Not accounting, treasury or accounts payable.</x:v>
      </x:c>
    </x:row>
    <x:row r="3" ht="15" hidden="0" customHeight="1">
      <x:c r="A3" s="25" t="str">
        <x:v>Official identifiers</x:v>
      </x:c>
      <x:c r="B3" s="25" t="str">
        <x:v>Project ID is the consecutive number assigned by ERP; Excel does not generate it.</x:v>
      </x:c>
    </x:row>
    <x:row r="4" ht="15" hidden="0" customHeight="1">
      <x:c r="A4" s="25" t="str">
        <x:v>Cadence</x:v>
      </x:c>
      <x:c r="B4" s="25" t="str">
        <x:v>Weekly snapshot plus exceptional refresh when a critical incident affects project decisions.</x:v>
      </x:c>
    </x:row>
    <x:row r="5" ht="26.399999618530273" hidden="0" customHeight="1">
      <x:c r="A5" s="25" t="str">
        <x:v>ERP Snapshot</x:v>
      </x:c>
      <x:c r="B5" s="25" t="str">
        <x:v>One row per ERP Project ID. Paste summarized official values only, NOT individual customer PO, supplier PO or material lines.</x:v>
      </x:c>
    </x:row>
    <x:row r="6" ht="15" hidden="0" customHeight="1">
      <x:c r="A6" s="25" t="str">
        <x:v>Exceptions</x:v>
      </x:c>
      <x:c r="B6" s="25" t="str">
        <x:v>Manually track only actionable deviations: owner, next action, deadline and resolution.</x:v>
      </x:c>
    </x:row>
    <x:row r="7" ht="15" hidden="0" customHeight="1">
      <x:c r="A7" s="25" t="str">
        <x:v>Project Control</x:v>
      </x:c>
      <x:c r="B7" s="25" t="str">
        <x:v>Project-level operational controls from latest ERP snapshot: budget, authorized supplier POs, billing and exceptions.</x:v>
      </x:c>
    </x:row>
    <x:row r="8" ht="15" hidden="0" customHeight="1">
      <x:c r="A8" s="25" t="str">
        <x:v>USD</x:v>
      </x:c>
      <x:c r="B8" s="25" t="str">
        <x:v>USD is reporting currency. Currency translation is an illustrative assumption pending PL-001 policy.</x:v>
      </x:c>
    </x:row>
    <x:row r="9" ht="15" hidden="0" customHeight="1">
      <x:c r="A9" s="25" t="str">
        <x:v>Pricing</x:v>
      </x:c>
      <x:c r="B9" s="25" t="str">
        <x:v>Quotation decision support only. Authorized customer PO, not target markup, controls project revenue.</x:v>
      </x:c>
    </x:row>
    <x:row r="10" ht="15" hidden="0" customHeight="1">
      <x:c r="A10" s="25" t="str">
        <x:v>Audit</x:v>
      </x:c>
      <x:c r="B10" s="25" t="str">
        <x:v>Maintain each update in Update Log and preserve dated ERP export separately outside this workbook.</x:v>
      </x:c>
    </x:row>
    <x:row r="11" ht="15" hidden="0" customHeight="1">
      <x:c r="A11" s="25" t="str">
        <x:v>Scope boundary</x:v>
      </x:c>
      <x:c r="B11" s="25" t="str">
        <x:v>Purchasing, Warehouse, Invoicing and Finance continue to own transactions and ERP records.</x:v>
      </x:c>
    </x:row>
    <x:row r="12" ht="15" hidden="0" customHeight="1">
      <x:c r="A12" s="25" t="str">
        <x:v>Data quality</x:v>
      </x:c>
      <x:c r="B12" s="25" t="str">
        <x:v>Snapshot must contain unique Project IDs; do not mix different ERP extraction dates in a single weekly refresh.</x:v>
      </x:c>
    </x:row>
    <x:row r="13" ht="15" hidden="0" customHeight="1">
      <x:c r="A13" s="25" t="str">
        <x:v>Validation</x:v>
      </x:c>
      <x:c r="B13" s="25" t="str">
        <x:v>This is a simulated demonstration, not a validated ERP integration or audited accounting model.</x:v>
      </x:c>
    </x:row>
    <x:row r="14" ht="15" hidden="0" customHeight="1">
      <x:c r="A14" s="25" t="str">
        <x:v>v0.6 Scope</x:v>
      </x:c>
      <x:c r="B14" s="25" t="str">
        <x:v>Operational project coordination and monthly management reporting only.</x:v>
      </x:c>
    </x:row>
    <x:row r="15" ht="15" hidden="0" customHeight="1">
      <x:c r="A15" s="25" t="str">
        <x:v>Monthly close</x:v>
      </x:c>
      <x:c r="B15" s="25" t="str">
        <x:v>Monthly Project Activity feeds Monthly BU Close and Monthly Brand Detail. Month-level historical values are preserved.</x:v>
      </x:c>
    </x:row>
    <x:row r="16" ht="15" hidden="0" customHeight="1">
      <x:c r="A16" s="25" t="str">
        <x:v>Brand rule</x:v>
      </x:c>
      <x:c r="B16" s="25" t="str">
        <x:v>Quote by brand before award; customer may consolidate PO, requiring cross-reference rather than duplicated PO intake.</x:v>
      </x:c>
    </x:row>
    <x:row r="17" ht="26.399999618530273" hidden="0" customHeight="1">
      <x:c r="A17" s="25" t="str">
        <x:v>Selling entity</x:v>
      </x:c>
      <x:c r="B17" s="25" t="str">
        <x:v>MX or US selling company is a distinct reporting dimension. Intercompany US supplier purchases are not double-counted in MX project costs.</x:v>
      </x:c>
    </x:row>
    <x:row r="18" ht="26.399999618530273" hidden="0" customHeight="1">
      <x:c r="A18" s="25" t="str">
        <x:v>Operational purchasing control</x:v>
      </x:c>
      <x:c r="B18" s="25" t="str">
        <x:v>Authorized supplier PO value is the current approved total issued in ERP, including completed POs and net amendments/cancellations. Not received material or liabilities.</x:v>
      </x:c>
    </x:row>
    <x:row r="19" ht="15" hidden="0" customHeight="1">
      <x:c r="A19" s="25" t="str">
        <x:v>Reporting caution</x:v>
      </x:c>
      <x:c r="B19" s="25" t="str">
        <x:v>Invoices, recognized ERP costs and authorized supplier POs are distinct measures; no payment or profit inference.</x:v>
      </x:c>
    </x:row>
    <x:row r="20" ht="15" hidden="0" customHeight="1">
      <x:c r="A20" s="25" t="str">
        <x:v>Simulation</x:v>
      </x:c>
      <x:c r="B20" s="25" t="str">
        <x:v>All customers, projects, orders and monetary amounts are fictional. FX policy and ERP export mapping remain open.</x:v>
      </x:c>
    </x:row>
    <x:row r="21" ht="26.399999618530273" hidden="0" customHeight="1">
      <x:c r="A21" s="25" t="str">
        <x:v>PO-based control</x:v>
      </x:c>
      <x:c r="B21" s="25" t="str">
        <x:v>The customer PO authorized value and approved revisions govern management indicators; quotation figures do not drive KPIs.</x:v>
      </x:c>
    </x:row>
    <x:row r="22" ht="15" hidden="0" customHeight="1">
      <x:c r="A22" s="25" t="str">
        <x:v>PO vs invoice</x:v>
      </x:c>
      <x:c r="B22" s="25" t="str">
        <x:v>Authorized PO is not invoiced revenue. Monitor invoiced-to-date and remaining unbilled value separately.</x:v>
      </x:c>
    </x:row>
    <x:row r="23" ht="39.599998474121094" hidden="0" customHeight="1">
      <x:c r="A23" s="25" t="str">
        <x:v>Budget basis</x:v>
      </x:c>
      <x:c r="B23" s="25" t="str">
        <x:v>Authorized budget covers all operating expenses attributable to the project. Budget less authorized supplier POs measures the PO-controlled perimeter. Full availability requires confirmed coverage of every budgeted concept; exceptions remain outside this completeness claim.</x:v>
      </x:c>
    </x:row>
    <x:row r="24" ht="15" hidden="0" customHeight="1">
      <x:c r="A24" s="25"/>
      <x:c r="B24" s="25"/>
    </x:row>
    <x:row r="25" ht="26.399999618530273" hidden="0" customHeight="1">
      <x:c r="A25" s="25" t="str">
        <x:v>ADMINISTRATIVE ENTRY</x:v>
      </x:c>
      <x:c r="B25" s="25" t="str">
        <x:v>BUD begins when an approved customer PO is received. Sales pre-award activities are outside this management model.</x:v>
      </x:c>
    </x:row>
    <x:row r="26" ht="15" hidden="0" customHeight="1">
      <x:c r="A26" s="25" t="str">
        <x:v>COMMERCIAL BASELINE</x:v>
      </x:c>
      <x:c r="B26" s="25" t="str">
        <x:v>Authorized customer PO plus approved amendments; not quoted or proposed selling price.</x:v>
      </x:c>
    </x:row>
    <x:row r="27" ht="15" hidden="0" customHeight="1">
      <x:c r="A27" s="25" t="str">
        <x:v>CONTROL METRICS</x:v>
      </x:c>
      <x:c r="B27" s="25" t="str">
        <x:v>Authorized customer PO, invoiced/unbilled, authorized budget, supplier PO value, remaining budget and exceptions.</x:v>
      </x:c>
    </x:row>
    <x:row r="28" ht="15" hidden="0" customHeight="1">
      <x:c r="A28" s="25" t="str">
        <x:v>PROTOTYPE LIMITS</x:v>
      </x:c>
      <x:c r="B28" s="25" t="str">
        <x:v>Fictional data; no live ERP integration, reconciliation, or validated FX policy.</x:v>
      </x:c>
    </x:row>
    <x:row r="29" ht="26.399999618530273" hidden="0" customHeight="1">
      <x:c r="A29" s="25" t="str">
        <x:v>Invoice source</x:v>
      </x:c>
      <x:c r="B29" s="25" t="str">
        <x:v>Invoice Register A:K is ERP import data. C is Invoice date. L:N derive validation, month and reportable USD. Monthly Project Activity H is calculated; prior amounts are retained in T.</x:v>
      </x:c>
    </x:row>
    <x:row r="30" ht="26.399999618530273" hidden="0" customHeight="1">
      <x:c r="A30" s="25" t="str">
        <x:v>Guide status</x:v>
      </x:c>
      <x:c r="B30" s="25" t="str">
        <x:v>Current PDF manual: BUD_Guia_Usuario_Captura_y_Reportes.pdf, updated for this 2026-10-23 working snapshot. Prior manual content is superseded for this snapshot.</x:v>
      </x:c>
    </x:row>
    <x:row r="31" ht="52.79999923706055" hidden="0" customHeight="1">
      <x:c r="A31" s="25" t="str">
        <x:v>Conditional acceptance</x:v>
      </x:c>
      <x:c r="B31" s="25" t="str">
        <x:v>Goods-sale scenario and internal mandatory-project-PO policy are owner-reported assumptions, not a universal rule or verified ERP configuration. Budget and supplier POs must have the same eligible cost perimeter, currency and tax basis. The residual is available for new commitments only within that perimeter; it is not actual cost or realized profit. A cost without a PO is not automatically a financial/general expense.</x:v>
      </x:c>
    </x:row>
    <x:row r="32" ht="26.399999618530273" hidden="0" customHeight="1">
      <x:c r="A32" s="25" t="str">
        <x:v>Working publication</x:v>
      </x:c>
      <x:c r="B32" s="25" t="str">
        <x:v>2026-10-23 working snapshot; not a v0.7.2 release. Source PO totals and dated invoices still require ERP input; no invoice dates have been fabricated.</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66" hidden="0" customWidth="1"/>
  </x:cols>
  <x:sheetData>
    <x:row r="1" ht="40" customHeight="1">
      <x:c r="A1" s="4" t="str">
        <x:v>Parameter</x:v>
      </x:c>
      <x:c r="B1" s="4" t="str">
        <x:v>Value</x:v>
      </x:c>
      <x:c r="C1" s="4" t="str">
        <x:v>Notes</x:v>
      </x:c>
    </x:row>
    <x:row r="2">
      <x:c r="A2" t="str">
        <x:v>USD/MXN illustrative FX</x:v>
      </x:c>
      <x:c r="B2" t="n">
        <x:v>20</x:v>
      </x:c>
      <x:c r="C2" t="str">
        <x:v>PL-001: ERP/finance exchange-rate policy not approved; for demonstration only</x:v>
      </x:c>
    </x:row>
    <x:row r="3">
      <x:c r="A3" t="str">
        <x:v>Preventive budget threshold</x:v>
      </x:c>
      <x:c r="B3" t="n">
        <x:v>0.9</x:v>
      </x:c>
      <x:c r="C3" t="str">
        <x:v>Escalate when cost exposure reaches this percentage of approved cost budget</x:v>
      </x:c>
    </x:row>
    <x:row r="4">
      <x:c r="A4" t="str">
        <x:v>Processing days</x:v>
      </x:c>
      <x:c r="B4" t="n">
        <x:v>7</x:v>
      </x:c>
      <x:c r="C4" t="str">
        <x:v>Delivery buffer phase 1</x:v>
      </x:c>
    </x:row>
    <x:row r="5">
      <x:c r="A5" t="str">
        <x:v>Intermediary days</x:v>
      </x:c>
      <x:c r="B5" t="n">
        <x:v>7</x:v>
      </x:c>
      <x:c r="C5" t="str">
        <x:v>Delivery buffer phase 2</x:v>
      </x:c>
    </x:row>
    <x:row r="6">
      <x:c r="A6" t="str">
        <x:v>Final customer days</x:v>
      </x:c>
      <x:c r="B6" t="n">
        <x:v>7</x:v>
      </x:c>
      <x:c r="C6" t="str">
        <x:v>Delivery buffer phase 3</x:v>
      </x:c>
    </x:row>
    <x:row r="7">
      <x:c r="A7" t="str">
        <x:v>Weekly reporting day</x:v>
      </x:c>
      <x:c r="B7" t="str">
        <x:v>Friday</x:v>
      </x:c>
      <x:c r="C7" t="str">
        <x:v>Extraordinary update for critical exceptions</x:v>
      </x:c>
    </x:row>
    <x:row r="8">
      <x:c r="A8" t="str">
        <x:v>FX approval status</x:v>
      </x:c>
      <x:c r="B8" t="str">
        <x:v>PENDING</x:v>
      </x:c>
      <x:c r="C8" t="str">
        <x:v>APPROVED only after Finance signs off rate, source and effective date</x:v>
      </x:c>
    </x:row>
    <x:row r="9">
      <x:c r="A9" t="str">
        <x:v>FX approval reference</x:v>
      </x:c>
      <x:c r="B9" t="str"/>
      <x:c r="C9" t="str">
        <x:v>Required to activate USD normalization for MXN</x:v>
      </x:c>
    </x:row>
    <x:row r="10">
      <x:c r="A10" t="str">
        <x:v>FX effective date</x:v>
      </x:c>
      <x:c r="B10" t="str"/>
      <x:c r="C10" t="str">
        <x:v>Required to activate USD normalization for MXN</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36" hidden="0" customWidth="1"/>
    <x:col min="17" max="17" width="23" hidden="0" customWidth="1"/>
    <x:col min="18" max="18" width="23" hidden="0" customWidth="1"/>
    <x:col min="19" max="19" width="28" hidden="0" customWidth="1"/>
  </x:cols>
  <x:sheetData>
    <x:row r="1" ht="64" customHeight="1">
      <x:c r="A1" s="4" t="str">
        <x:v>Project ID (ERP)</x:v>
      </x:c>
      <x:c r="B1" s="4" t="str">
        <x:v>Customer</x:v>
      </x:c>
      <x:c r="C1" s="4" t="str">
        <x:v>Selling entity</x:v>
      </x:c>
      <x:c r="D1" s="4" t="str">
        <x:v>Sale currency</x:v>
      </x:c>
      <x:c r="E1" s="4" t="str">
        <x:v>Customer PO authorized (original)</x:v>
      </x:c>
      <x:c r="F1" s="4" t="str">
        <x:v>Authorized operating budget USD</x:v>
      </x:c>
      <x:c r="G1" s="4" t="str">
        <x:v>ERP recognized costs USD</x:v>
      </x:c>
      <x:c r="H1" s="4" t="str">
        <x:v>ARCHIVED - former unrecognized commitments USD</x:v>
      </x:c>
      <x:c r="I1" s="4" t="str">
        <x:v>Invoiced total (original)</x:v>
      </x:c>
      <x:c r="J1" s="4" t="str">
        <x:v>Supplier PO count</x:v>
      </x:c>
      <x:c r="K1" s="4" t="str">
        <x:v>POs with pending receipts</x:v>
      </x:c>
      <x:c r="L1" s="4" t="str">
        <x:v>Critical material / delivery flag</x:v>
      </x:c>
      <x:c r="M1" s="4" t="str">
        <x:v>ERP status</x:v>
      </x:c>
      <x:c r="N1" s="4" t="str">
        <x:v>Snapshot date</x:v>
      </x:c>
      <x:c r="O1" s="4" t="str">
        <x:v>Source export reference</x:v>
      </x:c>
      <x:c r="P1" s="4" t="str">
        <x:v>Operational notes</x:v>
      </x:c>
      <x:c r="Q1" s="13" t="str">
        <x:v>Business Unit</x:v>
      </x:c>
      <x:c r="R1" s="13" t="str">
        <x:v>Brand / Commercial Line</x:v>
      </x:c>
      <x:c r="S1" s="4" t="str">
        <x:v>Supplier PO authorized value USD</x:v>
      </x:c>
    </x:row>
    <x:row r="2">
      <x:c r="A2" t="str">
        <x:v>100245</x:v>
      </x:c>
      <x:c r="B2" t="str">
        <x:v>Customer A</x:v>
      </x:c>
      <x:c r="C2" t="str">
        <x:v>MX</x:v>
      </x:c>
      <x:c r="D2" t="str">
        <x:v>USD</x:v>
      </x:c>
      <x:c r="E2" t="n">
        <x:v>50000</x:v>
      </x:c>
      <x:c r="F2" t="n">
        <x:v>38000</x:v>
      </x:c>
      <x:c r="G2" t="n">
        <x:v>24000</x:v>
      </x:c>
      <x:c r="H2" t="n">
        <x:v>11000</x:v>
      </x:c>
      <x:c r="I2" t="n">
        <x:v>28000</x:v>
      </x:c>
      <x:c r="J2" t="n">
        <x:v>3</x:v>
      </x:c>
      <x:c r="K2" t="n">
        <x:v>1</x:v>
      </x:c>
      <x:c r="L2" t="str">
        <x:v>YES</x:v>
      </x:c>
      <x:c r="M2" t="str">
        <x:v>Partial Invoice</x:v>
      </x:c>
      <x:c r="N2" t="str">
        <x:v>2026-10-16</x:v>
      </x:c>
      <x:c r="O2" t="str">
        <x:v>ERP-W42-001</x:v>
      </x:c>
      <x:c r="P2" t="str">
        <x:v>Supplier delay under review</x:v>
      </x:c>
      <x:c r="Q2" t="str">
        <x:v>Strategic Services</x:v>
      </x:c>
      <x:c r="R2" t="str">
        <x:v>N/A</x:v>
      </x:c>
      <x:c r="S2" s="48"/>
    </x:row>
    <x:row r="3">
      <x:c r="A3" t="str">
        <x:v>100246</x:v>
      </x:c>
      <x:c r="B3" t="str">
        <x:v>Customer B</x:v>
      </x:c>
      <x:c r="C3" t="str">
        <x:v>MX</x:v>
      </x:c>
      <x:c r="D3" t="str">
        <x:v>MXN</x:v>
      </x:c>
      <x:c r="E3" t="n">
        <x:v>820000</x:v>
      </x:c>
      <x:c r="F3" t="n">
        <x:v>32000</x:v>
      </x:c>
      <x:c r="G3" t="n">
        <x:v>29000</x:v>
      </x:c>
      <x:c r="H3" t="n">
        <x:v>2000</x:v>
      </x:c>
      <x:c r="I3" t="n">
        <x:v>820000</x:v>
      </x:c>
      <x:c r="J3" t="n">
        <x:v>2</x:v>
      </x:c>
      <x:c r="K3" t="n">
        <x:v>0</x:v>
      </x:c>
      <x:c r="L3" t="str">
        <x:v>NO</x:v>
      </x:c>
      <x:c r="M3" t="str">
        <x:v>Invoiced</x:v>
      </x:c>
      <x:c r="N3" t="str">
        <x:v>2026-10-16</x:v>
      </x:c>
      <x:c r="O3" t="str">
        <x:v>ERP-W42-001</x:v>
      </x:c>
      <x:c r="P3" t="str">
        <x:v>Pending financial review</x:v>
      </x:c>
      <x:c r="Q3" t="str">
        <x:v>Brands</x:v>
      </x:c>
      <x:c r="R3" t="str">
        <x:v>Desoutter</x:v>
      </x:c>
      <x:c r="S3" s="48"/>
    </x:row>
    <x:row r="4">
      <x:c r="A4" t="str">
        <x:v>100247</x:v>
      </x:c>
      <x:c r="B4" t="str">
        <x:v>Customer C</x:v>
      </x:c>
      <x:c r="C4" t="str">
        <x:v>US</x:v>
      </x:c>
      <x:c r="D4" t="str">
        <x:v>USD</x:v>
      </x:c>
      <x:c r="E4" t="n">
        <x:v>34000</x:v>
      </x:c>
      <x:c r="F4" t="n">
        <x:v>26000</x:v>
      </x:c>
      <x:c r="G4" t="n">
        <x:v>21000</x:v>
      </x:c>
      <x:c r="H4" t="n">
        <x:v>7000</x:v>
      </x:c>
      <x:c r="I4" t="n">
        <x:v>12000</x:v>
      </x:c>
      <x:c r="J4" t="n">
        <x:v>4</x:v>
      </x:c>
      <x:c r="K4" t="n">
        <x:v>2</x:v>
      </x:c>
      <x:c r="L4" t="str">
        <x:v>YES</x:v>
      </x:c>
      <x:c r="M4" t="str">
        <x:v>Partial Invoice</x:v>
      </x:c>
      <x:c r="N4" t="str">
        <x:v>2026-10-16</x:v>
      </x:c>
      <x:c r="O4" t="str">
        <x:v>ERP-W42-001</x:v>
      </x:c>
      <x:c r="P4" t="str">
        <x:v>Material pending</x:v>
      </x:c>
      <x:c r="Q4" t="str">
        <x:v>Brands</x:v>
      </x:c>
      <x:c r="R4" t="str">
        <x:v>Datalogic</x:v>
      </x:c>
      <x:c r="S4" s="48"/>
    </x:row>
    <x:row r="5">
      <x:c r="A5" t="str">
        <x:v>100248</x:v>
      </x:c>
      <x:c r="B5" t="str">
        <x:v>Customer D</x:v>
      </x:c>
      <x:c r="C5" t="str">
        <x:v>MX</x:v>
      </x:c>
      <x:c r="D5" t="str">
        <x:v>USD</x:v>
      </x:c>
      <x:c r="E5" t="n">
        <x:v>24000</x:v>
      </x:c>
      <x:c r="F5" t="n">
        <x:v>18000</x:v>
      </x:c>
      <x:c r="G5" t="n">
        <x:v>12000</x:v>
      </x:c>
      <x:c r="H5" t="n">
        <x:v>0</x:v>
      </x:c>
      <x:c r="I5" t="n">
        <x:v>0</x:v>
      </x:c>
      <x:c r="J5" t="n">
        <x:v>1</x:v>
      </x:c>
      <x:c r="K5" t="n">
        <x:v>0</x:v>
      </x:c>
      <x:c r="L5" t="str">
        <x:v>NO</x:v>
      </x:c>
      <x:c r="M5" t="str">
        <x:v>Open</x:v>
      </x:c>
      <x:c r="N5" t="str">
        <x:v>2026-10-16</x:v>
      </x:c>
      <x:c r="O5" t="str">
        <x:v>ERP-W42-001</x:v>
      </x:c>
      <x:c r="P5" t="str">
        <x:v>Awaiting delivery</x:v>
      </x:c>
      <x:c r="Q5" t="str">
        <x:v>Strategic Services</x:v>
      </x:c>
      <x:c r="R5" t="str">
        <x:v>N/A</x:v>
      </x:c>
      <x:c r="S5" s="48"/>
    </x:row>
    <x:row r="6">
      <x:c r="S6" s="48"/>
    </x:row>
    <x:row r="7">
      <x:c r="S7" s="48"/>
    </x:row>
    <x:row r="8">
      <x:c r="S8" s="48"/>
    </x:row>
    <x:row r="9">
      <x:c r="S9" s="48"/>
    </x:row>
    <x:row r="10">
      <x:c r="S10" s="48"/>
    </x:row>
    <x:row r="11">
      <x:c r="S11" s="48"/>
    </x:row>
    <x:row r="12">
      <x:c r="S12" s="48"/>
    </x:row>
    <x:row r="13">
      <x:c r="S13" s="48"/>
    </x:row>
    <x:row r="14">
      <x:c r="S14" s="48"/>
    </x:row>
    <x:row r="15">
      <x:c r="S15" s="48"/>
    </x:row>
    <x:row r="16">
      <x:c r="S16" s="48"/>
    </x:row>
    <x:row r="17">
      <x:c r="S17" s="48"/>
    </x:row>
    <x:row r="18">
      <x:c r="S18" s="48"/>
    </x:row>
    <x:row r="19">
      <x:c r="S19" s="48"/>
    </x:row>
    <x:row r="20">
      <x:c r="S20" s="48"/>
    </x:row>
    <x:row r="21">
      <x:c r="S21" s="48"/>
    </x:row>
    <x:row r="22">
      <x:c r="S22" s="48"/>
    </x:row>
    <x:row r="23">
      <x:c r="S23" s="48"/>
    </x:row>
    <x:row r="24">
      <x:c r="S24" s="48"/>
    </x:row>
    <x:row r="25">
      <x:c r="S25" s="48"/>
    </x:row>
    <x:row r="26">
      <x:c r="S26" s="48"/>
    </x:row>
    <x:row r="27">
      <x:c r="S27" s="48"/>
    </x:row>
    <x:row r="28">
      <x:c r="S28" s="48"/>
    </x:row>
    <x:row r="29">
      <x:c r="S29" s="48"/>
    </x:row>
    <x:row r="30">
      <x:c r="S30" s="48"/>
    </x:row>
    <x:row r="31">
      <x:c r="S31" s="48"/>
    </x:row>
    <x:row r="32">
      <x:c r="S32" s="48"/>
    </x:row>
    <x:row r="33">
      <x:c r="S33" s="48"/>
    </x:row>
    <x:row r="34">
      <x:c r="S34" s="48"/>
    </x:row>
    <x:row r="35">
      <x:c r="S35" s="48"/>
    </x:row>
    <x:row r="36">
      <x:c r="S36" s="48"/>
    </x:row>
    <x:row r="37">
      <x:c r="S37" s="48"/>
    </x:row>
    <x:row r="38">
      <x:c r="S38" s="48"/>
    </x:row>
    <x:row r="39">
      <x:c r="S39" s="48"/>
    </x:row>
    <x:row r="40">
      <x:c r="S40" s="48"/>
    </x:row>
    <x:row r="41">
      <x:c r="S41" s="48"/>
    </x:row>
    <x:row r="42">
      <x:c r="S42" s="48"/>
    </x:row>
    <x:row r="43">
      <x:c r="S43" s="48"/>
    </x:row>
    <x:row r="44">
      <x:c r="S44" s="48"/>
    </x:row>
    <x:row r="45">
      <x:c r="S45" s="48"/>
    </x:row>
    <x:row r="46">
      <x:c r="S46" s="48"/>
    </x:row>
    <x:row r="47">
      <x:c r="S47" s="48"/>
    </x:row>
    <x:row r="48">
      <x:c r="S48" s="48"/>
    </x:row>
    <x:row r="49">
      <x:c r="S49" s="48"/>
    </x:row>
    <x:row r="50">
      <x:c r="S50" s="48"/>
    </x:row>
    <x:row r="51">
      <x:c r="S51" s="48"/>
    </x:row>
    <x:row r="52">
      <x:c r="S52" s="48"/>
    </x:row>
    <x:row r="53">
      <x:c r="S53" s="48"/>
    </x:row>
    <x:row r="54">
      <x:c r="S54" s="48"/>
    </x:row>
    <x:row r="55">
      <x:c r="S55" s="48"/>
    </x:row>
    <x:row r="56">
      <x:c r="S56" s="48"/>
    </x:row>
    <x:row r="57">
      <x:c r="S57" s="48"/>
    </x:row>
    <x:row r="58">
      <x:c r="S58" s="48"/>
    </x:row>
    <x:row r="59">
      <x:c r="S59" s="48"/>
    </x:row>
    <x:row r="60">
      <x:c r="S60" s="48"/>
    </x:row>
    <x:row r="61">
      <x:c r="S61" s="48"/>
    </x:row>
    <x:row r="62">
      <x:c r="S62" s="48"/>
    </x:row>
    <x:row r="63">
      <x:c r="S63" s="48"/>
    </x:row>
    <x:row r="64">
      <x:c r="S64" s="48"/>
    </x:row>
    <x:row r="65">
      <x:c r="S65" s="48"/>
    </x:row>
    <x:row r="66">
      <x:c r="S66" s="48"/>
    </x:row>
    <x:row r="67">
      <x:c r="S67" s="48"/>
    </x:row>
    <x:row r="68">
      <x:c r="S68" s="48"/>
    </x:row>
    <x:row r="69">
      <x:c r="S69" s="48"/>
    </x:row>
    <x:row r="70">
      <x:c r="S70" s="48"/>
    </x:row>
    <x:row r="71">
      <x:c r="S71" s="48"/>
    </x:row>
    <x:row r="72">
      <x:c r="S72" s="48"/>
    </x:row>
    <x:row r="73">
      <x:c r="S73" s="48"/>
    </x:row>
    <x:row r="74">
      <x:c r="S74" s="48"/>
    </x:row>
    <x:row r="75">
      <x:c r="S75" s="48"/>
    </x:row>
    <x:row r="76">
      <x:c r="S76" s="48"/>
    </x:row>
    <x:row r="77">
      <x:c r="S77" s="48"/>
    </x:row>
    <x:row r="78">
      <x:c r="S78" s="48"/>
    </x:row>
    <x:row r="79">
      <x:c r="S79" s="48"/>
    </x:row>
    <x:row r="80">
      <x:c r="S80" s="48"/>
    </x:row>
    <x:row r="81">
      <x:c r="S81" s="48"/>
    </x:row>
    <x:row r="82">
      <x:c r="S82" s="48"/>
    </x:row>
    <x:row r="83">
      <x:c r="S83" s="48"/>
    </x:row>
    <x:row r="84">
      <x:c r="S84" s="48"/>
    </x:row>
    <x:row r="85">
      <x:c r="S85" s="48"/>
    </x:row>
    <x:row r="86">
      <x:c r="S86" s="48"/>
    </x:row>
    <x:row r="87">
      <x:c r="S87" s="48"/>
    </x:row>
    <x:row r="88">
      <x:c r="S88" s="48"/>
    </x:row>
    <x:row r="89">
      <x:c r="S89" s="48"/>
    </x:row>
    <x:row r="90">
      <x:c r="S90" s="48"/>
    </x:row>
    <x:row r="91">
      <x:c r="S91" s="48"/>
    </x:row>
    <x:row r="92">
      <x:c r="S92" s="48"/>
    </x:row>
    <x:row r="93">
      <x:c r="S93" s="48"/>
    </x:row>
    <x:row r="94">
      <x:c r="S94" s="48"/>
    </x:row>
    <x:row r="95">
      <x:c r="S95" s="48"/>
    </x:row>
    <x:row r="96">
      <x:c r="S96" s="48"/>
    </x:row>
    <x:row r="97">
      <x:c r="S97" s="48"/>
    </x:row>
    <x:row r="98">
      <x:c r="S98" s="48"/>
    </x:row>
    <x:row r="99">
      <x:c r="S99" s="48"/>
    </x:row>
    <x:row r="100">
      <x:c r="S100" s="48"/>
    </x:row>
    <x:row r="101">
      <x:c r="S101" s="48"/>
    </x:row>
  </x:sheetData>
  <x:dataValidations count="1">
    <x:dataValidation type="decimal" operator="greaterThanOrEqual" sqref="S2:S101">
      <x:formula1>0</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40" hidden="0" customWidth="1"/>
    <x:col min="9" max="9" width="22" hidden="0" customWidth="1"/>
    <x:col min="10" max="10" width="22" hidden="0" customWidth="1"/>
    <x:col min="11" max="11" width="22" hidden="0" customWidth="1"/>
  </x:cols>
  <x:sheetData>
    <x:row r="1" ht="40" customHeight="1">
      <x:c r="A1" s="4" t="str">
        <x:v>Project ID (ERP)</x:v>
      </x:c>
      <x:c r="B1" s="4" t="str">
        <x:v>Exception ID</x:v>
      </x:c>
      <x:c r="C1" s="4" t="str">
        <x:v>Category</x:v>
      </x:c>
      <x:c r="D1" s="4" t="str">
        <x:v>Priority</x:v>
      </x:c>
      <x:c r="E1" s="4" t="str">
        <x:v>Status</x:v>
      </x:c>
      <x:c r="F1" s="4" t="str">
        <x:v>Responsible area</x:v>
      </x:c>
      <x:c r="G1" s="4" t="str">
        <x:v>Raised date</x:v>
      </x:c>
      <x:c r="H1" s="4" t="str">
        <x:v>Next action</x:v>
      </x:c>
      <x:c r="I1" s="4" t="str">
        <x:v>Due date</x:v>
      </x:c>
      <x:c r="J1" s="4" t="str">
        <x:v>Evidence / ERP reference</x:v>
      </x:c>
      <x:c r="K1" s="4" t="str">
        <x:v>Last updated</x:v>
      </x:c>
    </x:row>
    <x:row r="2">
      <x:c r="A2" t="str">
        <x:v>100245</x:v>
      </x:c>
      <x:c r="B2" t="str">
        <x:v>EX-001</x:v>
      </x:c>
      <x:c r="C2" t="str">
        <x:v>Supplier delay</x:v>
      </x:c>
      <x:c r="D2" t="str">
        <x:v>Critical</x:v>
      </x:c>
      <x:c r="E2" t="str">
        <x:v>Open</x:v>
      </x:c>
      <x:c r="F2" t="str">
        <x:v>Purchasing</x:v>
      </x:c>
      <x:c r="G2" t="str">
        <x:v>2026-10-16</x:v>
      </x:c>
      <x:c r="H2" t="str">
        <x:v>Confirm revised ETA</x:v>
      </x:c>
      <x:c r="I2" t="str">
        <x:v>2026-10-19</x:v>
      </x:c>
      <x:c r="J2" t="str">
        <x:v>SPO reference in ERP</x:v>
      </x:c>
      <x:c r="K2" t="str">
        <x:v>2026-10-16</x:v>
      </x:c>
    </x:row>
    <x:row r="3">
      <x:c r="A3" t="str">
        <x:v>100246</x:v>
      </x:c>
      <x:c r="B3" t="str">
        <x:v>EX-002</x:v>
      </x:c>
      <x:c r="C3" t="str">
        <x:v>Cost reconciliation</x:v>
      </x:c>
      <x:c r="D3" t="str">
        <x:v>High</x:v>
      </x:c>
      <x:c r="E3" t="str">
        <x:v>Open</x:v>
      </x:c>
      <x:c r="F3" t="str">
        <x:v>Finance</x:v>
      </x:c>
      <x:c r="G3" t="str">
        <x:v>2026-10-16</x:v>
      </x:c>
      <x:c r="H3" t="str">
        <x:v>Verify recognized cost difference</x:v>
      </x:c>
      <x:c r="I3" t="str">
        <x:v>2026-10-20</x:v>
      </x:c>
      <x:c r="J3" t="str">
        <x:v>ERP cost report</x:v>
      </x:c>
      <x:c r="K3" t="str">
        <x:v>2026-10-16</x:v>
      </x:c>
    </x:row>
    <x:row r="4">
      <x:c r="A4" t="str">
        <x:v>100247</x:v>
      </x:c>
      <x:c r="B4" t="str">
        <x:v>EX-003</x:v>
      </x:c>
      <x:c r="C4" t="str">
        <x:v>Partial delivery</x:v>
      </x:c>
      <x:c r="D4" t="str">
        <x:v>High</x:v>
      </x:c>
      <x:c r="E4" t="str">
        <x:v>Open</x:v>
      </x:c>
      <x:c r="F4" t="str">
        <x:v>Warehouse</x:v>
      </x:c>
      <x:c r="G4" t="str">
        <x:v>2026-10-16</x:v>
      </x:c>
      <x:c r="H4" t="str">
        <x:v>Confirm outstanding receipt</x:v>
      </x:c>
      <x:c r="I4" t="str">
        <x:v>2026-10-19</x:v>
      </x:c>
      <x:c r="J4" t="str">
        <x:v>ERP receiving status</x:v>
      </x:c>
      <x:c r="K4" t="str">
        <x:v>2026-10-16</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 min="18" max="18" width="24" hidden="0" customWidth="1"/>
    <x:col min="19" max="19" width="24" hidden="0" customWidth="1"/>
    <x:col min="20" max="20" width="24" hidden="0" customWidth="1"/>
  </x:cols>
  <x:sheetData>
    <x:row r="1" ht="42" customHeight="1">
      <x:c r="A1" s="4" t="str">
        <x:v>Project ID (ERP)</x:v>
      </x:c>
      <x:c r="B1" s="4" t="str">
        <x:v>Customer</x:v>
      </x:c>
      <x:c r="C1" s="4" t="str">
        <x:v>Sale currency</x:v>
      </x:c>
      <x:c r="D1" s="4" t="str">
        <x:v>Authorized Customer PO USD</x:v>
      </x:c>
      <x:c r="E1" s="4" t="str">
        <x:v>Invoiced USD</x:v>
      </x:c>
      <x:c r="F1" s="4" t="str">
        <x:v>Uninvoiced USD</x:v>
      </x:c>
      <x:c r="G1" s="4" t="str">
        <x:v>Authorized operating budget USD</x:v>
      </x:c>
      <x:c r="H1" s="4" t="str">
        <x:v>ERP recognized cost USD</x:v>
      </x:c>
      <x:c r="I1" s="4" t="str">
        <x:v>Supplier PO authorized value USD</x:v>
      </x:c>
      <x:c r="J1" s="4" t="str">
        <x:v>Budget not committed via POs USD</x:v>
      </x:c>
      <x:c r="K1" s="4" t="str">
        <x:v>Budget committed via POs %</x:v>
      </x:c>
      <x:c r="L1" s="4" t="str">
        <x:v>Budget alert</x:v>
      </x:c>
      <x:c r="M1" s="4" t="str">
        <x:v>Pending supplier POs</x:v>
      </x:c>
      <x:c r="N1" s="4" t="str">
        <x:v>Open exceptions</x:v>
      </x:c>
      <x:c r="O1" s="4" t="str">
        <x:v>Invoice status</x:v>
      </x:c>
      <x:c r="P1" s="4" t="str">
        <x:v>Follow-up priority</x:v>
      </x:c>
      <x:c r="Q1" s="4" t="str">
        <x:v>Snapshot date</x:v>
      </x:c>
      <x:c r="R1" s="13" t="str">
        <x:v>Business Unit</x:v>
      </x:c>
      <x:c r="S1" s="13" t="str">
        <x:v>Brand / Commercial Line</x:v>
      </x:c>
      <x:c r="T1" s="13" t="str">
        <x:v>Selling Entity</x:v>
      </x:c>
    </x:row>
    <x:row r="2">
      <x:c r="A2" t="str">
        <x:f>IF('ERP Snapshot'!A2="","",'ERP Snapshot'!A2)</x:f>
        <x:v>100245</x:v>
      </x:c>
      <x:c r="B2" t="str">
        <x:f>IF(A2="","",'ERP Snapshot'!B2)</x:f>
        <x:v>Customer A</x:v>
      </x:c>
      <x:c r="C2" t="str">
        <x:f>IF(A2="","",'ERP Snapshot'!D2)</x:f>
        <x:v>USD</x:v>
      </x:c>
      <x:c r="D2" t="n">
        <x:f>IF(A2="","",IF(C2="MXN",IF(AND(Settings!$B$8="APPROVED",Settings!$B$9&lt;&gt;"",Settings!$B$10&lt;&gt;"",Settings!$B$2&gt;0),'PO Authorization'!F2/Settings!$B$2,""),'PO Authorization'!F2))</x:f>
        <x:v>50000</x:v>
      </x:c>
      <x:c r="E2" t="n">
        <x:f>IF(A2="","",IF(C2="MXN",IF(AND(Settings!$B$8="APPROVED",Settings!$B$9&lt;&gt;"",Settings!$B$10&lt;&gt;"",Settings!$B$2&gt;0),'ERP Snapshot'!I2/Settings!$B$2,""),'ERP Snapshot'!I2))</x:f>
        <x:v>28000</x:v>
      </x:c>
      <x:c r="F2" t="n">
        <x:f>IF(A2="","",IF(AND(ISNUMBER(D2),ISNUMBER(E2)),D2-E2,""))</x:f>
        <x:v>22000</x:v>
      </x:c>
      <x:c r="G2" t="n">
        <x:f>IF(A2="","",IF(ISNUMBER('ERP Snapshot'!F2),'ERP Snapshot'!F2,""))</x:f>
        <x:v>38000</x:v>
      </x:c>
      <x:c r="H2" t="n">
        <x:f>IF(A2="","",'ERP Snapshot'!G2)</x:f>
        <x:v>24000</x:v>
      </x:c>
      <x:c r="I2" t="str">
        <x:f>IF(A2="","",IF(ISNUMBER('ERP Snapshot'!S2),'ERP Snapshot'!S2,""))</x:f>
      </x:c>
      <x:c r="J2" t="str">
        <x:f>IF(A2="","",IF(AND(ISNUMBER(G2),ISNUMBER(I2)),G2-I2,""))</x:f>
      </x:c>
      <x:c r="K2" s="8" t="str">
        <x:f>IF(A2="","",IF(AND(ISNUMBER(G2),G2&gt;0,ISNUMBER(I2)),I2/G2,""))</x:f>
      </x:c>
      <x:c r="L2" t="str">
        <x:f>IF(A2="","",IF(NOT(ISNUMBER(G2)),"BUDGET DATA REQUIRED",IF(G2&lt;=0,"REVIEW: NO BUDGET",IF(NOT(ISNUMBER(I2)),"PO DATA REQUIRED",IF(I2&lt;0,"REVIEW: PO AMOUNT",IF(K2&gt;1,"OVER BUDGET",IF(K2=1,"BUDGET EXHAUSTED",IF(K2&gt;=Settings!$B$3,"PREVENTIVE ALERT","OK"))))))))</x:f>
        <x:v>PO DATA REQUIRED</x:v>
      </x:c>
      <x:c r="M2" t="n">
        <x:f>IF(A2="","",'ERP Snapshot'!K2)</x:f>
        <x:v>1</x:v>
      </x:c>
      <x:c r="N2" t="n">
        <x:f>IF(A2="","",COUNTIFS(Exceptions!$A$2:$A$101,A2,Exceptions!$E$2:$E$101,"Open"))</x:f>
        <x:v>1</x:v>
      </x:c>
      <x:c r="O2" t="str">
        <x:f>IF(A2="","",IF(AND(C2="MXN",OR(D2="",E2="")),"FX HOLD",IF(E2&gt;D2,"REVIEW: ABOVE CUSTOMER PO",IF('PO Authorization'!H2="REVIEW: SNAPSHOT DIFFERS","REVIEW: PO SNAPSHOT",IF(E2=D2,"FULLY INVOICED",IF(E2&gt;0,"PARTIAL INVOICE","NOT INVOICED"))))))</x:f>
        <x:v>PARTIAL INVOICE</x:v>
      </x:c>
      <x:c r="P2" t="str">
        <x:f>IF(A2="","",IF(OR(O2="FX HOLD",O2="REVIEW: PO SNAPSHOT",L2="OVER BUDGET",L2="BUDGET EXHAUSTED",O2="REVIEW: ABOVE CUSTOMER PO",'ERP Snapshot'!L2="YES"),"CRITICAL / REVIEW",IF(OR(L2="PO DATA REQUIRED",L2="BUDGET DATA REQUIRED",L2="REVIEW: NO BUDGET",L2="REVIEW: PO AMOUNT",N2&gt;0,M2&gt;0,F2&gt;0),"FOLLOW UP","NORMAL")))</x:f>
        <x:v>CRITICAL / REVIEW</x:v>
      </x:c>
      <x:c r="Q2" t="str">
        <x:f>IF(A2="","",'ERP Snapshot'!N2)</x:f>
        <x:v>2026-10-16</x:v>
      </x:c>
      <x:c r="R2" t="str">
        <x:f>IF(A2="","",'ERP Snapshot'!Q2)</x:f>
        <x:v>Strategic Services</x:v>
      </x:c>
      <x:c r="S2" t="str">
        <x:f>IF(A2="","",'ERP Snapshot'!R2)</x:f>
        <x:v>N/A</x:v>
      </x:c>
      <x:c r="T2" t="str">
        <x:f>IF(A2="","",'ERP Snapshot'!C2)</x:f>
        <x:v>MX</x:v>
      </x:c>
    </x:row>
    <x:row r="3">
      <x:c r="A3" t="str">
        <x:f>IF('ERP Snapshot'!A3="","",'ERP Snapshot'!A3)</x:f>
        <x:v>100246</x:v>
      </x:c>
      <x:c r="B3" t="str">
        <x:f>IF(A3="","",'ERP Snapshot'!B3)</x:f>
        <x:v>Customer B</x:v>
      </x:c>
      <x:c r="C3" t="str">
        <x:f>IF(A3="","",'ERP Snapshot'!D3)</x:f>
        <x:v>MXN</x:v>
      </x:c>
      <x:c r="D3" t="str">
        <x:f>IF(A3="","",IF(C3="MXN",IF(AND(Settings!$B$8="APPROVED",Settings!$B$9&lt;&gt;"",Settings!$B$10&lt;&gt;"",Settings!$B$2&gt;0),'PO Authorization'!F3/Settings!$B$2,""),'PO Authorization'!F3))</x:f>
      </x:c>
      <x:c r="E3" t="str">
        <x:f>IF(A3="","",IF(C3="MXN",IF(AND(Settings!$B$8="APPROVED",Settings!$B$9&lt;&gt;"",Settings!$B$10&lt;&gt;"",Settings!$B$2&gt;0),'ERP Snapshot'!I3/Settings!$B$2,""),'ERP Snapshot'!I3))</x:f>
      </x:c>
      <x:c r="F3" t="str">
        <x:f>IF(A3="","",IF(AND(ISNUMBER(D3),ISNUMBER(E3)),D3-E3,""))</x:f>
      </x:c>
      <x:c r="G3" t="n">
        <x:f>IF(A3="","",IF(ISNUMBER('ERP Snapshot'!F3),'ERP Snapshot'!F3,""))</x:f>
        <x:v>32000</x:v>
      </x:c>
      <x:c r="H3" t="n">
        <x:f>IF(A3="","",'ERP Snapshot'!G3)</x:f>
        <x:v>29000</x:v>
      </x:c>
      <x:c r="I3" t="str">
        <x:f>IF(A3="","",IF(ISNUMBER('ERP Snapshot'!S3),'ERP Snapshot'!S3,""))</x:f>
      </x:c>
      <x:c r="J3" t="str">
        <x:f>IF(A3="","",IF(AND(ISNUMBER(G3),ISNUMBER(I3)),G3-I3,""))</x:f>
      </x:c>
      <x:c r="K3" s="8" t="str">
        <x:f>IF(A3="","",IF(AND(ISNUMBER(G3),G3&gt;0,ISNUMBER(I3)),I3/G3,""))</x:f>
      </x:c>
      <x:c r="L3" t="str">
        <x:f>IF(A3="","",IF(NOT(ISNUMBER(G3)),"BUDGET DATA REQUIRED",IF(G3&lt;=0,"REVIEW: NO BUDGET",IF(NOT(ISNUMBER(I3)),"PO DATA REQUIRED",IF(I3&lt;0,"REVIEW: PO AMOUNT",IF(K3&gt;1,"OVER BUDGET",IF(K3=1,"BUDGET EXHAUSTED",IF(K3&gt;=Settings!$B$3,"PREVENTIVE ALERT","OK"))))))))</x:f>
        <x:v>PO DATA REQUIRED</x:v>
      </x:c>
      <x:c r="M3" t="n">
        <x:f>IF(A3="","",'ERP Snapshot'!K3)</x:f>
        <x:v>0</x:v>
      </x:c>
      <x:c r="N3" t="n">
        <x:f>IF(A3="","",COUNTIFS(Exceptions!$A$2:$A$101,A3,Exceptions!$E$2:$E$101,"Open"))</x:f>
        <x:v>1</x:v>
      </x:c>
      <x:c r="O3" t="str">
        <x:f>IF(A3="","",IF(AND(C3="MXN",OR(D3="",E3="")),"FX HOLD",IF(E3&gt;D3,"REVIEW: ABOVE CUSTOMER PO",IF('PO Authorization'!H3="REVIEW: SNAPSHOT DIFFERS","REVIEW: PO SNAPSHOT",IF(E3=D3,"FULLY INVOICED",IF(E3&gt;0,"PARTIAL INVOICE","NOT INVOICED"))))))</x:f>
        <x:v>FX HOLD</x:v>
      </x:c>
      <x:c r="P3" t="str">
        <x:f>IF(A3="","",IF(OR(O3="FX HOLD",O3="REVIEW: PO SNAPSHOT",L3="OVER BUDGET",L3="BUDGET EXHAUSTED",O3="REVIEW: ABOVE CUSTOMER PO",'ERP Snapshot'!L3="YES"),"CRITICAL / REVIEW",IF(OR(L3="PO DATA REQUIRED",L3="BUDGET DATA REQUIRED",L3="REVIEW: NO BUDGET",L3="REVIEW: PO AMOUNT",N3&gt;0,M3&gt;0,F3&gt;0),"FOLLOW UP","NORMAL")))</x:f>
        <x:v>CRITICAL / REVIEW</x:v>
      </x:c>
      <x:c r="Q3" t="str">
        <x:f>IF(A3="","",'ERP Snapshot'!N3)</x:f>
        <x:v>2026-10-16</x:v>
      </x:c>
      <x:c r="R3" t="str">
        <x:f>IF(A3="","",'ERP Snapshot'!Q3)</x:f>
        <x:v>Brands</x:v>
      </x:c>
      <x:c r="S3" t="str">
        <x:f>IF(A3="","",'ERP Snapshot'!R3)</x:f>
        <x:v>Desoutter</x:v>
      </x:c>
      <x:c r="T3" t="str">
        <x:f>IF(A3="","",'ERP Snapshot'!C3)</x:f>
        <x:v>MX</x:v>
      </x:c>
    </x:row>
    <x:row r="4">
      <x:c r="A4" t="str">
        <x:f>IF('ERP Snapshot'!A4="","",'ERP Snapshot'!A4)</x:f>
        <x:v>100247</x:v>
      </x:c>
      <x:c r="B4" t="str">
        <x:f>IF(A4="","",'ERP Snapshot'!B4)</x:f>
        <x:v>Customer C</x:v>
      </x:c>
      <x:c r="C4" t="str">
        <x:f>IF(A4="","",'ERP Snapshot'!D4)</x:f>
        <x:v>USD</x:v>
      </x:c>
      <x:c r="D4" t="n">
        <x:f>IF(A4="","",IF(C4="MXN",IF(AND(Settings!$B$8="APPROVED",Settings!$B$9&lt;&gt;"",Settings!$B$10&lt;&gt;"",Settings!$B$2&gt;0),'PO Authorization'!F4/Settings!$B$2,""),'PO Authorization'!F4))</x:f>
        <x:v>34000</x:v>
      </x:c>
      <x:c r="E4" t="n">
        <x:f>IF(A4="","",IF(C4="MXN",IF(AND(Settings!$B$8="APPROVED",Settings!$B$9&lt;&gt;"",Settings!$B$10&lt;&gt;"",Settings!$B$2&gt;0),'ERP Snapshot'!I4/Settings!$B$2,""),'ERP Snapshot'!I4))</x:f>
        <x:v>12000</x:v>
      </x:c>
      <x:c r="F4" t="n">
        <x:f>IF(A4="","",IF(AND(ISNUMBER(D4),ISNUMBER(E4)),D4-E4,""))</x:f>
        <x:v>22000</x:v>
      </x:c>
      <x:c r="G4" t="n">
        <x:f>IF(A4="","",IF(ISNUMBER('ERP Snapshot'!F4),'ERP Snapshot'!F4,""))</x:f>
        <x:v>26000</x:v>
      </x:c>
      <x:c r="H4" t="n">
        <x:f>IF(A4="","",'ERP Snapshot'!G4)</x:f>
        <x:v>21000</x:v>
      </x:c>
      <x:c r="I4" t="str">
        <x:f>IF(A4="","",IF(ISNUMBER('ERP Snapshot'!S4),'ERP Snapshot'!S4,""))</x:f>
      </x:c>
      <x:c r="J4" t="str">
        <x:f>IF(A4="","",IF(AND(ISNUMBER(G4),ISNUMBER(I4)),G4-I4,""))</x:f>
      </x:c>
      <x:c r="K4" s="8" t="str">
        <x:f>IF(A4="","",IF(AND(ISNUMBER(G4),G4&gt;0,ISNUMBER(I4)),I4/G4,""))</x:f>
      </x:c>
      <x:c r="L4" t="str">
        <x:f>IF(A4="","",IF(NOT(ISNUMBER(G4)),"BUDGET DATA REQUIRED",IF(G4&lt;=0,"REVIEW: NO BUDGET",IF(NOT(ISNUMBER(I4)),"PO DATA REQUIRED",IF(I4&lt;0,"REVIEW: PO AMOUNT",IF(K4&gt;1,"OVER BUDGET",IF(K4=1,"BUDGET EXHAUSTED",IF(K4&gt;=Settings!$B$3,"PREVENTIVE ALERT","OK"))))))))</x:f>
        <x:v>PO DATA REQUIRED</x:v>
      </x:c>
      <x:c r="M4" t="n">
        <x:f>IF(A4="","",'ERP Snapshot'!K4)</x:f>
        <x:v>2</x:v>
      </x:c>
      <x:c r="N4" t="n">
        <x:f>IF(A4="","",COUNTIFS(Exceptions!$A$2:$A$101,A4,Exceptions!$E$2:$E$101,"Open"))</x:f>
        <x:v>1</x:v>
      </x:c>
      <x:c r="O4" t="str">
        <x:f>IF(A4="","",IF(AND(C4="MXN",OR(D4="",E4="")),"FX HOLD",IF(E4&gt;D4,"REVIEW: ABOVE CUSTOMER PO",IF('PO Authorization'!H4="REVIEW: SNAPSHOT DIFFERS","REVIEW: PO SNAPSHOT",IF(E4=D4,"FULLY INVOICED",IF(E4&gt;0,"PARTIAL INVOICE","NOT INVOICED"))))))</x:f>
        <x:v>PARTIAL INVOICE</x:v>
      </x:c>
      <x:c r="P4" t="str">
        <x:f>IF(A4="","",IF(OR(O4="FX HOLD",O4="REVIEW: PO SNAPSHOT",L4="OVER BUDGET",L4="BUDGET EXHAUSTED",O4="REVIEW: ABOVE CUSTOMER PO",'ERP Snapshot'!L4="YES"),"CRITICAL / REVIEW",IF(OR(L4="PO DATA REQUIRED",L4="BUDGET DATA REQUIRED",L4="REVIEW: NO BUDGET",L4="REVIEW: PO AMOUNT",N4&gt;0,M4&gt;0,F4&gt;0),"FOLLOW UP","NORMAL")))</x:f>
        <x:v>CRITICAL / REVIEW</x:v>
      </x:c>
      <x:c r="Q4" t="str">
        <x:f>IF(A4="","",'ERP Snapshot'!N4)</x:f>
        <x:v>2026-10-16</x:v>
      </x:c>
      <x:c r="R4" t="str">
        <x:f>IF(A4="","",'ERP Snapshot'!Q4)</x:f>
        <x:v>Brands</x:v>
      </x:c>
      <x:c r="S4" t="str">
        <x:f>IF(A4="","",'ERP Snapshot'!R4)</x:f>
        <x:v>Datalogic</x:v>
      </x:c>
      <x:c r="T4" t="str">
        <x:f>IF(A4="","",'ERP Snapshot'!C4)</x:f>
        <x:v>US</x:v>
      </x:c>
    </x:row>
    <x:row r="5">
      <x:c r="A5" t="str">
        <x:f>IF('ERP Snapshot'!A5="","",'ERP Snapshot'!A5)</x:f>
        <x:v>100248</x:v>
      </x:c>
      <x:c r="B5" t="str">
        <x:f>IF(A5="","",'ERP Snapshot'!B5)</x:f>
        <x:v>Customer D</x:v>
      </x:c>
      <x:c r="C5" t="str">
        <x:f>IF(A5="","",'ERP Snapshot'!D5)</x:f>
        <x:v>USD</x:v>
      </x:c>
      <x:c r="D5" t="n">
        <x:f>IF(A5="","",IF(C5="MXN",IF(AND(Settings!$B$8="APPROVED",Settings!$B$9&lt;&gt;"",Settings!$B$10&lt;&gt;"",Settings!$B$2&gt;0),'PO Authorization'!F5/Settings!$B$2,""),'PO Authorization'!F5))</x:f>
        <x:v>24000</x:v>
      </x:c>
      <x:c r="E5" t="n">
        <x:f>IF(A5="","",IF(C5="MXN",IF(AND(Settings!$B$8="APPROVED",Settings!$B$9&lt;&gt;"",Settings!$B$10&lt;&gt;"",Settings!$B$2&gt;0),'ERP Snapshot'!I5/Settings!$B$2,""),'ERP Snapshot'!I5))</x:f>
        <x:v>0</x:v>
      </x:c>
      <x:c r="F5" t="n">
        <x:f>IF(A5="","",IF(AND(ISNUMBER(D5),ISNUMBER(E5)),D5-E5,""))</x:f>
        <x:v>24000</x:v>
      </x:c>
      <x:c r="G5" t="n">
        <x:f>IF(A5="","",IF(ISNUMBER('ERP Snapshot'!F5),'ERP Snapshot'!F5,""))</x:f>
        <x:v>18000</x:v>
      </x:c>
      <x:c r="H5" t="n">
        <x:f>IF(A5="","",'ERP Snapshot'!G5)</x:f>
        <x:v>12000</x:v>
      </x:c>
      <x:c r="I5" t="str">
        <x:f>IF(A5="","",IF(ISNUMBER('ERP Snapshot'!S5),'ERP Snapshot'!S5,""))</x:f>
      </x:c>
      <x:c r="J5" t="str">
        <x:f>IF(A5="","",IF(AND(ISNUMBER(G5),ISNUMBER(I5)),G5-I5,""))</x:f>
      </x:c>
      <x:c r="K5" s="8" t="str">
        <x:f>IF(A5="","",IF(AND(ISNUMBER(G5),G5&gt;0,ISNUMBER(I5)),I5/G5,""))</x:f>
      </x:c>
      <x:c r="L5" t="str">
        <x:f>IF(A5="","",IF(NOT(ISNUMBER(G5)),"BUDGET DATA REQUIRED",IF(G5&lt;=0,"REVIEW: NO BUDGET",IF(NOT(ISNUMBER(I5)),"PO DATA REQUIRED",IF(I5&lt;0,"REVIEW: PO AMOUNT",IF(K5&gt;1,"OVER BUDGET",IF(K5=1,"BUDGET EXHAUSTED",IF(K5&gt;=Settings!$B$3,"PREVENTIVE ALERT","OK"))))))))</x:f>
        <x:v>PO DATA REQUIRED</x:v>
      </x:c>
      <x:c r="M5" t="n">
        <x:f>IF(A5="","",'ERP Snapshot'!K5)</x:f>
        <x:v>0</x:v>
      </x:c>
      <x:c r="N5" t="n">
        <x:f>IF(A5="","",COUNTIFS(Exceptions!$A$2:$A$101,A5,Exceptions!$E$2:$E$101,"Open"))</x:f>
        <x:v>0</x:v>
      </x:c>
      <x:c r="O5" t="str">
        <x:f>IF(A5="","",IF(AND(C5="MXN",OR(D5="",E5="")),"FX HOLD",IF(E5&gt;D5,"REVIEW: ABOVE CUSTOMER PO",IF('PO Authorization'!H5="REVIEW: SNAPSHOT DIFFERS","REVIEW: PO SNAPSHOT",IF(E5=D5,"FULLY INVOICED",IF(E5&gt;0,"PARTIAL INVOICE","NOT INVOICED"))))))</x:f>
        <x:v>NOT INVOICED</x:v>
      </x:c>
      <x:c r="P5" t="str">
        <x:f>IF(A5="","",IF(OR(O5="FX HOLD",O5="REVIEW: PO SNAPSHOT",L5="OVER BUDGET",L5="BUDGET EXHAUSTED",O5="REVIEW: ABOVE CUSTOMER PO",'ERP Snapshot'!L5="YES"),"CRITICAL / REVIEW",IF(OR(L5="PO DATA REQUIRED",L5="BUDGET DATA REQUIRED",L5="REVIEW: NO BUDGET",L5="REVIEW: PO AMOUNT",N5&gt;0,M5&gt;0,F5&gt;0),"FOLLOW UP","NORMAL")))</x:f>
        <x:v>FOLLOW UP</x:v>
      </x:c>
      <x:c r="Q5" t="str">
        <x:f>IF(A5="","",'ERP Snapshot'!N5)</x:f>
        <x:v>2026-10-16</x:v>
      </x:c>
      <x:c r="R5" t="str">
        <x:f>IF(A5="","",'ERP Snapshot'!Q5)</x:f>
        <x:v>Strategic Services</x:v>
      </x:c>
      <x:c r="S5" t="str">
        <x:f>IF(A5="","",'ERP Snapshot'!R5)</x:f>
        <x:v>N/A</x:v>
      </x:c>
      <x:c r="T5" t="str">
        <x:f>IF(A5="","",'ERP Snapshot'!C5)</x:f>
        <x:v>MX</x:v>
      </x:c>
    </x:row>
    <x:row r="6">
      <x:c r="A6" t="str">
        <x:f>IF('ERP Snapshot'!A6="","",'ERP Snapshot'!A6)</x:f>
      </x:c>
      <x:c r="B6" t="str">
        <x:f>IF(A6="","",'ERP Snapshot'!B6)</x:f>
      </x:c>
      <x:c r="C6" t="str">
        <x:f>IF(A6="","",'ERP Snapshot'!D6)</x:f>
      </x:c>
      <x:c r="D6" t="str">
        <x:f>IF(A6="","",IF(C6="MXN",IF(AND(Settings!$B$8="APPROVED",Settings!$B$9&lt;&gt;"",Settings!$B$10&lt;&gt;"",Settings!$B$2&gt;0),'PO Authorization'!F6/Settings!$B$2,""),'PO Authorization'!F6))</x:f>
      </x:c>
      <x:c r="E6" t="str">
        <x:f>IF(A6="","",IF(C6="MXN",IF(AND(Settings!$B$8="APPROVED",Settings!$B$9&lt;&gt;"",Settings!$B$10&lt;&gt;"",Settings!$B$2&gt;0),'ERP Snapshot'!I6/Settings!$B$2,""),'ERP Snapshot'!I6))</x:f>
      </x:c>
      <x:c r="F6" t="str">
        <x:f>IF(A6="","",IF(AND(ISNUMBER(D6),ISNUMBER(E6)),D6-E6,""))</x:f>
      </x:c>
      <x:c r="G6" t="str">
        <x:f>IF(A6="","",IF(ISNUMBER('ERP Snapshot'!F6),'ERP Snapshot'!F6,""))</x:f>
      </x:c>
      <x:c r="H6" t="str">
        <x:f>IF(A6="","",'ERP Snapshot'!G6)</x:f>
      </x:c>
      <x:c r="I6" t="str">
        <x:f>IF(A6="","",IF(ISNUMBER('ERP Snapshot'!S6),'ERP Snapshot'!S6,""))</x:f>
      </x:c>
      <x:c r="J6" t="str">
        <x:f>IF(A6="","",IF(AND(ISNUMBER(G6),ISNUMBER(I6)),G6-I6,""))</x:f>
      </x:c>
      <x:c r="K6" s="8" t="str">
        <x:f>IF(A6="","",IF(AND(ISNUMBER(G6),G6&gt;0,ISNUMBER(I6)),I6/G6,""))</x:f>
      </x:c>
      <x:c r="L6" t="str">
        <x:f>IF(A6="","",IF(NOT(ISNUMBER(G6)),"BUDGET DATA REQUIRED",IF(G6&lt;=0,"REVIEW: NO BUDGET",IF(NOT(ISNUMBER(I6)),"PO DATA REQUIRED",IF(I6&lt;0,"REVIEW: PO AMOUNT",IF(K6&gt;1,"OVER BUDGET",IF(K6=1,"BUDGET EXHAUSTED",IF(K6&gt;=Settings!$B$3,"PREVENTIVE ALERT","OK"))))))))</x:f>
      </x:c>
      <x:c r="M6" t="str">
        <x:f>IF(A6="","",'ERP Snapshot'!K6)</x:f>
      </x:c>
      <x:c r="N6" t="str">
        <x:f>IF(A6="","",COUNTIFS(Exceptions!$A$2:$A$101,A6,Exceptions!$E$2:$E$101,"Open"))</x:f>
      </x:c>
      <x:c r="O6" t="str">
        <x:f>IF(A6="","",IF(AND(C6="MXN",OR(D6="",E6="")),"FX HOLD",IF(E6&gt;D6,"REVIEW: ABOVE CUSTOMER PO",IF('PO Authorization'!H6="REVIEW: SNAPSHOT DIFFERS","REVIEW: PO SNAPSHOT",IF(E6=D6,"FULLY INVOICED",IF(E6&gt;0,"PARTIAL INVOICE","NOT INVOICED"))))))</x:f>
      </x:c>
      <x:c r="P6" t="str">
        <x:f>IF(A6="","",IF(OR(O6="FX HOLD",O6="REVIEW: PO SNAPSHOT",L6="OVER BUDGET",L6="BUDGET EXHAUSTED",O6="REVIEW: ABOVE CUSTOMER PO",'ERP Snapshot'!L6="YES"),"CRITICAL / REVIEW",IF(OR(L6="PO DATA REQUIRED",L6="BUDGET DATA REQUIRED",L6="REVIEW: NO BUDGET",L6="REVIEW: PO AMOUNT",N6&gt;0,M6&gt;0,F6&gt;0),"FOLLOW UP","NORMAL")))</x:f>
      </x:c>
      <x:c r="Q6" t="str">
        <x:f>IF(A6="","",'ERP Snapshot'!N6)</x:f>
      </x:c>
      <x:c r="R6" t="str">
        <x:f>IF(A6="","",'ERP Snapshot'!Q6)</x:f>
      </x:c>
      <x:c r="S6" t="str">
        <x:f>IF(A6="","",'ERP Snapshot'!R6)</x:f>
      </x:c>
      <x:c r="T6" t="str">
        <x:f>IF(A6="","",'ERP Snapshot'!C6)</x:f>
      </x:c>
    </x:row>
    <x:row r="7">
      <x:c r="A7" t="str">
        <x:f>IF('ERP Snapshot'!A7="","",'ERP Snapshot'!A7)</x:f>
      </x:c>
      <x:c r="B7" t="str">
        <x:f>IF(A7="","",'ERP Snapshot'!B7)</x:f>
      </x:c>
      <x:c r="C7" t="str">
        <x:f>IF(A7="","",'ERP Snapshot'!D7)</x:f>
      </x:c>
      <x:c r="D7" t="str">
        <x:f>IF(A7="","",IF(C7="MXN",IF(AND(Settings!$B$8="APPROVED",Settings!$B$9&lt;&gt;"",Settings!$B$10&lt;&gt;"",Settings!$B$2&gt;0),'PO Authorization'!F7/Settings!$B$2,""),'PO Authorization'!F7))</x:f>
      </x:c>
      <x:c r="E7" t="str">
        <x:f>IF(A7="","",IF(C7="MXN",IF(AND(Settings!$B$8="APPROVED",Settings!$B$9&lt;&gt;"",Settings!$B$10&lt;&gt;"",Settings!$B$2&gt;0),'ERP Snapshot'!I7/Settings!$B$2,""),'ERP Snapshot'!I7))</x:f>
      </x:c>
      <x:c r="F7" t="str">
        <x:f>IF(A7="","",IF(AND(ISNUMBER(D7),ISNUMBER(E7)),D7-E7,""))</x:f>
      </x:c>
      <x:c r="G7" t="str">
        <x:f>IF(A7="","",IF(ISNUMBER('ERP Snapshot'!F7),'ERP Snapshot'!F7,""))</x:f>
      </x:c>
      <x:c r="H7" t="str">
        <x:f>IF(A7="","",'ERP Snapshot'!G7)</x:f>
      </x:c>
      <x:c r="I7" t="str">
        <x:f>IF(A7="","",IF(ISNUMBER('ERP Snapshot'!S7),'ERP Snapshot'!S7,""))</x:f>
      </x:c>
      <x:c r="J7" t="str">
        <x:f>IF(A7="","",IF(AND(ISNUMBER(G7),ISNUMBER(I7)),G7-I7,""))</x:f>
      </x:c>
      <x:c r="K7" s="8" t="str">
        <x:f>IF(A7="","",IF(AND(ISNUMBER(G7),G7&gt;0,ISNUMBER(I7)),I7/G7,""))</x:f>
      </x:c>
      <x:c r="L7" t="str">
        <x:f>IF(A7="","",IF(NOT(ISNUMBER(G7)),"BUDGET DATA REQUIRED",IF(G7&lt;=0,"REVIEW: NO BUDGET",IF(NOT(ISNUMBER(I7)),"PO DATA REQUIRED",IF(I7&lt;0,"REVIEW: PO AMOUNT",IF(K7&gt;1,"OVER BUDGET",IF(K7=1,"BUDGET EXHAUSTED",IF(K7&gt;=Settings!$B$3,"PREVENTIVE ALERT","OK"))))))))</x:f>
      </x:c>
      <x:c r="M7" t="str">
        <x:f>IF(A7="","",'ERP Snapshot'!K7)</x:f>
      </x:c>
      <x:c r="N7" t="str">
        <x:f>IF(A7="","",COUNTIFS(Exceptions!$A$2:$A$101,A7,Exceptions!$E$2:$E$101,"Open"))</x:f>
      </x:c>
      <x:c r="O7" t="str">
        <x:f>IF(A7="","",IF(AND(C7="MXN",OR(D7="",E7="")),"FX HOLD",IF(E7&gt;D7,"REVIEW: ABOVE CUSTOMER PO",IF('PO Authorization'!H7="REVIEW: SNAPSHOT DIFFERS","REVIEW: PO SNAPSHOT",IF(E7=D7,"FULLY INVOICED",IF(E7&gt;0,"PARTIAL INVOICE","NOT INVOICED"))))))</x:f>
      </x:c>
      <x:c r="P7" t="str">
        <x:f>IF(A7="","",IF(OR(O7="FX HOLD",O7="REVIEW: PO SNAPSHOT",L7="OVER BUDGET",L7="BUDGET EXHAUSTED",O7="REVIEW: ABOVE CUSTOMER PO",'ERP Snapshot'!L7="YES"),"CRITICAL / REVIEW",IF(OR(L7="PO DATA REQUIRED",L7="BUDGET DATA REQUIRED",L7="REVIEW: NO BUDGET",L7="REVIEW: PO AMOUNT",N7&gt;0,M7&gt;0,F7&gt;0),"FOLLOW UP","NORMAL")))</x:f>
      </x:c>
      <x:c r="Q7" t="str">
        <x:f>IF(A7="","",'ERP Snapshot'!N7)</x:f>
      </x:c>
      <x:c r="R7" t="str">
        <x:f>IF(A7="","",'ERP Snapshot'!Q7)</x:f>
      </x:c>
      <x:c r="S7" t="str">
        <x:f>IF(A7="","",'ERP Snapshot'!R7)</x:f>
      </x:c>
      <x:c r="T7" t="str">
        <x:f>IF(A7="","",'ERP Snapshot'!C7)</x:f>
      </x:c>
    </x:row>
    <x:row r="8">
      <x:c r="A8" t="str">
        <x:f>IF('ERP Snapshot'!A8="","",'ERP Snapshot'!A8)</x:f>
      </x:c>
      <x:c r="B8" t="str">
        <x:f>IF(A8="","",'ERP Snapshot'!B8)</x:f>
      </x:c>
      <x:c r="C8" t="str">
        <x:f>IF(A8="","",'ERP Snapshot'!D8)</x:f>
      </x:c>
      <x:c r="D8" t="str">
        <x:f>IF(A8="","",IF(C8="MXN",IF(AND(Settings!$B$8="APPROVED",Settings!$B$9&lt;&gt;"",Settings!$B$10&lt;&gt;"",Settings!$B$2&gt;0),'PO Authorization'!F8/Settings!$B$2,""),'PO Authorization'!F8))</x:f>
      </x:c>
      <x:c r="E8" t="str">
        <x:f>IF(A8="","",IF(C8="MXN",IF(AND(Settings!$B$8="APPROVED",Settings!$B$9&lt;&gt;"",Settings!$B$10&lt;&gt;"",Settings!$B$2&gt;0),'ERP Snapshot'!I8/Settings!$B$2,""),'ERP Snapshot'!I8))</x:f>
      </x:c>
      <x:c r="F8" t="str">
        <x:f>IF(A8="","",IF(AND(ISNUMBER(D8),ISNUMBER(E8)),D8-E8,""))</x:f>
      </x:c>
      <x:c r="G8" t="str">
        <x:f>IF(A8="","",IF(ISNUMBER('ERP Snapshot'!F8),'ERP Snapshot'!F8,""))</x:f>
      </x:c>
      <x:c r="H8" t="str">
        <x:f>IF(A8="","",'ERP Snapshot'!G8)</x:f>
      </x:c>
      <x:c r="I8" t="str">
        <x:f>IF(A8="","",IF(ISNUMBER('ERP Snapshot'!S8),'ERP Snapshot'!S8,""))</x:f>
      </x:c>
      <x:c r="J8" t="str">
        <x:f>IF(A8="","",IF(AND(ISNUMBER(G8),ISNUMBER(I8)),G8-I8,""))</x:f>
      </x:c>
      <x:c r="K8" s="8" t="str">
        <x:f>IF(A8="","",IF(AND(ISNUMBER(G8),G8&gt;0,ISNUMBER(I8)),I8/G8,""))</x:f>
      </x:c>
      <x:c r="L8" t="str">
        <x:f>IF(A8="","",IF(NOT(ISNUMBER(G8)),"BUDGET DATA REQUIRED",IF(G8&lt;=0,"REVIEW: NO BUDGET",IF(NOT(ISNUMBER(I8)),"PO DATA REQUIRED",IF(I8&lt;0,"REVIEW: PO AMOUNT",IF(K8&gt;1,"OVER BUDGET",IF(K8=1,"BUDGET EXHAUSTED",IF(K8&gt;=Settings!$B$3,"PREVENTIVE ALERT","OK"))))))))</x:f>
      </x:c>
      <x:c r="M8" t="str">
        <x:f>IF(A8="","",'ERP Snapshot'!K8)</x:f>
      </x:c>
      <x:c r="N8" t="str">
        <x:f>IF(A8="","",COUNTIFS(Exceptions!$A$2:$A$101,A8,Exceptions!$E$2:$E$101,"Open"))</x:f>
      </x:c>
      <x:c r="O8" t="str">
        <x:f>IF(A8="","",IF(AND(C8="MXN",OR(D8="",E8="")),"FX HOLD",IF(E8&gt;D8,"REVIEW: ABOVE CUSTOMER PO",IF('PO Authorization'!H8="REVIEW: SNAPSHOT DIFFERS","REVIEW: PO SNAPSHOT",IF(E8=D8,"FULLY INVOICED",IF(E8&gt;0,"PARTIAL INVOICE","NOT INVOICED"))))))</x:f>
      </x:c>
      <x:c r="P8" t="str">
        <x:f>IF(A8="","",IF(OR(O8="FX HOLD",O8="REVIEW: PO SNAPSHOT",L8="OVER BUDGET",L8="BUDGET EXHAUSTED",O8="REVIEW: ABOVE CUSTOMER PO",'ERP Snapshot'!L8="YES"),"CRITICAL / REVIEW",IF(OR(L8="PO DATA REQUIRED",L8="BUDGET DATA REQUIRED",L8="REVIEW: NO BUDGET",L8="REVIEW: PO AMOUNT",N8&gt;0,M8&gt;0,F8&gt;0),"FOLLOW UP","NORMAL")))</x:f>
      </x:c>
      <x:c r="Q8" t="str">
        <x:f>IF(A8="","",'ERP Snapshot'!N8)</x:f>
      </x:c>
      <x:c r="R8" t="str">
        <x:f>IF(A8="","",'ERP Snapshot'!Q8)</x:f>
      </x:c>
      <x:c r="S8" t="str">
        <x:f>IF(A8="","",'ERP Snapshot'!R8)</x:f>
      </x:c>
      <x:c r="T8" t="str">
        <x:f>IF(A8="","",'ERP Snapshot'!C8)</x:f>
      </x:c>
    </x:row>
    <x:row r="9">
      <x:c r="A9" t="str">
        <x:f>IF('ERP Snapshot'!A9="","",'ERP Snapshot'!A9)</x:f>
      </x:c>
      <x:c r="B9" t="str">
        <x:f>IF(A9="","",'ERP Snapshot'!B9)</x:f>
      </x:c>
      <x:c r="C9" t="str">
        <x:f>IF(A9="","",'ERP Snapshot'!D9)</x:f>
      </x:c>
      <x:c r="D9" t="str">
        <x:f>IF(A9="","",IF(C9="MXN",IF(AND(Settings!$B$8="APPROVED",Settings!$B$9&lt;&gt;"",Settings!$B$10&lt;&gt;"",Settings!$B$2&gt;0),'PO Authorization'!F9/Settings!$B$2,""),'PO Authorization'!F9))</x:f>
      </x:c>
      <x:c r="E9" t="str">
        <x:f>IF(A9="","",IF(C9="MXN",IF(AND(Settings!$B$8="APPROVED",Settings!$B$9&lt;&gt;"",Settings!$B$10&lt;&gt;"",Settings!$B$2&gt;0),'ERP Snapshot'!I9/Settings!$B$2,""),'ERP Snapshot'!I9))</x:f>
      </x:c>
      <x:c r="F9" t="str">
        <x:f>IF(A9="","",IF(AND(ISNUMBER(D9),ISNUMBER(E9)),D9-E9,""))</x:f>
      </x:c>
      <x:c r="G9" t="str">
        <x:f>IF(A9="","",IF(ISNUMBER('ERP Snapshot'!F9),'ERP Snapshot'!F9,""))</x:f>
      </x:c>
      <x:c r="H9" t="str">
        <x:f>IF(A9="","",'ERP Snapshot'!G9)</x:f>
      </x:c>
      <x:c r="I9" t="str">
        <x:f>IF(A9="","",IF(ISNUMBER('ERP Snapshot'!S9),'ERP Snapshot'!S9,""))</x:f>
      </x:c>
      <x:c r="J9" t="str">
        <x:f>IF(A9="","",IF(AND(ISNUMBER(G9),ISNUMBER(I9)),G9-I9,""))</x:f>
      </x:c>
      <x:c r="K9" s="8" t="str">
        <x:f>IF(A9="","",IF(AND(ISNUMBER(G9),G9&gt;0,ISNUMBER(I9)),I9/G9,""))</x:f>
      </x:c>
      <x:c r="L9" t="str">
        <x:f>IF(A9="","",IF(NOT(ISNUMBER(G9)),"BUDGET DATA REQUIRED",IF(G9&lt;=0,"REVIEW: NO BUDGET",IF(NOT(ISNUMBER(I9)),"PO DATA REQUIRED",IF(I9&lt;0,"REVIEW: PO AMOUNT",IF(K9&gt;1,"OVER BUDGET",IF(K9=1,"BUDGET EXHAUSTED",IF(K9&gt;=Settings!$B$3,"PREVENTIVE ALERT","OK"))))))))</x:f>
      </x:c>
      <x:c r="M9" t="str">
        <x:f>IF(A9="","",'ERP Snapshot'!K9)</x:f>
      </x:c>
      <x:c r="N9" t="str">
        <x:f>IF(A9="","",COUNTIFS(Exceptions!$A$2:$A$101,A9,Exceptions!$E$2:$E$101,"Open"))</x:f>
      </x:c>
      <x:c r="O9" t="str">
        <x:f>IF(A9="","",IF(AND(C9="MXN",OR(D9="",E9="")),"FX HOLD",IF(E9&gt;D9,"REVIEW: ABOVE CUSTOMER PO",IF('PO Authorization'!H9="REVIEW: SNAPSHOT DIFFERS","REVIEW: PO SNAPSHOT",IF(E9=D9,"FULLY INVOICED",IF(E9&gt;0,"PARTIAL INVOICE","NOT INVOICED"))))))</x:f>
      </x:c>
      <x:c r="P9" t="str">
        <x:f>IF(A9="","",IF(OR(O9="FX HOLD",O9="REVIEW: PO SNAPSHOT",L9="OVER BUDGET",L9="BUDGET EXHAUSTED",O9="REVIEW: ABOVE CUSTOMER PO",'ERP Snapshot'!L9="YES"),"CRITICAL / REVIEW",IF(OR(L9="PO DATA REQUIRED",L9="BUDGET DATA REQUIRED",L9="REVIEW: NO BUDGET",L9="REVIEW: PO AMOUNT",N9&gt;0,M9&gt;0,F9&gt;0),"FOLLOW UP","NORMAL")))</x:f>
      </x:c>
      <x:c r="Q9" t="str">
        <x:f>IF(A9="","",'ERP Snapshot'!N9)</x:f>
      </x:c>
      <x:c r="R9" t="str">
        <x:f>IF(A9="","",'ERP Snapshot'!Q9)</x:f>
      </x:c>
      <x:c r="S9" t="str">
        <x:f>IF(A9="","",'ERP Snapshot'!R9)</x:f>
      </x:c>
      <x:c r="T9" t="str">
        <x:f>IF(A9="","",'ERP Snapshot'!C9)</x:f>
      </x:c>
    </x:row>
    <x:row r="10">
      <x:c r="A10" t="str">
        <x:f>IF('ERP Snapshot'!A10="","",'ERP Snapshot'!A10)</x:f>
      </x:c>
      <x:c r="B10" t="str">
        <x:f>IF(A10="","",'ERP Snapshot'!B10)</x:f>
      </x:c>
      <x:c r="C10" t="str">
        <x:f>IF(A10="","",'ERP Snapshot'!D10)</x:f>
      </x:c>
      <x:c r="D10" t="str">
        <x:f>IF(A10="","",IF(C10="MXN",IF(AND(Settings!$B$8="APPROVED",Settings!$B$9&lt;&gt;"",Settings!$B$10&lt;&gt;"",Settings!$B$2&gt;0),'PO Authorization'!F10/Settings!$B$2,""),'PO Authorization'!F10))</x:f>
      </x:c>
      <x:c r="E10" t="str">
        <x:f>IF(A10="","",IF(C10="MXN",IF(AND(Settings!$B$8="APPROVED",Settings!$B$9&lt;&gt;"",Settings!$B$10&lt;&gt;"",Settings!$B$2&gt;0),'ERP Snapshot'!I10/Settings!$B$2,""),'ERP Snapshot'!I10))</x:f>
      </x:c>
      <x:c r="F10" t="str">
        <x:f>IF(A10="","",IF(AND(ISNUMBER(D10),ISNUMBER(E10)),D10-E10,""))</x:f>
      </x:c>
      <x:c r="G10" t="str">
        <x:f>IF(A10="","",IF(ISNUMBER('ERP Snapshot'!F10),'ERP Snapshot'!F10,""))</x:f>
      </x:c>
      <x:c r="H10" t="str">
        <x:f>IF(A10="","",'ERP Snapshot'!G10)</x:f>
      </x:c>
      <x:c r="I10" t="str">
        <x:f>IF(A10="","",IF(ISNUMBER('ERP Snapshot'!S10),'ERP Snapshot'!S10,""))</x:f>
      </x:c>
      <x:c r="J10" t="str">
        <x:f>IF(A10="","",IF(AND(ISNUMBER(G10),ISNUMBER(I10)),G10-I10,""))</x:f>
      </x:c>
      <x:c r="K10" s="8" t="str">
        <x:f>IF(A10="","",IF(AND(ISNUMBER(G10),G10&gt;0,ISNUMBER(I10)),I10/G10,""))</x:f>
      </x:c>
      <x:c r="L10" t="str">
        <x:f>IF(A10="","",IF(NOT(ISNUMBER(G10)),"BUDGET DATA REQUIRED",IF(G10&lt;=0,"REVIEW: NO BUDGET",IF(NOT(ISNUMBER(I10)),"PO DATA REQUIRED",IF(I10&lt;0,"REVIEW: PO AMOUNT",IF(K10&gt;1,"OVER BUDGET",IF(K10=1,"BUDGET EXHAUSTED",IF(K10&gt;=Settings!$B$3,"PREVENTIVE ALERT","OK"))))))))</x:f>
      </x:c>
      <x:c r="M10" t="str">
        <x:f>IF(A10="","",'ERP Snapshot'!K10)</x:f>
      </x:c>
      <x:c r="N10" t="str">
        <x:f>IF(A10="","",COUNTIFS(Exceptions!$A$2:$A$101,A10,Exceptions!$E$2:$E$101,"Open"))</x:f>
      </x:c>
      <x:c r="O10" t="str">
        <x:f>IF(A10="","",IF(AND(C10="MXN",OR(D10="",E10="")),"FX HOLD",IF(E10&gt;D10,"REVIEW: ABOVE CUSTOMER PO",IF('PO Authorization'!H10="REVIEW: SNAPSHOT DIFFERS","REVIEW: PO SNAPSHOT",IF(E10=D10,"FULLY INVOICED",IF(E10&gt;0,"PARTIAL INVOICE","NOT INVOICED"))))))</x:f>
      </x:c>
      <x:c r="P10" t="str">
        <x:f>IF(A10="","",IF(OR(O10="FX HOLD",O10="REVIEW: PO SNAPSHOT",L10="OVER BUDGET",L10="BUDGET EXHAUSTED",O10="REVIEW: ABOVE CUSTOMER PO",'ERP Snapshot'!L10="YES"),"CRITICAL / REVIEW",IF(OR(L10="PO DATA REQUIRED",L10="BUDGET DATA REQUIRED",L10="REVIEW: NO BUDGET",L10="REVIEW: PO AMOUNT",N10&gt;0,M10&gt;0,F10&gt;0),"FOLLOW UP","NORMAL")))</x:f>
      </x:c>
      <x:c r="Q10" t="str">
        <x:f>IF(A10="","",'ERP Snapshot'!N10)</x:f>
      </x:c>
      <x:c r="R10" t="str">
        <x:f>IF(A10="","",'ERP Snapshot'!Q10)</x:f>
      </x:c>
      <x:c r="S10" t="str">
        <x:f>IF(A10="","",'ERP Snapshot'!R10)</x:f>
      </x:c>
      <x:c r="T10" t="str">
        <x:f>IF(A10="","",'ERP Snapshot'!C10)</x:f>
      </x:c>
    </x:row>
    <x:row r="11">
      <x:c r="A11" t="str">
        <x:f>IF('ERP Snapshot'!A11="","",'ERP Snapshot'!A11)</x:f>
      </x:c>
      <x:c r="B11" t="str">
        <x:f>IF(A11="","",'ERP Snapshot'!B11)</x:f>
      </x:c>
      <x:c r="C11" t="str">
        <x:f>IF(A11="","",'ERP Snapshot'!D11)</x:f>
      </x:c>
      <x:c r="D11" t="str">
        <x:f>IF(A11="","",IF(C11="MXN",IF(AND(Settings!$B$8="APPROVED",Settings!$B$9&lt;&gt;"",Settings!$B$10&lt;&gt;"",Settings!$B$2&gt;0),'PO Authorization'!F11/Settings!$B$2,""),'PO Authorization'!F11))</x:f>
      </x:c>
      <x:c r="E11" t="str">
        <x:f>IF(A11="","",IF(C11="MXN",IF(AND(Settings!$B$8="APPROVED",Settings!$B$9&lt;&gt;"",Settings!$B$10&lt;&gt;"",Settings!$B$2&gt;0),'ERP Snapshot'!I11/Settings!$B$2,""),'ERP Snapshot'!I11))</x:f>
      </x:c>
      <x:c r="F11" t="str">
        <x:f>IF(A11="","",IF(AND(ISNUMBER(D11),ISNUMBER(E11)),D11-E11,""))</x:f>
      </x:c>
      <x:c r="G11" t="str">
        <x:f>IF(A11="","",IF(ISNUMBER('ERP Snapshot'!F11),'ERP Snapshot'!F11,""))</x:f>
      </x:c>
      <x:c r="H11" t="str">
        <x:f>IF(A11="","",'ERP Snapshot'!G11)</x:f>
      </x:c>
      <x:c r="I11" t="str">
        <x:f>IF(A11="","",IF(ISNUMBER('ERP Snapshot'!S11),'ERP Snapshot'!S11,""))</x:f>
      </x:c>
      <x:c r="J11" t="str">
        <x:f>IF(A11="","",IF(AND(ISNUMBER(G11),ISNUMBER(I11)),G11-I11,""))</x:f>
      </x:c>
      <x:c r="K11" s="8" t="str">
        <x:f>IF(A11="","",IF(AND(ISNUMBER(G11),G11&gt;0,ISNUMBER(I11)),I11/G11,""))</x:f>
      </x:c>
      <x:c r="L11" t="str">
        <x:f>IF(A11="","",IF(NOT(ISNUMBER(G11)),"BUDGET DATA REQUIRED",IF(G11&lt;=0,"REVIEW: NO BUDGET",IF(NOT(ISNUMBER(I11)),"PO DATA REQUIRED",IF(I11&lt;0,"REVIEW: PO AMOUNT",IF(K11&gt;1,"OVER BUDGET",IF(K11=1,"BUDGET EXHAUSTED",IF(K11&gt;=Settings!$B$3,"PREVENTIVE ALERT","OK"))))))))</x:f>
      </x:c>
      <x:c r="M11" t="str">
        <x:f>IF(A11="","",'ERP Snapshot'!K11)</x:f>
      </x:c>
      <x:c r="N11" t="str">
        <x:f>IF(A11="","",COUNTIFS(Exceptions!$A$2:$A$101,A11,Exceptions!$E$2:$E$101,"Open"))</x:f>
      </x:c>
      <x:c r="O11" t="str">
        <x:f>IF(A11="","",IF(AND(C11="MXN",OR(D11="",E11="")),"FX HOLD",IF(E11&gt;D11,"REVIEW: ABOVE CUSTOMER PO",IF('PO Authorization'!H11="REVIEW: SNAPSHOT DIFFERS","REVIEW: PO SNAPSHOT",IF(E11=D11,"FULLY INVOICED",IF(E11&gt;0,"PARTIAL INVOICE","NOT INVOICED"))))))</x:f>
      </x:c>
      <x:c r="P11" t="str">
        <x:f>IF(A11="","",IF(OR(O11="FX HOLD",O11="REVIEW: PO SNAPSHOT",L11="OVER BUDGET",L11="BUDGET EXHAUSTED",O11="REVIEW: ABOVE CUSTOMER PO",'ERP Snapshot'!L11="YES"),"CRITICAL / REVIEW",IF(OR(L11="PO DATA REQUIRED",L11="BUDGET DATA REQUIRED",L11="REVIEW: NO BUDGET",L11="REVIEW: PO AMOUNT",N11&gt;0,M11&gt;0,F11&gt;0),"FOLLOW UP","NORMAL")))</x:f>
      </x:c>
      <x:c r="Q11" t="str">
        <x:f>IF(A11="","",'ERP Snapshot'!N11)</x:f>
      </x:c>
      <x:c r="R11" t="str">
        <x:f>IF(A11="","",'ERP Snapshot'!Q11)</x:f>
      </x:c>
      <x:c r="S11" t="str">
        <x:f>IF(A11="","",'ERP Snapshot'!R11)</x:f>
      </x:c>
      <x:c r="T11" t="str">
        <x:f>IF(A11="","",'ERP Snapshot'!C11)</x:f>
      </x:c>
    </x:row>
    <x:row r="12">
      <x:c r="A12" t="str">
        <x:f>IF('ERP Snapshot'!A12="","",'ERP Snapshot'!A12)</x:f>
      </x:c>
      <x:c r="B12" t="str">
        <x:f>IF(A12="","",'ERP Snapshot'!B12)</x:f>
      </x:c>
      <x:c r="C12" t="str">
        <x:f>IF(A12="","",'ERP Snapshot'!D12)</x:f>
      </x:c>
      <x:c r="D12" t="str">
        <x:f>IF(A12="","",IF(C12="MXN",IF(AND(Settings!$B$8="APPROVED",Settings!$B$9&lt;&gt;"",Settings!$B$10&lt;&gt;"",Settings!$B$2&gt;0),'PO Authorization'!F12/Settings!$B$2,""),'PO Authorization'!F12))</x:f>
      </x:c>
      <x:c r="E12" t="str">
        <x:f>IF(A12="","",IF(C12="MXN",IF(AND(Settings!$B$8="APPROVED",Settings!$B$9&lt;&gt;"",Settings!$B$10&lt;&gt;"",Settings!$B$2&gt;0),'ERP Snapshot'!I12/Settings!$B$2,""),'ERP Snapshot'!I12))</x:f>
      </x:c>
      <x:c r="F12" t="str">
        <x:f>IF(A12="","",IF(AND(ISNUMBER(D12),ISNUMBER(E12)),D12-E12,""))</x:f>
      </x:c>
      <x:c r="G12" t="str">
        <x:f>IF(A12="","",IF(ISNUMBER('ERP Snapshot'!F12),'ERP Snapshot'!F12,""))</x:f>
      </x:c>
      <x:c r="H12" t="str">
        <x:f>IF(A12="","",'ERP Snapshot'!G12)</x:f>
      </x:c>
      <x:c r="I12" t="str">
        <x:f>IF(A12="","",IF(ISNUMBER('ERP Snapshot'!S12),'ERP Snapshot'!S12,""))</x:f>
      </x:c>
      <x:c r="J12" t="str">
        <x:f>IF(A12="","",IF(AND(ISNUMBER(G12),ISNUMBER(I12)),G12-I12,""))</x:f>
      </x:c>
      <x:c r="K12" s="8" t="str">
        <x:f>IF(A12="","",IF(AND(ISNUMBER(G12),G12&gt;0,ISNUMBER(I12)),I12/G12,""))</x:f>
      </x:c>
      <x:c r="L12" t="str">
        <x:f>IF(A12="","",IF(NOT(ISNUMBER(G12)),"BUDGET DATA REQUIRED",IF(G12&lt;=0,"REVIEW: NO BUDGET",IF(NOT(ISNUMBER(I12)),"PO DATA REQUIRED",IF(I12&lt;0,"REVIEW: PO AMOUNT",IF(K12&gt;1,"OVER BUDGET",IF(K12=1,"BUDGET EXHAUSTED",IF(K12&gt;=Settings!$B$3,"PREVENTIVE ALERT","OK"))))))))</x:f>
      </x:c>
      <x:c r="M12" t="str">
        <x:f>IF(A12="","",'ERP Snapshot'!K12)</x:f>
      </x:c>
      <x:c r="N12" t="str">
        <x:f>IF(A12="","",COUNTIFS(Exceptions!$A$2:$A$101,A12,Exceptions!$E$2:$E$101,"Open"))</x:f>
      </x:c>
      <x:c r="O12" t="str">
        <x:f>IF(A12="","",IF(AND(C12="MXN",OR(D12="",E12="")),"FX HOLD",IF(E12&gt;D12,"REVIEW: ABOVE CUSTOMER PO",IF('PO Authorization'!H12="REVIEW: SNAPSHOT DIFFERS","REVIEW: PO SNAPSHOT",IF(E12=D12,"FULLY INVOICED",IF(E12&gt;0,"PARTIAL INVOICE","NOT INVOICED"))))))</x:f>
      </x:c>
      <x:c r="P12" t="str">
        <x:f>IF(A12="","",IF(OR(O12="FX HOLD",O12="REVIEW: PO SNAPSHOT",L12="OVER BUDGET",L12="BUDGET EXHAUSTED",O12="REVIEW: ABOVE CUSTOMER PO",'ERP Snapshot'!L12="YES"),"CRITICAL / REVIEW",IF(OR(L12="PO DATA REQUIRED",L12="BUDGET DATA REQUIRED",L12="REVIEW: NO BUDGET",L12="REVIEW: PO AMOUNT",N12&gt;0,M12&gt;0,F12&gt;0),"FOLLOW UP","NORMAL")))</x:f>
      </x:c>
      <x:c r="Q12" t="str">
        <x:f>IF(A12="","",'ERP Snapshot'!N12)</x:f>
      </x:c>
      <x:c r="R12" t="str">
        <x:f>IF(A12="","",'ERP Snapshot'!Q12)</x:f>
      </x:c>
      <x:c r="S12" t="str">
        <x:f>IF(A12="","",'ERP Snapshot'!R12)</x:f>
      </x:c>
      <x:c r="T12" t="str">
        <x:f>IF(A12="","",'ERP Snapshot'!C12)</x:f>
      </x:c>
    </x:row>
    <x:row r="13">
      <x:c r="A13" t="str">
        <x:f>IF('ERP Snapshot'!A13="","",'ERP Snapshot'!A13)</x:f>
      </x:c>
      <x:c r="B13" t="str">
        <x:f>IF(A13="","",'ERP Snapshot'!B13)</x:f>
      </x:c>
      <x:c r="C13" t="str">
        <x:f>IF(A13="","",'ERP Snapshot'!D13)</x:f>
      </x:c>
      <x:c r="D13" t="str">
        <x:f>IF(A13="","",IF(C13="MXN",IF(AND(Settings!$B$8="APPROVED",Settings!$B$9&lt;&gt;"",Settings!$B$10&lt;&gt;"",Settings!$B$2&gt;0),'PO Authorization'!F13/Settings!$B$2,""),'PO Authorization'!F13))</x:f>
      </x:c>
      <x:c r="E13" t="str">
        <x:f>IF(A13="","",IF(C13="MXN",IF(AND(Settings!$B$8="APPROVED",Settings!$B$9&lt;&gt;"",Settings!$B$10&lt;&gt;"",Settings!$B$2&gt;0),'ERP Snapshot'!I13/Settings!$B$2,""),'ERP Snapshot'!I13))</x:f>
      </x:c>
      <x:c r="F13" t="str">
        <x:f>IF(A13="","",IF(AND(ISNUMBER(D13),ISNUMBER(E13)),D13-E13,""))</x:f>
      </x:c>
      <x:c r="G13" t="str">
        <x:f>IF(A13="","",IF(ISNUMBER('ERP Snapshot'!F13),'ERP Snapshot'!F13,""))</x:f>
      </x:c>
      <x:c r="H13" t="str">
        <x:f>IF(A13="","",'ERP Snapshot'!G13)</x:f>
      </x:c>
      <x:c r="I13" t="str">
        <x:f>IF(A13="","",IF(ISNUMBER('ERP Snapshot'!S13),'ERP Snapshot'!S13,""))</x:f>
      </x:c>
      <x:c r="J13" t="str">
        <x:f>IF(A13="","",IF(AND(ISNUMBER(G13),ISNUMBER(I13)),G13-I13,""))</x:f>
      </x:c>
      <x:c r="K13" s="8" t="str">
        <x:f>IF(A13="","",IF(AND(ISNUMBER(G13),G13&gt;0,ISNUMBER(I13)),I13/G13,""))</x:f>
      </x:c>
      <x:c r="L13" t="str">
        <x:f>IF(A13="","",IF(NOT(ISNUMBER(G13)),"BUDGET DATA REQUIRED",IF(G13&lt;=0,"REVIEW: NO BUDGET",IF(NOT(ISNUMBER(I13)),"PO DATA REQUIRED",IF(I13&lt;0,"REVIEW: PO AMOUNT",IF(K13&gt;1,"OVER BUDGET",IF(K13=1,"BUDGET EXHAUSTED",IF(K13&gt;=Settings!$B$3,"PREVENTIVE ALERT","OK"))))))))</x:f>
      </x:c>
      <x:c r="M13" t="str">
        <x:f>IF(A13="","",'ERP Snapshot'!K13)</x:f>
      </x:c>
      <x:c r="N13" t="str">
        <x:f>IF(A13="","",COUNTIFS(Exceptions!$A$2:$A$101,A13,Exceptions!$E$2:$E$101,"Open"))</x:f>
      </x:c>
      <x:c r="O13" t="str">
        <x:f>IF(A13="","",IF(AND(C13="MXN",OR(D13="",E13="")),"FX HOLD",IF(E13&gt;D13,"REVIEW: ABOVE CUSTOMER PO",IF('PO Authorization'!H13="REVIEW: SNAPSHOT DIFFERS","REVIEW: PO SNAPSHOT",IF(E13=D13,"FULLY INVOICED",IF(E13&gt;0,"PARTIAL INVOICE","NOT INVOICED"))))))</x:f>
      </x:c>
      <x:c r="P13" t="str">
        <x:f>IF(A13="","",IF(OR(O13="FX HOLD",O13="REVIEW: PO SNAPSHOT",L13="OVER BUDGET",L13="BUDGET EXHAUSTED",O13="REVIEW: ABOVE CUSTOMER PO",'ERP Snapshot'!L13="YES"),"CRITICAL / REVIEW",IF(OR(L13="PO DATA REQUIRED",L13="BUDGET DATA REQUIRED",L13="REVIEW: NO BUDGET",L13="REVIEW: PO AMOUNT",N13&gt;0,M13&gt;0,F13&gt;0),"FOLLOW UP","NORMAL")))</x:f>
      </x:c>
      <x:c r="Q13" t="str">
        <x:f>IF(A13="","",'ERP Snapshot'!N13)</x:f>
      </x:c>
      <x:c r="R13" t="str">
        <x:f>IF(A13="","",'ERP Snapshot'!Q13)</x:f>
      </x:c>
      <x:c r="S13" t="str">
        <x:f>IF(A13="","",'ERP Snapshot'!R13)</x:f>
      </x:c>
      <x:c r="T13" t="str">
        <x:f>IF(A13="","",'ERP Snapshot'!C13)</x:f>
      </x:c>
    </x:row>
    <x:row r="14">
      <x:c r="A14" t="str">
        <x:f>IF('ERP Snapshot'!A14="","",'ERP Snapshot'!A14)</x:f>
      </x:c>
      <x:c r="B14" t="str">
        <x:f>IF(A14="","",'ERP Snapshot'!B14)</x:f>
      </x:c>
      <x:c r="C14" t="str">
        <x:f>IF(A14="","",'ERP Snapshot'!D14)</x:f>
      </x:c>
      <x:c r="D14" t="str">
        <x:f>IF(A14="","",IF(C14="MXN",IF(AND(Settings!$B$8="APPROVED",Settings!$B$9&lt;&gt;"",Settings!$B$10&lt;&gt;"",Settings!$B$2&gt;0),'PO Authorization'!F14/Settings!$B$2,""),'PO Authorization'!F14))</x:f>
      </x:c>
      <x:c r="E14" t="str">
        <x:f>IF(A14="","",IF(C14="MXN",IF(AND(Settings!$B$8="APPROVED",Settings!$B$9&lt;&gt;"",Settings!$B$10&lt;&gt;"",Settings!$B$2&gt;0),'ERP Snapshot'!I14/Settings!$B$2,""),'ERP Snapshot'!I14))</x:f>
      </x:c>
      <x:c r="F14" t="str">
        <x:f>IF(A14="","",IF(AND(ISNUMBER(D14),ISNUMBER(E14)),D14-E14,""))</x:f>
      </x:c>
      <x:c r="G14" t="str">
        <x:f>IF(A14="","",IF(ISNUMBER('ERP Snapshot'!F14),'ERP Snapshot'!F14,""))</x:f>
      </x:c>
      <x:c r="H14" t="str">
        <x:f>IF(A14="","",'ERP Snapshot'!G14)</x:f>
      </x:c>
      <x:c r="I14" t="str">
        <x:f>IF(A14="","",IF(ISNUMBER('ERP Snapshot'!S14),'ERP Snapshot'!S14,""))</x:f>
      </x:c>
      <x:c r="J14" t="str">
        <x:f>IF(A14="","",IF(AND(ISNUMBER(G14),ISNUMBER(I14)),G14-I14,""))</x:f>
      </x:c>
      <x:c r="K14" s="8" t="str">
        <x:f>IF(A14="","",IF(AND(ISNUMBER(G14),G14&gt;0,ISNUMBER(I14)),I14/G14,""))</x:f>
      </x:c>
      <x:c r="L14" t="str">
        <x:f>IF(A14="","",IF(NOT(ISNUMBER(G14)),"BUDGET DATA REQUIRED",IF(G14&lt;=0,"REVIEW: NO BUDGET",IF(NOT(ISNUMBER(I14)),"PO DATA REQUIRED",IF(I14&lt;0,"REVIEW: PO AMOUNT",IF(K14&gt;1,"OVER BUDGET",IF(K14=1,"BUDGET EXHAUSTED",IF(K14&gt;=Settings!$B$3,"PREVENTIVE ALERT","OK"))))))))</x:f>
      </x:c>
      <x:c r="M14" t="str">
        <x:f>IF(A14="","",'ERP Snapshot'!K14)</x:f>
      </x:c>
      <x:c r="N14" t="str">
        <x:f>IF(A14="","",COUNTIFS(Exceptions!$A$2:$A$101,A14,Exceptions!$E$2:$E$101,"Open"))</x:f>
      </x:c>
      <x:c r="O14" t="str">
        <x:f>IF(A14="","",IF(AND(C14="MXN",OR(D14="",E14="")),"FX HOLD",IF(E14&gt;D14,"REVIEW: ABOVE CUSTOMER PO",IF('PO Authorization'!H14="REVIEW: SNAPSHOT DIFFERS","REVIEW: PO SNAPSHOT",IF(E14=D14,"FULLY INVOICED",IF(E14&gt;0,"PARTIAL INVOICE","NOT INVOICED"))))))</x:f>
      </x:c>
      <x:c r="P14" t="str">
        <x:f>IF(A14="","",IF(OR(O14="FX HOLD",O14="REVIEW: PO SNAPSHOT",L14="OVER BUDGET",L14="BUDGET EXHAUSTED",O14="REVIEW: ABOVE CUSTOMER PO",'ERP Snapshot'!L14="YES"),"CRITICAL / REVIEW",IF(OR(L14="PO DATA REQUIRED",L14="BUDGET DATA REQUIRED",L14="REVIEW: NO BUDGET",L14="REVIEW: PO AMOUNT",N14&gt;0,M14&gt;0,F14&gt;0),"FOLLOW UP","NORMAL")))</x:f>
      </x:c>
      <x:c r="Q14" t="str">
        <x:f>IF(A14="","",'ERP Snapshot'!N14)</x:f>
      </x:c>
      <x:c r="R14" t="str">
        <x:f>IF(A14="","",'ERP Snapshot'!Q14)</x:f>
      </x:c>
      <x:c r="S14" t="str">
        <x:f>IF(A14="","",'ERP Snapshot'!R14)</x:f>
      </x:c>
      <x:c r="T14" t="str">
        <x:f>IF(A14="","",'ERP Snapshot'!C14)</x:f>
      </x:c>
    </x:row>
    <x:row r="15">
      <x:c r="A15" t="str">
        <x:f>IF('ERP Snapshot'!A15="","",'ERP Snapshot'!A15)</x:f>
      </x:c>
      <x:c r="B15" t="str">
        <x:f>IF(A15="","",'ERP Snapshot'!B15)</x:f>
      </x:c>
      <x:c r="C15" t="str">
        <x:f>IF(A15="","",'ERP Snapshot'!D15)</x:f>
      </x:c>
      <x:c r="D15" t="str">
        <x:f>IF(A15="","",IF(C15="MXN",IF(AND(Settings!$B$8="APPROVED",Settings!$B$9&lt;&gt;"",Settings!$B$10&lt;&gt;"",Settings!$B$2&gt;0),'PO Authorization'!F15/Settings!$B$2,""),'PO Authorization'!F15))</x:f>
      </x:c>
      <x:c r="E15" t="str">
        <x:f>IF(A15="","",IF(C15="MXN",IF(AND(Settings!$B$8="APPROVED",Settings!$B$9&lt;&gt;"",Settings!$B$10&lt;&gt;"",Settings!$B$2&gt;0),'ERP Snapshot'!I15/Settings!$B$2,""),'ERP Snapshot'!I15))</x:f>
      </x:c>
      <x:c r="F15" t="str">
        <x:f>IF(A15="","",IF(AND(ISNUMBER(D15),ISNUMBER(E15)),D15-E15,""))</x:f>
      </x:c>
      <x:c r="G15" t="str">
        <x:f>IF(A15="","",IF(ISNUMBER('ERP Snapshot'!F15),'ERP Snapshot'!F15,""))</x:f>
      </x:c>
      <x:c r="H15" t="str">
        <x:f>IF(A15="","",'ERP Snapshot'!G15)</x:f>
      </x:c>
      <x:c r="I15" t="str">
        <x:f>IF(A15="","",IF(ISNUMBER('ERP Snapshot'!S15),'ERP Snapshot'!S15,""))</x:f>
      </x:c>
      <x:c r="J15" t="str">
        <x:f>IF(A15="","",IF(AND(ISNUMBER(G15),ISNUMBER(I15)),G15-I15,""))</x:f>
      </x:c>
      <x:c r="K15" s="8" t="str">
        <x:f>IF(A15="","",IF(AND(ISNUMBER(G15),G15&gt;0,ISNUMBER(I15)),I15/G15,""))</x:f>
      </x:c>
      <x:c r="L15" t="str">
        <x:f>IF(A15="","",IF(NOT(ISNUMBER(G15)),"BUDGET DATA REQUIRED",IF(G15&lt;=0,"REVIEW: NO BUDGET",IF(NOT(ISNUMBER(I15)),"PO DATA REQUIRED",IF(I15&lt;0,"REVIEW: PO AMOUNT",IF(K15&gt;1,"OVER BUDGET",IF(K15=1,"BUDGET EXHAUSTED",IF(K15&gt;=Settings!$B$3,"PREVENTIVE ALERT","OK"))))))))</x:f>
      </x:c>
      <x:c r="M15" t="str">
        <x:f>IF(A15="","",'ERP Snapshot'!K15)</x:f>
      </x:c>
      <x:c r="N15" t="str">
        <x:f>IF(A15="","",COUNTIFS(Exceptions!$A$2:$A$101,A15,Exceptions!$E$2:$E$101,"Open"))</x:f>
      </x:c>
      <x:c r="O15" t="str">
        <x:f>IF(A15="","",IF(AND(C15="MXN",OR(D15="",E15="")),"FX HOLD",IF(E15&gt;D15,"REVIEW: ABOVE CUSTOMER PO",IF('PO Authorization'!H15="REVIEW: SNAPSHOT DIFFERS","REVIEW: PO SNAPSHOT",IF(E15=D15,"FULLY INVOICED",IF(E15&gt;0,"PARTIAL INVOICE","NOT INVOICED"))))))</x:f>
      </x:c>
      <x:c r="P15" t="str">
        <x:f>IF(A15="","",IF(OR(O15="FX HOLD",O15="REVIEW: PO SNAPSHOT",L15="OVER BUDGET",L15="BUDGET EXHAUSTED",O15="REVIEW: ABOVE CUSTOMER PO",'ERP Snapshot'!L15="YES"),"CRITICAL / REVIEW",IF(OR(L15="PO DATA REQUIRED",L15="BUDGET DATA REQUIRED",L15="REVIEW: NO BUDGET",L15="REVIEW: PO AMOUNT",N15&gt;0,M15&gt;0,F15&gt;0),"FOLLOW UP","NORMAL")))</x:f>
      </x:c>
      <x:c r="Q15" t="str">
        <x:f>IF(A15="","",'ERP Snapshot'!N15)</x:f>
      </x:c>
      <x:c r="R15" t="str">
        <x:f>IF(A15="","",'ERP Snapshot'!Q15)</x:f>
      </x:c>
      <x:c r="S15" t="str">
        <x:f>IF(A15="","",'ERP Snapshot'!R15)</x:f>
      </x:c>
      <x:c r="T15" t="str">
        <x:f>IF(A15="","",'ERP Snapshot'!C15)</x:f>
      </x:c>
    </x:row>
    <x:row r="16">
      <x:c r="A16" t="str">
        <x:f>IF('ERP Snapshot'!A16="","",'ERP Snapshot'!A16)</x:f>
      </x:c>
      <x:c r="B16" t="str">
        <x:f>IF(A16="","",'ERP Snapshot'!B16)</x:f>
      </x:c>
      <x:c r="C16" t="str">
        <x:f>IF(A16="","",'ERP Snapshot'!D16)</x:f>
      </x:c>
      <x:c r="D16" t="str">
        <x:f>IF(A16="","",IF(C16="MXN",IF(AND(Settings!$B$8="APPROVED",Settings!$B$9&lt;&gt;"",Settings!$B$10&lt;&gt;"",Settings!$B$2&gt;0),'PO Authorization'!F16/Settings!$B$2,""),'PO Authorization'!F16))</x:f>
      </x:c>
      <x:c r="E16" t="str">
        <x:f>IF(A16="","",IF(C16="MXN",IF(AND(Settings!$B$8="APPROVED",Settings!$B$9&lt;&gt;"",Settings!$B$10&lt;&gt;"",Settings!$B$2&gt;0),'ERP Snapshot'!I16/Settings!$B$2,""),'ERP Snapshot'!I16))</x:f>
      </x:c>
      <x:c r="F16" t="str">
        <x:f>IF(A16="","",IF(AND(ISNUMBER(D16),ISNUMBER(E16)),D16-E16,""))</x:f>
      </x:c>
      <x:c r="G16" t="str">
        <x:f>IF(A16="","",IF(ISNUMBER('ERP Snapshot'!F16),'ERP Snapshot'!F16,""))</x:f>
      </x:c>
      <x:c r="H16" t="str">
        <x:f>IF(A16="","",'ERP Snapshot'!G16)</x:f>
      </x:c>
      <x:c r="I16" t="str">
        <x:f>IF(A16="","",IF(ISNUMBER('ERP Snapshot'!S16),'ERP Snapshot'!S16,""))</x:f>
      </x:c>
      <x:c r="J16" t="str">
        <x:f>IF(A16="","",IF(AND(ISNUMBER(G16),ISNUMBER(I16)),G16-I16,""))</x:f>
      </x:c>
      <x:c r="K16" s="8" t="str">
        <x:f>IF(A16="","",IF(AND(ISNUMBER(G16),G16&gt;0,ISNUMBER(I16)),I16/G16,""))</x:f>
      </x:c>
      <x:c r="L16" t="str">
        <x:f>IF(A16="","",IF(NOT(ISNUMBER(G16)),"BUDGET DATA REQUIRED",IF(G16&lt;=0,"REVIEW: NO BUDGET",IF(NOT(ISNUMBER(I16)),"PO DATA REQUIRED",IF(I16&lt;0,"REVIEW: PO AMOUNT",IF(K16&gt;1,"OVER BUDGET",IF(K16=1,"BUDGET EXHAUSTED",IF(K16&gt;=Settings!$B$3,"PREVENTIVE ALERT","OK"))))))))</x:f>
      </x:c>
      <x:c r="M16" t="str">
        <x:f>IF(A16="","",'ERP Snapshot'!K16)</x:f>
      </x:c>
      <x:c r="N16" t="str">
        <x:f>IF(A16="","",COUNTIFS(Exceptions!$A$2:$A$101,A16,Exceptions!$E$2:$E$101,"Open"))</x:f>
      </x:c>
      <x:c r="O16" t="str">
        <x:f>IF(A16="","",IF(AND(C16="MXN",OR(D16="",E16="")),"FX HOLD",IF(E16&gt;D16,"REVIEW: ABOVE CUSTOMER PO",IF('PO Authorization'!H16="REVIEW: SNAPSHOT DIFFERS","REVIEW: PO SNAPSHOT",IF(E16=D16,"FULLY INVOICED",IF(E16&gt;0,"PARTIAL INVOICE","NOT INVOICED"))))))</x:f>
      </x:c>
      <x:c r="P16" t="str">
        <x:f>IF(A16="","",IF(OR(O16="FX HOLD",O16="REVIEW: PO SNAPSHOT",L16="OVER BUDGET",L16="BUDGET EXHAUSTED",O16="REVIEW: ABOVE CUSTOMER PO",'ERP Snapshot'!L16="YES"),"CRITICAL / REVIEW",IF(OR(L16="PO DATA REQUIRED",L16="BUDGET DATA REQUIRED",L16="REVIEW: NO BUDGET",L16="REVIEW: PO AMOUNT",N16&gt;0,M16&gt;0,F16&gt;0),"FOLLOW UP","NORMAL")))</x:f>
      </x:c>
      <x:c r="Q16" t="str">
        <x:f>IF(A16="","",'ERP Snapshot'!N16)</x:f>
      </x:c>
      <x:c r="R16" t="str">
        <x:f>IF(A16="","",'ERP Snapshot'!Q16)</x:f>
      </x:c>
      <x:c r="S16" t="str">
        <x:f>IF(A16="","",'ERP Snapshot'!R16)</x:f>
      </x:c>
      <x:c r="T16" t="str">
        <x:f>IF(A16="","",'ERP Snapshot'!C16)</x:f>
      </x:c>
    </x:row>
    <x:row r="17">
      <x:c r="A17" t="str">
        <x:f>IF('ERP Snapshot'!A17="","",'ERP Snapshot'!A17)</x:f>
      </x:c>
      <x:c r="B17" t="str">
        <x:f>IF(A17="","",'ERP Snapshot'!B17)</x:f>
      </x:c>
      <x:c r="C17" t="str">
        <x:f>IF(A17="","",'ERP Snapshot'!D17)</x:f>
      </x:c>
      <x:c r="D17" t="str">
        <x:f>IF(A17="","",IF(C17="MXN",IF(AND(Settings!$B$8="APPROVED",Settings!$B$9&lt;&gt;"",Settings!$B$10&lt;&gt;"",Settings!$B$2&gt;0),'PO Authorization'!F17/Settings!$B$2,""),'PO Authorization'!F17))</x:f>
      </x:c>
      <x:c r="E17" t="str">
        <x:f>IF(A17="","",IF(C17="MXN",IF(AND(Settings!$B$8="APPROVED",Settings!$B$9&lt;&gt;"",Settings!$B$10&lt;&gt;"",Settings!$B$2&gt;0),'ERP Snapshot'!I17/Settings!$B$2,""),'ERP Snapshot'!I17))</x:f>
      </x:c>
      <x:c r="F17" t="str">
        <x:f>IF(A17="","",IF(AND(ISNUMBER(D17),ISNUMBER(E17)),D17-E17,""))</x:f>
      </x:c>
      <x:c r="G17" t="str">
        <x:f>IF(A17="","",IF(ISNUMBER('ERP Snapshot'!F17),'ERP Snapshot'!F17,""))</x:f>
      </x:c>
      <x:c r="H17" t="str">
        <x:f>IF(A17="","",'ERP Snapshot'!G17)</x:f>
      </x:c>
      <x:c r="I17" t="str">
        <x:f>IF(A17="","",IF(ISNUMBER('ERP Snapshot'!S17),'ERP Snapshot'!S17,""))</x:f>
      </x:c>
      <x:c r="J17" t="str">
        <x:f>IF(A17="","",IF(AND(ISNUMBER(G17),ISNUMBER(I17)),G17-I17,""))</x:f>
      </x:c>
      <x:c r="K17" s="8" t="str">
        <x:f>IF(A17="","",IF(AND(ISNUMBER(G17),G17&gt;0,ISNUMBER(I17)),I17/G17,""))</x:f>
      </x:c>
      <x:c r="L17" t="str">
        <x:f>IF(A17="","",IF(NOT(ISNUMBER(G17)),"BUDGET DATA REQUIRED",IF(G17&lt;=0,"REVIEW: NO BUDGET",IF(NOT(ISNUMBER(I17)),"PO DATA REQUIRED",IF(I17&lt;0,"REVIEW: PO AMOUNT",IF(K17&gt;1,"OVER BUDGET",IF(K17=1,"BUDGET EXHAUSTED",IF(K17&gt;=Settings!$B$3,"PREVENTIVE ALERT","OK"))))))))</x:f>
      </x:c>
      <x:c r="M17" t="str">
        <x:f>IF(A17="","",'ERP Snapshot'!K17)</x:f>
      </x:c>
      <x:c r="N17" t="str">
        <x:f>IF(A17="","",COUNTIFS(Exceptions!$A$2:$A$101,A17,Exceptions!$E$2:$E$101,"Open"))</x:f>
      </x:c>
      <x:c r="O17" t="str">
        <x:f>IF(A17="","",IF(AND(C17="MXN",OR(D17="",E17="")),"FX HOLD",IF(E17&gt;D17,"REVIEW: ABOVE CUSTOMER PO",IF('PO Authorization'!H17="REVIEW: SNAPSHOT DIFFERS","REVIEW: PO SNAPSHOT",IF(E17=D17,"FULLY INVOICED",IF(E17&gt;0,"PARTIAL INVOICE","NOT INVOICED"))))))</x:f>
      </x:c>
      <x:c r="P17" t="str">
        <x:f>IF(A17="","",IF(OR(O17="FX HOLD",O17="REVIEW: PO SNAPSHOT",L17="OVER BUDGET",L17="BUDGET EXHAUSTED",O17="REVIEW: ABOVE CUSTOMER PO",'ERP Snapshot'!L17="YES"),"CRITICAL / REVIEW",IF(OR(L17="PO DATA REQUIRED",L17="BUDGET DATA REQUIRED",L17="REVIEW: NO BUDGET",L17="REVIEW: PO AMOUNT",N17&gt;0,M17&gt;0,F17&gt;0),"FOLLOW UP","NORMAL")))</x:f>
      </x:c>
      <x:c r="Q17" t="str">
        <x:f>IF(A17="","",'ERP Snapshot'!N17)</x:f>
      </x:c>
      <x:c r="R17" t="str">
        <x:f>IF(A17="","",'ERP Snapshot'!Q17)</x:f>
      </x:c>
      <x:c r="S17" t="str">
        <x:f>IF(A17="","",'ERP Snapshot'!R17)</x:f>
      </x:c>
      <x:c r="T17" t="str">
        <x:f>IF(A17="","",'ERP Snapshot'!C17)</x:f>
      </x:c>
    </x:row>
    <x:row r="18">
      <x:c r="A18" t="str">
        <x:f>IF('ERP Snapshot'!A18="","",'ERP Snapshot'!A18)</x:f>
      </x:c>
      <x:c r="B18" t="str">
        <x:f>IF(A18="","",'ERP Snapshot'!B18)</x:f>
      </x:c>
      <x:c r="C18" t="str">
        <x:f>IF(A18="","",'ERP Snapshot'!D18)</x:f>
      </x:c>
      <x:c r="D18" t="str">
        <x:f>IF(A18="","",IF(C18="MXN",IF(AND(Settings!$B$8="APPROVED",Settings!$B$9&lt;&gt;"",Settings!$B$10&lt;&gt;"",Settings!$B$2&gt;0),'PO Authorization'!F18/Settings!$B$2,""),'PO Authorization'!F18))</x:f>
      </x:c>
      <x:c r="E18" t="str">
        <x:f>IF(A18="","",IF(C18="MXN",IF(AND(Settings!$B$8="APPROVED",Settings!$B$9&lt;&gt;"",Settings!$B$10&lt;&gt;"",Settings!$B$2&gt;0),'ERP Snapshot'!I18/Settings!$B$2,""),'ERP Snapshot'!I18))</x:f>
      </x:c>
      <x:c r="F18" t="str">
        <x:f>IF(A18="","",IF(AND(ISNUMBER(D18),ISNUMBER(E18)),D18-E18,""))</x:f>
      </x:c>
      <x:c r="G18" t="str">
        <x:f>IF(A18="","",IF(ISNUMBER('ERP Snapshot'!F18),'ERP Snapshot'!F18,""))</x:f>
      </x:c>
      <x:c r="H18" t="str">
        <x:f>IF(A18="","",'ERP Snapshot'!G18)</x:f>
      </x:c>
      <x:c r="I18" t="str">
        <x:f>IF(A18="","",IF(ISNUMBER('ERP Snapshot'!S18),'ERP Snapshot'!S18,""))</x:f>
      </x:c>
      <x:c r="J18" t="str">
        <x:f>IF(A18="","",IF(AND(ISNUMBER(G18),ISNUMBER(I18)),G18-I18,""))</x:f>
      </x:c>
      <x:c r="K18" s="8" t="str">
        <x:f>IF(A18="","",IF(AND(ISNUMBER(G18),G18&gt;0,ISNUMBER(I18)),I18/G18,""))</x:f>
      </x:c>
      <x:c r="L18" t="str">
        <x:f>IF(A18="","",IF(NOT(ISNUMBER(G18)),"BUDGET DATA REQUIRED",IF(G18&lt;=0,"REVIEW: NO BUDGET",IF(NOT(ISNUMBER(I18)),"PO DATA REQUIRED",IF(I18&lt;0,"REVIEW: PO AMOUNT",IF(K18&gt;1,"OVER BUDGET",IF(K18=1,"BUDGET EXHAUSTED",IF(K18&gt;=Settings!$B$3,"PREVENTIVE ALERT","OK"))))))))</x:f>
      </x:c>
      <x:c r="M18" t="str">
        <x:f>IF(A18="","",'ERP Snapshot'!K18)</x:f>
      </x:c>
      <x:c r="N18" t="str">
        <x:f>IF(A18="","",COUNTIFS(Exceptions!$A$2:$A$101,A18,Exceptions!$E$2:$E$101,"Open"))</x:f>
      </x:c>
      <x:c r="O18" t="str">
        <x:f>IF(A18="","",IF(AND(C18="MXN",OR(D18="",E18="")),"FX HOLD",IF(E18&gt;D18,"REVIEW: ABOVE CUSTOMER PO",IF('PO Authorization'!H18="REVIEW: SNAPSHOT DIFFERS","REVIEW: PO SNAPSHOT",IF(E18=D18,"FULLY INVOICED",IF(E18&gt;0,"PARTIAL INVOICE","NOT INVOICED"))))))</x:f>
      </x:c>
      <x:c r="P18" t="str">
        <x:f>IF(A18="","",IF(OR(O18="FX HOLD",O18="REVIEW: PO SNAPSHOT",L18="OVER BUDGET",L18="BUDGET EXHAUSTED",O18="REVIEW: ABOVE CUSTOMER PO",'ERP Snapshot'!L18="YES"),"CRITICAL / REVIEW",IF(OR(L18="PO DATA REQUIRED",L18="BUDGET DATA REQUIRED",L18="REVIEW: NO BUDGET",L18="REVIEW: PO AMOUNT",N18&gt;0,M18&gt;0,F18&gt;0),"FOLLOW UP","NORMAL")))</x:f>
      </x:c>
      <x:c r="Q18" t="str">
        <x:f>IF(A18="","",'ERP Snapshot'!N18)</x:f>
      </x:c>
      <x:c r="R18" t="str">
        <x:f>IF(A18="","",'ERP Snapshot'!Q18)</x:f>
      </x:c>
      <x:c r="S18" t="str">
        <x:f>IF(A18="","",'ERP Snapshot'!R18)</x:f>
      </x:c>
      <x:c r="T18" t="str">
        <x:f>IF(A18="","",'ERP Snapshot'!C18)</x:f>
      </x:c>
    </x:row>
    <x:row r="19">
      <x:c r="A19" t="str">
        <x:f>IF('ERP Snapshot'!A19="","",'ERP Snapshot'!A19)</x:f>
      </x:c>
      <x:c r="B19" t="str">
        <x:f>IF(A19="","",'ERP Snapshot'!B19)</x:f>
      </x:c>
      <x:c r="C19" t="str">
        <x:f>IF(A19="","",'ERP Snapshot'!D19)</x:f>
      </x:c>
      <x:c r="D19" t="str">
        <x:f>IF(A19="","",IF(C19="MXN",IF(AND(Settings!$B$8="APPROVED",Settings!$B$9&lt;&gt;"",Settings!$B$10&lt;&gt;"",Settings!$B$2&gt;0),'PO Authorization'!F19/Settings!$B$2,""),'PO Authorization'!F19))</x:f>
      </x:c>
      <x:c r="E19" t="str">
        <x:f>IF(A19="","",IF(C19="MXN",IF(AND(Settings!$B$8="APPROVED",Settings!$B$9&lt;&gt;"",Settings!$B$10&lt;&gt;"",Settings!$B$2&gt;0),'ERP Snapshot'!I19/Settings!$B$2,""),'ERP Snapshot'!I19))</x:f>
      </x:c>
      <x:c r="F19" t="str">
        <x:f>IF(A19="","",IF(AND(ISNUMBER(D19),ISNUMBER(E19)),D19-E19,""))</x:f>
      </x:c>
      <x:c r="G19" t="str">
        <x:f>IF(A19="","",IF(ISNUMBER('ERP Snapshot'!F19),'ERP Snapshot'!F19,""))</x:f>
      </x:c>
      <x:c r="H19" t="str">
        <x:f>IF(A19="","",'ERP Snapshot'!G19)</x:f>
      </x:c>
      <x:c r="I19" t="str">
        <x:f>IF(A19="","",IF(ISNUMBER('ERP Snapshot'!S19),'ERP Snapshot'!S19,""))</x:f>
      </x:c>
      <x:c r="J19" t="str">
        <x:f>IF(A19="","",IF(AND(ISNUMBER(G19),ISNUMBER(I19)),G19-I19,""))</x:f>
      </x:c>
      <x:c r="K19" s="8" t="str">
        <x:f>IF(A19="","",IF(AND(ISNUMBER(G19),G19&gt;0,ISNUMBER(I19)),I19/G19,""))</x:f>
      </x:c>
      <x:c r="L19" t="str">
        <x:f>IF(A19="","",IF(NOT(ISNUMBER(G19)),"BUDGET DATA REQUIRED",IF(G19&lt;=0,"REVIEW: NO BUDGET",IF(NOT(ISNUMBER(I19)),"PO DATA REQUIRED",IF(I19&lt;0,"REVIEW: PO AMOUNT",IF(K19&gt;1,"OVER BUDGET",IF(K19=1,"BUDGET EXHAUSTED",IF(K19&gt;=Settings!$B$3,"PREVENTIVE ALERT","OK"))))))))</x:f>
      </x:c>
      <x:c r="M19" t="str">
        <x:f>IF(A19="","",'ERP Snapshot'!K19)</x:f>
      </x:c>
      <x:c r="N19" t="str">
        <x:f>IF(A19="","",COUNTIFS(Exceptions!$A$2:$A$101,A19,Exceptions!$E$2:$E$101,"Open"))</x:f>
      </x:c>
      <x:c r="O19" t="str">
        <x:f>IF(A19="","",IF(AND(C19="MXN",OR(D19="",E19="")),"FX HOLD",IF(E19&gt;D19,"REVIEW: ABOVE CUSTOMER PO",IF('PO Authorization'!H19="REVIEW: SNAPSHOT DIFFERS","REVIEW: PO SNAPSHOT",IF(E19=D19,"FULLY INVOICED",IF(E19&gt;0,"PARTIAL INVOICE","NOT INVOICED"))))))</x:f>
      </x:c>
      <x:c r="P19" t="str">
        <x:f>IF(A19="","",IF(OR(O19="FX HOLD",O19="REVIEW: PO SNAPSHOT",L19="OVER BUDGET",L19="BUDGET EXHAUSTED",O19="REVIEW: ABOVE CUSTOMER PO",'ERP Snapshot'!L19="YES"),"CRITICAL / REVIEW",IF(OR(L19="PO DATA REQUIRED",L19="BUDGET DATA REQUIRED",L19="REVIEW: NO BUDGET",L19="REVIEW: PO AMOUNT",N19&gt;0,M19&gt;0,F19&gt;0),"FOLLOW UP","NORMAL")))</x:f>
      </x:c>
      <x:c r="Q19" t="str">
        <x:f>IF(A19="","",'ERP Snapshot'!N19)</x:f>
      </x:c>
      <x:c r="R19" t="str">
        <x:f>IF(A19="","",'ERP Snapshot'!Q19)</x:f>
      </x:c>
      <x:c r="S19" t="str">
        <x:f>IF(A19="","",'ERP Snapshot'!R19)</x:f>
      </x:c>
      <x:c r="T19" t="str">
        <x:f>IF(A19="","",'ERP Snapshot'!C19)</x:f>
      </x:c>
    </x:row>
    <x:row r="20">
      <x:c r="A20" t="str">
        <x:f>IF('ERP Snapshot'!A20="","",'ERP Snapshot'!A20)</x:f>
      </x:c>
      <x:c r="B20" t="str">
        <x:f>IF(A20="","",'ERP Snapshot'!B20)</x:f>
      </x:c>
      <x:c r="C20" t="str">
        <x:f>IF(A20="","",'ERP Snapshot'!D20)</x:f>
      </x:c>
      <x:c r="D20" t="str">
        <x:f>IF(A20="","",IF(C20="MXN",IF(AND(Settings!$B$8="APPROVED",Settings!$B$9&lt;&gt;"",Settings!$B$10&lt;&gt;"",Settings!$B$2&gt;0),'PO Authorization'!F20/Settings!$B$2,""),'PO Authorization'!F20))</x:f>
      </x:c>
      <x:c r="E20" t="str">
        <x:f>IF(A20="","",IF(C20="MXN",IF(AND(Settings!$B$8="APPROVED",Settings!$B$9&lt;&gt;"",Settings!$B$10&lt;&gt;"",Settings!$B$2&gt;0),'ERP Snapshot'!I20/Settings!$B$2,""),'ERP Snapshot'!I20))</x:f>
      </x:c>
      <x:c r="F20" t="str">
        <x:f>IF(A20="","",IF(AND(ISNUMBER(D20),ISNUMBER(E20)),D20-E20,""))</x:f>
      </x:c>
      <x:c r="G20" t="str">
        <x:f>IF(A20="","",IF(ISNUMBER('ERP Snapshot'!F20),'ERP Snapshot'!F20,""))</x:f>
      </x:c>
      <x:c r="H20" t="str">
        <x:f>IF(A20="","",'ERP Snapshot'!G20)</x:f>
      </x:c>
      <x:c r="I20" t="str">
        <x:f>IF(A20="","",IF(ISNUMBER('ERP Snapshot'!S20),'ERP Snapshot'!S20,""))</x:f>
      </x:c>
      <x:c r="J20" t="str">
        <x:f>IF(A20="","",IF(AND(ISNUMBER(G20),ISNUMBER(I20)),G20-I20,""))</x:f>
      </x:c>
      <x:c r="K20" s="8" t="str">
        <x:f>IF(A20="","",IF(AND(ISNUMBER(G20),G20&gt;0,ISNUMBER(I20)),I20/G20,""))</x:f>
      </x:c>
      <x:c r="L20" t="str">
        <x:f>IF(A20="","",IF(NOT(ISNUMBER(G20)),"BUDGET DATA REQUIRED",IF(G20&lt;=0,"REVIEW: NO BUDGET",IF(NOT(ISNUMBER(I20)),"PO DATA REQUIRED",IF(I20&lt;0,"REVIEW: PO AMOUNT",IF(K20&gt;1,"OVER BUDGET",IF(K20=1,"BUDGET EXHAUSTED",IF(K20&gt;=Settings!$B$3,"PREVENTIVE ALERT","OK"))))))))</x:f>
      </x:c>
      <x:c r="M20" t="str">
        <x:f>IF(A20="","",'ERP Snapshot'!K20)</x:f>
      </x:c>
      <x:c r="N20" t="str">
        <x:f>IF(A20="","",COUNTIFS(Exceptions!$A$2:$A$101,A20,Exceptions!$E$2:$E$101,"Open"))</x:f>
      </x:c>
      <x:c r="O20" t="str">
        <x:f>IF(A20="","",IF(AND(C20="MXN",OR(D20="",E20="")),"FX HOLD",IF(E20&gt;D20,"REVIEW: ABOVE CUSTOMER PO",IF('PO Authorization'!H20="REVIEW: SNAPSHOT DIFFERS","REVIEW: PO SNAPSHOT",IF(E20=D20,"FULLY INVOICED",IF(E20&gt;0,"PARTIAL INVOICE","NOT INVOICED"))))))</x:f>
      </x:c>
      <x:c r="P20" t="str">
        <x:f>IF(A20="","",IF(OR(O20="FX HOLD",O20="REVIEW: PO SNAPSHOT",L20="OVER BUDGET",L20="BUDGET EXHAUSTED",O20="REVIEW: ABOVE CUSTOMER PO",'ERP Snapshot'!L20="YES"),"CRITICAL / REVIEW",IF(OR(L20="PO DATA REQUIRED",L20="BUDGET DATA REQUIRED",L20="REVIEW: NO BUDGET",L20="REVIEW: PO AMOUNT",N20&gt;0,M20&gt;0,F20&gt;0),"FOLLOW UP","NORMAL")))</x:f>
      </x:c>
      <x:c r="Q20" t="str">
        <x:f>IF(A20="","",'ERP Snapshot'!N20)</x:f>
      </x:c>
      <x:c r="R20" t="str">
        <x:f>IF(A20="","",'ERP Snapshot'!Q20)</x:f>
      </x:c>
      <x:c r="S20" t="str">
        <x:f>IF(A20="","",'ERP Snapshot'!R20)</x:f>
      </x:c>
      <x:c r="T20" t="str">
        <x:f>IF(A20="","",'ERP Snapshot'!C20)</x:f>
      </x:c>
    </x:row>
    <x:row r="21">
      <x:c r="A21" t="str">
        <x:f>IF('ERP Snapshot'!A21="","",'ERP Snapshot'!A21)</x:f>
      </x:c>
      <x:c r="B21" t="str">
        <x:f>IF(A21="","",'ERP Snapshot'!B21)</x:f>
      </x:c>
      <x:c r="C21" t="str">
        <x:f>IF(A21="","",'ERP Snapshot'!D21)</x:f>
      </x:c>
      <x:c r="D21" t="str">
        <x:f>IF(A21="","",IF(C21="MXN",IF(AND(Settings!$B$8="APPROVED",Settings!$B$9&lt;&gt;"",Settings!$B$10&lt;&gt;"",Settings!$B$2&gt;0),'PO Authorization'!F21/Settings!$B$2,""),'PO Authorization'!F21))</x:f>
      </x:c>
      <x:c r="E21" t="str">
        <x:f>IF(A21="","",IF(C21="MXN",IF(AND(Settings!$B$8="APPROVED",Settings!$B$9&lt;&gt;"",Settings!$B$10&lt;&gt;"",Settings!$B$2&gt;0),'ERP Snapshot'!I21/Settings!$B$2,""),'ERP Snapshot'!I21))</x:f>
      </x:c>
      <x:c r="F21" t="str">
        <x:f>IF(A21="","",IF(AND(ISNUMBER(D21),ISNUMBER(E21)),D21-E21,""))</x:f>
      </x:c>
      <x:c r="G21" t="str">
        <x:f>IF(A21="","",IF(ISNUMBER('ERP Snapshot'!F21),'ERP Snapshot'!F21,""))</x:f>
      </x:c>
      <x:c r="H21" t="str">
        <x:f>IF(A21="","",'ERP Snapshot'!G21)</x:f>
      </x:c>
      <x:c r="I21" t="str">
        <x:f>IF(A21="","",IF(ISNUMBER('ERP Snapshot'!S21),'ERP Snapshot'!S21,""))</x:f>
      </x:c>
      <x:c r="J21" t="str">
        <x:f>IF(A21="","",IF(AND(ISNUMBER(G21),ISNUMBER(I21)),G21-I21,""))</x:f>
      </x:c>
      <x:c r="K21" s="8" t="str">
        <x:f>IF(A21="","",IF(AND(ISNUMBER(G21),G21&gt;0,ISNUMBER(I21)),I21/G21,""))</x:f>
      </x:c>
      <x:c r="L21" t="str">
        <x:f>IF(A21="","",IF(NOT(ISNUMBER(G21)),"BUDGET DATA REQUIRED",IF(G21&lt;=0,"REVIEW: NO BUDGET",IF(NOT(ISNUMBER(I21)),"PO DATA REQUIRED",IF(I21&lt;0,"REVIEW: PO AMOUNT",IF(K21&gt;1,"OVER BUDGET",IF(K21=1,"BUDGET EXHAUSTED",IF(K21&gt;=Settings!$B$3,"PREVENTIVE ALERT","OK"))))))))</x:f>
      </x:c>
      <x:c r="M21" t="str">
        <x:f>IF(A21="","",'ERP Snapshot'!K21)</x:f>
      </x:c>
      <x:c r="N21" t="str">
        <x:f>IF(A21="","",COUNTIFS(Exceptions!$A$2:$A$101,A21,Exceptions!$E$2:$E$101,"Open"))</x:f>
      </x:c>
      <x:c r="O21" t="str">
        <x:f>IF(A21="","",IF(AND(C21="MXN",OR(D21="",E21="")),"FX HOLD",IF(E21&gt;D21,"REVIEW: ABOVE CUSTOMER PO",IF('PO Authorization'!H21="REVIEW: SNAPSHOT DIFFERS","REVIEW: PO SNAPSHOT",IF(E21=D21,"FULLY INVOICED",IF(E21&gt;0,"PARTIAL INVOICE","NOT INVOICED"))))))</x:f>
      </x:c>
      <x:c r="P21" t="str">
        <x:f>IF(A21="","",IF(OR(O21="FX HOLD",O21="REVIEW: PO SNAPSHOT",L21="OVER BUDGET",L21="BUDGET EXHAUSTED",O21="REVIEW: ABOVE CUSTOMER PO",'ERP Snapshot'!L21="YES"),"CRITICAL / REVIEW",IF(OR(L21="PO DATA REQUIRED",L21="BUDGET DATA REQUIRED",L21="REVIEW: NO BUDGET",L21="REVIEW: PO AMOUNT",N21&gt;0,M21&gt;0,F21&gt;0),"FOLLOW UP","NORMAL")))</x:f>
      </x:c>
      <x:c r="Q21" t="str">
        <x:f>IF(A21="","",'ERP Snapshot'!N21)</x:f>
      </x:c>
      <x:c r="R21" t="str">
        <x:f>IF(A21="","",'ERP Snapshot'!Q21)</x:f>
      </x:c>
      <x:c r="S21" t="str">
        <x:f>IF(A21="","",'ERP Snapshot'!R21)</x:f>
      </x:c>
      <x:c r="T21" t="str">
        <x:f>IF(A21="","",'ERP Snapshot'!C21)</x:f>
      </x:c>
    </x:row>
    <x:row r="22">
      <x:c r="A22" t="str">
        <x:f>IF('ERP Snapshot'!A22="","",'ERP Snapshot'!A22)</x:f>
      </x:c>
      <x:c r="B22" t="str">
        <x:f>IF(A22="","",'ERP Snapshot'!B22)</x:f>
      </x:c>
      <x:c r="C22" t="str">
        <x:f>IF(A22="","",'ERP Snapshot'!D22)</x:f>
      </x:c>
      <x:c r="D22" t="str">
        <x:f>IF(A22="","",IF(C22="MXN",IF(AND(Settings!$B$8="APPROVED",Settings!$B$9&lt;&gt;"",Settings!$B$10&lt;&gt;"",Settings!$B$2&gt;0),'PO Authorization'!F22/Settings!$B$2,""),'PO Authorization'!F22))</x:f>
      </x:c>
      <x:c r="E22" t="str">
        <x:f>IF(A22="","",IF(C22="MXN",IF(AND(Settings!$B$8="APPROVED",Settings!$B$9&lt;&gt;"",Settings!$B$10&lt;&gt;"",Settings!$B$2&gt;0),'ERP Snapshot'!I22/Settings!$B$2,""),'ERP Snapshot'!I22))</x:f>
      </x:c>
      <x:c r="F22" t="str">
        <x:f>IF(A22="","",IF(AND(ISNUMBER(D22),ISNUMBER(E22)),D22-E22,""))</x:f>
      </x:c>
      <x:c r="G22" t="str">
        <x:f>IF(A22="","",IF(ISNUMBER('ERP Snapshot'!F22),'ERP Snapshot'!F22,""))</x:f>
      </x:c>
      <x:c r="H22" t="str">
        <x:f>IF(A22="","",'ERP Snapshot'!G22)</x:f>
      </x:c>
      <x:c r="I22" t="str">
        <x:f>IF(A22="","",IF(ISNUMBER('ERP Snapshot'!S22),'ERP Snapshot'!S22,""))</x:f>
      </x:c>
      <x:c r="J22" t="str">
        <x:f>IF(A22="","",IF(AND(ISNUMBER(G22),ISNUMBER(I22)),G22-I22,""))</x:f>
      </x:c>
      <x:c r="K22" s="8" t="str">
        <x:f>IF(A22="","",IF(AND(ISNUMBER(G22),G22&gt;0,ISNUMBER(I22)),I22/G22,""))</x:f>
      </x:c>
      <x:c r="L22" t="str">
        <x:f>IF(A22="","",IF(NOT(ISNUMBER(G22)),"BUDGET DATA REQUIRED",IF(G22&lt;=0,"REVIEW: NO BUDGET",IF(NOT(ISNUMBER(I22)),"PO DATA REQUIRED",IF(I22&lt;0,"REVIEW: PO AMOUNT",IF(K22&gt;1,"OVER BUDGET",IF(K22=1,"BUDGET EXHAUSTED",IF(K22&gt;=Settings!$B$3,"PREVENTIVE ALERT","OK"))))))))</x:f>
      </x:c>
      <x:c r="M22" t="str">
        <x:f>IF(A22="","",'ERP Snapshot'!K22)</x:f>
      </x:c>
      <x:c r="N22" t="str">
        <x:f>IF(A22="","",COUNTIFS(Exceptions!$A$2:$A$101,A22,Exceptions!$E$2:$E$101,"Open"))</x:f>
      </x:c>
      <x:c r="O22" t="str">
        <x:f>IF(A22="","",IF(AND(C22="MXN",OR(D22="",E22="")),"FX HOLD",IF(E22&gt;D22,"REVIEW: ABOVE CUSTOMER PO",IF('PO Authorization'!H22="REVIEW: SNAPSHOT DIFFERS","REVIEW: PO SNAPSHOT",IF(E22=D22,"FULLY INVOICED",IF(E22&gt;0,"PARTIAL INVOICE","NOT INVOICED"))))))</x:f>
      </x:c>
      <x:c r="P22" t="str">
        <x:f>IF(A22="","",IF(OR(O22="FX HOLD",O22="REVIEW: PO SNAPSHOT",L22="OVER BUDGET",L22="BUDGET EXHAUSTED",O22="REVIEW: ABOVE CUSTOMER PO",'ERP Snapshot'!L22="YES"),"CRITICAL / REVIEW",IF(OR(L22="PO DATA REQUIRED",L22="BUDGET DATA REQUIRED",L22="REVIEW: NO BUDGET",L22="REVIEW: PO AMOUNT",N22&gt;0,M22&gt;0,F22&gt;0),"FOLLOW UP","NORMAL")))</x:f>
      </x:c>
      <x:c r="Q22" t="str">
        <x:f>IF(A22="","",'ERP Snapshot'!N22)</x:f>
      </x:c>
      <x:c r="R22" t="str">
        <x:f>IF(A22="","",'ERP Snapshot'!Q22)</x:f>
      </x:c>
      <x:c r="S22" t="str">
        <x:f>IF(A22="","",'ERP Snapshot'!R22)</x:f>
      </x:c>
      <x:c r="T22" t="str">
        <x:f>IF(A22="","",'ERP Snapshot'!C22)</x:f>
      </x:c>
    </x:row>
    <x:row r="23">
      <x:c r="A23" t="str">
        <x:f>IF('ERP Snapshot'!A23="","",'ERP Snapshot'!A23)</x:f>
      </x:c>
      <x:c r="B23" t="str">
        <x:f>IF(A23="","",'ERP Snapshot'!B23)</x:f>
      </x:c>
      <x:c r="C23" t="str">
        <x:f>IF(A23="","",'ERP Snapshot'!D23)</x:f>
      </x:c>
      <x:c r="D23" t="str">
        <x:f>IF(A23="","",IF(C23="MXN",IF(AND(Settings!$B$8="APPROVED",Settings!$B$9&lt;&gt;"",Settings!$B$10&lt;&gt;"",Settings!$B$2&gt;0),'PO Authorization'!F23/Settings!$B$2,""),'PO Authorization'!F23))</x:f>
      </x:c>
      <x:c r="E23" t="str">
        <x:f>IF(A23="","",IF(C23="MXN",IF(AND(Settings!$B$8="APPROVED",Settings!$B$9&lt;&gt;"",Settings!$B$10&lt;&gt;"",Settings!$B$2&gt;0),'ERP Snapshot'!I23/Settings!$B$2,""),'ERP Snapshot'!I23))</x:f>
      </x:c>
      <x:c r="F23" t="str">
        <x:f>IF(A23="","",IF(AND(ISNUMBER(D23),ISNUMBER(E23)),D23-E23,""))</x:f>
      </x:c>
      <x:c r="G23" t="str">
        <x:f>IF(A23="","",IF(ISNUMBER('ERP Snapshot'!F23),'ERP Snapshot'!F23,""))</x:f>
      </x:c>
      <x:c r="H23" t="str">
        <x:f>IF(A23="","",'ERP Snapshot'!G23)</x:f>
      </x:c>
      <x:c r="I23" t="str">
        <x:f>IF(A23="","",IF(ISNUMBER('ERP Snapshot'!S23),'ERP Snapshot'!S23,""))</x:f>
      </x:c>
      <x:c r="J23" t="str">
        <x:f>IF(A23="","",IF(AND(ISNUMBER(G23),ISNUMBER(I23)),G23-I23,""))</x:f>
      </x:c>
      <x:c r="K23" s="8" t="str">
        <x:f>IF(A23="","",IF(AND(ISNUMBER(G23),G23&gt;0,ISNUMBER(I23)),I23/G23,""))</x:f>
      </x:c>
      <x:c r="L23" t="str">
        <x:f>IF(A23="","",IF(NOT(ISNUMBER(G23)),"BUDGET DATA REQUIRED",IF(G23&lt;=0,"REVIEW: NO BUDGET",IF(NOT(ISNUMBER(I23)),"PO DATA REQUIRED",IF(I23&lt;0,"REVIEW: PO AMOUNT",IF(K23&gt;1,"OVER BUDGET",IF(K23=1,"BUDGET EXHAUSTED",IF(K23&gt;=Settings!$B$3,"PREVENTIVE ALERT","OK"))))))))</x:f>
      </x:c>
      <x:c r="M23" t="str">
        <x:f>IF(A23="","",'ERP Snapshot'!K23)</x:f>
      </x:c>
      <x:c r="N23" t="str">
        <x:f>IF(A23="","",COUNTIFS(Exceptions!$A$2:$A$101,A23,Exceptions!$E$2:$E$101,"Open"))</x:f>
      </x:c>
      <x:c r="O23" t="str">
        <x:f>IF(A23="","",IF(AND(C23="MXN",OR(D23="",E23="")),"FX HOLD",IF(E23&gt;D23,"REVIEW: ABOVE CUSTOMER PO",IF('PO Authorization'!H23="REVIEW: SNAPSHOT DIFFERS","REVIEW: PO SNAPSHOT",IF(E23=D23,"FULLY INVOICED",IF(E23&gt;0,"PARTIAL INVOICE","NOT INVOICED"))))))</x:f>
      </x:c>
      <x:c r="P23" t="str">
        <x:f>IF(A23="","",IF(OR(O23="FX HOLD",O23="REVIEW: PO SNAPSHOT",L23="OVER BUDGET",L23="BUDGET EXHAUSTED",O23="REVIEW: ABOVE CUSTOMER PO",'ERP Snapshot'!L23="YES"),"CRITICAL / REVIEW",IF(OR(L23="PO DATA REQUIRED",L23="BUDGET DATA REQUIRED",L23="REVIEW: NO BUDGET",L23="REVIEW: PO AMOUNT",N23&gt;0,M23&gt;0,F23&gt;0),"FOLLOW UP","NORMAL")))</x:f>
      </x:c>
      <x:c r="Q23" t="str">
        <x:f>IF(A23="","",'ERP Snapshot'!N23)</x:f>
      </x:c>
      <x:c r="R23" t="str">
        <x:f>IF(A23="","",'ERP Snapshot'!Q23)</x:f>
      </x:c>
      <x:c r="S23" t="str">
        <x:f>IF(A23="","",'ERP Snapshot'!R23)</x:f>
      </x:c>
      <x:c r="T23" t="str">
        <x:f>IF(A23="","",'ERP Snapshot'!C23)</x:f>
      </x:c>
    </x:row>
    <x:row r="24">
      <x:c r="A24" t="str">
        <x:f>IF('ERP Snapshot'!A24="","",'ERP Snapshot'!A24)</x:f>
      </x:c>
      <x:c r="B24" t="str">
        <x:f>IF(A24="","",'ERP Snapshot'!B24)</x:f>
      </x:c>
      <x:c r="C24" t="str">
        <x:f>IF(A24="","",'ERP Snapshot'!D24)</x:f>
      </x:c>
      <x:c r="D24" t="str">
        <x:f>IF(A24="","",IF(C24="MXN",IF(AND(Settings!$B$8="APPROVED",Settings!$B$9&lt;&gt;"",Settings!$B$10&lt;&gt;"",Settings!$B$2&gt;0),'PO Authorization'!F24/Settings!$B$2,""),'PO Authorization'!F24))</x:f>
      </x:c>
      <x:c r="E24" t="str">
        <x:f>IF(A24="","",IF(C24="MXN",IF(AND(Settings!$B$8="APPROVED",Settings!$B$9&lt;&gt;"",Settings!$B$10&lt;&gt;"",Settings!$B$2&gt;0),'ERP Snapshot'!I24/Settings!$B$2,""),'ERP Snapshot'!I24))</x:f>
      </x:c>
      <x:c r="F24" t="str">
        <x:f>IF(A24="","",IF(AND(ISNUMBER(D24),ISNUMBER(E24)),D24-E24,""))</x:f>
      </x:c>
      <x:c r="G24" t="str">
        <x:f>IF(A24="","",IF(ISNUMBER('ERP Snapshot'!F24),'ERP Snapshot'!F24,""))</x:f>
      </x:c>
      <x:c r="H24" t="str">
        <x:f>IF(A24="","",'ERP Snapshot'!G24)</x:f>
      </x:c>
      <x:c r="I24" t="str">
        <x:f>IF(A24="","",IF(ISNUMBER('ERP Snapshot'!S24),'ERP Snapshot'!S24,""))</x:f>
      </x:c>
      <x:c r="J24" t="str">
        <x:f>IF(A24="","",IF(AND(ISNUMBER(G24),ISNUMBER(I24)),G24-I24,""))</x:f>
      </x:c>
      <x:c r="K24" s="8" t="str">
        <x:f>IF(A24="","",IF(AND(ISNUMBER(G24),G24&gt;0,ISNUMBER(I24)),I24/G24,""))</x:f>
      </x:c>
      <x:c r="L24" t="str">
        <x:f>IF(A24="","",IF(NOT(ISNUMBER(G24)),"BUDGET DATA REQUIRED",IF(G24&lt;=0,"REVIEW: NO BUDGET",IF(NOT(ISNUMBER(I24)),"PO DATA REQUIRED",IF(I24&lt;0,"REVIEW: PO AMOUNT",IF(K24&gt;1,"OVER BUDGET",IF(K24=1,"BUDGET EXHAUSTED",IF(K24&gt;=Settings!$B$3,"PREVENTIVE ALERT","OK"))))))))</x:f>
      </x:c>
      <x:c r="M24" t="str">
        <x:f>IF(A24="","",'ERP Snapshot'!K24)</x:f>
      </x:c>
      <x:c r="N24" t="str">
        <x:f>IF(A24="","",COUNTIFS(Exceptions!$A$2:$A$101,A24,Exceptions!$E$2:$E$101,"Open"))</x:f>
      </x:c>
      <x:c r="O24" t="str">
        <x:f>IF(A24="","",IF(AND(C24="MXN",OR(D24="",E24="")),"FX HOLD",IF(E24&gt;D24,"REVIEW: ABOVE CUSTOMER PO",IF('PO Authorization'!H24="REVIEW: SNAPSHOT DIFFERS","REVIEW: PO SNAPSHOT",IF(E24=D24,"FULLY INVOICED",IF(E24&gt;0,"PARTIAL INVOICE","NOT INVOICED"))))))</x:f>
      </x:c>
      <x:c r="P24" t="str">
        <x:f>IF(A24="","",IF(OR(O24="FX HOLD",O24="REVIEW: PO SNAPSHOT",L24="OVER BUDGET",L24="BUDGET EXHAUSTED",O24="REVIEW: ABOVE CUSTOMER PO",'ERP Snapshot'!L24="YES"),"CRITICAL / REVIEW",IF(OR(L24="PO DATA REQUIRED",L24="BUDGET DATA REQUIRED",L24="REVIEW: NO BUDGET",L24="REVIEW: PO AMOUNT",N24&gt;0,M24&gt;0,F24&gt;0),"FOLLOW UP","NORMAL")))</x:f>
      </x:c>
      <x:c r="Q24" t="str">
        <x:f>IF(A24="","",'ERP Snapshot'!N24)</x:f>
      </x:c>
      <x:c r="R24" t="str">
        <x:f>IF(A24="","",'ERP Snapshot'!Q24)</x:f>
      </x:c>
      <x:c r="S24" t="str">
        <x:f>IF(A24="","",'ERP Snapshot'!R24)</x:f>
      </x:c>
      <x:c r="T24" t="str">
        <x:f>IF(A24="","",'ERP Snapshot'!C24)</x:f>
      </x:c>
    </x:row>
    <x:row r="25">
      <x:c r="A25" t="str">
        <x:f>IF('ERP Snapshot'!A25="","",'ERP Snapshot'!A25)</x:f>
      </x:c>
      <x:c r="B25" t="str">
        <x:f>IF(A25="","",'ERP Snapshot'!B25)</x:f>
      </x:c>
      <x:c r="C25" t="str">
        <x:f>IF(A25="","",'ERP Snapshot'!D25)</x:f>
      </x:c>
      <x:c r="D25" t="str">
        <x:f>IF(A25="","",IF(C25="MXN",IF(AND(Settings!$B$8="APPROVED",Settings!$B$9&lt;&gt;"",Settings!$B$10&lt;&gt;"",Settings!$B$2&gt;0),'PO Authorization'!F25/Settings!$B$2,""),'PO Authorization'!F25))</x:f>
      </x:c>
      <x:c r="E25" t="str">
        <x:f>IF(A25="","",IF(C25="MXN",IF(AND(Settings!$B$8="APPROVED",Settings!$B$9&lt;&gt;"",Settings!$B$10&lt;&gt;"",Settings!$B$2&gt;0),'ERP Snapshot'!I25/Settings!$B$2,""),'ERP Snapshot'!I25))</x:f>
      </x:c>
      <x:c r="F25" t="str">
        <x:f>IF(A25="","",IF(AND(ISNUMBER(D25),ISNUMBER(E25)),D25-E25,""))</x:f>
      </x:c>
      <x:c r="G25" t="str">
        <x:f>IF(A25="","",IF(ISNUMBER('ERP Snapshot'!F25),'ERP Snapshot'!F25,""))</x:f>
      </x:c>
      <x:c r="H25" t="str">
        <x:f>IF(A25="","",'ERP Snapshot'!G25)</x:f>
      </x:c>
      <x:c r="I25" t="str">
        <x:f>IF(A25="","",IF(ISNUMBER('ERP Snapshot'!S25),'ERP Snapshot'!S25,""))</x:f>
      </x:c>
      <x:c r="J25" t="str">
        <x:f>IF(A25="","",IF(AND(ISNUMBER(G25),ISNUMBER(I25)),G25-I25,""))</x:f>
      </x:c>
      <x:c r="K25" s="8" t="str">
        <x:f>IF(A25="","",IF(AND(ISNUMBER(G25),G25&gt;0,ISNUMBER(I25)),I25/G25,""))</x:f>
      </x:c>
      <x:c r="L25" t="str">
        <x:f>IF(A25="","",IF(NOT(ISNUMBER(G25)),"BUDGET DATA REQUIRED",IF(G25&lt;=0,"REVIEW: NO BUDGET",IF(NOT(ISNUMBER(I25)),"PO DATA REQUIRED",IF(I25&lt;0,"REVIEW: PO AMOUNT",IF(K25&gt;1,"OVER BUDGET",IF(K25=1,"BUDGET EXHAUSTED",IF(K25&gt;=Settings!$B$3,"PREVENTIVE ALERT","OK"))))))))</x:f>
      </x:c>
      <x:c r="M25" t="str">
        <x:f>IF(A25="","",'ERP Snapshot'!K25)</x:f>
      </x:c>
      <x:c r="N25" t="str">
        <x:f>IF(A25="","",COUNTIFS(Exceptions!$A$2:$A$101,A25,Exceptions!$E$2:$E$101,"Open"))</x:f>
      </x:c>
      <x:c r="O25" t="str">
        <x:f>IF(A25="","",IF(AND(C25="MXN",OR(D25="",E25="")),"FX HOLD",IF(E25&gt;D25,"REVIEW: ABOVE CUSTOMER PO",IF('PO Authorization'!H25="REVIEW: SNAPSHOT DIFFERS","REVIEW: PO SNAPSHOT",IF(E25=D25,"FULLY INVOICED",IF(E25&gt;0,"PARTIAL INVOICE","NOT INVOICED"))))))</x:f>
      </x:c>
      <x:c r="P25" t="str">
        <x:f>IF(A25="","",IF(OR(O25="FX HOLD",O25="REVIEW: PO SNAPSHOT",L25="OVER BUDGET",L25="BUDGET EXHAUSTED",O25="REVIEW: ABOVE CUSTOMER PO",'ERP Snapshot'!L25="YES"),"CRITICAL / REVIEW",IF(OR(L25="PO DATA REQUIRED",L25="BUDGET DATA REQUIRED",L25="REVIEW: NO BUDGET",L25="REVIEW: PO AMOUNT",N25&gt;0,M25&gt;0,F25&gt;0),"FOLLOW UP","NORMAL")))</x:f>
      </x:c>
      <x:c r="Q25" t="str">
        <x:f>IF(A25="","",'ERP Snapshot'!N25)</x:f>
      </x:c>
      <x:c r="R25" t="str">
        <x:f>IF(A25="","",'ERP Snapshot'!Q25)</x:f>
      </x:c>
      <x:c r="S25" t="str">
        <x:f>IF(A25="","",'ERP Snapshot'!R25)</x:f>
      </x:c>
      <x:c r="T25" t="str">
        <x:f>IF(A25="","",'ERP Snapshot'!C25)</x:f>
      </x:c>
    </x:row>
    <x:row r="26">
      <x:c r="A26" t="str">
        <x:f>IF('ERP Snapshot'!A26="","",'ERP Snapshot'!A26)</x:f>
      </x:c>
      <x:c r="B26" t="str">
        <x:f>IF(A26="","",'ERP Snapshot'!B26)</x:f>
      </x:c>
      <x:c r="C26" t="str">
        <x:f>IF(A26="","",'ERP Snapshot'!D26)</x:f>
      </x:c>
      <x:c r="D26" t="str">
        <x:f>IF(A26="","",IF(C26="MXN",IF(AND(Settings!$B$8="APPROVED",Settings!$B$9&lt;&gt;"",Settings!$B$10&lt;&gt;"",Settings!$B$2&gt;0),'PO Authorization'!F26/Settings!$B$2,""),'PO Authorization'!F26))</x:f>
      </x:c>
      <x:c r="E26" t="str">
        <x:f>IF(A26="","",IF(C26="MXN",IF(AND(Settings!$B$8="APPROVED",Settings!$B$9&lt;&gt;"",Settings!$B$10&lt;&gt;"",Settings!$B$2&gt;0),'ERP Snapshot'!I26/Settings!$B$2,""),'ERP Snapshot'!I26))</x:f>
      </x:c>
      <x:c r="F26" t="str">
        <x:f>IF(A26="","",IF(AND(ISNUMBER(D26),ISNUMBER(E26)),D26-E26,""))</x:f>
      </x:c>
      <x:c r="G26" t="str">
        <x:f>IF(A26="","",IF(ISNUMBER('ERP Snapshot'!F26),'ERP Snapshot'!F26,""))</x:f>
      </x:c>
      <x:c r="H26" t="str">
        <x:f>IF(A26="","",'ERP Snapshot'!G26)</x:f>
      </x:c>
      <x:c r="I26" t="str">
        <x:f>IF(A26="","",IF(ISNUMBER('ERP Snapshot'!S26),'ERP Snapshot'!S26,""))</x:f>
      </x:c>
      <x:c r="J26" t="str">
        <x:f>IF(A26="","",IF(AND(ISNUMBER(G26),ISNUMBER(I26)),G26-I26,""))</x:f>
      </x:c>
      <x:c r="K26" s="8" t="str">
        <x:f>IF(A26="","",IF(AND(ISNUMBER(G26),G26&gt;0,ISNUMBER(I26)),I26/G26,""))</x:f>
      </x:c>
      <x:c r="L26" t="str">
        <x:f>IF(A26="","",IF(NOT(ISNUMBER(G26)),"BUDGET DATA REQUIRED",IF(G26&lt;=0,"REVIEW: NO BUDGET",IF(NOT(ISNUMBER(I26)),"PO DATA REQUIRED",IF(I26&lt;0,"REVIEW: PO AMOUNT",IF(K26&gt;1,"OVER BUDGET",IF(K26=1,"BUDGET EXHAUSTED",IF(K26&gt;=Settings!$B$3,"PREVENTIVE ALERT","OK"))))))))</x:f>
      </x:c>
      <x:c r="M26" t="str">
        <x:f>IF(A26="","",'ERP Snapshot'!K26)</x:f>
      </x:c>
      <x:c r="N26" t="str">
        <x:f>IF(A26="","",COUNTIFS(Exceptions!$A$2:$A$101,A26,Exceptions!$E$2:$E$101,"Open"))</x:f>
      </x:c>
      <x:c r="O26" t="str">
        <x:f>IF(A26="","",IF(AND(C26="MXN",OR(D26="",E26="")),"FX HOLD",IF(E26&gt;D26,"REVIEW: ABOVE CUSTOMER PO",IF('PO Authorization'!H26="REVIEW: SNAPSHOT DIFFERS","REVIEW: PO SNAPSHOT",IF(E26=D26,"FULLY INVOICED",IF(E26&gt;0,"PARTIAL INVOICE","NOT INVOICED"))))))</x:f>
      </x:c>
      <x:c r="P26" t="str">
        <x:f>IF(A26="","",IF(OR(O26="FX HOLD",O26="REVIEW: PO SNAPSHOT",L26="OVER BUDGET",L26="BUDGET EXHAUSTED",O26="REVIEW: ABOVE CUSTOMER PO",'ERP Snapshot'!L26="YES"),"CRITICAL / REVIEW",IF(OR(L26="PO DATA REQUIRED",L26="BUDGET DATA REQUIRED",L26="REVIEW: NO BUDGET",L26="REVIEW: PO AMOUNT",N26&gt;0,M26&gt;0,F26&gt;0),"FOLLOW UP","NORMAL")))</x:f>
      </x:c>
      <x:c r="Q26" t="str">
        <x:f>IF(A26="","",'ERP Snapshot'!N26)</x:f>
      </x:c>
      <x:c r="R26" t="str">
        <x:f>IF(A26="","",'ERP Snapshot'!Q26)</x:f>
      </x:c>
      <x:c r="S26" t="str">
        <x:f>IF(A26="","",'ERP Snapshot'!R26)</x:f>
      </x:c>
      <x:c r="T26" t="str">
        <x:f>IF(A26="","",'ERP Snapshot'!C26)</x:f>
      </x:c>
    </x:row>
    <x:row r="27">
      <x:c r="A27" t="str">
        <x:f>IF('ERP Snapshot'!A27="","",'ERP Snapshot'!A27)</x:f>
      </x:c>
      <x:c r="B27" t="str">
        <x:f>IF(A27="","",'ERP Snapshot'!B27)</x:f>
      </x:c>
      <x:c r="C27" t="str">
        <x:f>IF(A27="","",'ERP Snapshot'!D27)</x:f>
      </x:c>
      <x:c r="D27" t="str">
        <x:f>IF(A27="","",IF(C27="MXN",IF(AND(Settings!$B$8="APPROVED",Settings!$B$9&lt;&gt;"",Settings!$B$10&lt;&gt;"",Settings!$B$2&gt;0),'PO Authorization'!F27/Settings!$B$2,""),'PO Authorization'!F27))</x:f>
      </x:c>
      <x:c r="E27" t="str">
        <x:f>IF(A27="","",IF(C27="MXN",IF(AND(Settings!$B$8="APPROVED",Settings!$B$9&lt;&gt;"",Settings!$B$10&lt;&gt;"",Settings!$B$2&gt;0),'ERP Snapshot'!I27/Settings!$B$2,""),'ERP Snapshot'!I27))</x:f>
      </x:c>
      <x:c r="F27" t="str">
        <x:f>IF(A27="","",IF(AND(ISNUMBER(D27),ISNUMBER(E27)),D27-E27,""))</x:f>
      </x:c>
      <x:c r="G27" t="str">
        <x:f>IF(A27="","",IF(ISNUMBER('ERP Snapshot'!F27),'ERP Snapshot'!F27,""))</x:f>
      </x:c>
      <x:c r="H27" t="str">
        <x:f>IF(A27="","",'ERP Snapshot'!G27)</x:f>
      </x:c>
      <x:c r="I27" t="str">
        <x:f>IF(A27="","",IF(ISNUMBER('ERP Snapshot'!S27),'ERP Snapshot'!S27,""))</x:f>
      </x:c>
      <x:c r="J27" t="str">
        <x:f>IF(A27="","",IF(AND(ISNUMBER(G27),ISNUMBER(I27)),G27-I27,""))</x:f>
      </x:c>
      <x:c r="K27" s="8" t="str">
        <x:f>IF(A27="","",IF(AND(ISNUMBER(G27),G27&gt;0,ISNUMBER(I27)),I27/G27,""))</x:f>
      </x:c>
      <x:c r="L27" t="str">
        <x:f>IF(A27="","",IF(NOT(ISNUMBER(G27)),"BUDGET DATA REQUIRED",IF(G27&lt;=0,"REVIEW: NO BUDGET",IF(NOT(ISNUMBER(I27)),"PO DATA REQUIRED",IF(I27&lt;0,"REVIEW: PO AMOUNT",IF(K27&gt;1,"OVER BUDGET",IF(K27=1,"BUDGET EXHAUSTED",IF(K27&gt;=Settings!$B$3,"PREVENTIVE ALERT","OK"))))))))</x:f>
      </x:c>
      <x:c r="M27" t="str">
        <x:f>IF(A27="","",'ERP Snapshot'!K27)</x:f>
      </x:c>
      <x:c r="N27" t="str">
        <x:f>IF(A27="","",COUNTIFS(Exceptions!$A$2:$A$101,A27,Exceptions!$E$2:$E$101,"Open"))</x:f>
      </x:c>
      <x:c r="O27" t="str">
        <x:f>IF(A27="","",IF(AND(C27="MXN",OR(D27="",E27="")),"FX HOLD",IF(E27&gt;D27,"REVIEW: ABOVE CUSTOMER PO",IF('PO Authorization'!H27="REVIEW: SNAPSHOT DIFFERS","REVIEW: PO SNAPSHOT",IF(E27=D27,"FULLY INVOICED",IF(E27&gt;0,"PARTIAL INVOICE","NOT INVOICED"))))))</x:f>
      </x:c>
      <x:c r="P27" t="str">
        <x:f>IF(A27="","",IF(OR(O27="FX HOLD",O27="REVIEW: PO SNAPSHOT",L27="OVER BUDGET",L27="BUDGET EXHAUSTED",O27="REVIEW: ABOVE CUSTOMER PO",'ERP Snapshot'!L27="YES"),"CRITICAL / REVIEW",IF(OR(L27="PO DATA REQUIRED",L27="BUDGET DATA REQUIRED",L27="REVIEW: NO BUDGET",L27="REVIEW: PO AMOUNT",N27&gt;0,M27&gt;0,F27&gt;0),"FOLLOW UP","NORMAL")))</x:f>
      </x:c>
      <x:c r="Q27" t="str">
        <x:f>IF(A27="","",'ERP Snapshot'!N27)</x:f>
      </x:c>
      <x:c r="R27" t="str">
        <x:f>IF(A27="","",'ERP Snapshot'!Q27)</x:f>
      </x:c>
      <x:c r="S27" t="str">
        <x:f>IF(A27="","",'ERP Snapshot'!R27)</x:f>
      </x:c>
      <x:c r="T27" t="str">
        <x:f>IF(A27="","",'ERP Snapshot'!C27)</x:f>
      </x:c>
    </x:row>
    <x:row r="28">
      <x:c r="A28" t="str">
        <x:f>IF('ERP Snapshot'!A28="","",'ERP Snapshot'!A28)</x:f>
      </x:c>
      <x:c r="B28" t="str">
        <x:f>IF(A28="","",'ERP Snapshot'!B28)</x:f>
      </x:c>
      <x:c r="C28" t="str">
        <x:f>IF(A28="","",'ERP Snapshot'!D28)</x:f>
      </x:c>
      <x:c r="D28" t="str">
        <x:f>IF(A28="","",IF(C28="MXN",IF(AND(Settings!$B$8="APPROVED",Settings!$B$9&lt;&gt;"",Settings!$B$10&lt;&gt;"",Settings!$B$2&gt;0),'PO Authorization'!F28/Settings!$B$2,""),'PO Authorization'!F28))</x:f>
      </x:c>
      <x:c r="E28" t="str">
        <x:f>IF(A28="","",IF(C28="MXN",IF(AND(Settings!$B$8="APPROVED",Settings!$B$9&lt;&gt;"",Settings!$B$10&lt;&gt;"",Settings!$B$2&gt;0),'ERP Snapshot'!I28/Settings!$B$2,""),'ERP Snapshot'!I28))</x:f>
      </x:c>
      <x:c r="F28" t="str">
        <x:f>IF(A28="","",IF(AND(ISNUMBER(D28),ISNUMBER(E28)),D28-E28,""))</x:f>
      </x:c>
      <x:c r="G28" t="str">
        <x:f>IF(A28="","",IF(ISNUMBER('ERP Snapshot'!F28),'ERP Snapshot'!F28,""))</x:f>
      </x:c>
      <x:c r="H28" t="str">
        <x:f>IF(A28="","",'ERP Snapshot'!G28)</x:f>
      </x:c>
      <x:c r="I28" t="str">
        <x:f>IF(A28="","",IF(ISNUMBER('ERP Snapshot'!S28),'ERP Snapshot'!S28,""))</x:f>
      </x:c>
      <x:c r="J28" t="str">
        <x:f>IF(A28="","",IF(AND(ISNUMBER(G28),ISNUMBER(I28)),G28-I28,""))</x:f>
      </x:c>
      <x:c r="K28" s="8" t="str">
        <x:f>IF(A28="","",IF(AND(ISNUMBER(G28),G28&gt;0,ISNUMBER(I28)),I28/G28,""))</x:f>
      </x:c>
      <x:c r="L28" t="str">
        <x:f>IF(A28="","",IF(NOT(ISNUMBER(G28)),"BUDGET DATA REQUIRED",IF(G28&lt;=0,"REVIEW: NO BUDGET",IF(NOT(ISNUMBER(I28)),"PO DATA REQUIRED",IF(I28&lt;0,"REVIEW: PO AMOUNT",IF(K28&gt;1,"OVER BUDGET",IF(K28=1,"BUDGET EXHAUSTED",IF(K28&gt;=Settings!$B$3,"PREVENTIVE ALERT","OK"))))))))</x:f>
      </x:c>
      <x:c r="M28" t="str">
        <x:f>IF(A28="","",'ERP Snapshot'!K28)</x:f>
      </x:c>
      <x:c r="N28" t="str">
        <x:f>IF(A28="","",COUNTIFS(Exceptions!$A$2:$A$101,A28,Exceptions!$E$2:$E$101,"Open"))</x:f>
      </x:c>
      <x:c r="O28" t="str">
        <x:f>IF(A28="","",IF(AND(C28="MXN",OR(D28="",E28="")),"FX HOLD",IF(E28&gt;D28,"REVIEW: ABOVE CUSTOMER PO",IF('PO Authorization'!H28="REVIEW: SNAPSHOT DIFFERS","REVIEW: PO SNAPSHOT",IF(E28=D28,"FULLY INVOICED",IF(E28&gt;0,"PARTIAL INVOICE","NOT INVOICED"))))))</x:f>
      </x:c>
      <x:c r="P28" t="str">
        <x:f>IF(A28="","",IF(OR(O28="FX HOLD",O28="REVIEW: PO SNAPSHOT",L28="OVER BUDGET",L28="BUDGET EXHAUSTED",O28="REVIEW: ABOVE CUSTOMER PO",'ERP Snapshot'!L28="YES"),"CRITICAL / REVIEW",IF(OR(L28="PO DATA REQUIRED",L28="BUDGET DATA REQUIRED",L28="REVIEW: NO BUDGET",L28="REVIEW: PO AMOUNT",N28&gt;0,M28&gt;0,F28&gt;0),"FOLLOW UP","NORMAL")))</x:f>
      </x:c>
      <x:c r="Q28" t="str">
        <x:f>IF(A28="","",'ERP Snapshot'!N28)</x:f>
      </x:c>
      <x:c r="R28" t="str">
        <x:f>IF(A28="","",'ERP Snapshot'!Q28)</x:f>
      </x:c>
      <x:c r="S28" t="str">
        <x:f>IF(A28="","",'ERP Snapshot'!R28)</x:f>
      </x:c>
      <x:c r="T28" t="str">
        <x:f>IF(A28="","",'ERP Snapshot'!C28)</x:f>
      </x:c>
    </x:row>
    <x:row r="29">
      <x:c r="A29" t="str">
        <x:f>IF('ERP Snapshot'!A29="","",'ERP Snapshot'!A29)</x:f>
      </x:c>
      <x:c r="B29" t="str">
        <x:f>IF(A29="","",'ERP Snapshot'!B29)</x:f>
      </x:c>
      <x:c r="C29" t="str">
        <x:f>IF(A29="","",'ERP Snapshot'!D29)</x:f>
      </x:c>
      <x:c r="D29" t="str">
        <x:f>IF(A29="","",IF(C29="MXN",IF(AND(Settings!$B$8="APPROVED",Settings!$B$9&lt;&gt;"",Settings!$B$10&lt;&gt;"",Settings!$B$2&gt;0),'PO Authorization'!F29/Settings!$B$2,""),'PO Authorization'!F29))</x:f>
      </x:c>
      <x:c r="E29" t="str">
        <x:f>IF(A29="","",IF(C29="MXN",IF(AND(Settings!$B$8="APPROVED",Settings!$B$9&lt;&gt;"",Settings!$B$10&lt;&gt;"",Settings!$B$2&gt;0),'ERP Snapshot'!I29/Settings!$B$2,""),'ERP Snapshot'!I29))</x:f>
      </x:c>
      <x:c r="F29" t="str">
        <x:f>IF(A29="","",IF(AND(ISNUMBER(D29),ISNUMBER(E29)),D29-E29,""))</x:f>
      </x:c>
      <x:c r="G29" t="str">
        <x:f>IF(A29="","",IF(ISNUMBER('ERP Snapshot'!F29),'ERP Snapshot'!F29,""))</x:f>
      </x:c>
      <x:c r="H29" t="str">
        <x:f>IF(A29="","",'ERP Snapshot'!G29)</x:f>
      </x:c>
      <x:c r="I29" t="str">
        <x:f>IF(A29="","",IF(ISNUMBER('ERP Snapshot'!S29),'ERP Snapshot'!S29,""))</x:f>
      </x:c>
      <x:c r="J29" t="str">
        <x:f>IF(A29="","",IF(AND(ISNUMBER(G29),ISNUMBER(I29)),G29-I29,""))</x:f>
      </x:c>
      <x:c r="K29" s="8" t="str">
        <x:f>IF(A29="","",IF(AND(ISNUMBER(G29),G29&gt;0,ISNUMBER(I29)),I29/G29,""))</x:f>
      </x:c>
      <x:c r="L29" t="str">
        <x:f>IF(A29="","",IF(NOT(ISNUMBER(G29)),"BUDGET DATA REQUIRED",IF(G29&lt;=0,"REVIEW: NO BUDGET",IF(NOT(ISNUMBER(I29)),"PO DATA REQUIRED",IF(I29&lt;0,"REVIEW: PO AMOUNT",IF(K29&gt;1,"OVER BUDGET",IF(K29=1,"BUDGET EXHAUSTED",IF(K29&gt;=Settings!$B$3,"PREVENTIVE ALERT","OK"))))))))</x:f>
      </x:c>
      <x:c r="M29" t="str">
        <x:f>IF(A29="","",'ERP Snapshot'!K29)</x:f>
      </x:c>
      <x:c r="N29" t="str">
        <x:f>IF(A29="","",COUNTIFS(Exceptions!$A$2:$A$101,A29,Exceptions!$E$2:$E$101,"Open"))</x:f>
      </x:c>
      <x:c r="O29" t="str">
        <x:f>IF(A29="","",IF(AND(C29="MXN",OR(D29="",E29="")),"FX HOLD",IF(E29&gt;D29,"REVIEW: ABOVE CUSTOMER PO",IF('PO Authorization'!H29="REVIEW: SNAPSHOT DIFFERS","REVIEW: PO SNAPSHOT",IF(E29=D29,"FULLY INVOICED",IF(E29&gt;0,"PARTIAL INVOICE","NOT INVOICED"))))))</x:f>
      </x:c>
      <x:c r="P29" t="str">
        <x:f>IF(A29="","",IF(OR(O29="FX HOLD",O29="REVIEW: PO SNAPSHOT",L29="OVER BUDGET",L29="BUDGET EXHAUSTED",O29="REVIEW: ABOVE CUSTOMER PO",'ERP Snapshot'!L29="YES"),"CRITICAL / REVIEW",IF(OR(L29="PO DATA REQUIRED",L29="BUDGET DATA REQUIRED",L29="REVIEW: NO BUDGET",L29="REVIEW: PO AMOUNT",N29&gt;0,M29&gt;0,F29&gt;0),"FOLLOW UP","NORMAL")))</x:f>
      </x:c>
      <x:c r="Q29" t="str">
        <x:f>IF(A29="","",'ERP Snapshot'!N29)</x:f>
      </x:c>
      <x:c r="R29" t="str">
        <x:f>IF(A29="","",'ERP Snapshot'!Q29)</x:f>
      </x:c>
      <x:c r="S29" t="str">
        <x:f>IF(A29="","",'ERP Snapshot'!R29)</x:f>
      </x:c>
      <x:c r="T29" t="str">
        <x:f>IF(A29="","",'ERP Snapshot'!C29)</x:f>
      </x:c>
    </x:row>
    <x:row r="30">
      <x:c r="A30" t="str">
        <x:f>IF('ERP Snapshot'!A30="","",'ERP Snapshot'!A30)</x:f>
      </x:c>
      <x:c r="B30" t="str">
        <x:f>IF(A30="","",'ERP Snapshot'!B30)</x:f>
      </x:c>
      <x:c r="C30" t="str">
        <x:f>IF(A30="","",'ERP Snapshot'!D30)</x:f>
      </x:c>
      <x:c r="D30" t="str">
        <x:f>IF(A30="","",IF(C30="MXN",IF(AND(Settings!$B$8="APPROVED",Settings!$B$9&lt;&gt;"",Settings!$B$10&lt;&gt;"",Settings!$B$2&gt;0),'PO Authorization'!F30/Settings!$B$2,""),'PO Authorization'!F30))</x:f>
      </x:c>
      <x:c r="E30" t="str">
        <x:f>IF(A30="","",IF(C30="MXN",IF(AND(Settings!$B$8="APPROVED",Settings!$B$9&lt;&gt;"",Settings!$B$10&lt;&gt;"",Settings!$B$2&gt;0),'ERP Snapshot'!I30/Settings!$B$2,""),'ERP Snapshot'!I30))</x:f>
      </x:c>
      <x:c r="F30" t="str">
        <x:f>IF(A30="","",IF(AND(ISNUMBER(D30),ISNUMBER(E30)),D30-E30,""))</x:f>
      </x:c>
      <x:c r="G30" t="str">
        <x:f>IF(A30="","",IF(ISNUMBER('ERP Snapshot'!F30),'ERP Snapshot'!F30,""))</x:f>
      </x:c>
      <x:c r="H30" t="str">
        <x:f>IF(A30="","",'ERP Snapshot'!G30)</x:f>
      </x:c>
      <x:c r="I30" t="str">
        <x:f>IF(A30="","",IF(ISNUMBER('ERP Snapshot'!S30),'ERP Snapshot'!S30,""))</x:f>
      </x:c>
      <x:c r="J30" t="str">
        <x:f>IF(A30="","",IF(AND(ISNUMBER(G30),ISNUMBER(I30)),G30-I30,""))</x:f>
      </x:c>
      <x:c r="K30" s="8" t="str">
        <x:f>IF(A30="","",IF(AND(ISNUMBER(G30),G30&gt;0,ISNUMBER(I30)),I30/G30,""))</x:f>
      </x:c>
      <x:c r="L30" t="str">
        <x:f>IF(A30="","",IF(NOT(ISNUMBER(G30)),"BUDGET DATA REQUIRED",IF(G30&lt;=0,"REVIEW: NO BUDGET",IF(NOT(ISNUMBER(I30)),"PO DATA REQUIRED",IF(I30&lt;0,"REVIEW: PO AMOUNT",IF(K30&gt;1,"OVER BUDGET",IF(K30=1,"BUDGET EXHAUSTED",IF(K30&gt;=Settings!$B$3,"PREVENTIVE ALERT","OK"))))))))</x:f>
      </x:c>
      <x:c r="M30" t="str">
        <x:f>IF(A30="","",'ERP Snapshot'!K30)</x:f>
      </x:c>
      <x:c r="N30" t="str">
        <x:f>IF(A30="","",COUNTIFS(Exceptions!$A$2:$A$101,A30,Exceptions!$E$2:$E$101,"Open"))</x:f>
      </x:c>
      <x:c r="O30" t="str">
        <x:f>IF(A30="","",IF(AND(C30="MXN",OR(D30="",E30="")),"FX HOLD",IF(E30&gt;D30,"REVIEW: ABOVE CUSTOMER PO",IF('PO Authorization'!H30="REVIEW: SNAPSHOT DIFFERS","REVIEW: PO SNAPSHOT",IF(E30=D30,"FULLY INVOICED",IF(E30&gt;0,"PARTIAL INVOICE","NOT INVOICED"))))))</x:f>
      </x:c>
      <x:c r="P30" t="str">
        <x:f>IF(A30="","",IF(OR(O30="FX HOLD",O30="REVIEW: PO SNAPSHOT",L30="OVER BUDGET",L30="BUDGET EXHAUSTED",O30="REVIEW: ABOVE CUSTOMER PO",'ERP Snapshot'!L30="YES"),"CRITICAL / REVIEW",IF(OR(L30="PO DATA REQUIRED",L30="BUDGET DATA REQUIRED",L30="REVIEW: NO BUDGET",L30="REVIEW: PO AMOUNT",N30&gt;0,M30&gt;0,F30&gt;0),"FOLLOW UP","NORMAL")))</x:f>
      </x:c>
      <x:c r="Q30" t="str">
        <x:f>IF(A30="","",'ERP Snapshot'!N30)</x:f>
      </x:c>
      <x:c r="R30" t="str">
        <x:f>IF(A30="","",'ERP Snapshot'!Q30)</x:f>
      </x:c>
      <x:c r="S30" t="str">
        <x:f>IF(A30="","",'ERP Snapshot'!R30)</x:f>
      </x:c>
      <x:c r="T30" t="str">
        <x:f>IF(A30="","",'ERP Snapshot'!C30)</x:f>
      </x:c>
    </x:row>
    <x:row r="31">
      <x:c r="A31" t="str">
        <x:f>IF('ERP Snapshot'!A31="","",'ERP Snapshot'!A31)</x:f>
      </x:c>
      <x:c r="B31" t="str">
        <x:f>IF(A31="","",'ERP Snapshot'!B31)</x:f>
      </x:c>
      <x:c r="C31" t="str">
        <x:f>IF(A31="","",'ERP Snapshot'!D31)</x:f>
      </x:c>
      <x:c r="D31" t="str">
        <x:f>IF(A31="","",IF(C31="MXN",IF(AND(Settings!$B$8="APPROVED",Settings!$B$9&lt;&gt;"",Settings!$B$10&lt;&gt;"",Settings!$B$2&gt;0),'PO Authorization'!F31/Settings!$B$2,""),'PO Authorization'!F31))</x:f>
      </x:c>
      <x:c r="E31" t="str">
        <x:f>IF(A31="","",IF(C31="MXN",IF(AND(Settings!$B$8="APPROVED",Settings!$B$9&lt;&gt;"",Settings!$B$10&lt;&gt;"",Settings!$B$2&gt;0),'ERP Snapshot'!I31/Settings!$B$2,""),'ERP Snapshot'!I31))</x:f>
      </x:c>
      <x:c r="F31" t="str">
        <x:f>IF(A31="","",IF(AND(ISNUMBER(D31),ISNUMBER(E31)),D31-E31,""))</x:f>
      </x:c>
      <x:c r="G31" t="str">
        <x:f>IF(A31="","",IF(ISNUMBER('ERP Snapshot'!F31),'ERP Snapshot'!F31,""))</x:f>
      </x:c>
      <x:c r="H31" t="str">
        <x:f>IF(A31="","",'ERP Snapshot'!G31)</x:f>
      </x:c>
      <x:c r="I31" t="str">
        <x:f>IF(A31="","",IF(ISNUMBER('ERP Snapshot'!S31),'ERP Snapshot'!S31,""))</x:f>
      </x:c>
      <x:c r="J31" t="str">
        <x:f>IF(A31="","",IF(AND(ISNUMBER(G31),ISNUMBER(I31)),G31-I31,""))</x:f>
      </x:c>
      <x:c r="K31" s="8" t="str">
        <x:f>IF(A31="","",IF(AND(ISNUMBER(G31),G31&gt;0,ISNUMBER(I31)),I31/G31,""))</x:f>
      </x:c>
      <x:c r="L31" t="str">
        <x:f>IF(A31="","",IF(NOT(ISNUMBER(G31)),"BUDGET DATA REQUIRED",IF(G31&lt;=0,"REVIEW: NO BUDGET",IF(NOT(ISNUMBER(I31)),"PO DATA REQUIRED",IF(I31&lt;0,"REVIEW: PO AMOUNT",IF(K31&gt;1,"OVER BUDGET",IF(K31=1,"BUDGET EXHAUSTED",IF(K31&gt;=Settings!$B$3,"PREVENTIVE ALERT","OK"))))))))</x:f>
      </x:c>
      <x:c r="M31" t="str">
        <x:f>IF(A31="","",'ERP Snapshot'!K31)</x:f>
      </x:c>
      <x:c r="N31" t="str">
        <x:f>IF(A31="","",COUNTIFS(Exceptions!$A$2:$A$101,A31,Exceptions!$E$2:$E$101,"Open"))</x:f>
      </x:c>
      <x:c r="O31" t="str">
        <x:f>IF(A31="","",IF(AND(C31="MXN",OR(D31="",E31="")),"FX HOLD",IF(E31&gt;D31,"REVIEW: ABOVE CUSTOMER PO",IF('PO Authorization'!H31="REVIEW: SNAPSHOT DIFFERS","REVIEW: PO SNAPSHOT",IF(E31=D31,"FULLY INVOICED",IF(E31&gt;0,"PARTIAL INVOICE","NOT INVOICED"))))))</x:f>
      </x:c>
      <x:c r="P31" t="str">
        <x:f>IF(A31="","",IF(OR(O31="FX HOLD",O31="REVIEW: PO SNAPSHOT",L31="OVER BUDGET",L31="BUDGET EXHAUSTED",O31="REVIEW: ABOVE CUSTOMER PO",'ERP Snapshot'!L31="YES"),"CRITICAL / REVIEW",IF(OR(L31="PO DATA REQUIRED",L31="BUDGET DATA REQUIRED",L31="REVIEW: NO BUDGET",L31="REVIEW: PO AMOUNT",N31&gt;0,M31&gt;0,F31&gt;0),"FOLLOW UP","NORMAL")))</x:f>
      </x:c>
      <x:c r="Q31" t="str">
        <x:f>IF(A31="","",'ERP Snapshot'!N31)</x:f>
      </x:c>
      <x:c r="R31" t="str">
        <x:f>IF(A31="","",'ERP Snapshot'!Q31)</x:f>
      </x:c>
      <x:c r="S31" t="str">
        <x:f>IF(A31="","",'ERP Snapshot'!R31)</x:f>
      </x:c>
      <x:c r="T31" t="str">
        <x:f>IF(A31="","",'ERP Snapshot'!C31)</x:f>
      </x:c>
    </x:row>
    <x:row r="32">
      <x:c r="A32" t="str">
        <x:f>IF('ERP Snapshot'!A32="","",'ERP Snapshot'!A32)</x:f>
      </x:c>
      <x:c r="B32" t="str">
        <x:f>IF(A32="","",'ERP Snapshot'!B32)</x:f>
      </x:c>
      <x:c r="C32" t="str">
        <x:f>IF(A32="","",'ERP Snapshot'!D32)</x:f>
      </x:c>
      <x:c r="D32" t="str">
        <x:f>IF(A32="","",IF(C32="MXN",IF(AND(Settings!$B$8="APPROVED",Settings!$B$9&lt;&gt;"",Settings!$B$10&lt;&gt;"",Settings!$B$2&gt;0),'PO Authorization'!F32/Settings!$B$2,""),'PO Authorization'!F32))</x:f>
      </x:c>
      <x:c r="E32" t="str">
        <x:f>IF(A32="","",IF(C32="MXN",IF(AND(Settings!$B$8="APPROVED",Settings!$B$9&lt;&gt;"",Settings!$B$10&lt;&gt;"",Settings!$B$2&gt;0),'ERP Snapshot'!I32/Settings!$B$2,""),'ERP Snapshot'!I32))</x:f>
      </x:c>
      <x:c r="F32" t="str">
        <x:f>IF(A32="","",IF(AND(ISNUMBER(D32),ISNUMBER(E32)),D32-E32,""))</x:f>
      </x:c>
      <x:c r="G32" t="str">
        <x:f>IF(A32="","",IF(ISNUMBER('ERP Snapshot'!F32),'ERP Snapshot'!F32,""))</x:f>
      </x:c>
      <x:c r="H32" t="str">
        <x:f>IF(A32="","",'ERP Snapshot'!G32)</x:f>
      </x:c>
      <x:c r="I32" t="str">
        <x:f>IF(A32="","",IF(ISNUMBER('ERP Snapshot'!S32),'ERP Snapshot'!S32,""))</x:f>
      </x:c>
      <x:c r="J32" t="str">
        <x:f>IF(A32="","",IF(AND(ISNUMBER(G32),ISNUMBER(I32)),G32-I32,""))</x:f>
      </x:c>
      <x:c r="K32" s="8" t="str">
        <x:f>IF(A32="","",IF(AND(ISNUMBER(G32),G32&gt;0,ISNUMBER(I32)),I32/G32,""))</x:f>
      </x:c>
      <x:c r="L32" t="str">
        <x:f>IF(A32="","",IF(NOT(ISNUMBER(G32)),"BUDGET DATA REQUIRED",IF(G32&lt;=0,"REVIEW: NO BUDGET",IF(NOT(ISNUMBER(I32)),"PO DATA REQUIRED",IF(I32&lt;0,"REVIEW: PO AMOUNT",IF(K32&gt;1,"OVER BUDGET",IF(K32=1,"BUDGET EXHAUSTED",IF(K32&gt;=Settings!$B$3,"PREVENTIVE ALERT","OK"))))))))</x:f>
      </x:c>
      <x:c r="M32" t="str">
        <x:f>IF(A32="","",'ERP Snapshot'!K32)</x:f>
      </x:c>
      <x:c r="N32" t="str">
        <x:f>IF(A32="","",COUNTIFS(Exceptions!$A$2:$A$101,A32,Exceptions!$E$2:$E$101,"Open"))</x:f>
      </x:c>
      <x:c r="O32" t="str">
        <x:f>IF(A32="","",IF(AND(C32="MXN",OR(D32="",E32="")),"FX HOLD",IF(E32&gt;D32,"REVIEW: ABOVE CUSTOMER PO",IF('PO Authorization'!H32="REVIEW: SNAPSHOT DIFFERS","REVIEW: PO SNAPSHOT",IF(E32=D32,"FULLY INVOICED",IF(E32&gt;0,"PARTIAL INVOICE","NOT INVOICED"))))))</x:f>
      </x:c>
      <x:c r="P32" t="str">
        <x:f>IF(A32="","",IF(OR(O32="FX HOLD",O32="REVIEW: PO SNAPSHOT",L32="OVER BUDGET",L32="BUDGET EXHAUSTED",O32="REVIEW: ABOVE CUSTOMER PO",'ERP Snapshot'!L32="YES"),"CRITICAL / REVIEW",IF(OR(L32="PO DATA REQUIRED",L32="BUDGET DATA REQUIRED",L32="REVIEW: NO BUDGET",L32="REVIEW: PO AMOUNT",N32&gt;0,M32&gt;0,F32&gt;0),"FOLLOW UP","NORMAL")))</x:f>
      </x:c>
      <x:c r="Q32" t="str">
        <x:f>IF(A32="","",'ERP Snapshot'!N32)</x:f>
      </x:c>
      <x:c r="R32" t="str">
        <x:f>IF(A32="","",'ERP Snapshot'!Q32)</x:f>
      </x:c>
      <x:c r="S32" t="str">
        <x:f>IF(A32="","",'ERP Snapshot'!R32)</x:f>
      </x:c>
      <x:c r="T32" t="str">
        <x:f>IF(A32="","",'ERP Snapshot'!C32)</x:f>
      </x:c>
    </x:row>
    <x:row r="33">
      <x:c r="A33" t="str">
        <x:f>IF('ERP Snapshot'!A33="","",'ERP Snapshot'!A33)</x:f>
      </x:c>
      <x:c r="B33" t="str">
        <x:f>IF(A33="","",'ERP Snapshot'!B33)</x:f>
      </x:c>
      <x:c r="C33" t="str">
        <x:f>IF(A33="","",'ERP Snapshot'!D33)</x:f>
      </x:c>
      <x:c r="D33" t="str">
        <x:f>IF(A33="","",IF(C33="MXN",IF(AND(Settings!$B$8="APPROVED",Settings!$B$9&lt;&gt;"",Settings!$B$10&lt;&gt;"",Settings!$B$2&gt;0),'PO Authorization'!F33/Settings!$B$2,""),'PO Authorization'!F33))</x:f>
      </x:c>
      <x:c r="E33" t="str">
        <x:f>IF(A33="","",IF(C33="MXN",IF(AND(Settings!$B$8="APPROVED",Settings!$B$9&lt;&gt;"",Settings!$B$10&lt;&gt;"",Settings!$B$2&gt;0),'ERP Snapshot'!I33/Settings!$B$2,""),'ERP Snapshot'!I33))</x:f>
      </x:c>
      <x:c r="F33" t="str">
        <x:f>IF(A33="","",IF(AND(ISNUMBER(D33),ISNUMBER(E33)),D33-E33,""))</x:f>
      </x:c>
      <x:c r="G33" t="str">
        <x:f>IF(A33="","",IF(ISNUMBER('ERP Snapshot'!F33),'ERP Snapshot'!F33,""))</x:f>
      </x:c>
      <x:c r="H33" t="str">
        <x:f>IF(A33="","",'ERP Snapshot'!G33)</x:f>
      </x:c>
      <x:c r="I33" t="str">
        <x:f>IF(A33="","",IF(ISNUMBER('ERP Snapshot'!S33),'ERP Snapshot'!S33,""))</x:f>
      </x:c>
      <x:c r="J33" t="str">
        <x:f>IF(A33="","",IF(AND(ISNUMBER(G33),ISNUMBER(I33)),G33-I33,""))</x:f>
      </x:c>
      <x:c r="K33" s="8" t="str">
        <x:f>IF(A33="","",IF(AND(ISNUMBER(G33),G33&gt;0,ISNUMBER(I33)),I33/G33,""))</x:f>
      </x:c>
      <x:c r="L33" t="str">
        <x:f>IF(A33="","",IF(NOT(ISNUMBER(G33)),"BUDGET DATA REQUIRED",IF(G33&lt;=0,"REVIEW: NO BUDGET",IF(NOT(ISNUMBER(I33)),"PO DATA REQUIRED",IF(I33&lt;0,"REVIEW: PO AMOUNT",IF(K33&gt;1,"OVER BUDGET",IF(K33=1,"BUDGET EXHAUSTED",IF(K33&gt;=Settings!$B$3,"PREVENTIVE ALERT","OK"))))))))</x:f>
      </x:c>
      <x:c r="M33" t="str">
        <x:f>IF(A33="","",'ERP Snapshot'!K33)</x:f>
      </x:c>
      <x:c r="N33" t="str">
        <x:f>IF(A33="","",COUNTIFS(Exceptions!$A$2:$A$101,A33,Exceptions!$E$2:$E$101,"Open"))</x:f>
      </x:c>
      <x:c r="O33" t="str">
        <x:f>IF(A33="","",IF(AND(C33="MXN",OR(D33="",E33="")),"FX HOLD",IF(E33&gt;D33,"REVIEW: ABOVE CUSTOMER PO",IF('PO Authorization'!H33="REVIEW: SNAPSHOT DIFFERS","REVIEW: PO SNAPSHOT",IF(E33=D33,"FULLY INVOICED",IF(E33&gt;0,"PARTIAL INVOICE","NOT INVOICED"))))))</x:f>
      </x:c>
      <x:c r="P33" t="str">
        <x:f>IF(A33="","",IF(OR(O33="FX HOLD",O33="REVIEW: PO SNAPSHOT",L33="OVER BUDGET",L33="BUDGET EXHAUSTED",O33="REVIEW: ABOVE CUSTOMER PO",'ERP Snapshot'!L33="YES"),"CRITICAL / REVIEW",IF(OR(L33="PO DATA REQUIRED",L33="BUDGET DATA REQUIRED",L33="REVIEW: NO BUDGET",L33="REVIEW: PO AMOUNT",N33&gt;0,M33&gt;0,F33&gt;0),"FOLLOW UP","NORMAL")))</x:f>
      </x:c>
      <x:c r="Q33" t="str">
        <x:f>IF(A33="","",'ERP Snapshot'!N33)</x:f>
      </x:c>
      <x:c r="R33" t="str">
        <x:f>IF(A33="","",'ERP Snapshot'!Q33)</x:f>
      </x:c>
      <x:c r="S33" t="str">
        <x:f>IF(A33="","",'ERP Snapshot'!R33)</x:f>
      </x:c>
      <x:c r="T33" t="str">
        <x:f>IF(A33="","",'ERP Snapshot'!C33)</x:f>
      </x:c>
    </x:row>
    <x:row r="34">
      <x:c r="A34" t="str">
        <x:f>IF('ERP Snapshot'!A34="","",'ERP Snapshot'!A34)</x:f>
      </x:c>
      <x:c r="B34" t="str">
        <x:f>IF(A34="","",'ERP Snapshot'!B34)</x:f>
      </x:c>
      <x:c r="C34" t="str">
        <x:f>IF(A34="","",'ERP Snapshot'!D34)</x:f>
      </x:c>
      <x:c r="D34" t="str">
        <x:f>IF(A34="","",IF(C34="MXN",IF(AND(Settings!$B$8="APPROVED",Settings!$B$9&lt;&gt;"",Settings!$B$10&lt;&gt;"",Settings!$B$2&gt;0),'PO Authorization'!F34/Settings!$B$2,""),'PO Authorization'!F34))</x:f>
      </x:c>
      <x:c r="E34" t="str">
        <x:f>IF(A34="","",IF(C34="MXN",IF(AND(Settings!$B$8="APPROVED",Settings!$B$9&lt;&gt;"",Settings!$B$10&lt;&gt;"",Settings!$B$2&gt;0),'ERP Snapshot'!I34/Settings!$B$2,""),'ERP Snapshot'!I34))</x:f>
      </x:c>
      <x:c r="F34" t="str">
        <x:f>IF(A34="","",IF(AND(ISNUMBER(D34),ISNUMBER(E34)),D34-E34,""))</x:f>
      </x:c>
      <x:c r="G34" t="str">
        <x:f>IF(A34="","",IF(ISNUMBER('ERP Snapshot'!F34),'ERP Snapshot'!F34,""))</x:f>
      </x:c>
      <x:c r="H34" t="str">
        <x:f>IF(A34="","",'ERP Snapshot'!G34)</x:f>
      </x:c>
      <x:c r="I34" t="str">
        <x:f>IF(A34="","",IF(ISNUMBER('ERP Snapshot'!S34),'ERP Snapshot'!S34,""))</x:f>
      </x:c>
      <x:c r="J34" t="str">
        <x:f>IF(A34="","",IF(AND(ISNUMBER(G34),ISNUMBER(I34)),G34-I34,""))</x:f>
      </x:c>
      <x:c r="K34" s="8" t="str">
        <x:f>IF(A34="","",IF(AND(ISNUMBER(G34),G34&gt;0,ISNUMBER(I34)),I34/G34,""))</x:f>
      </x:c>
      <x:c r="L34" t="str">
        <x:f>IF(A34="","",IF(NOT(ISNUMBER(G34)),"BUDGET DATA REQUIRED",IF(G34&lt;=0,"REVIEW: NO BUDGET",IF(NOT(ISNUMBER(I34)),"PO DATA REQUIRED",IF(I34&lt;0,"REVIEW: PO AMOUNT",IF(K34&gt;1,"OVER BUDGET",IF(K34=1,"BUDGET EXHAUSTED",IF(K34&gt;=Settings!$B$3,"PREVENTIVE ALERT","OK"))))))))</x:f>
      </x:c>
      <x:c r="M34" t="str">
        <x:f>IF(A34="","",'ERP Snapshot'!K34)</x:f>
      </x:c>
      <x:c r="N34" t="str">
        <x:f>IF(A34="","",COUNTIFS(Exceptions!$A$2:$A$101,A34,Exceptions!$E$2:$E$101,"Open"))</x:f>
      </x:c>
      <x:c r="O34" t="str">
        <x:f>IF(A34="","",IF(AND(C34="MXN",OR(D34="",E34="")),"FX HOLD",IF(E34&gt;D34,"REVIEW: ABOVE CUSTOMER PO",IF('PO Authorization'!H34="REVIEW: SNAPSHOT DIFFERS","REVIEW: PO SNAPSHOT",IF(E34=D34,"FULLY INVOICED",IF(E34&gt;0,"PARTIAL INVOICE","NOT INVOICED"))))))</x:f>
      </x:c>
      <x:c r="P34" t="str">
        <x:f>IF(A34="","",IF(OR(O34="FX HOLD",O34="REVIEW: PO SNAPSHOT",L34="OVER BUDGET",L34="BUDGET EXHAUSTED",O34="REVIEW: ABOVE CUSTOMER PO",'ERP Snapshot'!L34="YES"),"CRITICAL / REVIEW",IF(OR(L34="PO DATA REQUIRED",L34="BUDGET DATA REQUIRED",L34="REVIEW: NO BUDGET",L34="REVIEW: PO AMOUNT",N34&gt;0,M34&gt;0,F34&gt;0),"FOLLOW UP","NORMAL")))</x:f>
      </x:c>
      <x:c r="Q34" t="str">
        <x:f>IF(A34="","",'ERP Snapshot'!N34)</x:f>
      </x:c>
      <x:c r="R34" t="str">
        <x:f>IF(A34="","",'ERP Snapshot'!Q34)</x:f>
      </x:c>
      <x:c r="S34" t="str">
        <x:f>IF(A34="","",'ERP Snapshot'!R34)</x:f>
      </x:c>
      <x:c r="T34" t="str">
        <x:f>IF(A34="","",'ERP Snapshot'!C34)</x:f>
      </x:c>
    </x:row>
    <x:row r="35">
      <x:c r="A35" t="str">
        <x:f>IF('ERP Snapshot'!A35="","",'ERP Snapshot'!A35)</x:f>
      </x:c>
      <x:c r="B35" t="str">
        <x:f>IF(A35="","",'ERP Snapshot'!B35)</x:f>
      </x:c>
      <x:c r="C35" t="str">
        <x:f>IF(A35="","",'ERP Snapshot'!D35)</x:f>
      </x:c>
      <x:c r="D35" t="str">
        <x:f>IF(A35="","",IF(C35="MXN",IF(AND(Settings!$B$8="APPROVED",Settings!$B$9&lt;&gt;"",Settings!$B$10&lt;&gt;"",Settings!$B$2&gt;0),'PO Authorization'!F35/Settings!$B$2,""),'PO Authorization'!F35))</x:f>
      </x:c>
      <x:c r="E35" t="str">
        <x:f>IF(A35="","",IF(C35="MXN",IF(AND(Settings!$B$8="APPROVED",Settings!$B$9&lt;&gt;"",Settings!$B$10&lt;&gt;"",Settings!$B$2&gt;0),'ERP Snapshot'!I35/Settings!$B$2,""),'ERP Snapshot'!I35))</x:f>
      </x:c>
      <x:c r="F35" t="str">
        <x:f>IF(A35="","",IF(AND(ISNUMBER(D35),ISNUMBER(E35)),D35-E35,""))</x:f>
      </x:c>
      <x:c r="G35" t="str">
        <x:f>IF(A35="","",IF(ISNUMBER('ERP Snapshot'!F35),'ERP Snapshot'!F35,""))</x:f>
      </x:c>
      <x:c r="H35" t="str">
        <x:f>IF(A35="","",'ERP Snapshot'!G35)</x:f>
      </x:c>
      <x:c r="I35" t="str">
        <x:f>IF(A35="","",IF(ISNUMBER('ERP Snapshot'!S35),'ERP Snapshot'!S35,""))</x:f>
      </x:c>
      <x:c r="J35" t="str">
        <x:f>IF(A35="","",IF(AND(ISNUMBER(G35),ISNUMBER(I35)),G35-I35,""))</x:f>
      </x:c>
      <x:c r="K35" s="8" t="str">
        <x:f>IF(A35="","",IF(AND(ISNUMBER(G35),G35&gt;0,ISNUMBER(I35)),I35/G35,""))</x:f>
      </x:c>
      <x:c r="L35" t="str">
        <x:f>IF(A35="","",IF(NOT(ISNUMBER(G35)),"BUDGET DATA REQUIRED",IF(G35&lt;=0,"REVIEW: NO BUDGET",IF(NOT(ISNUMBER(I35)),"PO DATA REQUIRED",IF(I35&lt;0,"REVIEW: PO AMOUNT",IF(K35&gt;1,"OVER BUDGET",IF(K35=1,"BUDGET EXHAUSTED",IF(K35&gt;=Settings!$B$3,"PREVENTIVE ALERT","OK"))))))))</x:f>
      </x:c>
      <x:c r="M35" t="str">
        <x:f>IF(A35="","",'ERP Snapshot'!K35)</x:f>
      </x:c>
      <x:c r="N35" t="str">
        <x:f>IF(A35="","",COUNTIFS(Exceptions!$A$2:$A$101,A35,Exceptions!$E$2:$E$101,"Open"))</x:f>
      </x:c>
      <x:c r="O35" t="str">
        <x:f>IF(A35="","",IF(AND(C35="MXN",OR(D35="",E35="")),"FX HOLD",IF(E35&gt;D35,"REVIEW: ABOVE CUSTOMER PO",IF('PO Authorization'!H35="REVIEW: SNAPSHOT DIFFERS","REVIEW: PO SNAPSHOT",IF(E35=D35,"FULLY INVOICED",IF(E35&gt;0,"PARTIAL INVOICE","NOT INVOICED"))))))</x:f>
      </x:c>
      <x:c r="P35" t="str">
        <x:f>IF(A35="","",IF(OR(O35="FX HOLD",O35="REVIEW: PO SNAPSHOT",L35="OVER BUDGET",L35="BUDGET EXHAUSTED",O35="REVIEW: ABOVE CUSTOMER PO",'ERP Snapshot'!L35="YES"),"CRITICAL / REVIEW",IF(OR(L35="PO DATA REQUIRED",L35="BUDGET DATA REQUIRED",L35="REVIEW: NO BUDGET",L35="REVIEW: PO AMOUNT",N35&gt;0,M35&gt;0,F35&gt;0),"FOLLOW UP","NORMAL")))</x:f>
      </x:c>
      <x:c r="Q35" t="str">
        <x:f>IF(A35="","",'ERP Snapshot'!N35)</x:f>
      </x:c>
      <x:c r="R35" t="str">
        <x:f>IF(A35="","",'ERP Snapshot'!Q35)</x:f>
      </x:c>
      <x:c r="S35" t="str">
        <x:f>IF(A35="","",'ERP Snapshot'!R35)</x:f>
      </x:c>
      <x:c r="T35" t="str">
        <x:f>IF(A35="","",'ERP Snapshot'!C35)</x:f>
      </x:c>
    </x:row>
    <x:row r="36">
      <x:c r="A36" t="str">
        <x:f>IF('ERP Snapshot'!A36="","",'ERP Snapshot'!A36)</x:f>
      </x:c>
      <x:c r="B36" t="str">
        <x:f>IF(A36="","",'ERP Snapshot'!B36)</x:f>
      </x:c>
      <x:c r="C36" t="str">
        <x:f>IF(A36="","",'ERP Snapshot'!D36)</x:f>
      </x:c>
      <x:c r="D36" t="str">
        <x:f>IF(A36="","",IF(C36="MXN",IF(AND(Settings!$B$8="APPROVED",Settings!$B$9&lt;&gt;"",Settings!$B$10&lt;&gt;"",Settings!$B$2&gt;0),'PO Authorization'!F36/Settings!$B$2,""),'PO Authorization'!F36))</x:f>
      </x:c>
      <x:c r="E36" t="str">
        <x:f>IF(A36="","",IF(C36="MXN",IF(AND(Settings!$B$8="APPROVED",Settings!$B$9&lt;&gt;"",Settings!$B$10&lt;&gt;"",Settings!$B$2&gt;0),'ERP Snapshot'!I36/Settings!$B$2,""),'ERP Snapshot'!I36))</x:f>
      </x:c>
      <x:c r="F36" t="str">
        <x:f>IF(A36="","",IF(AND(ISNUMBER(D36),ISNUMBER(E36)),D36-E36,""))</x:f>
      </x:c>
      <x:c r="G36" t="str">
        <x:f>IF(A36="","",IF(ISNUMBER('ERP Snapshot'!F36),'ERP Snapshot'!F36,""))</x:f>
      </x:c>
      <x:c r="H36" t="str">
        <x:f>IF(A36="","",'ERP Snapshot'!G36)</x:f>
      </x:c>
      <x:c r="I36" t="str">
        <x:f>IF(A36="","",IF(ISNUMBER('ERP Snapshot'!S36),'ERP Snapshot'!S36,""))</x:f>
      </x:c>
      <x:c r="J36" t="str">
        <x:f>IF(A36="","",IF(AND(ISNUMBER(G36),ISNUMBER(I36)),G36-I36,""))</x:f>
      </x:c>
      <x:c r="K36" s="8" t="str">
        <x:f>IF(A36="","",IF(AND(ISNUMBER(G36),G36&gt;0,ISNUMBER(I36)),I36/G36,""))</x:f>
      </x:c>
      <x:c r="L36" t="str">
        <x:f>IF(A36="","",IF(NOT(ISNUMBER(G36)),"BUDGET DATA REQUIRED",IF(G36&lt;=0,"REVIEW: NO BUDGET",IF(NOT(ISNUMBER(I36)),"PO DATA REQUIRED",IF(I36&lt;0,"REVIEW: PO AMOUNT",IF(K36&gt;1,"OVER BUDGET",IF(K36=1,"BUDGET EXHAUSTED",IF(K36&gt;=Settings!$B$3,"PREVENTIVE ALERT","OK"))))))))</x:f>
      </x:c>
      <x:c r="M36" t="str">
        <x:f>IF(A36="","",'ERP Snapshot'!K36)</x:f>
      </x:c>
      <x:c r="N36" t="str">
        <x:f>IF(A36="","",COUNTIFS(Exceptions!$A$2:$A$101,A36,Exceptions!$E$2:$E$101,"Open"))</x:f>
      </x:c>
      <x:c r="O36" t="str">
        <x:f>IF(A36="","",IF(AND(C36="MXN",OR(D36="",E36="")),"FX HOLD",IF(E36&gt;D36,"REVIEW: ABOVE CUSTOMER PO",IF('PO Authorization'!H36="REVIEW: SNAPSHOT DIFFERS","REVIEW: PO SNAPSHOT",IF(E36=D36,"FULLY INVOICED",IF(E36&gt;0,"PARTIAL INVOICE","NOT INVOICED"))))))</x:f>
      </x:c>
      <x:c r="P36" t="str">
        <x:f>IF(A36="","",IF(OR(O36="FX HOLD",O36="REVIEW: PO SNAPSHOT",L36="OVER BUDGET",L36="BUDGET EXHAUSTED",O36="REVIEW: ABOVE CUSTOMER PO",'ERP Snapshot'!L36="YES"),"CRITICAL / REVIEW",IF(OR(L36="PO DATA REQUIRED",L36="BUDGET DATA REQUIRED",L36="REVIEW: NO BUDGET",L36="REVIEW: PO AMOUNT",N36&gt;0,M36&gt;0,F36&gt;0),"FOLLOW UP","NORMAL")))</x:f>
      </x:c>
      <x:c r="Q36" t="str">
        <x:f>IF(A36="","",'ERP Snapshot'!N36)</x:f>
      </x:c>
      <x:c r="R36" t="str">
        <x:f>IF(A36="","",'ERP Snapshot'!Q36)</x:f>
      </x:c>
      <x:c r="S36" t="str">
        <x:f>IF(A36="","",'ERP Snapshot'!R36)</x:f>
      </x:c>
      <x:c r="T36" t="str">
        <x:f>IF(A36="","",'ERP Snapshot'!C36)</x:f>
      </x:c>
    </x:row>
    <x:row r="37">
      <x:c r="A37" t="str">
        <x:f>IF('ERP Snapshot'!A37="","",'ERP Snapshot'!A37)</x:f>
      </x:c>
      <x:c r="B37" t="str">
        <x:f>IF(A37="","",'ERP Snapshot'!B37)</x:f>
      </x:c>
      <x:c r="C37" t="str">
        <x:f>IF(A37="","",'ERP Snapshot'!D37)</x:f>
      </x:c>
      <x:c r="D37" t="str">
        <x:f>IF(A37="","",IF(C37="MXN",IF(AND(Settings!$B$8="APPROVED",Settings!$B$9&lt;&gt;"",Settings!$B$10&lt;&gt;"",Settings!$B$2&gt;0),'PO Authorization'!F37/Settings!$B$2,""),'PO Authorization'!F37))</x:f>
      </x:c>
      <x:c r="E37" t="str">
        <x:f>IF(A37="","",IF(C37="MXN",IF(AND(Settings!$B$8="APPROVED",Settings!$B$9&lt;&gt;"",Settings!$B$10&lt;&gt;"",Settings!$B$2&gt;0),'ERP Snapshot'!I37/Settings!$B$2,""),'ERP Snapshot'!I37))</x:f>
      </x:c>
      <x:c r="F37" t="str">
        <x:f>IF(A37="","",IF(AND(ISNUMBER(D37),ISNUMBER(E37)),D37-E37,""))</x:f>
      </x:c>
      <x:c r="G37" t="str">
        <x:f>IF(A37="","",IF(ISNUMBER('ERP Snapshot'!F37),'ERP Snapshot'!F37,""))</x:f>
      </x:c>
      <x:c r="H37" t="str">
        <x:f>IF(A37="","",'ERP Snapshot'!G37)</x:f>
      </x:c>
      <x:c r="I37" t="str">
        <x:f>IF(A37="","",IF(ISNUMBER('ERP Snapshot'!S37),'ERP Snapshot'!S37,""))</x:f>
      </x:c>
      <x:c r="J37" t="str">
        <x:f>IF(A37="","",IF(AND(ISNUMBER(G37),ISNUMBER(I37)),G37-I37,""))</x:f>
      </x:c>
      <x:c r="K37" s="8" t="str">
        <x:f>IF(A37="","",IF(AND(ISNUMBER(G37),G37&gt;0,ISNUMBER(I37)),I37/G37,""))</x:f>
      </x:c>
      <x:c r="L37" t="str">
        <x:f>IF(A37="","",IF(NOT(ISNUMBER(G37)),"BUDGET DATA REQUIRED",IF(G37&lt;=0,"REVIEW: NO BUDGET",IF(NOT(ISNUMBER(I37)),"PO DATA REQUIRED",IF(I37&lt;0,"REVIEW: PO AMOUNT",IF(K37&gt;1,"OVER BUDGET",IF(K37=1,"BUDGET EXHAUSTED",IF(K37&gt;=Settings!$B$3,"PREVENTIVE ALERT","OK"))))))))</x:f>
      </x:c>
      <x:c r="M37" t="str">
        <x:f>IF(A37="","",'ERP Snapshot'!K37)</x:f>
      </x:c>
      <x:c r="N37" t="str">
        <x:f>IF(A37="","",COUNTIFS(Exceptions!$A$2:$A$101,A37,Exceptions!$E$2:$E$101,"Open"))</x:f>
      </x:c>
      <x:c r="O37" t="str">
        <x:f>IF(A37="","",IF(AND(C37="MXN",OR(D37="",E37="")),"FX HOLD",IF(E37&gt;D37,"REVIEW: ABOVE CUSTOMER PO",IF('PO Authorization'!H37="REVIEW: SNAPSHOT DIFFERS","REVIEW: PO SNAPSHOT",IF(E37=D37,"FULLY INVOICED",IF(E37&gt;0,"PARTIAL INVOICE","NOT INVOICED"))))))</x:f>
      </x:c>
      <x:c r="P37" t="str">
        <x:f>IF(A37="","",IF(OR(O37="FX HOLD",O37="REVIEW: PO SNAPSHOT",L37="OVER BUDGET",L37="BUDGET EXHAUSTED",O37="REVIEW: ABOVE CUSTOMER PO",'ERP Snapshot'!L37="YES"),"CRITICAL / REVIEW",IF(OR(L37="PO DATA REQUIRED",L37="BUDGET DATA REQUIRED",L37="REVIEW: NO BUDGET",L37="REVIEW: PO AMOUNT",N37&gt;0,M37&gt;0,F37&gt;0),"FOLLOW UP","NORMAL")))</x:f>
      </x:c>
      <x:c r="Q37" t="str">
        <x:f>IF(A37="","",'ERP Snapshot'!N37)</x:f>
      </x:c>
      <x:c r="R37" t="str">
        <x:f>IF(A37="","",'ERP Snapshot'!Q37)</x:f>
      </x:c>
      <x:c r="S37" t="str">
        <x:f>IF(A37="","",'ERP Snapshot'!R37)</x:f>
      </x:c>
      <x:c r="T37" t="str">
        <x:f>IF(A37="","",'ERP Snapshot'!C37)</x:f>
      </x:c>
    </x:row>
    <x:row r="38">
      <x:c r="A38" t="str">
        <x:f>IF('ERP Snapshot'!A38="","",'ERP Snapshot'!A38)</x:f>
      </x:c>
      <x:c r="B38" t="str">
        <x:f>IF(A38="","",'ERP Snapshot'!B38)</x:f>
      </x:c>
      <x:c r="C38" t="str">
        <x:f>IF(A38="","",'ERP Snapshot'!D38)</x:f>
      </x:c>
      <x:c r="D38" t="str">
        <x:f>IF(A38="","",IF(C38="MXN",IF(AND(Settings!$B$8="APPROVED",Settings!$B$9&lt;&gt;"",Settings!$B$10&lt;&gt;"",Settings!$B$2&gt;0),'PO Authorization'!F38/Settings!$B$2,""),'PO Authorization'!F38))</x:f>
      </x:c>
      <x:c r="E38" t="str">
        <x:f>IF(A38="","",IF(C38="MXN",IF(AND(Settings!$B$8="APPROVED",Settings!$B$9&lt;&gt;"",Settings!$B$10&lt;&gt;"",Settings!$B$2&gt;0),'ERP Snapshot'!I38/Settings!$B$2,""),'ERP Snapshot'!I38))</x:f>
      </x:c>
      <x:c r="F38" t="str">
        <x:f>IF(A38="","",IF(AND(ISNUMBER(D38),ISNUMBER(E38)),D38-E38,""))</x:f>
      </x:c>
      <x:c r="G38" t="str">
        <x:f>IF(A38="","",IF(ISNUMBER('ERP Snapshot'!F38),'ERP Snapshot'!F38,""))</x:f>
      </x:c>
      <x:c r="H38" t="str">
        <x:f>IF(A38="","",'ERP Snapshot'!G38)</x:f>
      </x:c>
      <x:c r="I38" t="str">
        <x:f>IF(A38="","",IF(ISNUMBER('ERP Snapshot'!S38),'ERP Snapshot'!S38,""))</x:f>
      </x:c>
      <x:c r="J38" t="str">
        <x:f>IF(A38="","",IF(AND(ISNUMBER(G38),ISNUMBER(I38)),G38-I38,""))</x:f>
      </x:c>
      <x:c r="K38" s="8" t="str">
        <x:f>IF(A38="","",IF(AND(ISNUMBER(G38),G38&gt;0,ISNUMBER(I38)),I38/G38,""))</x:f>
      </x:c>
      <x:c r="L38" t="str">
        <x:f>IF(A38="","",IF(NOT(ISNUMBER(G38)),"BUDGET DATA REQUIRED",IF(G38&lt;=0,"REVIEW: NO BUDGET",IF(NOT(ISNUMBER(I38)),"PO DATA REQUIRED",IF(I38&lt;0,"REVIEW: PO AMOUNT",IF(K38&gt;1,"OVER BUDGET",IF(K38=1,"BUDGET EXHAUSTED",IF(K38&gt;=Settings!$B$3,"PREVENTIVE ALERT","OK"))))))))</x:f>
      </x:c>
      <x:c r="M38" t="str">
        <x:f>IF(A38="","",'ERP Snapshot'!K38)</x:f>
      </x:c>
      <x:c r="N38" t="str">
        <x:f>IF(A38="","",COUNTIFS(Exceptions!$A$2:$A$101,A38,Exceptions!$E$2:$E$101,"Open"))</x:f>
      </x:c>
      <x:c r="O38" t="str">
        <x:f>IF(A38="","",IF(AND(C38="MXN",OR(D38="",E38="")),"FX HOLD",IF(E38&gt;D38,"REVIEW: ABOVE CUSTOMER PO",IF('PO Authorization'!H38="REVIEW: SNAPSHOT DIFFERS","REVIEW: PO SNAPSHOT",IF(E38=D38,"FULLY INVOICED",IF(E38&gt;0,"PARTIAL INVOICE","NOT INVOICED"))))))</x:f>
      </x:c>
      <x:c r="P38" t="str">
        <x:f>IF(A38="","",IF(OR(O38="FX HOLD",O38="REVIEW: PO SNAPSHOT",L38="OVER BUDGET",L38="BUDGET EXHAUSTED",O38="REVIEW: ABOVE CUSTOMER PO",'ERP Snapshot'!L38="YES"),"CRITICAL / REVIEW",IF(OR(L38="PO DATA REQUIRED",L38="BUDGET DATA REQUIRED",L38="REVIEW: NO BUDGET",L38="REVIEW: PO AMOUNT",N38&gt;0,M38&gt;0,F38&gt;0),"FOLLOW UP","NORMAL")))</x:f>
      </x:c>
      <x:c r="Q38" t="str">
        <x:f>IF(A38="","",'ERP Snapshot'!N38)</x:f>
      </x:c>
      <x:c r="R38" t="str">
        <x:f>IF(A38="","",'ERP Snapshot'!Q38)</x:f>
      </x:c>
      <x:c r="S38" t="str">
        <x:f>IF(A38="","",'ERP Snapshot'!R38)</x:f>
      </x:c>
      <x:c r="T38" t="str">
        <x:f>IF(A38="","",'ERP Snapshot'!C38)</x:f>
      </x:c>
    </x:row>
    <x:row r="39">
      <x:c r="A39" t="str">
        <x:f>IF('ERP Snapshot'!A39="","",'ERP Snapshot'!A39)</x:f>
      </x:c>
      <x:c r="B39" t="str">
        <x:f>IF(A39="","",'ERP Snapshot'!B39)</x:f>
      </x:c>
      <x:c r="C39" t="str">
        <x:f>IF(A39="","",'ERP Snapshot'!D39)</x:f>
      </x:c>
      <x:c r="D39" t="str">
        <x:f>IF(A39="","",IF(C39="MXN",IF(AND(Settings!$B$8="APPROVED",Settings!$B$9&lt;&gt;"",Settings!$B$10&lt;&gt;"",Settings!$B$2&gt;0),'PO Authorization'!F39/Settings!$B$2,""),'PO Authorization'!F39))</x:f>
      </x:c>
      <x:c r="E39" t="str">
        <x:f>IF(A39="","",IF(C39="MXN",IF(AND(Settings!$B$8="APPROVED",Settings!$B$9&lt;&gt;"",Settings!$B$10&lt;&gt;"",Settings!$B$2&gt;0),'ERP Snapshot'!I39/Settings!$B$2,""),'ERP Snapshot'!I39))</x:f>
      </x:c>
      <x:c r="F39" t="str">
        <x:f>IF(A39="","",IF(AND(ISNUMBER(D39),ISNUMBER(E39)),D39-E39,""))</x:f>
      </x:c>
      <x:c r="G39" t="str">
        <x:f>IF(A39="","",IF(ISNUMBER('ERP Snapshot'!F39),'ERP Snapshot'!F39,""))</x:f>
      </x:c>
      <x:c r="H39" t="str">
        <x:f>IF(A39="","",'ERP Snapshot'!G39)</x:f>
      </x:c>
      <x:c r="I39" t="str">
        <x:f>IF(A39="","",IF(ISNUMBER('ERP Snapshot'!S39),'ERP Snapshot'!S39,""))</x:f>
      </x:c>
      <x:c r="J39" t="str">
        <x:f>IF(A39="","",IF(AND(ISNUMBER(G39),ISNUMBER(I39)),G39-I39,""))</x:f>
      </x:c>
      <x:c r="K39" s="8" t="str">
        <x:f>IF(A39="","",IF(AND(ISNUMBER(G39),G39&gt;0,ISNUMBER(I39)),I39/G39,""))</x:f>
      </x:c>
      <x:c r="L39" t="str">
        <x:f>IF(A39="","",IF(NOT(ISNUMBER(G39)),"BUDGET DATA REQUIRED",IF(G39&lt;=0,"REVIEW: NO BUDGET",IF(NOT(ISNUMBER(I39)),"PO DATA REQUIRED",IF(I39&lt;0,"REVIEW: PO AMOUNT",IF(K39&gt;1,"OVER BUDGET",IF(K39=1,"BUDGET EXHAUSTED",IF(K39&gt;=Settings!$B$3,"PREVENTIVE ALERT","OK"))))))))</x:f>
      </x:c>
      <x:c r="M39" t="str">
        <x:f>IF(A39="","",'ERP Snapshot'!K39)</x:f>
      </x:c>
      <x:c r="N39" t="str">
        <x:f>IF(A39="","",COUNTIFS(Exceptions!$A$2:$A$101,A39,Exceptions!$E$2:$E$101,"Open"))</x:f>
      </x:c>
      <x:c r="O39" t="str">
        <x:f>IF(A39="","",IF(AND(C39="MXN",OR(D39="",E39="")),"FX HOLD",IF(E39&gt;D39,"REVIEW: ABOVE CUSTOMER PO",IF('PO Authorization'!H39="REVIEW: SNAPSHOT DIFFERS","REVIEW: PO SNAPSHOT",IF(E39=D39,"FULLY INVOICED",IF(E39&gt;0,"PARTIAL INVOICE","NOT INVOICED"))))))</x:f>
      </x:c>
      <x:c r="P39" t="str">
        <x:f>IF(A39="","",IF(OR(O39="FX HOLD",O39="REVIEW: PO SNAPSHOT",L39="OVER BUDGET",L39="BUDGET EXHAUSTED",O39="REVIEW: ABOVE CUSTOMER PO",'ERP Snapshot'!L39="YES"),"CRITICAL / REVIEW",IF(OR(L39="PO DATA REQUIRED",L39="BUDGET DATA REQUIRED",L39="REVIEW: NO BUDGET",L39="REVIEW: PO AMOUNT",N39&gt;0,M39&gt;0,F39&gt;0),"FOLLOW UP","NORMAL")))</x:f>
      </x:c>
      <x:c r="Q39" t="str">
        <x:f>IF(A39="","",'ERP Snapshot'!N39)</x:f>
      </x:c>
      <x:c r="R39" t="str">
        <x:f>IF(A39="","",'ERP Snapshot'!Q39)</x:f>
      </x:c>
      <x:c r="S39" t="str">
        <x:f>IF(A39="","",'ERP Snapshot'!R39)</x:f>
      </x:c>
      <x:c r="T39" t="str">
        <x:f>IF(A39="","",'ERP Snapshot'!C39)</x:f>
      </x:c>
    </x:row>
    <x:row r="40">
      <x:c r="A40" t="str">
        <x:f>IF('ERP Snapshot'!A40="","",'ERP Snapshot'!A40)</x:f>
      </x:c>
      <x:c r="B40" t="str">
        <x:f>IF(A40="","",'ERP Snapshot'!B40)</x:f>
      </x:c>
      <x:c r="C40" t="str">
        <x:f>IF(A40="","",'ERP Snapshot'!D40)</x:f>
      </x:c>
      <x:c r="D40" t="str">
        <x:f>IF(A40="","",IF(C40="MXN",IF(AND(Settings!$B$8="APPROVED",Settings!$B$9&lt;&gt;"",Settings!$B$10&lt;&gt;"",Settings!$B$2&gt;0),'PO Authorization'!F40/Settings!$B$2,""),'PO Authorization'!F40))</x:f>
      </x:c>
      <x:c r="E40" t="str">
        <x:f>IF(A40="","",IF(C40="MXN",IF(AND(Settings!$B$8="APPROVED",Settings!$B$9&lt;&gt;"",Settings!$B$10&lt;&gt;"",Settings!$B$2&gt;0),'ERP Snapshot'!I40/Settings!$B$2,""),'ERP Snapshot'!I40))</x:f>
      </x:c>
      <x:c r="F40" t="str">
        <x:f>IF(A40="","",IF(AND(ISNUMBER(D40),ISNUMBER(E40)),D40-E40,""))</x:f>
      </x:c>
      <x:c r="G40" t="str">
        <x:f>IF(A40="","",IF(ISNUMBER('ERP Snapshot'!F40),'ERP Snapshot'!F40,""))</x:f>
      </x:c>
      <x:c r="H40" t="str">
        <x:f>IF(A40="","",'ERP Snapshot'!G40)</x:f>
      </x:c>
      <x:c r="I40" t="str">
        <x:f>IF(A40="","",IF(ISNUMBER('ERP Snapshot'!S40),'ERP Snapshot'!S40,""))</x:f>
      </x:c>
      <x:c r="J40" t="str">
        <x:f>IF(A40="","",IF(AND(ISNUMBER(G40),ISNUMBER(I40)),G40-I40,""))</x:f>
      </x:c>
      <x:c r="K40" s="8" t="str">
        <x:f>IF(A40="","",IF(AND(ISNUMBER(G40),G40&gt;0,ISNUMBER(I40)),I40/G40,""))</x:f>
      </x:c>
      <x:c r="L40" t="str">
        <x:f>IF(A40="","",IF(NOT(ISNUMBER(G40)),"BUDGET DATA REQUIRED",IF(G40&lt;=0,"REVIEW: NO BUDGET",IF(NOT(ISNUMBER(I40)),"PO DATA REQUIRED",IF(I40&lt;0,"REVIEW: PO AMOUNT",IF(K40&gt;1,"OVER BUDGET",IF(K40=1,"BUDGET EXHAUSTED",IF(K40&gt;=Settings!$B$3,"PREVENTIVE ALERT","OK"))))))))</x:f>
      </x:c>
      <x:c r="M40" t="str">
        <x:f>IF(A40="","",'ERP Snapshot'!K40)</x:f>
      </x:c>
      <x:c r="N40" t="str">
        <x:f>IF(A40="","",COUNTIFS(Exceptions!$A$2:$A$101,A40,Exceptions!$E$2:$E$101,"Open"))</x:f>
      </x:c>
      <x:c r="O40" t="str">
        <x:f>IF(A40="","",IF(AND(C40="MXN",OR(D40="",E40="")),"FX HOLD",IF(E40&gt;D40,"REVIEW: ABOVE CUSTOMER PO",IF('PO Authorization'!H40="REVIEW: SNAPSHOT DIFFERS","REVIEW: PO SNAPSHOT",IF(E40=D40,"FULLY INVOICED",IF(E40&gt;0,"PARTIAL INVOICE","NOT INVOICED"))))))</x:f>
      </x:c>
      <x:c r="P40" t="str">
        <x:f>IF(A40="","",IF(OR(O40="FX HOLD",O40="REVIEW: PO SNAPSHOT",L40="OVER BUDGET",L40="BUDGET EXHAUSTED",O40="REVIEW: ABOVE CUSTOMER PO",'ERP Snapshot'!L40="YES"),"CRITICAL / REVIEW",IF(OR(L40="PO DATA REQUIRED",L40="BUDGET DATA REQUIRED",L40="REVIEW: NO BUDGET",L40="REVIEW: PO AMOUNT",N40&gt;0,M40&gt;0,F40&gt;0),"FOLLOW UP","NORMAL")))</x:f>
      </x:c>
      <x:c r="Q40" t="str">
        <x:f>IF(A40="","",'ERP Snapshot'!N40)</x:f>
      </x:c>
      <x:c r="R40" t="str">
        <x:f>IF(A40="","",'ERP Snapshot'!Q40)</x:f>
      </x:c>
      <x:c r="S40" t="str">
        <x:f>IF(A40="","",'ERP Snapshot'!R40)</x:f>
      </x:c>
      <x:c r="T40" t="str">
        <x:f>IF(A40="","",'ERP Snapshot'!C40)</x:f>
      </x:c>
    </x:row>
    <x:row r="41">
      <x:c r="A41" t="str">
        <x:f>IF('ERP Snapshot'!A41="","",'ERP Snapshot'!A41)</x:f>
      </x:c>
      <x:c r="B41" t="str">
        <x:f>IF(A41="","",'ERP Snapshot'!B41)</x:f>
      </x:c>
      <x:c r="C41" t="str">
        <x:f>IF(A41="","",'ERP Snapshot'!D41)</x:f>
      </x:c>
      <x:c r="D41" t="str">
        <x:f>IF(A41="","",IF(C41="MXN",IF(AND(Settings!$B$8="APPROVED",Settings!$B$9&lt;&gt;"",Settings!$B$10&lt;&gt;"",Settings!$B$2&gt;0),'PO Authorization'!F41/Settings!$B$2,""),'PO Authorization'!F41))</x:f>
      </x:c>
      <x:c r="E41" t="str">
        <x:f>IF(A41="","",IF(C41="MXN",IF(AND(Settings!$B$8="APPROVED",Settings!$B$9&lt;&gt;"",Settings!$B$10&lt;&gt;"",Settings!$B$2&gt;0),'ERP Snapshot'!I41/Settings!$B$2,""),'ERP Snapshot'!I41))</x:f>
      </x:c>
      <x:c r="F41" t="str">
        <x:f>IF(A41="","",IF(AND(ISNUMBER(D41),ISNUMBER(E41)),D41-E41,""))</x:f>
      </x:c>
      <x:c r="G41" t="str">
        <x:f>IF(A41="","",IF(ISNUMBER('ERP Snapshot'!F41),'ERP Snapshot'!F41,""))</x:f>
      </x:c>
      <x:c r="H41" t="str">
        <x:f>IF(A41="","",'ERP Snapshot'!G41)</x:f>
      </x:c>
      <x:c r="I41" t="str">
        <x:f>IF(A41="","",IF(ISNUMBER('ERP Snapshot'!S41),'ERP Snapshot'!S41,""))</x:f>
      </x:c>
      <x:c r="J41" t="str">
        <x:f>IF(A41="","",IF(AND(ISNUMBER(G41),ISNUMBER(I41)),G41-I41,""))</x:f>
      </x:c>
      <x:c r="K41" s="8" t="str">
        <x:f>IF(A41="","",IF(AND(ISNUMBER(G41),G41&gt;0,ISNUMBER(I41)),I41/G41,""))</x:f>
      </x:c>
      <x:c r="L41" t="str">
        <x:f>IF(A41="","",IF(NOT(ISNUMBER(G41)),"BUDGET DATA REQUIRED",IF(G41&lt;=0,"REVIEW: NO BUDGET",IF(NOT(ISNUMBER(I41)),"PO DATA REQUIRED",IF(I41&lt;0,"REVIEW: PO AMOUNT",IF(K41&gt;1,"OVER BUDGET",IF(K41=1,"BUDGET EXHAUSTED",IF(K41&gt;=Settings!$B$3,"PREVENTIVE ALERT","OK"))))))))</x:f>
      </x:c>
      <x:c r="M41" t="str">
        <x:f>IF(A41="","",'ERP Snapshot'!K41)</x:f>
      </x:c>
      <x:c r="N41" t="str">
        <x:f>IF(A41="","",COUNTIFS(Exceptions!$A$2:$A$101,A41,Exceptions!$E$2:$E$101,"Open"))</x:f>
      </x:c>
      <x:c r="O41" t="str">
        <x:f>IF(A41="","",IF(AND(C41="MXN",OR(D41="",E41="")),"FX HOLD",IF(E41&gt;D41,"REVIEW: ABOVE CUSTOMER PO",IF('PO Authorization'!H41="REVIEW: SNAPSHOT DIFFERS","REVIEW: PO SNAPSHOT",IF(E41=D41,"FULLY INVOICED",IF(E41&gt;0,"PARTIAL INVOICE","NOT INVOICED"))))))</x:f>
      </x:c>
      <x:c r="P41" t="str">
        <x:f>IF(A41="","",IF(OR(O41="FX HOLD",O41="REVIEW: PO SNAPSHOT",L41="OVER BUDGET",L41="BUDGET EXHAUSTED",O41="REVIEW: ABOVE CUSTOMER PO",'ERP Snapshot'!L41="YES"),"CRITICAL / REVIEW",IF(OR(L41="PO DATA REQUIRED",L41="BUDGET DATA REQUIRED",L41="REVIEW: NO BUDGET",L41="REVIEW: PO AMOUNT",N41&gt;0,M41&gt;0,F41&gt;0),"FOLLOW UP","NORMAL")))</x:f>
      </x:c>
      <x:c r="Q41" t="str">
        <x:f>IF(A41="","",'ERP Snapshot'!N41)</x:f>
      </x:c>
      <x:c r="R41" t="str">
        <x:f>IF(A41="","",'ERP Snapshot'!Q41)</x:f>
      </x:c>
      <x:c r="S41" t="str">
        <x:f>IF(A41="","",'ERP Snapshot'!R41)</x:f>
      </x:c>
      <x:c r="T41" t="str">
        <x:f>IF(A41="","",'ERP Snapshot'!C41)</x:f>
      </x:c>
    </x:row>
    <x:row r="42">
      <x:c r="A42" t="str">
        <x:f>IF('ERP Snapshot'!A42="","",'ERP Snapshot'!A42)</x:f>
      </x:c>
      <x:c r="B42" t="str">
        <x:f>IF(A42="","",'ERP Snapshot'!B42)</x:f>
      </x:c>
      <x:c r="C42" t="str">
        <x:f>IF(A42="","",'ERP Snapshot'!D42)</x:f>
      </x:c>
      <x:c r="D42" t="str">
        <x:f>IF(A42="","",IF(C42="MXN",IF(AND(Settings!$B$8="APPROVED",Settings!$B$9&lt;&gt;"",Settings!$B$10&lt;&gt;"",Settings!$B$2&gt;0),'PO Authorization'!F42/Settings!$B$2,""),'PO Authorization'!F42))</x:f>
      </x:c>
      <x:c r="E42" t="str">
        <x:f>IF(A42="","",IF(C42="MXN",IF(AND(Settings!$B$8="APPROVED",Settings!$B$9&lt;&gt;"",Settings!$B$10&lt;&gt;"",Settings!$B$2&gt;0),'ERP Snapshot'!I42/Settings!$B$2,""),'ERP Snapshot'!I42))</x:f>
      </x:c>
      <x:c r="F42" t="str">
        <x:f>IF(A42="","",IF(AND(ISNUMBER(D42),ISNUMBER(E42)),D42-E42,""))</x:f>
      </x:c>
      <x:c r="G42" t="str">
        <x:f>IF(A42="","",IF(ISNUMBER('ERP Snapshot'!F42),'ERP Snapshot'!F42,""))</x:f>
      </x:c>
      <x:c r="H42" t="str">
        <x:f>IF(A42="","",'ERP Snapshot'!G42)</x:f>
      </x:c>
      <x:c r="I42" t="str">
        <x:f>IF(A42="","",IF(ISNUMBER('ERP Snapshot'!S42),'ERP Snapshot'!S42,""))</x:f>
      </x:c>
      <x:c r="J42" t="str">
        <x:f>IF(A42="","",IF(AND(ISNUMBER(G42),ISNUMBER(I42)),G42-I42,""))</x:f>
      </x:c>
      <x:c r="K42" s="8" t="str">
        <x:f>IF(A42="","",IF(AND(ISNUMBER(G42),G42&gt;0,ISNUMBER(I42)),I42/G42,""))</x:f>
      </x:c>
      <x:c r="L42" t="str">
        <x:f>IF(A42="","",IF(NOT(ISNUMBER(G42)),"BUDGET DATA REQUIRED",IF(G42&lt;=0,"REVIEW: NO BUDGET",IF(NOT(ISNUMBER(I42)),"PO DATA REQUIRED",IF(I42&lt;0,"REVIEW: PO AMOUNT",IF(K42&gt;1,"OVER BUDGET",IF(K42=1,"BUDGET EXHAUSTED",IF(K42&gt;=Settings!$B$3,"PREVENTIVE ALERT","OK"))))))))</x:f>
      </x:c>
      <x:c r="M42" t="str">
        <x:f>IF(A42="","",'ERP Snapshot'!K42)</x:f>
      </x:c>
      <x:c r="N42" t="str">
        <x:f>IF(A42="","",COUNTIFS(Exceptions!$A$2:$A$101,A42,Exceptions!$E$2:$E$101,"Open"))</x:f>
      </x:c>
      <x:c r="O42" t="str">
        <x:f>IF(A42="","",IF(AND(C42="MXN",OR(D42="",E42="")),"FX HOLD",IF(E42&gt;D42,"REVIEW: ABOVE CUSTOMER PO",IF('PO Authorization'!H42="REVIEW: SNAPSHOT DIFFERS","REVIEW: PO SNAPSHOT",IF(E42=D42,"FULLY INVOICED",IF(E42&gt;0,"PARTIAL INVOICE","NOT INVOICED"))))))</x:f>
      </x:c>
      <x:c r="P42" t="str">
        <x:f>IF(A42="","",IF(OR(O42="FX HOLD",O42="REVIEW: PO SNAPSHOT",L42="OVER BUDGET",L42="BUDGET EXHAUSTED",O42="REVIEW: ABOVE CUSTOMER PO",'ERP Snapshot'!L42="YES"),"CRITICAL / REVIEW",IF(OR(L42="PO DATA REQUIRED",L42="BUDGET DATA REQUIRED",L42="REVIEW: NO BUDGET",L42="REVIEW: PO AMOUNT",N42&gt;0,M42&gt;0,F42&gt;0),"FOLLOW UP","NORMAL")))</x:f>
      </x:c>
      <x:c r="Q42" t="str">
        <x:f>IF(A42="","",'ERP Snapshot'!N42)</x:f>
      </x:c>
      <x:c r="R42" t="str">
        <x:f>IF(A42="","",'ERP Snapshot'!Q42)</x:f>
      </x:c>
      <x:c r="S42" t="str">
        <x:f>IF(A42="","",'ERP Snapshot'!R42)</x:f>
      </x:c>
      <x:c r="T42" t="str">
        <x:f>IF(A42="","",'ERP Snapshot'!C42)</x:f>
      </x:c>
    </x:row>
    <x:row r="43">
      <x:c r="A43" t="str">
        <x:f>IF('ERP Snapshot'!A43="","",'ERP Snapshot'!A43)</x:f>
      </x:c>
      <x:c r="B43" t="str">
        <x:f>IF(A43="","",'ERP Snapshot'!B43)</x:f>
      </x:c>
      <x:c r="C43" t="str">
        <x:f>IF(A43="","",'ERP Snapshot'!D43)</x:f>
      </x:c>
      <x:c r="D43" t="str">
        <x:f>IF(A43="","",IF(C43="MXN",IF(AND(Settings!$B$8="APPROVED",Settings!$B$9&lt;&gt;"",Settings!$B$10&lt;&gt;"",Settings!$B$2&gt;0),'PO Authorization'!F43/Settings!$B$2,""),'PO Authorization'!F43))</x:f>
      </x:c>
      <x:c r="E43" t="str">
        <x:f>IF(A43="","",IF(C43="MXN",IF(AND(Settings!$B$8="APPROVED",Settings!$B$9&lt;&gt;"",Settings!$B$10&lt;&gt;"",Settings!$B$2&gt;0),'ERP Snapshot'!I43/Settings!$B$2,""),'ERP Snapshot'!I43))</x:f>
      </x:c>
      <x:c r="F43" t="str">
        <x:f>IF(A43="","",IF(AND(ISNUMBER(D43),ISNUMBER(E43)),D43-E43,""))</x:f>
      </x:c>
      <x:c r="G43" t="str">
        <x:f>IF(A43="","",IF(ISNUMBER('ERP Snapshot'!F43),'ERP Snapshot'!F43,""))</x:f>
      </x:c>
      <x:c r="H43" t="str">
        <x:f>IF(A43="","",'ERP Snapshot'!G43)</x:f>
      </x:c>
      <x:c r="I43" t="str">
        <x:f>IF(A43="","",IF(ISNUMBER('ERP Snapshot'!S43),'ERP Snapshot'!S43,""))</x:f>
      </x:c>
      <x:c r="J43" t="str">
        <x:f>IF(A43="","",IF(AND(ISNUMBER(G43),ISNUMBER(I43)),G43-I43,""))</x:f>
      </x:c>
      <x:c r="K43" s="8" t="str">
        <x:f>IF(A43="","",IF(AND(ISNUMBER(G43),G43&gt;0,ISNUMBER(I43)),I43/G43,""))</x:f>
      </x:c>
      <x:c r="L43" t="str">
        <x:f>IF(A43="","",IF(NOT(ISNUMBER(G43)),"BUDGET DATA REQUIRED",IF(G43&lt;=0,"REVIEW: NO BUDGET",IF(NOT(ISNUMBER(I43)),"PO DATA REQUIRED",IF(I43&lt;0,"REVIEW: PO AMOUNT",IF(K43&gt;1,"OVER BUDGET",IF(K43=1,"BUDGET EXHAUSTED",IF(K43&gt;=Settings!$B$3,"PREVENTIVE ALERT","OK"))))))))</x:f>
      </x:c>
      <x:c r="M43" t="str">
        <x:f>IF(A43="","",'ERP Snapshot'!K43)</x:f>
      </x:c>
      <x:c r="N43" t="str">
        <x:f>IF(A43="","",COUNTIFS(Exceptions!$A$2:$A$101,A43,Exceptions!$E$2:$E$101,"Open"))</x:f>
      </x:c>
      <x:c r="O43" t="str">
        <x:f>IF(A43="","",IF(AND(C43="MXN",OR(D43="",E43="")),"FX HOLD",IF(E43&gt;D43,"REVIEW: ABOVE CUSTOMER PO",IF('PO Authorization'!H43="REVIEW: SNAPSHOT DIFFERS","REVIEW: PO SNAPSHOT",IF(E43=D43,"FULLY INVOICED",IF(E43&gt;0,"PARTIAL INVOICE","NOT INVOICED"))))))</x:f>
      </x:c>
      <x:c r="P43" t="str">
        <x:f>IF(A43="","",IF(OR(O43="FX HOLD",O43="REVIEW: PO SNAPSHOT",L43="OVER BUDGET",L43="BUDGET EXHAUSTED",O43="REVIEW: ABOVE CUSTOMER PO",'ERP Snapshot'!L43="YES"),"CRITICAL / REVIEW",IF(OR(L43="PO DATA REQUIRED",L43="BUDGET DATA REQUIRED",L43="REVIEW: NO BUDGET",L43="REVIEW: PO AMOUNT",N43&gt;0,M43&gt;0,F43&gt;0),"FOLLOW UP","NORMAL")))</x:f>
      </x:c>
      <x:c r="Q43" t="str">
        <x:f>IF(A43="","",'ERP Snapshot'!N43)</x:f>
      </x:c>
      <x:c r="R43" t="str">
        <x:f>IF(A43="","",'ERP Snapshot'!Q43)</x:f>
      </x:c>
      <x:c r="S43" t="str">
        <x:f>IF(A43="","",'ERP Snapshot'!R43)</x:f>
      </x:c>
      <x:c r="T43" t="str">
        <x:f>IF(A43="","",'ERP Snapshot'!C43)</x:f>
      </x:c>
    </x:row>
    <x:row r="44">
      <x:c r="A44" t="str">
        <x:f>IF('ERP Snapshot'!A44="","",'ERP Snapshot'!A44)</x:f>
      </x:c>
      <x:c r="B44" t="str">
        <x:f>IF(A44="","",'ERP Snapshot'!B44)</x:f>
      </x:c>
      <x:c r="C44" t="str">
        <x:f>IF(A44="","",'ERP Snapshot'!D44)</x:f>
      </x:c>
      <x:c r="D44" t="str">
        <x:f>IF(A44="","",IF(C44="MXN",IF(AND(Settings!$B$8="APPROVED",Settings!$B$9&lt;&gt;"",Settings!$B$10&lt;&gt;"",Settings!$B$2&gt;0),'PO Authorization'!F44/Settings!$B$2,""),'PO Authorization'!F44))</x:f>
      </x:c>
      <x:c r="E44" t="str">
        <x:f>IF(A44="","",IF(C44="MXN",IF(AND(Settings!$B$8="APPROVED",Settings!$B$9&lt;&gt;"",Settings!$B$10&lt;&gt;"",Settings!$B$2&gt;0),'ERP Snapshot'!I44/Settings!$B$2,""),'ERP Snapshot'!I44))</x:f>
      </x:c>
      <x:c r="F44" t="str">
        <x:f>IF(A44="","",IF(AND(ISNUMBER(D44),ISNUMBER(E44)),D44-E44,""))</x:f>
      </x:c>
      <x:c r="G44" t="str">
        <x:f>IF(A44="","",IF(ISNUMBER('ERP Snapshot'!F44),'ERP Snapshot'!F44,""))</x:f>
      </x:c>
      <x:c r="H44" t="str">
        <x:f>IF(A44="","",'ERP Snapshot'!G44)</x:f>
      </x:c>
      <x:c r="I44" t="str">
        <x:f>IF(A44="","",IF(ISNUMBER('ERP Snapshot'!S44),'ERP Snapshot'!S44,""))</x:f>
      </x:c>
      <x:c r="J44" t="str">
        <x:f>IF(A44="","",IF(AND(ISNUMBER(G44),ISNUMBER(I44)),G44-I44,""))</x:f>
      </x:c>
      <x:c r="K44" s="8" t="str">
        <x:f>IF(A44="","",IF(AND(ISNUMBER(G44),G44&gt;0,ISNUMBER(I44)),I44/G44,""))</x:f>
      </x:c>
      <x:c r="L44" t="str">
        <x:f>IF(A44="","",IF(NOT(ISNUMBER(G44)),"BUDGET DATA REQUIRED",IF(G44&lt;=0,"REVIEW: NO BUDGET",IF(NOT(ISNUMBER(I44)),"PO DATA REQUIRED",IF(I44&lt;0,"REVIEW: PO AMOUNT",IF(K44&gt;1,"OVER BUDGET",IF(K44=1,"BUDGET EXHAUSTED",IF(K44&gt;=Settings!$B$3,"PREVENTIVE ALERT","OK"))))))))</x:f>
      </x:c>
      <x:c r="M44" t="str">
        <x:f>IF(A44="","",'ERP Snapshot'!K44)</x:f>
      </x:c>
      <x:c r="N44" t="str">
        <x:f>IF(A44="","",COUNTIFS(Exceptions!$A$2:$A$101,A44,Exceptions!$E$2:$E$101,"Open"))</x:f>
      </x:c>
      <x:c r="O44" t="str">
        <x:f>IF(A44="","",IF(AND(C44="MXN",OR(D44="",E44="")),"FX HOLD",IF(E44&gt;D44,"REVIEW: ABOVE CUSTOMER PO",IF('PO Authorization'!H44="REVIEW: SNAPSHOT DIFFERS","REVIEW: PO SNAPSHOT",IF(E44=D44,"FULLY INVOICED",IF(E44&gt;0,"PARTIAL INVOICE","NOT INVOICED"))))))</x:f>
      </x:c>
      <x:c r="P44" t="str">
        <x:f>IF(A44="","",IF(OR(O44="FX HOLD",O44="REVIEW: PO SNAPSHOT",L44="OVER BUDGET",L44="BUDGET EXHAUSTED",O44="REVIEW: ABOVE CUSTOMER PO",'ERP Snapshot'!L44="YES"),"CRITICAL / REVIEW",IF(OR(L44="PO DATA REQUIRED",L44="BUDGET DATA REQUIRED",L44="REVIEW: NO BUDGET",L44="REVIEW: PO AMOUNT",N44&gt;0,M44&gt;0,F44&gt;0),"FOLLOW UP","NORMAL")))</x:f>
      </x:c>
      <x:c r="Q44" t="str">
        <x:f>IF(A44="","",'ERP Snapshot'!N44)</x:f>
      </x:c>
      <x:c r="R44" t="str">
        <x:f>IF(A44="","",'ERP Snapshot'!Q44)</x:f>
      </x:c>
      <x:c r="S44" t="str">
        <x:f>IF(A44="","",'ERP Snapshot'!R44)</x:f>
      </x:c>
      <x:c r="T44" t="str">
        <x:f>IF(A44="","",'ERP Snapshot'!C44)</x:f>
      </x:c>
    </x:row>
    <x:row r="45">
      <x:c r="A45" t="str">
        <x:f>IF('ERP Snapshot'!A45="","",'ERP Snapshot'!A45)</x:f>
      </x:c>
      <x:c r="B45" t="str">
        <x:f>IF(A45="","",'ERP Snapshot'!B45)</x:f>
      </x:c>
      <x:c r="C45" t="str">
        <x:f>IF(A45="","",'ERP Snapshot'!D45)</x:f>
      </x:c>
      <x:c r="D45" t="str">
        <x:f>IF(A45="","",IF(C45="MXN",IF(AND(Settings!$B$8="APPROVED",Settings!$B$9&lt;&gt;"",Settings!$B$10&lt;&gt;"",Settings!$B$2&gt;0),'PO Authorization'!F45/Settings!$B$2,""),'PO Authorization'!F45))</x:f>
      </x:c>
      <x:c r="E45" t="str">
        <x:f>IF(A45="","",IF(C45="MXN",IF(AND(Settings!$B$8="APPROVED",Settings!$B$9&lt;&gt;"",Settings!$B$10&lt;&gt;"",Settings!$B$2&gt;0),'ERP Snapshot'!I45/Settings!$B$2,""),'ERP Snapshot'!I45))</x:f>
      </x:c>
      <x:c r="F45" t="str">
        <x:f>IF(A45="","",IF(AND(ISNUMBER(D45),ISNUMBER(E45)),D45-E45,""))</x:f>
      </x:c>
      <x:c r="G45" t="str">
        <x:f>IF(A45="","",IF(ISNUMBER('ERP Snapshot'!F45),'ERP Snapshot'!F45,""))</x:f>
      </x:c>
      <x:c r="H45" t="str">
        <x:f>IF(A45="","",'ERP Snapshot'!G45)</x:f>
      </x:c>
      <x:c r="I45" t="str">
        <x:f>IF(A45="","",IF(ISNUMBER('ERP Snapshot'!S45),'ERP Snapshot'!S45,""))</x:f>
      </x:c>
      <x:c r="J45" t="str">
        <x:f>IF(A45="","",IF(AND(ISNUMBER(G45),ISNUMBER(I45)),G45-I45,""))</x:f>
      </x:c>
      <x:c r="K45" s="8" t="str">
        <x:f>IF(A45="","",IF(AND(ISNUMBER(G45),G45&gt;0,ISNUMBER(I45)),I45/G45,""))</x:f>
      </x:c>
      <x:c r="L45" t="str">
        <x:f>IF(A45="","",IF(NOT(ISNUMBER(G45)),"BUDGET DATA REQUIRED",IF(G45&lt;=0,"REVIEW: NO BUDGET",IF(NOT(ISNUMBER(I45)),"PO DATA REQUIRED",IF(I45&lt;0,"REVIEW: PO AMOUNT",IF(K45&gt;1,"OVER BUDGET",IF(K45=1,"BUDGET EXHAUSTED",IF(K45&gt;=Settings!$B$3,"PREVENTIVE ALERT","OK"))))))))</x:f>
      </x:c>
      <x:c r="M45" t="str">
        <x:f>IF(A45="","",'ERP Snapshot'!K45)</x:f>
      </x:c>
      <x:c r="N45" t="str">
        <x:f>IF(A45="","",COUNTIFS(Exceptions!$A$2:$A$101,A45,Exceptions!$E$2:$E$101,"Open"))</x:f>
      </x:c>
      <x:c r="O45" t="str">
        <x:f>IF(A45="","",IF(AND(C45="MXN",OR(D45="",E45="")),"FX HOLD",IF(E45&gt;D45,"REVIEW: ABOVE CUSTOMER PO",IF('PO Authorization'!H45="REVIEW: SNAPSHOT DIFFERS","REVIEW: PO SNAPSHOT",IF(E45=D45,"FULLY INVOICED",IF(E45&gt;0,"PARTIAL INVOICE","NOT INVOICED"))))))</x:f>
      </x:c>
      <x:c r="P45" t="str">
        <x:f>IF(A45="","",IF(OR(O45="FX HOLD",O45="REVIEW: PO SNAPSHOT",L45="OVER BUDGET",L45="BUDGET EXHAUSTED",O45="REVIEW: ABOVE CUSTOMER PO",'ERP Snapshot'!L45="YES"),"CRITICAL / REVIEW",IF(OR(L45="PO DATA REQUIRED",L45="BUDGET DATA REQUIRED",L45="REVIEW: NO BUDGET",L45="REVIEW: PO AMOUNT",N45&gt;0,M45&gt;0,F45&gt;0),"FOLLOW UP","NORMAL")))</x:f>
      </x:c>
      <x:c r="Q45" t="str">
        <x:f>IF(A45="","",'ERP Snapshot'!N45)</x:f>
      </x:c>
      <x:c r="R45" t="str">
        <x:f>IF(A45="","",'ERP Snapshot'!Q45)</x:f>
      </x:c>
      <x:c r="S45" t="str">
        <x:f>IF(A45="","",'ERP Snapshot'!R45)</x:f>
      </x:c>
      <x:c r="T45" t="str">
        <x:f>IF(A45="","",'ERP Snapshot'!C45)</x:f>
      </x:c>
    </x:row>
    <x:row r="46">
      <x:c r="A46" t="str">
        <x:f>IF('ERP Snapshot'!A46="","",'ERP Snapshot'!A46)</x:f>
      </x:c>
      <x:c r="B46" t="str">
        <x:f>IF(A46="","",'ERP Snapshot'!B46)</x:f>
      </x:c>
      <x:c r="C46" t="str">
        <x:f>IF(A46="","",'ERP Snapshot'!D46)</x:f>
      </x:c>
      <x:c r="D46" t="str">
        <x:f>IF(A46="","",IF(C46="MXN",IF(AND(Settings!$B$8="APPROVED",Settings!$B$9&lt;&gt;"",Settings!$B$10&lt;&gt;"",Settings!$B$2&gt;0),'PO Authorization'!F46/Settings!$B$2,""),'PO Authorization'!F46))</x:f>
      </x:c>
      <x:c r="E46" t="str">
        <x:f>IF(A46="","",IF(C46="MXN",IF(AND(Settings!$B$8="APPROVED",Settings!$B$9&lt;&gt;"",Settings!$B$10&lt;&gt;"",Settings!$B$2&gt;0),'ERP Snapshot'!I46/Settings!$B$2,""),'ERP Snapshot'!I46))</x:f>
      </x:c>
      <x:c r="F46" t="str">
        <x:f>IF(A46="","",IF(AND(ISNUMBER(D46),ISNUMBER(E46)),D46-E46,""))</x:f>
      </x:c>
      <x:c r="G46" t="str">
        <x:f>IF(A46="","",IF(ISNUMBER('ERP Snapshot'!F46),'ERP Snapshot'!F46,""))</x:f>
      </x:c>
      <x:c r="H46" t="str">
        <x:f>IF(A46="","",'ERP Snapshot'!G46)</x:f>
      </x:c>
      <x:c r="I46" t="str">
        <x:f>IF(A46="","",IF(ISNUMBER('ERP Snapshot'!S46),'ERP Snapshot'!S46,""))</x:f>
      </x:c>
      <x:c r="J46" t="str">
        <x:f>IF(A46="","",IF(AND(ISNUMBER(G46),ISNUMBER(I46)),G46-I46,""))</x:f>
      </x:c>
      <x:c r="K46" s="8" t="str">
        <x:f>IF(A46="","",IF(AND(ISNUMBER(G46),G46&gt;0,ISNUMBER(I46)),I46/G46,""))</x:f>
      </x:c>
      <x:c r="L46" t="str">
        <x:f>IF(A46="","",IF(NOT(ISNUMBER(G46)),"BUDGET DATA REQUIRED",IF(G46&lt;=0,"REVIEW: NO BUDGET",IF(NOT(ISNUMBER(I46)),"PO DATA REQUIRED",IF(I46&lt;0,"REVIEW: PO AMOUNT",IF(K46&gt;1,"OVER BUDGET",IF(K46=1,"BUDGET EXHAUSTED",IF(K46&gt;=Settings!$B$3,"PREVENTIVE ALERT","OK"))))))))</x:f>
      </x:c>
      <x:c r="M46" t="str">
        <x:f>IF(A46="","",'ERP Snapshot'!K46)</x:f>
      </x:c>
      <x:c r="N46" t="str">
        <x:f>IF(A46="","",COUNTIFS(Exceptions!$A$2:$A$101,A46,Exceptions!$E$2:$E$101,"Open"))</x:f>
      </x:c>
      <x:c r="O46" t="str">
        <x:f>IF(A46="","",IF(AND(C46="MXN",OR(D46="",E46="")),"FX HOLD",IF(E46&gt;D46,"REVIEW: ABOVE CUSTOMER PO",IF('PO Authorization'!H46="REVIEW: SNAPSHOT DIFFERS","REVIEW: PO SNAPSHOT",IF(E46=D46,"FULLY INVOICED",IF(E46&gt;0,"PARTIAL INVOICE","NOT INVOICED"))))))</x:f>
      </x:c>
      <x:c r="P46" t="str">
        <x:f>IF(A46="","",IF(OR(O46="FX HOLD",O46="REVIEW: PO SNAPSHOT",L46="OVER BUDGET",L46="BUDGET EXHAUSTED",O46="REVIEW: ABOVE CUSTOMER PO",'ERP Snapshot'!L46="YES"),"CRITICAL / REVIEW",IF(OR(L46="PO DATA REQUIRED",L46="BUDGET DATA REQUIRED",L46="REVIEW: NO BUDGET",L46="REVIEW: PO AMOUNT",N46&gt;0,M46&gt;0,F46&gt;0),"FOLLOW UP","NORMAL")))</x:f>
      </x:c>
      <x:c r="Q46" t="str">
        <x:f>IF(A46="","",'ERP Snapshot'!N46)</x:f>
      </x:c>
      <x:c r="R46" t="str">
        <x:f>IF(A46="","",'ERP Snapshot'!Q46)</x:f>
      </x:c>
      <x:c r="S46" t="str">
        <x:f>IF(A46="","",'ERP Snapshot'!R46)</x:f>
      </x:c>
      <x:c r="T46" t="str">
        <x:f>IF(A46="","",'ERP Snapshot'!C46)</x:f>
      </x:c>
    </x:row>
    <x:row r="47">
      <x:c r="A47" t="str">
        <x:f>IF('ERP Snapshot'!A47="","",'ERP Snapshot'!A47)</x:f>
      </x:c>
      <x:c r="B47" t="str">
        <x:f>IF(A47="","",'ERP Snapshot'!B47)</x:f>
      </x:c>
      <x:c r="C47" t="str">
        <x:f>IF(A47="","",'ERP Snapshot'!D47)</x:f>
      </x:c>
      <x:c r="D47" t="str">
        <x:f>IF(A47="","",IF(C47="MXN",IF(AND(Settings!$B$8="APPROVED",Settings!$B$9&lt;&gt;"",Settings!$B$10&lt;&gt;"",Settings!$B$2&gt;0),'PO Authorization'!F47/Settings!$B$2,""),'PO Authorization'!F47))</x:f>
      </x:c>
      <x:c r="E47" t="str">
        <x:f>IF(A47="","",IF(C47="MXN",IF(AND(Settings!$B$8="APPROVED",Settings!$B$9&lt;&gt;"",Settings!$B$10&lt;&gt;"",Settings!$B$2&gt;0),'ERP Snapshot'!I47/Settings!$B$2,""),'ERP Snapshot'!I47))</x:f>
      </x:c>
      <x:c r="F47" t="str">
        <x:f>IF(A47="","",IF(AND(ISNUMBER(D47),ISNUMBER(E47)),D47-E47,""))</x:f>
      </x:c>
      <x:c r="G47" t="str">
        <x:f>IF(A47="","",IF(ISNUMBER('ERP Snapshot'!F47),'ERP Snapshot'!F47,""))</x:f>
      </x:c>
      <x:c r="H47" t="str">
        <x:f>IF(A47="","",'ERP Snapshot'!G47)</x:f>
      </x:c>
      <x:c r="I47" t="str">
        <x:f>IF(A47="","",IF(ISNUMBER('ERP Snapshot'!S47),'ERP Snapshot'!S47,""))</x:f>
      </x:c>
      <x:c r="J47" t="str">
        <x:f>IF(A47="","",IF(AND(ISNUMBER(G47),ISNUMBER(I47)),G47-I47,""))</x:f>
      </x:c>
      <x:c r="K47" s="8" t="str">
        <x:f>IF(A47="","",IF(AND(ISNUMBER(G47),G47&gt;0,ISNUMBER(I47)),I47/G47,""))</x:f>
      </x:c>
      <x:c r="L47" t="str">
        <x:f>IF(A47="","",IF(NOT(ISNUMBER(G47)),"BUDGET DATA REQUIRED",IF(G47&lt;=0,"REVIEW: NO BUDGET",IF(NOT(ISNUMBER(I47)),"PO DATA REQUIRED",IF(I47&lt;0,"REVIEW: PO AMOUNT",IF(K47&gt;1,"OVER BUDGET",IF(K47=1,"BUDGET EXHAUSTED",IF(K47&gt;=Settings!$B$3,"PREVENTIVE ALERT","OK"))))))))</x:f>
      </x:c>
      <x:c r="M47" t="str">
        <x:f>IF(A47="","",'ERP Snapshot'!K47)</x:f>
      </x:c>
      <x:c r="N47" t="str">
        <x:f>IF(A47="","",COUNTIFS(Exceptions!$A$2:$A$101,A47,Exceptions!$E$2:$E$101,"Open"))</x:f>
      </x:c>
      <x:c r="O47" t="str">
        <x:f>IF(A47="","",IF(AND(C47="MXN",OR(D47="",E47="")),"FX HOLD",IF(E47&gt;D47,"REVIEW: ABOVE CUSTOMER PO",IF('PO Authorization'!H47="REVIEW: SNAPSHOT DIFFERS","REVIEW: PO SNAPSHOT",IF(E47=D47,"FULLY INVOICED",IF(E47&gt;0,"PARTIAL INVOICE","NOT INVOICED"))))))</x:f>
      </x:c>
      <x:c r="P47" t="str">
        <x:f>IF(A47="","",IF(OR(O47="FX HOLD",O47="REVIEW: PO SNAPSHOT",L47="OVER BUDGET",L47="BUDGET EXHAUSTED",O47="REVIEW: ABOVE CUSTOMER PO",'ERP Snapshot'!L47="YES"),"CRITICAL / REVIEW",IF(OR(L47="PO DATA REQUIRED",L47="BUDGET DATA REQUIRED",L47="REVIEW: NO BUDGET",L47="REVIEW: PO AMOUNT",N47&gt;0,M47&gt;0,F47&gt;0),"FOLLOW UP","NORMAL")))</x:f>
      </x:c>
      <x:c r="Q47" t="str">
        <x:f>IF(A47="","",'ERP Snapshot'!N47)</x:f>
      </x:c>
      <x:c r="R47" t="str">
        <x:f>IF(A47="","",'ERP Snapshot'!Q47)</x:f>
      </x:c>
      <x:c r="S47" t="str">
        <x:f>IF(A47="","",'ERP Snapshot'!R47)</x:f>
      </x:c>
      <x:c r="T47" t="str">
        <x:f>IF(A47="","",'ERP Snapshot'!C47)</x:f>
      </x:c>
    </x:row>
    <x:row r="48">
      <x:c r="A48" t="str">
        <x:f>IF('ERP Snapshot'!A48="","",'ERP Snapshot'!A48)</x:f>
      </x:c>
      <x:c r="B48" t="str">
        <x:f>IF(A48="","",'ERP Snapshot'!B48)</x:f>
      </x:c>
      <x:c r="C48" t="str">
        <x:f>IF(A48="","",'ERP Snapshot'!D48)</x:f>
      </x:c>
      <x:c r="D48" t="str">
        <x:f>IF(A48="","",IF(C48="MXN",IF(AND(Settings!$B$8="APPROVED",Settings!$B$9&lt;&gt;"",Settings!$B$10&lt;&gt;"",Settings!$B$2&gt;0),'PO Authorization'!F48/Settings!$B$2,""),'PO Authorization'!F48))</x:f>
      </x:c>
      <x:c r="E48" t="str">
        <x:f>IF(A48="","",IF(C48="MXN",IF(AND(Settings!$B$8="APPROVED",Settings!$B$9&lt;&gt;"",Settings!$B$10&lt;&gt;"",Settings!$B$2&gt;0),'ERP Snapshot'!I48/Settings!$B$2,""),'ERP Snapshot'!I48))</x:f>
      </x:c>
      <x:c r="F48" t="str">
        <x:f>IF(A48="","",IF(AND(ISNUMBER(D48),ISNUMBER(E48)),D48-E48,""))</x:f>
      </x:c>
      <x:c r="G48" t="str">
        <x:f>IF(A48="","",IF(ISNUMBER('ERP Snapshot'!F48),'ERP Snapshot'!F48,""))</x:f>
      </x:c>
      <x:c r="H48" t="str">
        <x:f>IF(A48="","",'ERP Snapshot'!G48)</x:f>
      </x:c>
      <x:c r="I48" t="str">
        <x:f>IF(A48="","",IF(ISNUMBER('ERP Snapshot'!S48),'ERP Snapshot'!S48,""))</x:f>
      </x:c>
      <x:c r="J48" t="str">
        <x:f>IF(A48="","",IF(AND(ISNUMBER(G48),ISNUMBER(I48)),G48-I48,""))</x:f>
      </x:c>
      <x:c r="K48" s="8" t="str">
        <x:f>IF(A48="","",IF(AND(ISNUMBER(G48),G48&gt;0,ISNUMBER(I48)),I48/G48,""))</x:f>
      </x:c>
      <x:c r="L48" t="str">
        <x:f>IF(A48="","",IF(NOT(ISNUMBER(G48)),"BUDGET DATA REQUIRED",IF(G48&lt;=0,"REVIEW: NO BUDGET",IF(NOT(ISNUMBER(I48)),"PO DATA REQUIRED",IF(I48&lt;0,"REVIEW: PO AMOUNT",IF(K48&gt;1,"OVER BUDGET",IF(K48=1,"BUDGET EXHAUSTED",IF(K48&gt;=Settings!$B$3,"PREVENTIVE ALERT","OK"))))))))</x:f>
      </x:c>
      <x:c r="M48" t="str">
        <x:f>IF(A48="","",'ERP Snapshot'!K48)</x:f>
      </x:c>
      <x:c r="N48" t="str">
        <x:f>IF(A48="","",COUNTIFS(Exceptions!$A$2:$A$101,A48,Exceptions!$E$2:$E$101,"Open"))</x:f>
      </x:c>
      <x:c r="O48" t="str">
        <x:f>IF(A48="","",IF(AND(C48="MXN",OR(D48="",E48="")),"FX HOLD",IF(E48&gt;D48,"REVIEW: ABOVE CUSTOMER PO",IF('PO Authorization'!H48="REVIEW: SNAPSHOT DIFFERS","REVIEW: PO SNAPSHOT",IF(E48=D48,"FULLY INVOICED",IF(E48&gt;0,"PARTIAL INVOICE","NOT INVOICED"))))))</x:f>
      </x:c>
      <x:c r="P48" t="str">
        <x:f>IF(A48="","",IF(OR(O48="FX HOLD",O48="REVIEW: PO SNAPSHOT",L48="OVER BUDGET",L48="BUDGET EXHAUSTED",O48="REVIEW: ABOVE CUSTOMER PO",'ERP Snapshot'!L48="YES"),"CRITICAL / REVIEW",IF(OR(L48="PO DATA REQUIRED",L48="BUDGET DATA REQUIRED",L48="REVIEW: NO BUDGET",L48="REVIEW: PO AMOUNT",N48&gt;0,M48&gt;0,F48&gt;0),"FOLLOW UP","NORMAL")))</x:f>
      </x:c>
      <x:c r="Q48" t="str">
        <x:f>IF(A48="","",'ERP Snapshot'!N48)</x:f>
      </x:c>
      <x:c r="R48" t="str">
        <x:f>IF(A48="","",'ERP Snapshot'!Q48)</x:f>
      </x:c>
      <x:c r="S48" t="str">
        <x:f>IF(A48="","",'ERP Snapshot'!R48)</x:f>
      </x:c>
      <x:c r="T48" t="str">
        <x:f>IF(A48="","",'ERP Snapshot'!C48)</x:f>
      </x:c>
    </x:row>
    <x:row r="49">
      <x:c r="A49" t="str">
        <x:f>IF('ERP Snapshot'!A49="","",'ERP Snapshot'!A49)</x:f>
      </x:c>
      <x:c r="B49" t="str">
        <x:f>IF(A49="","",'ERP Snapshot'!B49)</x:f>
      </x:c>
      <x:c r="C49" t="str">
        <x:f>IF(A49="","",'ERP Snapshot'!D49)</x:f>
      </x:c>
      <x:c r="D49" t="str">
        <x:f>IF(A49="","",IF(C49="MXN",IF(AND(Settings!$B$8="APPROVED",Settings!$B$9&lt;&gt;"",Settings!$B$10&lt;&gt;"",Settings!$B$2&gt;0),'PO Authorization'!F49/Settings!$B$2,""),'PO Authorization'!F49))</x:f>
      </x:c>
      <x:c r="E49" t="str">
        <x:f>IF(A49="","",IF(C49="MXN",IF(AND(Settings!$B$8="APPROVED",Settings!$B$9&lt;&gt;"",Settings!$B$10&lt;&gt;"",Settings!$B$2&gt;0),'ERP Snapshot'!I49/Settings!$B$2,""),'ERP Snapshot'!I49))</x:f>
      </x:c>
      <x:c r="F49" t="str">
        <x:f>IF(A49="","",IF(AND(ISNUMBER(D49),ISNUMBER(E49)),D49-E49,""))</x:f>
      </x:c>
      <x:c r="G49" t="str">
        <x:f>IF(A49="","",IF(ISNUMBER('ERP Snapshot'!F49),'ERP Snapshot'!F49,""))</x:f>
      </x:c>
      <x:c r="H49" t="str">
        <x:f>IF(A49="","",'ERP Snapshot'!G49)</x:f>
      </x:c>
      <x:c r="I49" t="str">
        <x:f>IF(A49="","",IF(ISNUMBER('ERP Snapshot'!S49),'ERP Snapshot'!S49,""))</x:f>
      </x:c>
      <x:c r="J49" t="str">
        <x:f>IF(A49="","",IF(AND(ISNUMBER(G49),ISNUMBER(I49)),G49-I49,""))</x:f>
      </x:c>
      <x:c r="K49" s="8" t="str">
        <x:f>IF(A49="","",IF(AND(ISNUMBER(G49),G49&gt;0,ISNUMBER(I49)),I49/G49,""))</x:f>
      </x:c>
      <x:c r="L49" t="str">
        <x:f>IF(A49="","",IF(NOT(ISNUMBER(G49)),"BUDGET DATA REQUIRED",IF(G49&lt;=0,"REVIEW: NO BUDGET",IF(NOT(ISNUMBER(I49)),"PO DATA REQUIRED",IF(I49&lt;0,"REVIEW: PO AMOUNT",IF(K49&gt;1,"OVER BUDGET",IF(K49=1,"BUDGET EXHAUSTED",IF(K49&gt;=Settings!$B$3,"PREVENTIVE ALERT","OK"))))))))</x:f>
      </x:c>
      <x:c r="M49" t="str">
        <x:f>IF(A49="","",'ERP Snapshot'!K49)</x:f>
      </x:c>
      <x:c r="N49" t="str">
        <x:f>IF(A49="","",COUNTIFS(Exceptions!$A$2:$A$101,A49,Exceptions!$E$2:$E$101,"Open"))</x:f>
      </x:c>
      <x:c r="O49" t="str">
        <x:f>IF(A49="","",IF(AND(C49="MXN",OR(D49="",E49="")),"FX HOLD",IF(E49&gt;D49,"REVIEW: ABOVE CUSTOMER PO",IF('PO Authorization'!H49="REVIEW: SNAPSHOT DIFFERS","REVIEW: PO SNAPSHOT",IF(E49=D49,"FULLY INVOICED",IF(E49&gt;0,"PARTIAL INVOICE","NOT INVOICED"))))))</x:f>
      </x:c>
      <x:c r="P49" t="str">
        <x:f>IF(A49="","",IF(OR(O49="FX HOLD",O49="REVIEW: PO SNAPSHOT",L49="OVER BUDGET",L49="BUDGET EXHAUSTED",O49="REVIEW: ABOVE CUSTOMER PO",'ERP Snapshot'!L49="YES"),"CRITICAL / REVIEW",IF(OR(L49="PO DATA REQUIRED",L49="BUDGET DATA REQUIRED",L49="REVIEW: NO BUDGET",L49="REVIEW: PO AMOUNT",N49&gt;0,M49&gt;0,F49&gt;0),"FOLLOW UP","NORMAL")))</x:f>
      </x:c>
      <x:c r="Q49" t="str">
        <x:f>IF(A49="","",'ERP Snapshot'!N49)</x:f>
      </x:c>
      <x:c r="R49" t="str">
        <x:f>IF(A49="","",'ERP Snapshot'!Q49)</x:f>
      </x:c>
      <x:c r="S49" t="str">
        <x:f>IF(A49="","",'ERP Snapshot'!R49)</x:f>
      </x:c>
      <x:c r="T49" t="str">
        <x:f>IF(A49="","",'ERP Snapshot'!C49)</x:f>
      </x:c>
    </x:row>
    <x:row r="50">
      <x:c r="A50" t="str">
        <x:f>IF('ERP Snapshot'!A50="","",'ERP Snapshot'!A50)</x:f>
      </x:c>
      <x:c r="B50" t="str">
        <x:f>IF(A50="","",'ERP Snapshot'!B50)</x:f>
      </x:c>
      <x:c r="C50" t="str">
        <x:f>IF(A50="","",'ERP Snapshot'!D50)</x:f>
      </x:c>
      <x:c r="D50" t="str">
        <x:f>IF(A50="","",IF(C50="MXN",IF(AND(Settings!$B$8="APPROVED",Settings!$B$9&lt;&gt;"",Settings!$B$10&lt;&gt;"",Settings!$B$2&gt;0),'PO Authorization'!F50/Settings!$B$2,""),'PO Authorization'!F50))</x:f>
      </x:c>
      <x:c r="E50" t="str">
        <x:f>IF(A50="","",IF(C50="MXN",IF(AND(Settings!$B$8="APPROVED",Settings!$B$9&lt;&gt;"",Settings!$B$10&lt;&gt;"",Settings!$B$2&gt;0),'ERP Snapshot'!I50/Settings!$B$2,""),'ERP Snapshot'!I50))</x:f>
      </x:c>
      <x:c r="F50" t="str">
        <x:f>IF(A50="","",IF(AND(ISNUMBER(D50),ISNUMBER(E50)),D50-E50,""))</x:f>
      </x:c>
      <x:c r="G50" t="str">
        <x:f>IF(A50="","",IF(ISNUMBER('ERP Snapshot'!F50),'ERP Snapshot'!F50,""))</x:f>
      </x:c>
      <x:c r="H50" t="str">
        <x:f>IF(A50="","",'ERP Snapshot'!G50)</x:f>
      </x:c>
      <x:c r="I50" t="str">
        <x:f>IF(A50="","",IF(ISNUMBER('ERP Snapshot'!S50),'ERP Snapshot'!S50,""))</x:f>
      </x:c>
      <x:c r="J50" t="str">
        <x:f>IF(A50="","",IF(AND(ISNUMBER(G50),ISNUMBER(I50)),G50-I50,""))</x:f>
      </x:c>
      <x:c r="K50" s="8" t="str">
        <x:f>IF(A50="","",IF(AND(ISNUMBER(G50),G50&gt;0,ISNUMBER(I50)),I50/G50,""))</x:f>
      </x:c>
      <x:c r="L50" t="str">
        <x:f>IF(A50="","",IF(NOT(ISNUMBER(G50)),"BUDGET DATA REQUIRED",IF(G50&lt;=0,"REVIEW: NO BUDGET",IF(NOT(ISNUMBER(I50)),"PO DATA REQUIRED",IF(I50&lt;0,"REVIEW: PO AMOUNT",IF(K50&gt;1,"OVER BUDGET",IF(K50=1,"BUDGET EXHAUSTED",IF(K50&gt;=Settings!$B$3,"PREVENTIVE ALERT","OK"))))))))</x:f>
      </x:c>
      <x:c r="M50" t="str">
        <x:f>IF(A50="","",'ERP Snapshot'!K50)</x:f>
      </x:c>
      <x:c r="N50" t="str">
        <x:f>IF(A50="","",COUNTIFS(Exceptions!$A$2:$A$101,A50,Exceptions!$E$2:$E$101,"Open"))</x:f>
      </x:c>
      <x:c r="O50" t="str">
        <x:f>IF(A50="","",IF(AND(C50="MXN",OR(D50="",E50="")),"FX HOLD",IF(E50&gt;D50,"REVIEW: ABOVE CUSTOMER PO",IF('PO Authorization'!H50="REVIEW: SNAPSHOT DIFFERS","REVIEW: PO SNAPSHOT",IF(E50=D50,"FULLY INVOICED",IF(E50&gt;0,"PARTIAL INVOICE","NOT INVOICED"))))))</x:f>
      </x:c>
      <x:c r="P50" t="str">
        <x:f>IF(A50="","",IF(OR(O50="FX HOLD",O50="REVIEW: PO SNAPSHOT",L50="OVER BUDGET",L50="BUDGET EXHAUSTED",O50="REVIEW: ABOVE CUSTOMER PO",'ERP Snapshot'!L50="YES"),"CRITICAL / REVIEW",IF(OR(L50="PO DATA REQUIRED",L50="BUDGET DATA REQUIRED",L50="REVIEW: NO BUDGET",L50="REVIEW: PO AMOUNT",N50&gt;0,M50&gt;0,F50&gt;0),"FOLLOW UP","NORMAL")))</x:f>
      </x:c>
      <x:c r="Q50" t="str">
        <x:f>IF(A50="","",'ERP Snapshot'!N50)</x:f>
      </x:c>
      <x:c r="R50" t="str">
        <x:f>IF(A50="","",'ERP Snapshot'!Q50)</x:f>
      </x:c>
      <x:c r="S50" t="str">
        <x:f>IF(A50="","",'ERP Snapshot'!R50)</x:f>
      </x:c>
      <x:c r="T50" t="str">
        <x:f>IF(A50="","",'ERP Snapshot'!C50)</x:f>
      </x:c>
    </x:row>
    <x:row r="51">
      <x:c r="A51" t="str">
        <x:f>IF('ERP Snapshot'!A51="","",'ERP Snapshot'!A51)</x:f>
      </x:c>
      <x:c r="B51" t="str">
        <x:f>IF(A51="","",'ERP Snapshot'!B51)</x:f>
      </x:c>
      <x:c r="C51" t="str">
        <x:f>IF(A51="","",'ERP Snapshot'!D51)</x:f>
      </x:c>
      <x:c r="D51" t="str">
        <x:f>IF(A51="","",IF(C51="MXN",IF(AND(Settings!$B$8="APPROVED",Settings!$B$9&lt;&gt;"",Settings!$B$10&lt;&gt;"",Settings!$B$2&gt;0),'PO Authorization'!F51/Settings!$B$2,""),'PO Authorization'!F51))</x:f>
      </x:c>
      <x:c r="E51" t="str">
        <x:f>IF(A51="","",IF(C51="MXN",IF(AND(Settings!$B$8="APPROVED",Settings!$B$9&lt;&gt;"",Settings!$B$10&lt;&gt;"",Settings!$B$2&gt;0),'ERP Snapshot'!I51/Settings!$B$2,""),'ERP Snapshot'!I51))</x:f>
      </x:c>
      <x:c r="F51" t="str">
        <x:f>IF(A51="","",IF(AND(ISNUMBER(D51),ISNUMBER(E51)),D51-E51,""))</x:f>
      </x:c>
      <x:c r="G51" t="str">
        <x:f>IF(A51="","",IF(ISNUMBER('ERP Snapshot'!F51),'ERP Snapshot'!F51,""))</x:f>
      </x:c>
      <x:c r="H51" t="str">
        <x:f>IF(A51="","",'ERP Snapshot'!G51)</x:f>
      </x:c>
      <x:c r="I51" t="str">
        <x:f>IF(A51="","",IF(ISNUMBER('ERP Snapshot'!S51),'ERP Snapshot'!S51,""))</x:f>
      </x:c>
      <x:c r="J51" t="str">
        <x:f>IF(A51="","",IF(AND(ISNUMBER(G51),ISNUMBER(I51)),G51-I51,""))</x:f>
      </x:c>
      <x:c r="K51" s="8" t="str">
        <x:f>IF(A51="","",IF(AND(ISNUMBER(G51),G51&gt;0,ISNUMBER(I51)),I51/G51,""))</x:f>
      </x:c>
      <x:c r="L51" t="str">
        <x:f>IF(A51="","",IF(NOT(ISNUMBER(G51)),"BUDGET DATA REQUIRED",IF(G51&lt;=0,"REVIEW: NO BUDGET",IF(NOT(ISNUMBER(I51)),"PO DATA REQUIRED",IF(I51&lt;0,"REVIEW: PO AMOUNT",IF(K51&gt;1,"OVER BUDGET",IF(K51=1,"BUDGET EXHAUSTED",IF(K51&gt;=Settings!$B$3,"PREVENTIVE ALERT","OK"))))))))</x:f>
      </x:c>
      <x:c r="M51" t="str">
        <x:f>IF(A51="","",'ERP Snapshot'!K51)</x:f>
      </x:c>
      <x:c r="N51" t="str">
        <x:f>IF(A51="","",COUNTIFS(Exceptions!$A$2:$A$101,A51,Exceptions!$E$2:$E$101,"Open"))</x:f>
      </x:c>
      <x:c r="O51" t="str">
        <x:f>IF(A51="","",IF(AND(C51="MXN",OR(D51="",E51="")),"FX HOLD",IF(E51&gt;D51,"REVIEW: ABOVE CUSTOMER PO",IF('PO Authorization'!H51="REVIEW: SNAPSHOT DIFFERS","REVIEW: PO SNAPSHOT",IF(E51=D51,"FULLY INVOICED",IF(E51&gt;0,"PARTIAL INVOICE","NOT INVOICED"))))))</x:f>
      </x:c>
      <x:c r="P51" t="str">
        <x:f>IF(A51="","",IF(OR(O51="FX HOLD",O51="REVIEW: PO SNAPSHOT",L51="OVER BUDGET",L51="BUDGET EXHAUSTED",O51="REVIEW: ABOVE CUSTOMER PO",'ERP Snapshot'!L51="YES"),"CRITICAL / REVIEW",IF(OR(L51="PO DATA REQUIRED",L51="BUDGET DATA REQUIRED",L51="REVIEW: NO BUDGET",L51="REVIEW: PO AMOUNT",N51&gt;0,M51&gt;0,F51&gt;0),"FOLLOW UP","NORMAL")))</x:f>
      </x:c>
      <x:c r="Q51" t="str">
        <x:f>IF(A51="","",'ERP Snapshot'!N51)</x:f>
      </x:c>
      <x:c r="R51" t="str">
        <x:f>IF(A51="","",'ERP Snapshot'!Q51)</x:f>
      </x:c>
      <x:c r="S51" t="str">
        <x:f>IF(A51="","",'ERP Snapshot'!R51)</x:f>
      </x:c>
      <x:c r="T51" t="str">
        <x:f>IF(A51="","",'ERP Snapshot'!C51)</x:f>
      </x:c>
    </x:row>
    <x:row r="52">
      <x:c r="A52" t="str">
        <x:f>IF('ERP Snapshot'!A52="","",'ERP Snapshot'!A52)</x:f>
      </x:c>
      <x:c r="B52" t="str">
        <x:f>IF(A52="","",'ERP Snapshot'!B52)</x:f>
      </x:c>
      <x:c r="C52" t="str">
        <x:f>IF(A52="","",'ERP Snapshot'!D52)</x:f>
      </x:c>
      <x:c r="D52" t="str">
        <x:f>IF(A52="","",IF(C52="MXN",IF(AND(Settings!$B$8="APPROVED",Settings!$B$9&lt;&gt;"",Settings!$B$10&lt;&gt;"",Settings!$B$2&gt;0),'PO Authorization'!F52/Settings!$B$2,""),'PO Authorization'!F52))</x:f>
      </x:c>
      <x:c r="E52" t="str">
        <x:f>IF(A52="","",IF(C52="MXN",IF(AND(Settings!$B$8="APPROVED",Settings!$B$9&lt;&gt;"",Settings!$B$10&lt;&gt;"",Settings!$B$2&gt;0),'ERP Snapshot'!I52/Settings!$B$2,""),'ERP Snapshot'!I52))</x:f>
      </x:c>
      <x:c r="F52" t="str">
        <x:f>IF(A52="","",IF(AND(ISNUMBER(D52),ISNUMBER(E52)),D52-E52,""))</x:f>
      </x:c>
      <x:c r="G52" t="str">
        <x:f>IF(A52="","",IF(ISNUMBER('ERP Snapshot'!F52),'ERP Snapshot'!F52,""))</x:f>
      </x:c>
      <x:c r="H52" t="str">
        <x:f>IF(A52="","",'ERP Snapshot'!G52)</x:f>
      </x:c>
      <x:c r="I52" t="str">
        <x:f>IF(A52="","",IF(ISNUMBER('ERP Snapshot'!S52),'ERP Snapshot'!S52,""))</x:f>
      </x:c>
      <x:c r="J52" t="str">
        <x:f>IF(A52="","",IF(AND(ISNUMBER(G52),ISNUMBER(I52)),G52-I52,""))</x:f>
      </x:c>
      <x:c r="K52" s="8" t="str">
        <x:f>IF(A52="","",IF(AND(ISNUMBER(G52),G52&gt;0,ISNUMBER(I52)),I52/G52,""))</x:f>
      </x:c>
      <x:c r="L52" t="str">
        <x:f>IF(A52="","",IF(NOT(ISNUMBER(G52)),"BUDGET DATA REQUIRED",IF(G52&lt;=0,"REVIEW: NO BUDGET",IF(NOT(ISNUMBER(I52)),"PO DATA REQUIRED",IF(I52&lt;0,"REVIEW: PO AMOUNT",IF(K52&gt;1,"OVER BUDGET",IF(K52=1,"BUDGET EXHAUSTED",IF(K52&gt;=Settings!$B$3,"PREVENTIVE ALERT","OK"))))))))</x:f>
      </x:c>
      <x:c r="M52" t="str">
        <x:f>IF(A52="","",'ERP Snapshot'!K52)</x:f>
      </x:c>
      <x:c r="N52" t="str">
        <x:f>IF(A52="","",COUNTIFS(Exceptions!$A$2:$A$101,A52,Exceptions!$E$2:$E$101,"Open"))</x:f>
      </x:c>
      <x:c r="O52" t="str">
        <x:f>IF(A52="","",IF(AND(C52="MXN",OR(D52="",E52="")),"FX HOLD",IF(E52&gt;D52,"REVIEW: ABOVE CUSTOMER PO",IF('PO Authorization'!H52="REVIEW: SNAPSHOT DIFFERS","REVIEW: PO SNAPSHOT",IF(E52=D52,"FULLY INVOICED",IF(E52&gt;0,"PARTIAL INVOICE","NOT INVOICED"))))))</x:f>
      </x:c>
      <x:c r="P52" t="str">
        <x:f>IF(A52="","",IF(OR(O52="FX HOLD",O52="REVIEW: PO SNAPSHOT",L52="OVER BUDGET",L52="BUDGET EXHAUSTED",O52="REVIEW: ABOVE CUSTOMER PO",'ERP Snapshot'!L52="YES"),"CRITICAL / REVIEW",IF(OR(L52="PO DATA REQUIRED",L52="BUDGET DATA REQUIRED",L52="REVIEW: NO BUDGET",L52="REVIEW: PO AMOUNT",N52&gt;0,M52&gt;0,F52&gt;0),"FOLLOW UP","NORMAL")))</x:f>
      </x:c>
      <x:c r="Q52" t="str">
        <x:f>IF(A52="","",'ERP Snapshot'!N52)</x:f>
      </x:c>
      <x:c r="R52" t="str">
        <x:f>IF(A52="","",'ERP Snapshot'!Q52)</x:f>
      </x:c>
      <x:c r="S52" t="str">
        <x:f>IF(A52="","",'ERP Snapshot'!R52)</x:f>
      </x:c>
      <x:c r="T52" t="str">
        <x:f>IF(A52="","",'ERP Snapshot'!C52)</x:f>
      </x:c>
    </x:row>
    <x:row r="53">
      <x:c r="A53" t="str">
        <x:f>IF('ERP Snapshot'!A53="","",'ERP Snapshot'!A53)</x:f>
      </x:c>
      <x:c r="B53" t="str">
        <x:f>IF(A53="","",'ERP Snapshot'!B53)</x:f>
      </x:c>
      <x:c r="C53" t="str">
        <x:f>IF(A53="","",'ERP Snapshot'!D53)</x:f>
      </x:c>
      <x:c r="D53" t="str">
        <x:f>IF(A53="","",IF(C53="MXN",IF(AND(Settings!$B$8="APPROVED",Settings!$B$9&lt;&gt;"",Settings!$B$10&lt;&gt;"",Settings!$B$2&gt;0),'PO Authorization'!F53/Settings!$B$2,""),'PO Authorization'!F53))</x:f>
      </x:c>
      <x:c r="E53" t="str">
        <x:f>IF(A53="","",IF(C53="MXN",IF(AND(Settings!$B$8="APPROVED",Settings!$B$9&lt;&gt;"",Settings!$B$10&lt;&gt;"",Settings!$B$2&gt;0),'ERP Snapshot'!I53/Settings!$B$2,""),'ERP Snapshot'!I53))</x:f>
      </x:c>
      <x:c r="F53" t="str">
        <x:f>IF(A53="","",IF(AND(ISNUMBER(D53),ISNUMBER(E53)),D53-E53,""))</x:f>
      </x:c>
      <x:c r="G53" t="str">
        <x:f>IF(A53="","",IF(ISNUMBER('ERP Snapshot'!F53),'ERP Snapshot'!F53,""))</x:f>
      </x:c>
      <x:c r="H53" t="str">
        <x:f>IF(A53="","",'ERP Snapshot'!G53)</x:f>
      </x:c>
      <x:c r="I53" t="str">
        <x:f>IF(A53="","",IF(ISNUMBER('ERP Snapshot'!S53),'ERP Snapshot'!S53,""))</x:f>
      </x:c>
      <x:c r="J53" t="str">
        <x:f>IF(A53="","",IF(AND(ISNUMBER(G53),ISNUMBER(I53)),G53-I53,""))</x:f>
      </x:c>
      <x:c r="K53" s="8" t="str">
        <x:f>IF(A53="","",IF(AND(ISNUMBER(G53),G53&gt;0,ISNUMBER(I53)),I53/G53,""))</x:f>
      </x:c>
      <x:c r="L53" t="str">
        <x:f>IF(A53="","",IF(NOT(ISNUMBER(G53)),"BUDGET DATA REQUIRED",IF(G53&lt;=0,"REVIEW: NO BUDGET",IF(NOT(ISNUMBER(I53)),"PO DATA REQUIRED",IF(I53&lt;0,"REVIEW: PO AMOUNT",IF(K53&gt;1,"OVER BUDGET",IF(K53=1,"BUDGET EXHAUSTED",IF(K53&gt;=Settings!$B$3,"PREVENTIVE ALERT","OK"))))))))</x:f>
      </x:c>
      <x:c r="M53" t="str">
        <x:f>IF(A53="","",'ERP Snapshot'!K53)</x:f>
      </x:c>
      <x:c r="N53" t="str">
        <x:f>IF(A53="","",COUNTIFS(Exceptions!$A$2:$A$101,A53,Exceptions!$E$2:$E$101,"Open"))</x:f>
      </x:c>
      <x:c r="O53" t="str">
        <x:f>IF(A53="","",IF(AND(C53="MXN",OR(D53="",E53="")),"FX HOLD",IF(E53&gt;D53,"REVIEW: ABOVE CUSTOMER PO",IF('PO Authorization'!H53="REVIEW: SNAPSHOT DIFFERS","REVIEW: PO SNAPSHOT",IF(E53=D53,"FULLY INVOICED",IF(E53&gt;0,"PARTIAL INVOICE","NOT INVOICED"))))))</x:f>
      </x:c>
      <x:c r="P53" t="str">
        <x:f>IF(A53="","",IF(OR(O53="FX HOLD",O53="REVIEW: PO SNAPSHOT",L53="OVER BUDGET",L53="BUDGET EXHAUSTED",O53="REVIEW: ABOVE CUSTOMER PO",'ERP Snapshot'!L53="YES"),"CRITICAL / REVIEW",IF(OR(L53="PO DATA REQUIRED",L53="BUDGET DATA REQUIRED",L53="REVIEW: NO BUDGET",L53="REVIEW: PO AMOUNT",N53&gt;0,M53&gt;0,F53&gt;0),"FOLLOW UP","NORMAL")))</x:f>
      </x:c>
      <x:c r="Q53" t="str">
        <x:f>IF(A53="","",'ERP Snapshot'!N53)</x:f>
      </x:c>
      <x:c r="R53" t="str">
        <x:f>IF(A53="","",'ERP Snapshot'!Q53)</x:f>
      </x:c>
      <x:c r="S53" t="str">
        <x:f>IF(A53="","",'ERP Snapshot'!R53)</x:f>
      </x:c>
      <x:c r="T53" t="str">
        <x:f>IF(A53="","",'ERP Snapshot'!C53)</x:f>
      </x:c>
    </x:row>
    <x:row r="54">
      <x:c r="A54" t="str">
        <x:f>IF('ERP Snapshot'!A54="","",'ERP Snapshot'!A54)</x:f>
      </x:c>
      <x:c r="B54" t="str">
        <x:f>IF(A54="","",'ERP Snapshot'!B54)</x:f>
      </x:c>
      <x:c r="C54" t="str">
        <x:f>IF(A54="","",'ERP Snapshot'!D54)</x:f>
      </x:c>
      <x:c r="D54" t="str">
        <x:f>IF(A54="","",IF(C54="MXN",IF(AND(Settings!$B$8="APPROVED",Settings!$B$9&lt;&gt;"",Settings!$B$10&lt;&gt;"",Settings!$B$2&gt;0),'PO Authorization'!F54/Settings!$B$2,""),'PO Authorization'!F54))</x:f>
      </x:c>
      <x:c r="E54" t="str">
        <x:f>IF(A54="","",IF(C54="MXN",IF(AND(Settings!$B$8="APPROVED",Settings!$B$9&lt;&gt;"",Settings!$B$10&lt;&gt;"",Settings!$B$2&gt;0),'ERP Snapshot'!I54/Settings!$B$2,""),'ERP Snapshot'!I54))</x:f>
      </x:c>
      <x:c r="F54" t="str">
        <x:f>IF(A54="","",IF(AND(ISNUMBER(D54),ISNUMBER(E54)),D54-E54,""))</x:f>
      </x:c>
      <x:c r="G54" t="str">
        <x:f>IF(A54="","",IF(ISNUMBER('ERP Snapshot'!F54),'ERP Snapshot'!F54,""))</x:f>
      </x:c>
      <x:c r="H54" t="str">
        <x:f>IF(A54="","",'ERP Snapshot'!G54)</x:f>
      </x:c>
      <x:c r="I54" t="str">
        <x:f>IF(A54="","",IF(ISNUMBER('ERP Snapshot'!S54),'ERP Snapshot'!S54,""))</x:f>
      </x:c>
      <x:c r="J54" t="str">
        <x:f>IF(A54="","",IF(AND(ISNUMBER(G54),ISNUMBER(I54)),G54-I54,""))</x:f>
      </x:c>
      <x:c r="K54" s="8" t="str">
        <x:f>IF(A54="","",IF(AND(ISNUMBER(G54),G54&gt;0,ISNUMBER(I54)),I54/G54,""))</x:f>
      </x:c>
      <x:c r="L54" t="str">
        <x:f>IF(A54="","",IF(NOT(ISNUMBER(G54)),"BUDGET DATA REQUIRED",IF(G54&lt;=0,"REVIEW: NO BUDGET",IF(NOT(ISNUMBER(I54)),"PO DATA REQUIRED",IF(I54&lt;0,"REVIEW: PO AMOUNT",IF(K54&gt;1,"OVER BUDGET",IF(K54=1,"BUDGET EXHAUSTED",IF(K54&gt;=Settings!$B$3,"PREVENTIVE ALERT","OK"))))))))</x:f>
      </x:c>
      <x:c r="M54" t="str">
        <x:f>IF(A54="","",'ERP Snapshot'!K54)</x:f>
      </x:c>
      <x:c r="N54" t="str">
        <x:f>IF(A54="","",COUNTIFS(Exceptions!$A$2:$A$101,A54,Exceptions!$E$2:$E$101,"Open"))</x:f>
      </x:c>
      <x:c r="O54" t="str">
        <x:f>IF(A54="","",IF(AND(C54="MXN",OR(D54="",E54="")),"FX HOLD",IF(E54&gt;D54,"REVIEW: ABOVE CUSTOMER PO",IF('PO Authorization'!H54="REVIEW: SNAPSHOT DIFFERS","REVIEW: PO SNAPSHOT",IF(E54=D54,"FULLY INVOICED",IF(E54&gt;0,"PARTIAL INVOICE","NOT INVOICED"))))))</x:f>
      </x:c>
      <x:c r="P54" t="str">
        <x:f>IF(A54="","",IF(OR(O54="FX HOLD",O54="REVIEW: PO SNAPSHOT",L54="OVER BUDGET",L54="BUDGET EXHAUSTED",O54="REVIEW: ABOVE CUSTOMER PO",'ERP Snapshot'!L54="YES"),"CRITICAL / REVIEW",IF(OR(L54="PO DATA REQUIRED",L54="BUDGET DATA REQUIRED",L54="REVIEW: NO BUDGET",L54="REVIEW: PO AMOUNT",N54&gt;0,M54&gt;0,F54&gt;0),"FOLLOW UP","NORMAL")))</x:f>
      </x:c>
      <x:c r="Q54" t="str">
        <x:f>IF(A54="","",'ERP Snapshot'!N54)</x:f>
      </x:c>
      <x:c r="R54" t="str">
        <x:f>IF(A54="","",'ERP Snapshot'!Q54)</x:f>
      </x:c>
      <x:c r="S54" t="str">
        <x:f>IF(A54="","",'ERP Snapshot'!R54)</x:f>
      </x:c>
      <x:c r="T54" t="str">
        <x:f>IF(A54="","",'ERP Snapshot'!C54)</x:f>
      </x:c>
    </x:row>
    <x:row r="55">
      <x:c r="A55" t="str">
        <x:f>IF('ERP Snapshot'!A55="","",'ERP Snapshot'!A55)</x:f>
      </x:c>
      <x:c r="B55" t="str">
        <x:f>IF(A55="","",'ERP Snapshot'!B55)</x:f>
      </x:c>
      <x:c r="C55" t="str">
        <x:f>IF(A55="","",'ERP Snapshot'!D55)</x:f>
      </x:c>
      <x:c r="D55" t="str">
        <x:f>IF(A55="","",IF(C55="MXN",IF(AND(Settings!$B$8="APPROVED",Settings!$B$9&lt;&gt;"",Settings!$B$10&lt;&gt;"",Settings!$B$2&gt;0),'PO Authorization'!F55/Settings!$B$2,""),'PO Authorization'!F55))</x:f>
      </x:c>
      <x:c r="E55" t="str">
        <x:f>IF(A55="","",IF(C55="MXN",IF(AND(Settings!$B$8="APPROVED",Settings!$B$9&lt;&gt;"",Settings!$B$10&lt;&gt;"",Settings!$B$2&gt;0),'ERP Snapshot'!I55/Settings!$B$2,""),'ERP Snapshot'!I55))</x:f>
      </x:c>
      <x:c r="F55" t="str">
        <x:f>IF(A55="","",IF(AND(ISNUMBER(D55),ISNUMBER(E55)),D55-E55,""))</x:f>
      </x:c>
      <x:c r="G55" t="str">
        <x:f>IF(A55="","",IF(ISNUMBER('ERP Snapshot'!F55),'ERP Snapshot'!F55,""))</x:f>
      </x:c>
      <x:c r="H55" t="str">
        <x:f>IF(A55="","",'ERP Snapshot'!G55)</x:f>
      </x:c>
      <x:c r="I55" t="str">
        <x:f>IF(A55="","",IF(ISNUMBER('ERP Snapshot'!S55),'ERP Snapshot'!S55,""))</x:f>
      </x:c>
      <x:c r="J55" t="str">
        <x:f>IF(A55="","",IF(AND(ISNUMBER(G55),ISNUMBER(I55)),G55-I55,""))</x:f>
      </x:c>
      <x:c r="K55" s="8" t="str">
        <x:f>IF(A55="","",IF(AND(ISNUMBER(G55),G55&gt;0,ISNUMBER(I55)),I55/G55,""))</x:f>
      </x:c>
      <x:c r="L55" t="str">
        <x:f>IF(A55="","",IF(NOT(ISNUMBER(G55)),"BUDGET DATA REQUIRED",IF(G55&lt;=0,"REVIEW: NO BUDGET",IF(NOT(ISNUMBER(I55)),"PO DATA REQUIRED",IF(I55&lt;0,"REVIEW: PO AMOUNT",IF(K55&gt;1,"OVER BUDGET",IF(K55=1,"BUDGET EXHAUSTED",IF(K55&gt;=Settings!$B$3,"PREVENTIVE ALERT","OK"))))))))</x:f>
      </x:c>
      <x:c r="M55" t="str">
        <x:f>IF(A55="","",'ERP Snapshot'!K55)</x:f>
      </x:c>
      <x:c r="N55" t="str">
        <x:f>IF(A55="","",COUNTIFS(Exceptions!$A$2:$A$101,A55,Exceptions!$E$2:$E$101,"Open"))</x:f>
      </x:c>
      <x:c r="O55" t="str">
        <x:f>IF(A55="","",IF(AND(C55="MXN",OR(D55="",E55="")),"FX HOLD",IF(E55&gt;D55,"REVIEW: ABOVE CUSTOMER PO",IF('PO Authorization'!H55="REVIEW: SNAPSHOT DIFFERS","REVIEW: PO SNAPSHOT",IF(E55=D55,"FULLY INVOICED",IF(E55&gt;0,"PARTIAL INVOICE","NOT INVOICED"))))))</x:f>
      </x:c>
      <x:c r="P55" t="str">
        <x:f>IF(A55="","",IF(OR(O55="FX HOLD",O55="REVIEW: PO SNAPSHOT",L55="OVER BUDGET",L55="BUDGET EXHAUSTED",O55="REVIEW: ABOVE CUSTOMER PO",'ERP Snapshot'!L55="YES"),"CRITICAL / REVIEW",IF(OR(L55="PO DATA REQUIRED",L55="BUDGET DATA REQUIRED",L55="REVIEW: NO BUDGET",L55="REVIEW: PO AMOUNT",N55&gt;0,M55&gt;0,F55&gt;0),"FOLLOW UP","NORMAL")))</x:f>
      </x:c>
      <x:c r="Q55" t="str">
        <x:f>IF(A55="","",'ERP Snapshot'!N55)</x:f>
      </x:c>
      <x:c r="R55" t="str">
        <x:f>IF(A55="","",'ERP Snapshot'!Q55)</x:f>
      </x:c>
      <x:c r="S55" t="str">
        <x:f>IF(A55="","",'ERP Snapshot'!R55)</x:f>
      </x:c>
      <x:c r="T55" t="str">
        <x:f>IF(A55="","",'ERP Snapshot'!C55)</x:f>
      </x:c>
    </x:row>
    <x:row r="56">
      <x:c r="A56" t="str">
        <x:f>IF('ERP Snapshot'!A56="","",'ERP Snapshot'!A56)</x:f>
      </x:c>
      <x:c r="B56" t="str">
        <x:f>IF(A56="","",'ERP Snapshot'!B56)</x:f>
      </x:c>
      <x:c r="C56" t="str">
        <x:f>IF(A56="","",'ERP Snapshot'!D56)</x:f>
      </x:c>
      <x:c r="D56" t="str">
        <x:f>IF(A56="","",IF(C56="MXN",IF(AND(Settings!$B$8="APPROVED",Settings!$B$9&lt;&gt;"",Settings!$B$10&lt;&gt;"",Settings!$B$2&gt;0),'PO Authorization'!F56/Settings!$B$2,""),'PO Authorization'!F56))</x:f>
      </x:c>
      <x:c r="E56" t="str">
        <x:f>IF(A56="","",IF(C56="MXN",IF(AND(Settings!$B$8="APPROVED",Settings!$B$9&lt;&gt;"",Settings!$B$10&lt;&gt;"",Settings!$B$2&gt;0),'ERP Snapshot'!I56/Settings!$B$2,""),'ERP Snapshot'!I56))</x:f>
      </x:c>
      <x:c r="F56" t="str">
        <x:f>IF(A56="","",IF(AND(ISNUMBER(D56),ISNUMBER(E56)),D56-E56,""))</x:f>
      </x:c>
      <x:c r="G56" t="str">
        <x:f>IF(A56="","",IF(ISNUMBER('ERP Snapshot'!F56),'ERP Snapshot'!F56,""))</x:f>
      </x:c>
      <x:c r="H56" t="str">
        <x:f>IF(A56="","",'ERP Snapshot'!G56)</x:f>
      </x:c>
      <x:c r="I56" t="str">
        <x:f>IF(A56="","",IF(ISNUMBER('ERP Snapshot'!S56),'ERP Snapshot'!S56,""))</x:f>
      </x:c>
      <x:c r="J56" t="str">
        <x:f>IF(A56="","",IF(AND(ISNUMBER(G56),ISNUMBER(I56)),G56-I56,""))</x:f>
      </x:c>
      <x:c r="K56" s="8" t="str">
        <x:f>IF(A56="","",IF(AND(ISNUMBER(G56),G56&gt;0,ISNUMBER(I56)),I56/G56,""))</x:f>
      </x:c>
      <x:c r="L56" t="str">
        <x:f>IF(A56="","",IF(NOT(ISNUMBER(G56)),"BUDGET DATA REQUIRED",IF(G56&lt;=0,"REVIEW: NO BUDGET",IF(NOT(ISNUMBER(I56)),"PO DATA REQUIRED",IF(I56&lt;0,"REVIEW: PO AMOUNT",IF(K56&gt;1,"OVER BUDGET",IF(K56=1,"BUDGET EXHAUSTED",IF(K56&gt;=Settings!$B$3,"PREVENTIVE ALERT","OK"))))))))</x:f>
      </x:c>
      <x:c r="M56" t="str">
        <x:f>IF(A56="","",'ERP Snapshot'!K56)</x:f>
      </x:c>
      <x:c r="N56" t="str">
        <x:f>IF(A56="","",COUNTIFS(Exceptions!$A$2:$A$101,A56,Exceptions!$E$2:$E$101,"Open"))</x:f>
      </x:c>
      <x:c r="O56" t="str">
        <x:f>IF(A56="","",IF(AND(C56="MXN",OR(D56="",E56="")),"FX HOLD",IF(E56&gt;D56,"REVIEW: ABOVE CUSTOMER PO",IF('PO Authorization'!H56="REVIEW: SNAPSHOT DIFFERS","REVIEW: PO SNAPSHOT",IF(E56=D56,"FULLY INVOICED",IF(E56&gt;0,"PARTIAL INVOICE","NOT INVOICED"))))))</x:f>
      </x:c>
      <x:c r="P56" t="str">
        <x:f>IF(A56="","",IF(OR(O56="FX HOLD",O56="REVIEW: PO SNAPSHOT",L56="OVER BUDGET",L56="BUDGET EXHAUSTED",O56="REVIEW: ABOVE CUSTOMER PO",'ERP Snapshot'!L56="YES"),"CRITICAL / REVIEW",IF(OR(L56="PO DATA REQUIRED",L56="BUDGET DATA REQUIRED",L56="REVIEW: NO BUDGET",L56="REVIEW: PO AMOUNT",N56&gt;0,M56&gt;0,F56&gt;0),"FOLLOW UP","NORMAL")))</x:f>
      </x:c>
      <x:c r="Q56" t="str">
        <x:f>IF(A56="","",'ERP Snapshot'!N56)</x:f>
      </x:c>
      <x:c r="R56" t="str">
        <x:f>IF(A56="","",'ERP Snapshot'!Q56)</x:f>
      </x:c>
      <x:c r="S56" t="str">
        <x:f>IF(A56="","",'ERP Snapshot'!R56)</x:f>
      </x:c>
      <x:c r="T56" t="str">
        <x:f>IF(A56="","",'ERP Snapshot'!C56)</x:f>
      </x:c>
    </x:row>
    <x:row r="57">
      <x:c r="A57" t="str">
        <x:f>IF('ERP Snapshot'!A57="","",'ERP Snapshot'!A57)</x:f>
      </x:c>
      <x:c r="B57" t="str">
        <x:f>IF(A57="","",'ERP Snapshot'!B57)</x:f>
      </x:c>
      <x:c r="C57" t="str">
        <x:f>IF(A57="","",'ERP Snapshot'!D57)</x:f>
      </x:c>
      <x:c r="D57" t="str">
        <x:f>IF(A57="","",IF(C57="MXN",IF(AND(Settings!$B$8="APPROVED",Settings!$B$9&lt;&gt;"",Settings!$B$10&lt;&gt;"",Settings!$B$2&gt;0),'PO Authorization'!F57/Settings!$B$2,""),'PO Authorization'!F57))</x:f>
      </x:c>
      <x:c r="E57" t="str">
        <x:f>IF(A57="","",IF(C57="MXN",IF(AND(Settings!$B$8="APPROVED",Settings!$B$9&lt;&gt;"",Settings!$B$10&lt;&gt;"",Settings!$B$2&gt;0),'ERP Snapshot'!I57/Settings!$B$2,""),'ERP Snapshot'!I57))</x:f>
      </x:c>
      <x:c r="F57" t="str">
        <x:f>IF(A57="","",IF(AND(ISNUMBER(D57),ISNUMBER(E57)),D57-E57,""))</x:f>
      </x:c>
      <x:c r="G57" t="str">
        <x:f>IF(A57="","",IF(ISNUMBER('ERP Snapshot'!F57),'ERP Snapshot'!F57,""))</x:f>
      </x:c>
      <x:c r="H57" t="str">
        <x:f>IF(A57="","",'ERP Snapshot'!G57)</x:f>
      </x:c>
      <x:c r="I57" t="str">
        <x:f>IF(A57="","",IF(ISNUMBER('ERP Snapshot'!S57),'ERP Snapshot'!S57,""))</x:f>
      </x:c>
      <x:c r="J57" t="str">
        <x:f>IF(A57="","",IF(AND(ISNUMBER(G57),ISNUMBER(I57)),G57-I57,""))</x:f>
      </x:c>
      <x:c r="K57" s="8" t="str">
        <x:f>IF(A57="","",IF(AND(ISNUMBER(G57),G57&gt;0,ISNUMBER(I57)),I57/G57,""))</x:f>
      </x:c>
      <x:c r="L57" t="str">
        <x:f>IF(A57="","",IF(NOT(ISNUMBER(G57)),"BUDGET DATA REQUIRED",IF(G57&lt;=0,"REVIEW: NO BUDGET",IF(NOT(ISNUMBER(I57)),"PO DATA REQUIRED",IF(I57&lt;0,"REVIEW: PO AMOUNT",IF(K57&gt;1,"OVER BUDGET",IF(K57=1,"BUDGET EXHAUSTED",IF(K57&gt;=Settings!$B$3,"PREVENTIVE ALERT","OK"))))))))</x:f>
      </x:c>
      <x:c r="M57" t="str">
        <x:f>IF(A57="","",'ERP Snapshot'!K57)</x:f>
      </x:c>
      <x:c r="N57" t="str">
        <x:f>IF(A57="","",COUNTIFS(Exceptions!$A$2:$A$101,A57,Exceptions!$E$2:$E$101,"Open"))</x:f>
      </x:c>
      <x:c r="O57" t="str">
        <x:f>IF(A57="","",IF(AND(C57="MXN",OR(D57="",E57="")),"FX HOLD",IF(E57&gt;D57,"REVIEW: ABOVE CUSTOMER PO",IF('PO Authorization'!H57="REVIEW: SNAPSHOT DIFFERS","REVIEW: PO SNAPSHOT",IF(E57=D57,"FULLY INVOICED",IF(E57&gt;0,"PARTIAL INVOICE","NOT INVOICED"))))))</x:f>
      </x:c>
      <x:c r="P57" t="str">
        <x:f>IF(A57="","",IF(OR(O57="FX HOLD",O57="REVIEW: PO SNAPSHOT",L57="OVER BUDGET",L57="BUDGET EXHAUSTED",O57="REVIEW: ABOVE CUSTOMER PO",'ERP Snapshot'!L57="YES"),"CRITICAL / REVIEW",IF(OR(L57="PO DATA REQUIRED",L57="BUDGET DATA REQUIRED",L57="REVIEW: NO BUDGET",L57="REVIEW: PO AMOUNT",N57&gt;0,M57&gt;0,F57&gt;0),"FOLLOW UP","NORMAL")))</x:f>
      </x:c>
      <x:c r="Q57" t="str">
        <x:f>IF(A57="","",'ERP Snapshot'!N57)</x:f>
      </x:c>
      <x:c r="R57" t="str">
        <x:f>IF(A57="","",'ERP Snapshot'!Q57)</x:f>
      </x:c>
      <x:c r="S57" t="str">
        <x:f>IF(A57="","",'ERP Snapshot'!R57)</x:f>
      </x:c>
      <x:c r="T57" t="str">
        <x:f>IF(A57="","",'ERP Snapshot'!C57)</x:f>
      </x:c>
    </x:row>
    <x:row r="58">
      <x:c r="A58" t="str">
        <x:f>IF('ERP Snapshot'!A58="","",'ERP Snapshot'!A58)</x:f>
      </x:c>
      <x:c r="B58" t="str">
        <x:f>IF(A58="","",'ERP Snapshot'!B58)</x:f>
      </x:c>
      <x:c r="C58" t="str">
        <x:f>IF(A58="","",'ERP Snapshot'!D58)</x:f>
      </x:c>
      <x:c r="D58" t="str">
        <x:f>IF(A58="","",IF(C58="MXN",IF(AND(Settings!$B$8="APPROVED",Settings!$B$9&lt;&gt;"",Settings!$B$10&lt;&gt;"",Settings!$B$2&gt;0),'PO Authorization'!F58/Settings!$B$2,""),'PO Authorization'!F58))</x:f>
      </x:c>
      <x:c r="E58" t="str">
        <x:f>IF(A58="","",IF(C58="MXN",IF(AND(Settings!$B$8="APPROVED",Settings!$B$9&lt;&gt;"",Settings!$B$10&lt;&gt;"",Settings!$B$2&gt;0),'ERP Snapshot'!I58/Settings!$B$2,""),'ERP Snapshot'!I58))</x:f>
      </x:c>
      <x:c r="F58" t="str">
        <x:f>IF(A58="","",IF(AND(ISNUMBER(D58),ISNUMBER(E58)),D58-E58,""))</x:f>
      </x:c>
      <x:c r="G58" t="str">
        <x:f>IF(A58="","",IF(ISNUMBER('ERP Snapshot'!F58),'ERP Snapshot'!F58,""))</x:f>
      </x:c>
      <x:c r="H58" t="str">
        <x:f>IF(A58="","",'ERP Snapshot'!G58)</x:f>
      </x:c>
      <x:c r="I58" t="str">
        <x:f>IF(A58="","",IF(ISNUMBER('ERP Snapshot'!S58),'ERP Snapshot'!S58,""))</x:f>
      </x:c>
      <x:c r="J58" t="str">
        <x:f>IF(A58="","",IF(AND(ISNUMBER(G58),ISNUMBER(I58)),G58-I58,""))</x:f>
      </x:c>
      <x:c r="K58" s="8" t="str">
        <x:f>IF(A58="","",IF(AND(ISNUMBER(G58),G58&gt;0,ISNUMBER(I58)),I58/G58,""))</x:f>
      </x:c>
      <x:c r="L58" t="str">
        <x:f>IF(A58="","",IF(NOT(ISNUMBER(G58)),"BUDGET DATA REQUIRED",IF(G58&lt;=0,"REVIEW: NO BUDGET",IF(NOT(ISNUMBER(I58)),"PO DATA REQUIRED",IF(I58&lt;0,"REVIEW: PO AMOUNT",IF(K58&gt;1,"OVER BUDGET",IF(K58=1,"BUDGET EXHAUSTED",IF(K58&gt;=Settings!$B$3,"PREVENTIVE ALERT","OK"))))))))</x:f>
      </x:c>
      <x:c r="M58" t="str">
        <x:f>IF(A58="","",'ERP Snapshot'!K58)</x:f>
      </x:c>
      <x:c r="N58" t="str">
        <x:f>IF(A58="","",COUNTIFS(Exceptions!$A$2:$A$101,A58,Exceptions!$E$2:$E$101,"Open"))</x:f>
      </x:c>
      <x:c r="O58" t="str">
        <x:f>IF(A58="","",IF(AND(C58="MXN",OR(D58="",E58="")),"FX HOLD",IF(E58&gt;D58,"REVIEW: ABOVE CUSTOMER PO",IF('PO Authorization'!H58="REVIEW: SNAPSHOT DIFFERS","REVIEW: PO SNAPSHOT",IF(E58=D58,"FULLY INVOICED",IF(E58&gt;0,"PARTIAL INVOICE","NOT INVOICED"))))))</x:f>
      </x:c>
      <x:c r="P58" t="str">
        <x:f>IF(A58="","",IF(OR(O58="FX HOLD",O58="REVIEW: PO SNAPSHOT",L58="OVER BUDGET",L58="BUDGET EXHAUSTED",O58="REVIEW: ABOVE CUSTOMER PO",'ERP Snapshot'!L58="YES"),"CRITICAL / REVIEW",IF(OR(L58="PO DATA REQUIRED",L58="BUDGET DATA REQUIRED",L58="REVIEW: NO BUDGET",L58="REVIEW: PO AMOUNT",N58&gt;0,M58&gt;0,F58&gt;0),"FOLLOW UP","NORMAL")))</x:f>
      </x:c>
      <x:c r="Q58" t="str">
        <x:f>IF(A58="","",'ERP Snapshot'!N58)</x:f>
      </x:c>
      <x:c r="R58" t="str">
        <x:f>IF(A58="","",'ERP Snapshot'!Q58)</x:f>
      </x:c>
      <x:c r="S58" t="str">
        <x:f>IF(A58="","",'ERP Snapshot'!R58)</x:f>
      </x:c>
      <x:c r="T58" t="str">
        <x:f>IF(A58="","",'ERP Snapshot'!C58)</x:f>
      </x:c>
    </x:row>
    <x:row r="59">
      <x:c r="A59" t="str">
        <x:f>IF('ERP Snapshot'!A59="","",'ERP Snapshot'!A59)</x:f>
      </x:c>
      <x:c r="B59" t="str">
        <x:f>IF(A59="","",'ERP Snapshot'!B59)</x:f>
      </x:c>
      <x:c r="C59" t="str">
        <x:f>IF(A59="","",'ERP Snapshot'!D59)</x:f>
      </x:c>
      <x:c r="D59" t="str">
        <x:f>IF(A59="","",IF(C59="MXN",IF(AND(Settings!$B$8="APPROVED",Settings!$B$9&lt;&gt;"",Settings!$B$10&lt;&gt;"",Settings!$B$2&gt;0),'PO Authorization'!F59/Settings!$B$2,""),'PO Authorization'!F59))</x:f>
      </x:c>
      <x:c r="E59" t="str">
        <x:f>IF(A59="","",IF(C59="MXN",IF(AND(Settings!$B$8="APPROVED",Settings!$B$9&lt;&gt;"",Settings!$B$10&lt;&gt;"",Settings!$B$2&gt;0),'ERP Snapshot'!I59/Settings!$B$2,""),'ERP Snapshot'!I59))</x:f>
      </x:c>
      <x:c r="F59" t="str">
        <x:f>IF(A59="","",IF(AND(ISNUMBER(D59),ISNUMBER(E59)),D59-E59,""))</x:f>
      </x:c>
      <x:c r="G59" t="str">
        <x:f>IF(A59="","",IF(ISNUMBER('ERP Snapshot'!F59),'ERP Snapshot'!F59,""))</x:f>
      </x:c>
      <x:c r="H59" t="str">
        <x:f>IF(A59="","",'ERP Snapshot'!G59)</x:f>
      </x:c>
      <x:c r="I59" t="str">
        <x:f>IF(A59="","",IF(ISNUMBER('ERP Snapshot'!S59),'ERP Snapshot'!S59,""))</x:f>
      </x:c>
      <x:c r="J59" t="str">
        <x:f>IF(A59="","",IF(AND(ISNUMBER(G59),ISNUMBER(I59)),G59-I59,""))</x:f>
      </x:c>
      <x:c r="K59" s="8" t="str">
        <x:f>IF(A59="","",IF(AND(ISNUMBER(G59),G59&gt;0,ISNUMBER(I59)),I59/G59,""))</x:f>
      </x:c>
      <x:c r="L59" t="str">
        <x:f>IF(A59="","",IF(NOT(ISNUMBER(G59)),"BUDGET DATA REQUIRED",IF(G59&lt;=0,"REVIEW: NO BUDGET",IF(NOT(ISNUMBER(I59)),"PO DATA REQUIRED",IF(I59&lt;0,"REVIEW: PO AMOUNT",IF(K59&gt;1,"OVER BUDGET",IF(K59=1,"BUDGET EXHAUSTED",IF(K59&gt;=Settings!$B$3,"PREVENTIVE ALERT","OK"))))))))</x:f>
      </x:c>
      <x:c r="M59" t="str">
        <x:f>IF(A59="","",'ERP Snapshot'!K59)</x:f>
      </x:c>
      <x:c r="N59" t="str">
        <x:f>IF(A59="","",COUNTIFS(Exceptions!$A$2:$A$101,A59,Exceptions!$E$2:$E$101,"Open"))</x:f>
      </x:c>
      <x:c r="O59" t="str">
        <x:f>IF(A59="","",IF(AND(C59="MXN",OR(D59="",E59="")),"FX HOLD",IF(E59&gt;D59,"REVIEW: ABOVE CUSTOMER PO",IF('PO Authorization'!H59="REVIEW: SNAPSHOT DIFFERS","REVIEW: PO SNAPSHOT",IF(E59=D59,"FULLY INVOICED",IF(E59&gt;0,"PARTIAL INVOICE","NOT INVOICED"))))))</x:f>
      </x:c>
      <x:c r="P59" t="str">
        <x:f>IF(A59="","",IF(OR(O59="FX HOLD",O59="REVIEW: PO SNAPSHOT",L59="OVER BUDGET",L59="BUDGET EXHAUSTED",O59="REVIEW: ABOVE CUSTOMER PO",'ERP Snapshot'!L59="YES"),"CRITICAL / REVIEW",IF(OR(L59="PO DATA REQUIRED",L59="BUDGET DATA REQUIRED",L59="REVIEW: NO BUDGET",L59="REVIEW: PO AMOUNT",N59&gt;0,M59&gt;0,F59&gt;0),"FOLLOW UP","NORMAL")))</x:f>
      </x:c>
      <x:c r="Q59" t="str">
        <x:f>IF(A59="","",'ERP Snapshot'!N59)</x:f>
      </x:c>
      <x:c r="R59" t="str">
        <x:f>IF(A59="","",'ERP Snapshot'!Q59)</x:f>
      </x:c>
      <x:c r="S59" t="str">
        <x:f>IF(A59="","",'ERP Snapshot'!R59)</x:f>
      </x:c>
      <x:c r="T59" t="str">
        <x:f>IF(A59="","",'ERP Snapshot'!C59)</x:f>
      </x:c>
    </x:row>
    <x:row r="60">
      <x:c r="A60" t="str">
        <x:f>IF('ERP Snapshot'!A60="","",'ERP Snapshot'!A60)</x:f>
      </x:c>
      <x:c r="B60" t="str">
        <x:f>IF(A60="","",'ERP Snapshot'!B60)</x:f>
      </x:c>
      <x:c r="C60" t="str">
        <x:f>IF(A60="","",'ERP Snapshot'!D60)</x:f>
      </x:c>
      <x:c r="D60" t="str">
        <x:f>IF(A60="","",IF(C60="MXN",IF(AND(Settings!$B$8="APPROVED",Settings!$B$9&lt;&gt;"",Settings!$B$10&lt;&gt;"",Settings!$B$2&gt;0),'PO Authorization'!F60/Settings!$B$2,""),'PO Authorization'!F60))</x:f>
      </x:c>
      <x:c r="E60" t="str">
        <x:f>IF(A60="","",IF(C60="MXN",IF(AND(Settings!$B$8="APPROVED",Settings!$B$9&lt;&gt;"",Settings!$B$10&lt;&gt;"",Settings!$B$2&gt;0),'ERP Snapshot'!I60/Settings!$B$2,""),'ERP Snapshot'!I60))</x:f>
      </x:c>
      <x:c r="F60" t="str">
        <x:f>IF(A60="","",IF(AND(ISNUMBER(D60),ISNUMBER(E60)),D60-E60,""))</x:f>
      </x:c>
      <x:c r="G60" t="str">
        <x:f>IF(A60="","",IF(ISNUMBER('ERP Snapshot'!F60),'ERP Snapshot'!F60,""))</x:f>
      </x:c>
      <x:c r="H60" t="str">
        <x:f>IF(A60="","",'ERP Snapshot'!G60)</x:f>
      </x:c>
      <x:c r="I60" t="str">
        <x:f>IF(A60="","",IF(ISNUMBER('ERP Snapshot'!S60),'ERP Snapshot'!S60,""))</x:f>
      </x:c>
      <x:c r="J60" t="str">
        <x:f>IF(A60="","",IF(AND(ISNUMBER(G60),ISNUMBER(I60)),G60-I60,""))</x:f>
      </x:c>
      <x:c r="K60" s="8" t="str">
        <x:f>IF(A60="","",IF(AND(ISNUMBER(G60),G60&gt;0,ISNUMBER(I60)),I60/G60,""))</x:f>
      </x:c>
      <x:c r="L60" t="str">
        <x:f>IF(A60="","",IF(NOT(ISNUMBER(G60)),"BUDGET DATA REQUIRED",IF(G60&lt;=0,"REVIEW: NO BUDGET",IF(NOT(ISNUMBER(I60)),"PO DATA REQUIRED",IF(I60&lt;0,"REVIEW: PO AMOUNT",IF(K60&gt;1,"OVER BUDGET",IF(K60=1,"BUDGET EXHAUSTED",IF(K60&gt;=Settings!$B$3,"PREVENTIVE ALERT","OK"))))))))</x:f>
      </x:c>
      <x:c r="M60" t="str">
        <x:f>IF(A60="","",'ERP Snapshot'!K60)</x:f>
      </x:c>
      <x:c r="N60" t="str">
        <x:f>IF(A60="","",COUNTIFS(Exceptions!$A$2:$A$101,A60,Exceptions!$E$2:$E$101,"Open"))</x:f>
      </x:c>
      <x:c r="O60" t="str">
        <x:f>IF(A60="","",IF(AND(C60="MXN",OR(D60="",E60="")),"FX HOLD",IF(E60&gt;D60,"REVIEW: ABOVE CUSTOMER PO",IF('PO Authorization'!H60="REVIEW: SNAPSHOT DIFFERS","REVIEW: PO SNAPSHOT",IF(E60=D60,"FULLY INVOICED",IF(E60&gt;0,"PARTIAL INVOICE","NOT INVOICED"))))))</x:f>
      </x:c>
      <x:c r="P60" t="str">
        <x:f>IF(A60="","",IF(OR(O60="FX HOLD",O60="REVIEW: PO SNAPSHOT",L60="OVER BUDGET",L60="BUDGET EXHAUSTED",O60="REVIEW: ABOVE CUSTOMER PO",'ERP Snapshot'!L60="YES"),"CRITICAL / REVIEW",IF(OR(L60="PO DATA REQUIRED",L60="BUDGET DATA REQUIRED",L60="REVIEW: NO BUDGET",L60="REVIEW: PO AMOUNT",N60&gt;0,M60&gt;0,F60&gt;0),"FOLLOW UP","NORMAL")))</x:f>
      </x:c>
      <x:c r="Q60" t="str">
        <x:f>IF(A60="","",'ERP Snapshot'!N60)</x:f>
      </x:c>
      <x:c r="R60" t="str">
        <x:f>IF(A60="","",'ERP Snapshot'!Q60)</x:f>
      </x:c>
      <x:c r="S60" t="str">
        <x:f>IF(A60="","",'ERP Snapshot'!R60)</x:f>
      </x:c>
      <x:c r="T60" t="str">
        <x:f>IF(A60="","",'ERP Snapshot'!C60)</x:f>
      </x:c>
    </x:row>
    <x:row r="61">
      <x:c r="A61" t="str">
        <x:f>IF('ERP Snapshot'!A61="","",'ERP Snapshot'!A61)</x:f>
      </x:c>
      <x:c r="B61" t="str">
        <x:f>IF(A61="","",'ERP Snapshot'!B61)</x:f>
      </x:c>
      <x:c r="C61" t="str">
        <x:f>IF(A61="","",'ERP Snapshot'!D61)</x:f>
      </x:c>
      <x:c r="D61" t="str">
        <x:f>IF(A61="","",IF(C61="MXN",IF(AND(Settings!$B$8="APPROVED",Settings!$B$9&lt;&gt;"",Settings!$B$10&lt;&gt;"",Settings!$B$2&gt;0),'PO Authorization'!F61/Settings!$B$2,""),'PO Authorization'!F61))</x:f>
      </x:c>
      <x:c r="E61" t="str">
        <x:f>IF(A61="","",IF(C61="MXN",IF(AND(Settings!$B$8="APPROVED",Settings!$B$9&lt;&gt;"",Settings!$B$10&lt;&gt;"",Settings!$B$2&gt;0),'ERP Snapshot'!I61/Settings!$B$2,""),'ERP Snapshot'!I61))</x:f>
      </x:c>
      <x:c r="F61" t="str">
        <x:f>IF(A61="","",IF(AND(ISNUMBER(D61),ISNUMBER(E61)),D61-E61,""))</x:f>
      </x:c>
      <x:c r="G61" t="str">
        <x:f>IF(A61="","",IF(ISNUMBER('ERP Snapshot'!F61),'ERP Snapshot'!F61,""))</x:f>
      </x:c>
      <x:c r="H61" t="str">
        <x:f>IF(A61="","",'ERP Snapshot'!G61)</x:f>
      </x:c>
      <x:c r="I61" t="str">
        <x:f>IF(A61="","",IF(ISNUMBER('ERP Snapshot'!S61),'ERP Snapshot'!S61,""))</x:f>
      </x:c>
      <x:c r="J61" t="str">
        <x:f>IF(A61="","",IF(AND(ISNUMBER(G61),ISNUMBER(I61)),G61-I61,""))</x:f>
      </x:c>
      <x:c r="K61" s="8" t="str">
        <x:f>IF(A61="","",IF(AND(ISNUMBER(G61),G61&gt;0,ISNUMBER(I61)),I61/G61,""))</x:f>
      </x:c>
      <x:c r="L61" t="str">
        <x:f>IF(A61="","",IF(NOT(ISNUMBER(G61)),"BUDGET DATA REQUIRED",IF(G61&lt;=0,"REVIEW: NO BUDGET",IF(NOT(ISNUMBER(I61)),"PO DATA REQUIRED",IF(I61&lt;0,"REVIEW: PO AMOUNT",IF(K61&gt;1,"OVER BUDGET",IF(K61=1,"BUDGET EXHAUSTED",IF(K61&gt;=Settings!$B$3,"PREVENTIVE ALERT","OK"))))))))</x:f>
      </x:c>
      <x:c r="M61" t="str">
        <x:f>IF(A61="","",'ERP Snapshot'!K61)</x:f>
      </x:c>
      <x:c r="N61" t="str">
        <x:f>IF(A61="","",COUNTIFS(Exceptions!$A$2:$A$101,A61,Exceptions!$E$2:$E$101,"Open"))</x:f>
      </x:c>
      <x:c r="O61" t="str">
        <x:f>IF(A61="","",IF(AND(C61="MXN",OR(D61="",E61="")),"FX HOLD",IF(E61&gt;D61,"REVIEW: ABOVE CUSTOMER PO",IF('PO Authorization'!H61="REVIEW: SNAPSHOT DIFFERS","REVIEW: PO SNAPSHOT",IF(E61=D61,"FULLY INVOICED",IF(E61&gt;0,"PARTIAL INVOICE","NOT INVOICED"))))))</x:f>
      </x:c>
      <x:c r="P61" t="str">
        <x:f>IF(A61="","",IF(OR(O61="FX HOLD",O61="REVIEW: PO SNAPSHOT",L61="OVER BUDGET",L61="BUDGET EXHAUSTED",O61="REVIEW: ABOVE CUSTOMER PO",'ERP Snapshot'!L61="YES"),"CRITICAL / REVIEW",IF(OR(L61="PO DATA REQUIRED",L61="BUDGET DATA REQUIRED",L61="REVIEW: NO BUDGET",L61="REVIEW: PO AMOUNT",N61&gt;0,M61&gt;0,F61&gt;0),"FOLLOW UP","NORMAL")))</x:f>
      </x:c>
      <x:c r="Q61" t="str">
        <x:f>IF(A61="","",'ERP Snapshot'!N61)</x:f>
      </x:c>
      <x:c r="R61" t="str">
        <x:f>IF(A61="","",'ERP Snapshot'!Q61)</x:f>
      </x:c>
      <x:c r="S61" t="str">
        <x:f>IF(A61="","",'ERP Snapshot'!R61)</x:f>
      </x:c>
      <x:c r="T61" t="str">
        <x:f>IF(A61="","",'ERP Snapshot'!C61)</x:f>
      </x:c>
    </x:row>
    <x:row r="62">
      <x:c r="A62" t="str">
        <x:f>IF('ERP Snapshot'!A62="","",'ERP Snapshot'!A62)</x:f>
      </x:c>
      <x:c r="B62" t="str">
        <x:f>IF(A62="","",'ERP Snapshot'!B62)</x:f>
      </x:c>
      <x:c r="C62" t="str">
        <x:f>IF(A62="","",'ERP Snapshot'!D62)</x:f>
      </x:c>
      <x:c r="D62" t="str">
        <x:f>IF(A62="","",IF(C62="MXN",IF(AND(Settings!$B$8="APPROVED",Settings!$B$9&lt;&gt;"",Settings!$B$10&lt;&gt;"",Settings!$B$2&gt;0),'PO Authorization'!F62/Settings!$B$2,""),'PO Authorization'!F62))</x:f>
      </x:c>
      <x:c r="E62" t="str">
        <x:f>IF(A62="","",IF(C62="MXN",IF(AND(Settings!$B$8="APPROVED",Settings!$B$9&lt;&gt;"",Settings!$B$10&lt;&gt;"",Settings!$B$2&gt;0),'ERP Snapshot'!I62/Settings!$B$2,""),'ERP Snapshot'!I62))</x:f>
      </x:c>
      <x:c r="F62" t="str">
        <x:f>IF(A62="","",IF(AND(ISNUMBER(D62),ISNUMBER(E62)),D62-E62,""))</x:f>
      </x:c>
      <x:c r="G62" t="str">
        <x:f>IF(A62="","",IF(ISNUMBER('ERP Snapshot'!F62),'ERP Snapshot'!F62,""))</x:f>
      </x:c>
      <x:c r="H62" t="str">
        <x:f>IF(A62="","",'ERP Snapshot'!G62)</x:f>
      </x:c>
      <x:c r="I62" t="str">
        <x:f>IF(A62="","",IF(ISNUMBER('ERP Snapshot'!S62),'ERP Snapshot'!S62,""))</x:f>
      </x:c>
      <x:c r="J62" t="str">
        <x:f>IF(A62="","",IF(AND(ISNUMBER(G62),ISNUMBER(I62)),G62-I62,""))</x:f>
      </x:c>
      <x:c r="K62" s="8" t="str">
        <x:f>IF(A62="","",IF(AND(ISNUMBER(G62),G62&gt;0,ISNUMBER(I62)),I62/G62,""))</x:f>
      </x:c>
      <x:c r="L62" t="str">
        <x:f>IF(A62="","",IF(NOT(ISNUMBER(G62)),"BUDGET DATA REQUIRED",IF(G62&lt;=0,"REVIEW: NO BUDGET",IF(NOT(ISNUMBER(I62)),"PO DATA REQUIRED",IF(I62&lt;0,"REVIEW: PO AMOUNT",IF(K62&gt;1,"OVER BUDGET",IF(K62=1,"BUDGET EXHAUSTED",IF(K62&gt;=Settings!$B$3,"PREVENTIVE ALERT","OK"))))))))</x:f>
      </x:c>
      <x:c r="M62" t="str">
        <x:f>IF(A62="","",'ERP Snapshot'!K62)</x:f>
      </x:c>
      <x:c r="N62" t="str">
        <x:f>IF(A62="","",COUNTIFS(Exceptions!$A$2:$A$101,A62,Exceptions!$E$2:$E$101,"Open"))</x:f>
      </x:c>
      <x:c r="O62" t="str">
        <x:f>IF(A62="","",IF(AND(C62="MXN",OR(D62="",E62="")),"FX HOLD",IF(E62&gt;D62,"REVIEW: ABOVE CUSTOMER PO",IF('PO Authorization'!H62="REVIEW: SNAPSHOT DIFFERS","REVIEW: PO SNAPSHOT",IF(E62=D62,"FULLY INVOICED",IF(E62&gt;0,"PARTIAL INVOICE","NOT INVOICED"))))))</x:f>
      </x:c>
      <x:c r="P62" t="str">
        <x:f>IF(A62="","",IF(OR(O62="FX HOLD",O62="REVIEW: PO SNAPSHOT",L62="OVER BUDGET",L62="BUDGET EXHAUSTED",O62="REVIEW: ABOVE CUSTOMER PO",'ERP Snapshot'!L62="YES"),"CRITICAL / REVIEW",IF(OR(L62="PO DATA REQUIRED",L62="BUDGET DATA REQUIRED",L62="REVIEW: NO BUDGET",L62="REVIEW: PO AMOUNT",N62&gt;0,M62&gt;0,F62&gt;0),"FOLLOW UP","NORMAL")))</x:f>
      </x:c>
      <x:c r="Q62" t="str">
        <x:f>IF(A62="","",'ERP Snapshot'!N62)</x:f>
      </x:c>
      <x:c r="R62" t="str">
        <x:f>IF(A62="","",'ERP Snapshot'!Q62)</x:f>
      </x:c>
      <x:c r="S62" t="str">
        <x:f>IF(A62="","",'ERP Snapshot'!R62)</x:f>
      </x:c>
      <x:c r="T62" t="str">
        <x:f>IF(A62="","",'ERP Snapshot'!C62)</x:f>
      </x:c>
    </x:row>
    <x:row r="63">
      <x:c r="A63" t="str">
        <x:f>IF('ERP Snapshot'!A63="","",'ERP Snapshot'!A63)</x:f>
      </x:c>
      <x:c r="B63" t="str">
        <x:f>IF(A63="","",'ERP Snapshot'!B63)</x:f>
      </x:c>
      <x:c r="C63" t="str">
        <x:f>IF(A63="","",'ERP Snapshot'!D63)</x:f>
      </x:c>
      <x:c r="D63" t="str">
        <x:f>IF(A63="","",IF(C63="MXN",IF(AND(Settings!$B$8="APPROVED",Settings!$B$9&lt;&gt;"",Settings!$B$10&lt;&gt;"",Settings!$B$2&gt;0),'PO Authorization'!F63/Settings!$B$2,""),'PO Authorization'!F63))</x:f>
      </x:c>
      <x:c r="E63" t="str">
        <x:f>IF(A63="","",IF(C63="MXN",IF(AND(Settings!$B$8="APPROVED",Settings!$B$9&lt;&gt;"",Settings!$B$10&lt;&gt;"",Settings!$B$2&gt;0),'ERP Snapshot'!I63/Settings!$B$2,""),'ERP Snapshot'!I63))</x:f>
      </x:c>
      <x:c r="F63" t="str">
        <x:f>IF(A63="","",IF(AND(ISNUMBER(D63),ISNUMBER(E63)),D63-E63,""))</x:f>
      </x:c>
      <x:c r="G63" t="str">
        <x:f>IF(A63="","",IF(ISNUMBER('ERP Snapshot'!F63),'ERP Snapshot'!F63,""))</x:f>
      </x:c>
      <x:c r="H63" t="str">
        <x:f>IF(A63="","",'ERP Snapshot'!G63)</x:f>
      </x:c>
      <x:c r="I63" t="str">
        <x:f>IF(A63="","",IF(ISNUMBER('ERP Snapshot'!S63),'ERP Snapshot'!S63,""))</x:f>
      </x:c>
      <x:c r="J63" t="str">
        <x:f>IF(A63="","",IF(AND(ISNUMBER(G63),ISNUMBER(I63)),G63-I63,""))</x:f>
      </x:c>
      <x:c r="K63" s="8" t="str">
        <x:f>IF(A63="","",IF(AND(ISNUMBER(G63),G63&gt;0,ISNUMBER(I63)),I63/G63,""))</x:f>
      </x:c>
      <x:c r="L63" t="str">
        <x:f>IF(A63="","",IF(NOT(ISNUMBER(G63)),"BUDGET DATA REQUIRED",IF(G63&lt;=0,"REVIEW: NO BUDGET",IF(NOT(ISNUMBER(I63)),"PO DATA REQUIRED",IF(I63&lt;0,"REVIEW: PO AMOUNT",IF(K63&gt;1,"OVER BUDGET",IF(K63=1,"BUDGET EXHAUSTED",IF(K63&gt;=Settings!$B$3,"PREVENTIVE ALERT","OK"))))))))</x:f>
      </x:c>
      <x:c r="M63" t="str">
        <x:f>IF(A63="","",'ERP Snapshot'!K63)</x:f>
      </x:c>
      <x:c r="N63" t="str">
        <x:f>IF(A63="","",COUNTIFS(Exceptions!$A$2:$A$101,A63,Exceptions!$E$2:$E$101,"Open"))</x:f>
      </x:c>
      <x:c r="O63" t="str">
        <x:f>IF(A63="","",IF(AND(C63="MXN",OR(D63="",E63="")),"FX HOLD",IF(E63&gt;D63,"REVIEW: ABOVE CUSTOMER PO",IF('PO Authorization'!H63="REVIEW: SNAPSHOT DIFFERS","REVIEW: PO SNAPSHOT",IF(E63=D63,"FULLY INVOICED",IF(E63&gt;0,"PARTIAL INVOICE","NOT INVOICED"))))))</x:f>
      </x:c>
      <x:c r="P63" t="str">
        <x:f>IF(A63="","",IF(OR(O63="FX HOLD",O63="REVIEW: PO SNAPSHOT",L63="OVER BUDGET",L63="BUDGET EXHAUSTED",O63="REVIEW: ABOVE CUSTOMER PO",'ERP Snapshot'!L63="YES"),"CRITICAL / REVIEW",IF(OR(L63="PO DATA REQUIRED",L63="BUDGET DATA REQUIRED",L63="REVIEW: NO BUDGET",L63="REVIEW: PO AMOUNT",N63&gt;0,M63&gt;0,F63&gt;0),"FOLLOW UP","NORMAL")))</x:f>
      </x:c>
      <x:c r="Q63" t="str">
        <x:f>IF(A63="","",'ERP Snapshot'!N63)</x:f>
      </x:c>
      <x:c r="R63" t="str">
        <x:f>IF(A63="","",'ERP Snapshot'!Q63)</x:f>
      </x:c>
      <x:c r="S63" t="str">
        <x:f>IF(A63="","",'ERP Snapshot'!R63)</x:f>
      </x:c>
      <x:c r="T63" t="str">
        <x:f>IF(A63="","",'ERP Snapshot'!C63)</x:f>
      </x:c>
    </x:row>
    <x:row r="64">
      <x:c r="A64" t="str">
        <x:f>IF('ERP Snapshot'!A64="","",'ERP Snapshot'!A64)</x:f>
      </x:c>
      <x:c r="B64" t="str">
        <x:f>IF(A64="","",'ERP Snapshot'!B64)</x:f>
      </x:c>
      <x:c r="C64" t="str">
        <x:f>IF(A64="","",'ERP Snapshot'!D64)</x:f>
      </x:c>
      <x:c r="D64" t="str">
        <x:f>IF(A64="","",IF(C64="MXN",IF(AND(Settings!$B$8="APPROVED",Settings!$B$9&lt;&gt;"",Settings!$B$10&lt;&gt;"",Settings!$B$2&gt;0),'PO Authorization'!F64/Settings!$B$2,""),'PO Authorization'!F64))</x:f>
      </x:c>
      <x:c r="E64" t="str">
        <x:f>IF(A64="","",IF(C64="MXN",IF(AND(Settings!$B$8="APPROVED",Settings!$B$9&lt;&gt;"",Settings!$B$10&lt;&gt;"",Settings!$B$2&gt;0),'ERP Snapshot'!I64/Settings!$B$2,""),'ERP Snapshot'!I64))</x:f>
      </x:c>
      <x:c r="F64" t="str">
        <x:f>IF(A64="","",IF(AND(ISNUMBER(D64),ISNUMBER(E64)),D64-E64,""))</x:f>
      </x:c>
      <x:c r="G64" t="str">
        <x:f>IF(A64="","",IF(ISNUMBER('ERP Snapshot'!F64),'ERP Snapshot'!F64,""))</x:f>
      </x:c>
      <x:c r="H64" t="str">
        <x:f>IF(A64="","",'ERP Snapshot'!G64)</x:f>
      </x:c>
      <x:c r="I64" t="str">
        <x:f>IF(A64="","",IF(ISNUMBER('ERP Snapshot'!S64),'ERP Snapshot'!S64,""))</x:f>
      </x:c>
      <x:c r="J64" t="str">
        <x:f>IF(A64="","",IF(AND(ISNUMBER(G64),ISNUMBER(I64)),G64-I64,""))</x:f>
      </x:c>
      <x:c r="K64" s="8" t="str">
        <x:f>IF(A64="","",IF(AND(ISNUMBER(G64),G64&gt;0,ISNUMBER(I64)),I64/G64,""))</x:f>
      </x:c>
      <x:c r="L64" t="str">
        <x:f>IF(A64="","",IF(NOT(ISNUMBER(G64)),"BUDGET DATA REQUIRED",IF(G64&lt;=0,"REVIEW: NO BUDGET",IF(NOT(ISNUMBER(I64)),"PO DATA REQUIRED",IF(I64&lt;0,"REVIEW: PO AMOUNT",IF(K64&gt;1,"OVER BUDGET",IF(K64=1,"BUDGET EXHAUSTED",IF(K64&gt;=Settings!$B$3,"PREVENTIVE ALERT","OK"))))))))</x:f>
      </x:c>
      <x:c r="M64" t="str">
        <x:f>IF(A64="","",'ERP Snapshot'!K64)</x:f>
      </x:c>
      <x:c r="N64" t="str">
        <x:f>IF(A64="","",COUNTIFS(Exceptions!$A$2:$A$101,A64,Exceptions!$E$2:$E$101,"Open"))</x:f>
      </x:c>
      <x:c r="O64" t="str">
        <x:f>IF(A64="","",IF(AND(C64="MXN",OR(D64="",E64="")),"FX HOLD",IF(E64&gt;D64,"REVIEW: ABOVE CUSTOMER PO",IF('PO Authorization'!H64="REVIEW: SNAPSHOT DIFFERS","REVIEW: PO SNAPSHOT",IF(E64=D64,"FULLY INVOICED",IF(E64&gt;0,"PARTIAL INVOICE","NOT INVOICED"))))))</x:f>
      </x:c>
      <x:c r="P64" t="str">
        <x:f>IF(A64="","",IF(OR(O64="FX HOLD",O64="REVIEW: PO SNAPSHOT",L64="OVER BUDGET",L64="BUDGET EXHAUSTED",O64="REVIEW: ABOVE CUSTOMER PO",'ERP Snapshot'!L64="YES"),"CRITICAL / REVIEW",IF(OR(L64="PO DATA REQUIRED",L64="BUDGET DATA REQUIRED",L64="REVIEW: NO BUDGET",L64="REVIEW: PO AMOUNT",N64&gt;0,M64&gt;0,F64&gt;0),"FOLLOW UP","NORMAL")))</x:f>
      </x:c>
      <x:c r="Q64" t="str">
        <x:f>IF(A64="","",'ERP Snapshot'!N64)</x:f>
      </x:c>
      <x:c r="R64" t="str">
        <x:f>IF(A64="","",'ERP Snapshot'!Q64)</x:f>
      </x:c>
      <x:c r="S64" t="str">
        <x:f>IF(A64="","",'ERP Snapshot'!R64)</x:f>
      </x:c>
      <x:c r="T64" t="str">
        <x:f>IF(A64="","",'ERP Snapshot'!C64)</x:f>
      </x:c>
    </x:row>
    <x:row r="65">
      <x:c r="A65" t="str">
        <x:f>IF('ERP Snapshot'!A65="","",'ERP Snapshot'!A65)</x:f>
      </x:c>
      <x:c r="B65" t="str">
        <x:f>IF(A65="","",'ERP Snapshot'!B65)</x:f>
      </x:c>
      <x:c r="C65" t="str">
        <x:f>IF(A65="","",'ERP Snapshot'!D65)</x:f>
      </x:c>
      <x:c r="D65" t="str">
        <x:f>IF(A65="","",IF(C65="MXN",IF(AND(Settings!$B$8="APPROVED",Settings!$B$9&lt;&gt;"",Settings!$B$10&lt;&gt;"",Settings!$B$2&gt;0),'PO Authorization'!F65/Settings!$B$2,""),'PO Authorization'!F65))</x:f>
      </x:c>
      <x:c r="E65" t="str">
        <x:f>IF(A65="","",IF(C65="MXN",IF(AND(Settings!$B$8="APPROVED",Settings!$B$9&lt;&gt;"",Settings!$B$10&lt;&gt;"",Settings!$B$2&gt;0),'ERP Snapshot'!I65/Settings!$B$2,""),'ERP Snapshot'!I65))</x:f>
      </x:c>
      <x:c r="F65" t="str">
        <x:f>IF(A65="","",IF(AND(ISNUMBER(D65),ISNUMBER(E65)),D65-E65,""))</x:f>
      </x:c>
      <x:c r="G65" t="str">
        <x:f>IF(A65="","",IF(ISNUMBER('ERP Snapshot'!F65),'ERP Snapshot'!F65,""))</x:f>
      </x:c>
      <x:c r="H65" t="str">
        <x:f>IF(A65="","",'ERP Snapshot'!G65)</x:f>
      </x:c>
      <x:c r="I65" t="str">
        <x:f>IF(A65="","",IF(ISNUMBER('ERP Snapshot'!S65),'ERP Snapshot'!S65,""))</x:f>
      </x:c>
      <x:c r="J65" t="str">
        <x:f>IF(A65="","",IF(AND(ISNUMBER(G65),ISNUMBER(I65)),G65-I65,""))</x:f>
      </x:c>
      <x:c r="K65" s="8" t="str">
        <x:f>IF(A65="","",IF(AND(ISNUMBER(G65),G65&gt;0,ISNUMBER(I65)),I65/G65,""))</x:f>
      </x:c>
      <x:c r="L65" t="str">
        <x:f>IF(A65="","",IF(NOT(ISNUMBER(G65)),"BUDGET DATA REQUIRED",IF(G65&lt;=0,"REVIEW: NO BUDGET",IF(NOT(ISNUMBER(I65)),"PO DATA REQUIRED",IF(I65&lt;0,"REVIEW: PO AMOUNT",IF(K65&gt;1,"OVER BUDGET",IF(K65=1,"BUDGET EXHAUSTED",IF(K65&gt;=Settings!$B$3,"PREVENTIVE ALERT","OK"))))))))</x:f>
      </x:c>
      <x:c r="M65" t="str">
        <x:f>IF(A65="","",'ERP Snapshot'!K65)</x:f>
      </x:c>
      <x:c r="N65" t="str">
        <x:f>IF(A65="","",COUNTIFS(Exceptions!$A$2:$A$101,A65,Exceptions!$E$2:$E$101,"Open"))</x:f>
      </x:c>
      <x:c r="O65" t="str">
        <x:f>IF(A65="","",IF(AND(C65="MXN",OR(D65="",E65="")),"FX HOLD",IF(E65&gt;D65,"REVIEW: ABOVE CUSTOMER PO",IF('PO Authorization'!H65="REVIEW: SNAPSHOT DIFFERS","REVIEW: PO SNAPSHOT",IF(E65=D65,"FULLY INVOICED",IF(E65&gt;0,"PARTIAL INVOICE","NOT INVOICED"))))))</x:f>
      </x:c>
      <x:c r="P65" t="str">
        <x:f>IF(A65="","",IF(OR(O65="FX HOLD",O65="REVIEW: PO SNAPSHOT",L65="OVER BUDGET",L65="BUDGET EXHAUSTED",O65="REVIEW: ABOVE CUSTOMER PO",'ERP Snapshot'!L65="YES"),"CRITICAL / REVIEW",IF(OR(L65="PO DATA REQUIRED",L65="BUDGET DATA REQUIRED",L65="REVIEW: NO BUDGET",L65="REVIEW: PO AMOUNT",N65&gt;0,M65&gt;0,F65&gt;0),"FOLLOW UP","NORMAL")))</x:f>
      </x:c>
      <x:c r="Q65" t="str">
        <x:f>IF(A65="","",'ERP Snapshot'!N65)</x:f>
      </x:c>
      <x:c r="R65" t="str">
        <x:f>IF(A65="","",'ERP Snapshot'!Q65)</x:f>
      </x:c>
      <x:c r="S65" t="str">
        <x:f>IF(A65="","",'ERP Snapshot'!R65)</x:f>
      </x:c>
      <x:c r="T65" t="str">
        <x:f>IF(A65="","",'ERP Snapshot'!C65)</x:f>
      </x:c>
    </x:row>
    <x:row r="66">
      <x:c r="A66" t="str">
        <x:f>IF('ERP Snapshot'!A66="","",'ERP Snapshot'!A66)</x:f>
      </x:c>
      <x:c r="B66" t="str">
        <x:f>IF(A66="","",'ERP Snapshot'!B66)</x:f>
      </x:c>
      <x:c r="C66" t="str">
        <x:f>IF(A66="","",'ERP Snapshot'!D66)</x:f>
      </x:c>
      <x:c r="D66" t="str">
        <x:f>IF(A66="","",IF(C66="MXN",IF(AND(Settings!$B$8="APPROVED",Settings!$B$9&lt;&gt;"",Settings!$B$10&lt;&gt;"",Settings!$B$2&gt;0),'PO Authorization'!F66/Settings!$B$2,""),'PO Authorization'!F66))</x:f>
      </x:c>
      <x:c r="E66" t="str">
        <x:f>IF(A66="","",IF(C66="MXN",IF(AND(Settings!$B$8="APPROVED",Settings!$B$9&lt;&gt;"",Settings!$B$10&lt;&gt;"",Settings!$B$2&gt;0),'ERP Snapshot'!I66/Settings!$B$2,""),'ERP Snapshot'!I66))</x:f>
      </x:c>
      <x:c r="F66" t="str">
        <x:f>IF(A66="","",IF(AND(ISNUMBER(D66),ISNUMBER(E66)),D66-E66,""))</x:f>
      </x:c>
      <x:c r="G66" t="str">
        <x:f>IF(A66="","",IF(ISNUMBER('ERP Snapshot'!F66),'ERP Snapshot'!F66,""))</x:f>
      </x:c>
      <x:c r="H66" t="str">
        <x:f>IF(A66="","",'ERP Snapshot'!G66)</x:f>
      </x:c>
      <x:c r="I66" t="str">
        <x:f>IF(A66="","",IF(ISNUMBER('ERP Snapshot'!S66),'ERP Snapshot'!S66,""))</x:f>
      </x:c>
      <x:c r="J66" t="str">
        <x:f>IF(A66="","",IF(AND(ISNUMBER(G66),ISNUMBER(I66)),G66-I66,""))</x:f>
      </x:c>
      <x:c r="K66" s="8" t="str">
        <x:f>IF(A66="","",IF(AND(ISNUMBER(G66),G66&gt;0,ISNUMBER(I66)),I66/G66,""))</x:f>
      </x:c>
      <x:c r="L66" t="str">
        <x:f>IF(A66="","",IF(NOT(ISNUMBER(G66)),"BUDGET DATA REQUIRED",IF(G66&lt;=0,"REVIEW: NO BUDGET",IF(NOT(ISNUMBER(I66)),"PO DATA REQUIRED",IF(I66&lt;0,"REVIEW: PO AMOUNT",IF(K66&gt;1,"OVER BUDGET",IF(K66=1,"BUDGET EXHAUSTED",IF(K66&gt;=Settings!$B$3,"PREVENTIVE ALERT","OK"))))))))</x:f>
      </x:c>
      <x:c r="M66" t="str">
        <x:f>IF(A66="","",'ERP Snapshot'!K66)</x:f>
      </x:c>
      <x:c r="N66" t="str">
        <x:f>IF(A66="","",COUNTIFS(Exceptions!$A$2:$A$101,A66,Exceptions!$E$2:$E$101,"Open"))</x:f>
      </x:c>
      <x:c r="O66" t="str">
        <x:f>IF(A66="","",IF(AND(C66="MXN",OR(D66="",E66="")),"FX HOLD",IF(E66&gt;D66,"REVIEW: ABOVE CUSTOMER PO",IF('PO Authorization'!H66="REVIEW: SNAPSHOT DIFFERS","REVIEW: PO SNAPSHOT",IF(E66=D66,"FULLY INVOICED",IF(E66&gt;0,"PARTIAL INVOICE","NOT INVOICED"))))))</x:f>
      </x:c>
      <x:c r="P66" t="str">
        <x:f>IF(A66="","",IF(OR(O66="FX HOLD",O66="REVIEW: PO SNAPSHOT",L66="OVER BUDGET",L66="BUDGET EXHAUSTED",O66="REVIEW: ABOVE CUSTOMER PO",'ERP Snapshot'!L66="YES"),"CRITICAL / REVIEW",IF(OR(L66="PO DATA REQUIRED",L66="BUDGET DATA REQUIRED",L66="REVIEW: NO BUDGET",L66="REVIEW: PO AMOUNT",N66&gt;0,M66&gt;0,F66&gt;0),"FOLLOW UP","NORMAL")))</x:f>
      </x:c>
      <x:c r="Q66" t="str">
        <x:f>IF(A66="","",'ERP Snapshot'!N66)</x:f>
      </x:c>
      <x:c r="R66" t="str">
        <x:f>IF(A66="","",'ERP Snapshot'!Q66)</x:f>
      </x:c>
      <x:c r="S66" t="str">
        <x:f>IF(A66="","",'ERP Snapshot'!R66)</x:f>
      </x:c>
      <x:c r="T66" t="str">
        <x:f>IF(A66="","",'ERP Snapshot'!C66)</x:f>
      </x:c>
    </x:row>
    <x:row r="67">
      <x:c r="A67" t="str">
        <x:f>IF('ERP Snapshot'!A67="","",'ERP Snapshot'!A67)</x:f>
      </x:c>
      <x:c r="B67" t="str">
        <x:f>IF(A67="","",'ERP Snapshot'!B67)</x:f>
      </x:c>
      <x:c r="C67" t="str">
        <x:f>IF(A67="","",'ERP Snapshot'!D67)</x:f>
      </x:c>
      <x:c r="D67" t="str">
        <x:f>IF(A67="","",IF(C67="MXN",IF(AND(Settings!$B$8="APPROVED",Settings!$B$9&lt;&gt;"",Settings!$B$10&lt;&gt;"",Settings!$B$2&gt;0),'PO Authorization'!F67/Settings!$B$2,""),'PO Authorization'!F67))</x:f>
      </x:c>
      <x:c r="E67" t="str">
        <x:f>IF(A67="","",IF(C67="MXN",IF(AND(Settings!$B$8="APPROVED",Settings!$B$9&lt;&gt;"",Settings!$B$10&lt;&gt;"",Settings!$B$2&gt;0),'ERP Snapshot'!I67/Settings!$B$2,""),'ERP Snapshot'!I67))</x:f>
      </x:c>
      <x:c r="F67" t="str">
        <x:f>IF(A67="","",IF(AND(ISNUMBER(D67),ISNUMBER(E67)),D67-E67,""))</x:f>
      </x:c>
      <x:c r="G67" t="str">
        <x:f>IF(A67="","",IF(ISNUMBER('ERP Snapshot'!F67),'ERP Snapshot'!F67,""))</x:f>
      </x:c>
      <x:c r="H67" t="str">
        <x:f>IF(A67="","",'ERP Snapshot'!G67)</x:f>
      </x:c>
      <x:c r="I67" t="str">
        <x:f>IF(A67="","",IF(ISNUMBER('ERP Snapshot'!S67),'ERP Snapshot'!S67,""))</x:f>
      </x:c>
      <x:c r="J67" t="str">
        <x:f>IF(A67="","",IF(AND(ISNUMBER(G67),ISNUMBER(I67)),G67-I67,""))</x:f>
      </x:c>
      <x:c r="K67" s="8" t="str">
        <x:f>IF(A67="","",IF(AND(ISNUMBER(G67),G67&gt;0,ISNUMBER(I67)),I67/G67,""))</x:f>
      </x:c>
      <x:c r="L67" t="str">
        <x:f>IF(A67="","",IF(NOT(ISNUMBER(G67)),"BUDGET DATA REQUIRED",IF(G67&lt;=0,"REVIEW: NO BUDGET",IF(NOT(ISNUMBER(I67)),"PO DATA REQUIRED",IF(I67&lt;0,"REVIEW: PO AMOUNT",IF(K67&gt;1,"OVER BUDGET",IF(K67=1,"BUDGET EXHAUSTED",IF(K67&gt;=Settings!$B$3,"PREVENTIVE ALERT","OK"))))))))</x:f>
      </x:c>
      <x:c r="M67" t="str">
        <x:f>IF(A67="","",'ERP Snapshot'!K67)</x:f>
      </x:c>
      <x:c r="N67" t="str">
        <x:f>IF(A67="","",COUNTIFS(Exceptions!$A$2:$A$101,A67,Exceptions!$E$2:$E$101,"Open"))</x:f>
      </x:c>
      <x:c r="O67" t="str">
        <x:f>IF(A67="","",IF(AND(C67="MXN",OR(D67="",E67="")),"FX HOLD",IF(E67&gt;D67,"REVIEW: ABOVE CUSTOMER PO",IF('PO Authorization'!H67="REVIEW: SNAPSHOT DIFFERS","REVIEW: PO SNAPSHOT",IF(E67=D67,"FULLY INVOICED",IF(E67&gt;0,"PARTIAL INVOICE","NOT INVOICED"))))))</x:f>
      </x:c>
      <x:c r="P67" t="str">
        <x:f>IF(A67="","",IF(OR(O67="FX HOLD",O67="REVIEW: PO SNAPSHOT",L67="OVER BUDGET",L67="BUDGET EXHAUSTED",O67="REVIEW: ABOVE CUSTOMER PO",'ERP Snapshot'!L67="YES"),"CRITICAL / REVIEW",IF(OR(L67="PO DATA REQUIRED",L67="BUDGET DATA REQUIRED",L67="REVIEW: NO BUDGET",L67="REVIEW: PO AMOUNT",N67&gt;0,M67&gt;0,F67&gt;0),"FOLLOW UP","NORMAL")))</x:f>
      </x:c>
      <x:c r="Q67" t="str">
        <x:f>IF(A67="","",'ERP Snapshot'!N67)</x:f>
      </x:c>
      <x:c r="R67" t="str">
        <x:f>IF(A67="","",'ERP Snapshot'!Q67)</x:f>
      </x:c>
      <x:c r="S67" t="str">
        <x:f>IF(A67="","",'ERP Snapshot'!R67)</x:f>
      </x:c>
      <x:c r="T67" t="str">
        <x:f>IF(A67="","",'ERP Snapshot'!C67)</x:f>
      </x:c>
    </x:row>
    <x:row r="68">
      <x:c r="A68" t="str">
        <x:f>IF('ERP Snapshot'!A68="","",'ERP Snapshot'!A68)</x:f>
      </x:c>
      <x:c r="B68" t="str">
        <x:f>IF(A68="","",'ERP Snapshot'!B68)</x:f>
      </x:c>
      <x:c r="C68" t="str">
        <x:f>IF(A68="","",'ERP Snapshot'!D68)</x:f>
      </x:c>
      <x:c r="D68" t="str">
        <x:f>IF(A68="","",IF(C68="MXN",IF(AND(Settings!$B$8="APPROVED",Settings!$B$9&lt;&gt;"",Settings!$B$10&lt;&gt;"",Settings!$B$2&gt;0),'PO Authorization'!F68/Settings!$B$2,""),'PO Authorization'!F68))</x:f>
      </x:c>
      <x:c r="E68" t="str">
        <x:f>IF(A68="","",IF(C68="MXN",IF(AND(Settings!$B$8="APPROVED",Settings!$B$9&lt;&gt;"",Settings!$B$10&lt;&gt;"",Settings!$B$2&gt;0),'ERP Snapshot'!I68/Settings!$B$2,""),'ERP Snapshot'!I68))</x:f>
      </x:c>
      <x:c r="F68" t="str">
        <x:f>IF(A68="","",IF(AND(ISNUMBER(D68),ISNUMBER(E68)),D68-E68,""))</x:f>
      </x:c>
      <x:c r="G68" t="str">
        <x:f>IF(A68="","",IF(ISNUMBER('ERP Snapshot'!F68),'ERP Snapshot'!F68,""))</x:f>
      </x:c>
      <x:c r="H68" t="str">
        <x:f>IF(A68="","",'ERP Snapshot'!G68)</x:f>
      </x:c>
      <x:c r="I68" t="str">
        <x:f>IF(A68="","",IF(ISNUMBER('ERP Snapshot'!S68),'ERP Snapshot'!S68,""))</x:f>
      </x:c>
      <x:c r="J68" t="str">
        <x:f>IF(A68="","",IF(AND(ISNUMBER(G68),ISNUMBER(I68)),G68-I68,""))</x:f>
      </x:c>
      <x:c r="K68" s="8" t="str">
        <x:f>IF(A68="","",IF(AND(ISNUMBER(G68),G68&gt;0,ISNUMBER(I68)),I68/G68,""))</x:f>
      </x:c>
      <x:c r="L68" t="str">
        <x:f>IF(A68="","",IF(NOT(ISNUMBER(G68)),"BUDGET DATA REQUIRED",IF(G68&lt;=0,"REVIEW: NO BUDGET",IF(NOT(ISNUMBER(I68)),"PO DATA REQUIRED",IF(I68&lt;0,"REVIEW: PO AMOUNT",IF(K68&gt;1,"OVER BUDGET",IF(K68=1,"BUDGET EXHAUSTED",IF(K68&gt;=Settings!$B$3,"PREVENTIVE ALERT","OK"))))))))</x:f>
      </x:c>
      <x:c r="M68" t="str">
        <x:f>IF(A68="","",'ERP Snapshot'!K68)</x:f>
      </x:c>
      <x:c r="N68" t="str">
        <x:f>IF(A68="","",COUNTIFS(Exceptions!$A$2:$A$101,A68,Exceptions!$E$2:$E$101,"Open"))</x:f>
      </x:c>
      <x:c r="O68" t="str">
        <x:f>IF(A68="","",IF(AND(C68="MXN",OR(D68="",E68="")),"FX HOLD",IF(E68&gt;D68,"REVIEW: ABOVE CUSTOMER PO",IF('PO Authorization'!H68="REVIEW: SNAPSHOT DIFFERS","REVIEW: PO SNAPSHOT",IF(E68=D68,"FULLY INVOICED",IF(E68&gt;0,"PARTIAL INVOICE","NOT INVOICED"))))))</x:f>
      </x:c>
      <x:c r="P68" t="str">
        <x:f>IF(A68="","",IF(OR(O68="FX HOLD",O68="REVIEW: PO SNAPSHOT",L68="OVER BUDGET",L68="BUDGET EXHAUSTED",O68="REVIEW: ABOVE CUSTOMER PO",'ERP Snapshot'!L68="YES"),"CRITICAL / REVIEW",IF(OR(L68="PO DATA REQUIRED",L68="BUDGET DATA REQUIRED",L68="REVIEW: NO BUDGET",L68="REVIEW: PO AMOUNT",N68&gt;0,M68&gt;0,F68&gt;0),"FOLLOW UP","NORMAL")))</x:f>
      </x:c>
      <x:c r="Q68" t="str">
        <x:f>IF(A68="","",'ERP Snapshot'!N68)</x:f>
      </x:c>
      <x:c r="R68" t="str">
        <x:f>IF(A68="","",'ERP Snapshot'!Q68)</x:f>
      </x:c>
      <x:c r="S68" t="str">
        <x:f>IF(A68="","",'ERP Snapshot'!R68)</x:f>
      </x:c>
      <x:c r="T68" t="str">
        <x:f>IF(A68="","",'ERP Snapshot'!C68)</x:f>
      </x:c>
    </x:row>
    <x:row r="69">
      <x:c r="A69" t="str">
        <x:f>IF('ERP Snapshot'!A69="","",'ERP Snapshot'!A69)</x:f>
      </x:c>
      <x:c r="B69" t="str">
        <x:f>IF(A69="","",'ERP Snapshot'!B69)</x:f>
      </x:c>
      <x:c r="C69" t="str">
        <x:f>IF(A69="","",'ERP Snapshot'!D69)</x:f>
      </x:c>
      <x:c r="D69" t="str">
        <x:f>IF(A69="","",IF(C69="MXN",IF(AND(Settings!$B$8="APPROVED",Settings!$B$9&lt;&gt;"",Settings!$B$10&lt;&gt;"",Settings!$B$2&gt;0),'PO Authorization'!F69/Settings!$B$2,""),'PO Authorization'!F69))</x:f>
      </x:c>
      <x:c r="E69" t="str">
        <x:f>IF(A69="","",IF(C69="MXN",IF(AND(Settings!$B$8="APPROVED",Settings!$B$9&lt;&gt;"",Settings!$B$10&lt;&gt;"",Settings!$B$2&gt;0),'ERP Snapshot'!I69/Settings!$B$2,""),'ERP Snapshot'!I69))</x:f>
      </x:c>
      <x:c r="F69" t="str">
        <x:f>IF(A69="","",IF(AND(ISNUMBER(D69),ISNUMBER(E69)),D69-E69,""))</x:f>
      </x:c>
      <x:c r="G69" t="str">
        <x:f>IF(A69="","",IF(ISNUMBER('ERP Snapshot'!F69),'ERP Snapshot'!F69,""))</x:f>
      </x:c>
      <x:c r="H69" t="str">
        <x:f>IF(A69="","",'ERP Snapshot'!G69)</x:f>
      </x:c>
      <x:c r="I69" t="str">
        <x:f>IF(A69="","",IF(ISNUMBER('ERP Snapshot'!S69),'ERP Snapshot'!S69,""))</x:f>
      </x:c>
      <x:c r="J69" t="str">
        <x:f>IF(A69="","",IF(AND(ISNUMBER(G69),ISNUMBER(I69)),G69-I69,""))</x:f>
      </x:c>
      <x:c r="K69" s="8" t="str">
        <x:f>IF(A69="","",IF(AND(ISNUMBER(G69),G69&gt;0,ISNUMBER(I69)),I69/G69,""))</x:f>
      </x:c>
      <x:c r="L69" t="str">
        <x:f>IF(A69="","",IF(NOT(ISNUMBER(G69)),"BUDGET DATA REQUIRED",IF(G69&lt;=0,"REVIEW: NO BUDGET",IF(NOT(ISNUMBER(I69)),"PO DATA REQUIRED",IF(I69&lt;0,"REVIEW: PO AMOUNT",IF(K69&gt;1,"OVER BUDGET",IF(K69=1,"BUDGET EXHAUSTED",IF(K69&gt;=Settings!$B$3,"PREVENTIVE ALERT","OK"))))))))</x:f>
      </x:c>
      <x:c r="M69" t="str">
        <x:f>IF(A69="","",'ERP Snapshot'!K69)</x:f>
      </x:c>
      <x:c r="N69" t="str">
        <x:f>IF(A69="","",COUNTIFS(Exceptions!$A$2:$A$101,A69,Exceptions!$E$2:$E$101,"Open"))</x:f>
      </x:c>
      <x:c r="O69" t="str">
        <x:f>IF(A69="","",IF(AND(C69="MXN",OR(D69="",E69="")),"FX HOLD",IF(E69&gt;D69,"REVIEW: ABOVE CUSTOMER PO",IF('PO Authorization'!H69="REVIEW: SNAPSHOT DIFFERS","REVIEW: PO SNAPSHOT",IF(E69=D69,"FULLY INVOICED",IF(E69&gt;0,"PARTIAL INVOICE","NOT INVOICED"))))))</x:f>
      </x:c>
      <x:c r="P69" t="str">
        <x:f>IF(A69="","",IF(OR(O69="FX HOLD",O69="REVIEW: PO SNAPSHOT",L69="OVER BUDGET",L69="BUDGET EXHAUSTED",O69="REVIEW: ABOVE CUSTOMER PO",'ERP Snapshot'!L69="YES"),"CRITICAL / REVIEW",IF(OR(L69="PO DATA REQUIRED",L69="BUDGET DATA REQUIRED",L69="REVIEW: NO BUDGET",L69="REVIEW: PO AMOUNT",N69&gt;0,M69&gt;0,F69&gt;0),"FOLLOW UP","NORMAL")))</x:f>
      </x:c>
      <x:c r="Q69" t="str">
        <x:f>IF(A69="","",'ERP Snapshot'!N69)</x:f>
      </x:c>
      <x:c r="R69" t="str">
        <x:f>IF(A69="","",'ERP Snapshot'!Q69)</x:f>
      </x:c>
      <x:c r="S69" t="str">
        <x:f>IF(A69="","",'ERP Snapshot'!R69)</x:f>
      </x:c>
      <x:c r="T69" t="str">
        <x:f>IF(A69="","",'ERP Snapshot'!C69)</x:f>
      </x:c>
    </x:row>
    <x:row r="70">
      <x:c r="A70" t="str">
        <x:f>IF('ERP Snapshot'!A70="","",'ERP Snapshot'!A70)</x:f>
      </x:c>
      <x:c r="B70" t="str">
        <x:f>IF(A70="","",'ERP Snapshot'!B70)</x:f>
      </x:c>
      <x:c r="C70" t="str">
        <x:f>IF(A70="","",'ERP Snapshot'!D70)</x:f>
      </x:c>
      <x:c r="D70" t="str">
        <x:f>IF(A70="","",IF(C70="MXN",IF(AND(Settings!$B$8="APPROVED",Settings!$B$9&lt;&gt;"",Settings!$B$10&lt;&gt;"",Settings!$B$2&gt;0),'PO Authorization'!F70/Settings!$B$2,""),'PO Authorization'!F70))</x:f>
      </x:c>
      <x:c r="E70" t="str">
        <x:f>IF(A70="","",IF(C70="MXN",IF(AND(Settings!$B$8="APPROVED",Settings!$B$9&lt;&gt;"",Settings!$B$10&lt;&gt;"",Settings!$B$2&gt;0),'ERP Snapshot'!I70/Settings!$B$2,""),'ERP Snapshot'!I70))</x:f>
      </x:c>
      <x:c r="F70" t="str">
        <x:f>IF(A70="","",IF(AND(ISNUMBER(D70),ISNUMBER(E70)),D70-E70,""))</x:f>
      </x:c>
      <x:c r="G70" t="str">
        <x:f>IF(A70="","",IF(ISNUMBER('ERP Snapshot'!F70),'ERP Snapshot'!F70,""))</x:f>
      </x:c>
      <x:c r="H70" t="str">
        <x:f>IF(A70="","",'ERP Snapshot'!G70)</x:f>
      </x:c>
      <x:c r="I70" t="str">
        <x:f>IF(A70="","",IF(ISNUMBER('ERP Snapshot'!S70),'ERP Snapshot'!S70,""))</x:f>
      </x:c>
      <x:c r="J70" t="str">
        <x:f>IF(A70="","",IF(AND(ISNUMBER(G70),ISNUMBER(I70)),G70-I70,""))</x:f>
      </x:c>
      <x:c r="K70" s="8" t="str">
        <x:f>IF(A70="","",IF(AND(ISNUMBER(G70),G70&gt;0,ISNUMBER(I70)),I70/G70,""))</x:f>
      </x:c>
      <x:c r="L70" t="str">
        <x:f>IF(A70="","",IF(NOT(ISNUMBER(G70)),"BUDGET DATA REQUIRED",IF(G70&lt;=0,"REVIEW: NO BUDGET",IF(NOT(ISNUMBER(I70)),"PO DATA REQUIRED",IF(I70&lt;0,"REVIEW: PO AMOUNT",IF(K70&gt;1,"OVER BUDGET",IF(K70=1,"BUDGET EXHAUSTED",IF(K70&gt;=Settings!$B$3,"PREVENTIVE ALERT","OK"))))))))</x:f>
      </x:c>
      <x:c r="M70" t="str">
        <x:f>IF(A70="","",'ERP Snapshot'!K70)</x:f>
      </x:c>
      <x:c r="N70" t="str">
        <x:f>IF(A70="","",COUNTIFS(Exceptions!$A$2:$A$101,A70,Exceptions!$E$2:$E$101,"Open"))</x:f>
      </x:c>
      <x:c r="O70" t="str">
        <x:f>IF(A70="","",IF(AND(C70="MXN",OR(D70="",E70="")),"FX HOLD",IF(E70&gt;D70,"REVIEW: ABOVE CUSTOMER PO",IF('PO Authorization'!H70="REVIEW: SNAPSHOT DIFFERS","REVIEW: PO SNAPSHOT",IF(E70=D70,"FULLY INVOICED",IF(E70&gt;0,"PARTIAL INVOICE","NOT INVOICED"))))))</x:f>
      </x:c>
      <x:c r="P70" t="str">
        <x:f>IF(A70="","",IF(OR(O70="FX HOLD",O70="REVIEW: PO SNAPSHOT",L70="OVER BUDGET",L70="BUDGET EXHAUSTED",O70="REVIEW: ABOVE CUSTOMER PO",'ERP Snapshot'!L70="YES"),"CRITICAL / REVIEW",IF(OR(L70="PO DATA REQUIRED",L70="BUDGET DATA REQUIRED",L70="REVIEW: NO BUDGET",L70="REVIEW: PO AMOUNT",N70&gt;0,M70&gt;0,F70&gt;0),"FOLLOW UP","NORMAL")))</x:f>
      </x:c>
      <x:c r="Q70" t="str">
        <x:f>IF(A70="","",'ERP Snapshot'!N70)</x:f>
      </x:c>
      <x:c r="R70" t="str">
        <x:f>IF(A70="","",'ERP Snapshot'!Q70)</x:f>
      </x:c>
      <x:c r="S70" t="str">
        <x:f>IF(A70="","",'ERP Snapshot'!R70)</x:f>
      </x:c>
      <x:c r="T70" t="str">
        <x:f>IF(A70="","",'ERP Snapshot'!C70)</x:f>
      </x:c>
    </x:row>
    <x:row r="71">
      <x:c r="A71" t="str">
        <x:f>IF('ERP Snapshot'!A71="","",'ERP Snapshot'!A71)</x:f>
      </x:c>
      <x:c r="B71" t="str">
        <x:f>IF(A71="","",'ERP Snapshot'!B71)</x:f>
      </x:c>
      <x:c r="C71" t="str">
        <x:f>IF(A71="","",'ERP Snapshot'!D71)</x:f>
      </x:c>
      <x:c r="D71" t="str">
        <x:f>IF(A71="","",IF(C71="MXN",IF(AND(Settings!$B$8="APPROVED",Settings!$B$9&lt;&gt;"",Settings!$B$10&lt;&gt;"",Settings!$B$2&gt;0),'PO Authorization'!F71/Settings!$B$2,""),'PO Authorization'!F71))</x:f>
      </x:c>
      <x:c r="E71" t="str">
        <x:f>IF(A71="","",IF(C71="MXN",IF(AND(Settings!$B$8="APPROVED",Settings!$B$9&lt;&gt;"",Settings!$B$10&lt;&gt;"",Settings!$B$2&gt;0),'ERP Snapshot'!I71/Settings!$B$2,""),'ERP Snapshot'!I71))</x:f>
      </x:c>
      <x:c r="F71" t="str">
        <x:f>IF(A71="","",IF(AND(ISNUMBER(D71),ISNUMBER(E71)),D71-E71,""))</x:f>
      </x:c>
      <x:c r="G71" t="str">
        <x:f>IF(A71="","",IF(ISNUMBER('ERP Snapshot'!F71),'ERP Snapshot'!F71,""))</x:f>
      </x:c>
      <x:c r="H71" t="str">
        <x:f>IF(A71="","",'ERP Snapshot'!G71)</x:f>
      </x:c>
      <x:c r="I71" t="str">
        <x:f>IF(A71="","",IF(ISNUMBER('ERP Snapshot'!S71),'ERP Snapshot'!S71,""))</x:f>
      </x:c>
      <x:c r="J71" t="str">
        <x:f>IF(A71="","",IF(AND(ISNUMBER(G71),ISNUMBER(I71)),G71-I71,""))</x:f>
      </x:c>
      <x:c r="K71" s="8" t="str">
        <x:f>IF(A71="","",IF(AND(ISNUMBER(G71),G71&gt;0,ISNUMBER(I71)),I71/G71,""))</x:f>
      </x:c>
      <x:c r="L71" t="str">
        <x:f>IF(A71="","",IF(NOT(ISNUMBER(G71)),"BUDGET DATA REQUIRED",IF(G71&lt;=0,"REVIEW: NO BUDGET",IF(NOT(ISNUMBER(I71)),"PO DATA REQUIRED",IF(I71&lt;0,"REVIEW: PO AMOUNT",IF(K71&gt;1,"OVER BUDGET",IF(K71=1,"BUDGET EXHAUSTED",IF(K71&gt;=Settings!$B$3,"PREVENTIVE ALERT","OK"))))))))</x:f>
      </x:c>
      <x:c r="M71" t="str">
        <x:f>IF(A71="","",'ERP Snapshot'!K71)</x:f>
      </x:c>
      <x:c r="N71" t="str">
        <x:f>IF(A71="","",COUNTIFS(Exceptions!$A$2:$A$101,A71,Exceptions!$E$2:$E$101,"Open"))</x:f>
      </x:c>
      <x:c r="O71" t="str">
        <x:f>IF(A71="","",IF(AND(C71="MXN",OR(D71="",E71="")),"FX HOLD",IF(E71&gt;D71,"REVIEW: ABOVE CUSTOMER PO",IF('PO Authorization'!H71="REVIEW: SNAPSHOT DIFFERS","REVIEW: PO SNAPSHOT",IF(E71=D71,"FULLY INVOICED",IF(E71&gt;0,"PARTIAL INVOICE","NOT INVOICED"))))))</x:f>
      </x:c>
      <x:c r="P71" t="str">
        <x:f>IF(A71="","",IF(OR(O71="FX HOLD",O71="REVIEW: PO SNAPSHOT",L71="OVER BUDGET",L71="BUDGET EXHAUSTED",O71="REVIEW: ABOVE CUSTOMER PO",'ERP Snapshot'!L71="YES"),"CRITICAL / REVIEW",IF(OR(L71="PO DATA REQUIRED",L71="BUDGET DATA REQUIRED",L71="REVIEW: NO BUDGET",L71="REVIEW: PO AMOUNT",N71&gt;0,M71&gt;0,F71&gt;0),"FOLLOW UP","NORMAL")))</x:f>
      </x:c>
      <x:c r="Q71" t="str">
        <x:f>IF(A71="","",'ERP Snapshot'!N71)</x:f>
      </x:c>
      <x:c r="R71" t="str">
        <x:f>IF(A71="","",'ERP Snapshot'!Q71)</x:f>
      </x:c>
      <x:c r="S71" t="str">
        <x:f>IF(A71="","",'ERP Snapshot'!R71)</x:f>
      </x:c>
      <x:c r="T71" t="str">
        <x:f>IF(A71="","",'ERP Snapshot'!C71)</x:f>
      </x:c>
    </x:row>
    <x:row r="72">
      <x:c r="A72" t="str">
        <x:f>IF('ERP Snapshot'!A72="","",'ERP Snapshot'!A72)</x:f>
      </x:c>
      <x:c r="B72" t="str">
        <x:f>IF(A72="","",'ERP Snapshot'!B72)</x:f>
      </x:c>
      <x:c r="C72" t="str">
        <x:f>IF(A72="","",'ERP Snapshot'!D72)</x:f>
      </x:c>
      <x:c r="D72" t="str">
        <x:f>IF(A72="","",IF(C72="MXN",IF(AND(Settings!$B$8="APPROVED",Settings!$B$9&lt;&gt;"",Settings!$B$10&lt;&gt;"",Settings!$B$2&gt;0),'PO Authorization'!F72/Settings!$B$2,""),'PO Authorization'!F72))</x:f>
      </x:c>
      <x:c r="E72" t="str">
        <x:f>IF(A72="","",IF(C72="MXN",IF(AND(Settings!$B$8="APPROVED",Settings!$B$9&lt;&gt;"",Settings!$B$10&lt;&gt;"",Settings!$B$2&gt;0),'ERP Snapshot'!I72/Settings!$B$2,""),'ERP Snapshot'!I72))</x:f>
      </x:c>
      <x:c r="F72" t="str">
        <x:f>IF(A72="","",IF(AND(ISNUMBER(D72),ISNUMBER(E72)),D72-E72,""))</x:f>
      </x:c>
      <x:c r="G72" t="str">
        <x:f>IF(A72="","",IF(ISNUMBER('ERP Snapshot'!F72),'ERP Snapshot'!F72,""))</x:f>
      </x:c>
      <x:c r="H72" t="str">
        <x:f>IF(A72="","",'ERP Snapshot'!G72)</x:f>
      </x:c>
      <x:c r="I72" t="str">
        <x:f>IF(A72="","",IF(ISNUMBER('ERP Snapshot'!S72),'ERP Snapshot'!S72,""))</x:f>
      </x:c>
      <x:c r="J72" t="str">
        <x:f>IF(A72="","",IF(AND(ISNUMBER(G72),ISNUMBER(I72)),G72-I72,""))</x:f>
      </x:c>
      <x:c r="K72" s="8" t="str">
        <x:f>IF(A72="","",IF(AND(ISNUMBER(G72),G72&gt;0,ISNUMBER(I72)),I72/G72,""))</x:f>
      </x:c>
      <x:c r="L72" t="str">
        <x:f>IF(A72="","",IF(NOT(ISNUMBER(G72)),"BUDGET DATA REQUIRED",IF(G72&lt;=0,"REVIEW: NO BUDGET",IF(NOT(ISNUMBER(I72)),"PO DATA REQUIRED",IF(I72&lt;0,"REVIEW: PO AMOUNT",IF(K72&gt;1,"OVER BUDGET",IF(K72=1,"BUDGET EXHAUSTED",IF(K72&gt;=Settings!$B$3,"PREVENTIVE ALERT","OK"))))))))</x:f>
      </x:c>
      <x:c r="M72" t="str">
        <x:f>IF(A72="","",'ERP Snapshot'!K72)</x:f>
      </x:c>
      <x:c r="N72" t="str">
        <x:f>IF(A72="","",COUNTIFS(Exceptions!$A$2:$A$101,A72,Exceptions!$E$2:$E$101,"Open"))</x:f>
      </x:c>
      <x:c r="O72" t="str">
        <x:f>IF(A72="","",IF(AND(C72="MXN",OR(D72="",E72="")),"FX HOLD",IF(E72&gt;D72,"REVIEW: ABOVE CUSTOMER PO",IF('PO Authorization'!H72="REVIEW: SNAPSHOT DIFFERS","REVIEW: PO SNAPSHOT",IF(E72=D72,"FULLY INVOICED",IF(E72&gt;0,"PARTIAL INVOICE","NOT INVOICED"))))))</x:f>
      </x:c>
      <x:c r="P72" t="str">
        <x:f>IF(A72="","",IF(OR(O72="FX HOLD",O72="REVIEW: PO SNAPSHOT",L72="OVER BUDGET",L72="BUDGET EXHAUSTED",O72="REVIEW: ABOVE CUSTOMER PO",'ERP Snapshot'!L72="YES"),"CRITICAL / REVIEW",IF(OR(L72="PO DATA REQUIRED",L72="BUDGET DATA REQUIRED",L72="REVIEW: NO BUDGET",L72="REVIEW: PO AMOUNT",N72&gt;0,M72&gt;0,F72&gt;0),"FOLLOW UP","NORMAL")))</x:f>
      </x:c>
      <x:c r="Q72" t="str">
        <x:f>IF(A72="","",'ERP Snapshot'!N72)</x:f>
      </x:c>
      <x:c r="R72" t="str">
        <x:f>IF(A72="","",'ERP Snapshot'!Q72)</x:f>
      </x:c>
      <x:c r="S72" t="str">
        <x:f>IF(A72="","",'ERP Snapshot'!R72)</x:f>
      </x:c>
      <x:c r="T72" t="str">
        <x:f>IF(A72="","",'ERP Snapshot'!C72)</x:f>
      </x:c>
    </x:row>
    <x:row r="73">
      <x:c r="A73" t="str">
        <x:f>IF('ERP Snapshot'!A73="","",'ERP Snapshot'!A73)</x:f>
      </x:c>
      <x:c r="B73" t="str">
        <x:f>IF(A73="","",'ERP Snapshot'!B73)</x:f>
      </x:c>
      <x:c r="C73" t="str">
        <x:f>IF(A73="","",'ERP Snapshot'!D73)</x:f>
      </x:c>
      <x:c r="D73" t="str">
        <x:f>IF(A73="","",IF(C73="MXN",IF(AND(Settings!$B$8="APPROVED",Settings!$B$9&lt;&gt;"",Settings!$B$10&lt;&gt;"",Settings!$B$2&gt;0),'PO Authorization'!F73/Settings!$B$2,""),'PO Authorization'!F73))</x:f>
      </x:c>
      <x:c r="E73" t="str">
        <x:f>IF(A73="","",IF(C73="MXN",IF(AND(Settings!$B$8="APPROVED",Settings!$B$9&lt;&gt;"",Settings!$B$10&lt;&gt;"",Settings!$B$2&gt;0),'ERP Snapshot'!I73/Settings!$B$2,""),'ERP Snapshot'!I73))</x:f>
      </x:c>
      <x:c r="F73" t="str">
        <x:f>IF(A73="","",IF(AND(ISNUMBER(D73),ISNUMBER(E73)),D73-E73,""))</x:f>
      </x:c>
      <x:c r="G73" t="str">
        <x:f>IF(A73="","",IF(ISNUMBER('ERP Snapshot'!F73),'ERP Snapshot'!F73,""))</x:f>
      </x:c>
      <x:c r="H73" t="str">
        <x:f>IF(A73="","",'ERP Snapshot'!G73)</x:f>
      </x:c>
      <x:c r="I73" t="str">
        <x:f>IF(A73="","",IF(ISNUMBER('ERP Snapshot'!S73),'ERP Snapshot'!S73,""))</x:f>
      </x:c>
      <x:c r="J73" t="str">
        <x:f>IF(A73="","",IF(AND(ISNUMBER(G73),ISNUMBER(I73)),G73-I73,""))</x:f>
      </x:c>
      <x:c r="K73" s="8" t="str">
        <x:f>IF(A73="","",IF(AND(ISNUMBER(G73),G73&gt;0,ISNUMBER(I73)),I73/G73,""))</x:f>
      </x:c>
      <x:c r="L73" t="str">
        <x:f>IF(A73="","",IF(NOT(ISNUMBER(G73)),"BUDGET DATA REQUIRED",IF(G73&lt;=0,"REVIEW: NO BUDGET",IF(NOT(ISNUMBER(I73)),"PO DATA REQUIRED",IF(I73&lt;0,"REVIEW: PO AMOUNT",IF(K73&gt;1,"OVER BUDGET",IF(K73=1,"BUDGET EXHAUSTED",IF(K73&gt;=Settings!$B$3,"PREVENTIVE ALERT","OK"))))))))</x:f>
      </x:c>
      <x:c r="M73" t="str">
        <x:f>IF(A73="","",'ERP Snapshot'!K73)</x:f>
      </x:c>
      <x:c r="N73" t="str">
        <x:f>IF(A73="","",COUNTIFS(Exceptions!$A$2:$A$101,A73,Exceptions!$E$2:$E$101,"Open"))</x:f>
      </x:c>
      <x:c r="O73" t="str">
        <x:f>IF(A73="","",IF(AND(C73="MXN",OR(D73="",E73="")),"FX HOLD",IF(E73&gt;D73,"REVIEW: ABOVE CUSTOMER PO",IF('PO Authorization'!H73="REVIEW: SNAPSHOT DIFFERS","REVIEW: PO SNAPSHOT",IF(E73=D73,"FULLY INVOICED",IF(E73&gt;0,"PARTIAL INVOICE","NOT INVOICED"))))))</x:f>
      </x:c>
      <x:c r="P73" t="str">
        <x:f>IF(A73="","",IF(OR(O73="FX HOLD",O73="REVIEW: PO SNAPSHOT",L73="OVER BUDGET",L73="BUDGET EXHAUSTED",O73="REVIEW: ABOVE CUSTOMER PO",'ERP Snapshot'!L73="YES"),"CRITICAL / REVIEW",IF(OR(L73="PO DATA REQUIRED",L73="BUDGET DATA REQUIRED",L73="REVIEW: NO BUDGET",L73="REVIEW: PO AMOUNT",N73&gt;0,M73&gt;0,F73&gt;0),"FOLLOW UP","NORMAL")))</x:f>
      </x:c>
      <x:c r="Q73" t="str">
        <x:f>IF(A73="","",'ERP Snapshot'!N73)</x:f>
      </x:c>
      <x:c r="R73" t="str">
        <x:f>IF(A73="","",'ERP Snapshot'!Q73)</x:f>
      </x:c>
      <x:c r="S73" t="str">
        <x:f>IF(A73="","",'ERP Snapshot'!R73)</x:f>
      </x:c>
      <x:c r="T73" t="str">
        <x:f>IF(A73="","",'ERP Snapshot'!C73)</x:f>
      </x:c>
    </x:row>
    <x:row r="74">
      <x:c r="A74" t="str">
        <x:f>IF('ERP Snapshot'!A74="","",'ERP Snapshot'!A74)</x:f>
      </x:c>
      <x:c r="B74" t="str">
        <x:f>IF(A74="","",'ERP Snapshot'!B74)</x:f>
      </x:c>
      <x:c r="C74" t="str">
        <x:f>IF(A74="","",'ERP Snapshot'!D74)</x:f>
      </x:c>
      <x:c r="D74" t="str">
        <x:f>IF(A74="","",IF(C74="MXN",IF(AND(Settings!$B$8="APPROVED",Settings!$B$9&lt;&gt;"",Settings!$B$10&lt;&gt;"",Settings!$B$2&gt;0),'PO Authorization'!F74/Settings!$B$2,""),'PO Authorization'!F74))</x:f>
      </x:c>
      <x:c r="E74" t="str">
        <x:f>IF(A74="","",IF(C74="MXN",IF(AND(Settings!$B$8="APPROVED",Settings!$B$9&lt;&gt;"",Settings!$B$10&lt;&gt;"",Settings!$B$2&gt;0),'ERP Snapshot'!I74/Settings!$B$2,""),'ERP Snapshot'!I74))</x:f>
      </x:c>
      <x:c r="F74" t="str">
        <x:f>IF(A74="","",IF(AND(ISNUMBER(D74),ISNUMBER(E74)),D74-E74,""))</x:f>
      </x:c>
      <x:c r="G74" t="str">
        <x:f>IF(A74="","",IF(ISNUMBER('ERP Snapshot'!F74),'ERP Snapshot'!F74,""))</x:f>
      </x:c>
      <x:c r="H74" t="str">
        <x:f>IF(A74="","",'ERP Snapshot'!G74)</x:f>
      </x:c>
      <x:c r="I74" t="str">
        <x:f>IF(A74="","",IF(ISNUMBER('ERP Snapshot'!S74),'ERP Snapshot'!S74,""))</x:f>
      </x:c>
      <x:c r="J74" t="str">
        <x:f>IF(A74="","",IF(AND(ISNUMBER(G74),ISNUMBER(I74)),G74-I74,""))</x:f>
      </x:c>
      <x:c r="K74" s="8" t="str">
        <x:f>IF(A74="","",IF(AND(ISNUMBER(G74),G74&gt;0,ISNUMBER(I74)),I74/G74,""))</x:f>
      </x:c>
      <x:c r="L74" t="str">
        <x:f>IF(A74="","",IF(NOT(ISNUMBER(G74)),"BUDGET DATA REQUIRED",IF(G74&lt;=0,"REVIEW: NO BUDGET",IF(NOT(ISNUMBER(I74)),"PO DATA REQUIRED",IF(I74&lt;0,"REVIEW: PO AMOUNT",IF(K74&gt;1,"OVER BUDGET",IF(K74=1,"BUDGET EXHAUSTED",IF(K74&gt;=Settings!$B$3,"PREVENTIVE ALERT","OK"))))))))</x:f>
      </x:c>
      <x:c r="M74" t="str">
        <x:f>IF(A74="","",'ERP Snapshot'!K74)</x:f>
      </x:c>
      <x:c r="N74" t="str">
        <x:f>IF(A74="","",COUNTIFS(Exceptions!$A$2:$A$101,A74,Exceptions!$E$2:$E$101,"Open"))</x:f>
      </x:c>
      <x:c r="O74" t="str">
        <x:f>IF(A74="","",IF(AND(C74="MXN",OR(D74="",E74="")),"FX HOLD",IF(E74&gt;D74,"REVIEW: ABOVE CUSTOMER PO",IF('PO Authorization'!H74="REVIEW: SNAPSHOT DIFFERS","REVIEW: PO SNAPSHOT",IF(E74=D74,"FULLY INVOICED",IF(E74&gt;0,"PARTIAL INVOICE","NOT INVOICED"))))))</x:f>
      </x:c>
      <x:c r="P74" t="str">
        <x:f>IF(A74="","",IF(OR(O74="FX HOLD",O74="REVIEW: PO SNAPSHOT",L74="OVER BUDGET",L74="BUDGET EXHAUSTED",O74="REVIEW: ABOVE CUSTOMER PO",'ERP Snapshot'!L74="YES"),"CRITICAL / REVIEW",IF(OR(L74="PO DATA REQUIRED",L74="BUDGET DATA REQUIRED",L74="REVIEW: NO BUDGET",L74="REVIEW: PO AMOUNT",N74&gt;0,M74&gt;0,F74&gt;0),"FOLLOW UP","NORMAL")))</x:f>
      </x:c>
      <x:c r="Q74" t="str">
        <x:f>IF(A74="","",'ERP Snapshot'!N74)</x:f>
      </x:c>
      <x:c r="R74" t="str">
        <x:f>IF(A74="","",'ERP Snapshot'!Q74)</x:f>
      </x:c>
      <x:c r="S74" t="str">
        <x:f>IF(A74="","",'ERP Snapshot'!R74)</x:f>
      </x:c>
      <x:c r="T74" t="str">
        <x:f>IF(A74="","",'ERP Snapshot'!C74)</x:f>
      </x:c>
    </x:row>
    <x:row r="75">
      <x:c r="A75" t="str">
        <x:f>IF('ERP Snapshot'!A75="","",'ERP Snapshot'!A75)</x:f>
      </x:c>
      <x:c r="B75" t="str">
        <x:f>IF(A75="","",'ERP Snapshot'!B75)</x:f>
      </x:c>
      <x:c r="C75" t="str">
        <x:f>IF(A75="","",'ERP Snapshot'!D75)</x:f>
      </x:c>
      <x:c r="D75" t="str">
        <x:f>IF(A75="","",IF(C75="MXN",IF(AND(Settings!$B$8="APPROVED",Settings!$B$9&lt;&gt;"",Settings!$B$10&lt;&gt;"",Settings!$B$2&gt;0),'PO Authorization'!F75/Settings!$B$2,""),'PO Authorization'!F75))</x:f>
      </x:c>
      <x:c r="E75" t="str">
        <x:f>IF(A75="","",IF(C75="MXN",IF(AND(Settings!$B$8="APPROVED",Settings!$B$9&lt;&gt;"",Settings!$B$10&lt;&gt;"",Settings!$B$2&gt;0),'ERP Snapshot'!I75/Settings!$B$2,""),'ERP Snapshot'!I75))</x:f>
      </x:c>
      <x:c r="F75" t="str">
        <x:f>IF(A75="","",IF(AND(ISNUMBER(D75),ISNUMBER(E75)),D75-E75,""))</x:f>
      </x:c>
      <x:c r="G75" t="str">
        <x:f>IF(A75="","",IF(ISNUMBER('ERP Snapshot'!F75),'ERP Snapshot'!F75,""))</x:f>
      </x:c>
      <x:c r="H75" t="str">
        <x:f>IF(A75="","",'ERP Snapshot'!G75)</x:f>
      </x:c>
      <x:c r="I75" t="str">
        <x:f>IF(A75="","",IF(ISNUMBER('ERP Snapshot'!S75),'ERP Snapshot'!S75,""))</x:f>
      </x:c>
      <x:c r="J75" t="str">
        <x:f>IF(A75="","",IF(AND(ISNUMBER(G75),ISNUMBER(I75)),G75-I75,""))</x:f>
      </x:c>
      <x:c r="K75" s="8" t="str">
        <x:f>IF(A75="","",IF(AND(ISNUMBER(G75),G75&gt;0,ISNUMBER(I75)),I75/G75,""))</x:f>
      </x:c>
      <x:c r="L75" t="str">
        <x:f>IF(A75="","",IF(NOT(ISNUMBER(G75)),"BUDGET DATA REQUIRED",IF(G75&lt;=0,"REVIEW: NO BUDGET",IF(NOT(ISNUMBER(I75)),"PO DATA REQUIRED",IF(I75&lt;0,"REVIEW: PO AMOUNT",IF(K75&gt;1,"OVER BUDGET",IF(K75=1,"BUDGET EXHAUSTED",IF(K75&gt;=Settings!$B$3,"PREVENTIVE ALERT","OK"))))))))</x:f>
      </x:c>
      <x:c r="M75" t="str">
        <x:f>IF(A75="","",'ERP Snapshot'!K75)</x:f>
      </x:c>
      <x:c r="N75" t="str">
        <x:f>IF(A75="","",COUNTIFS(Exceptions!$A$2:$A$101,A75,Exceptions!$E$2:$E$101,"Open"))</x:f>
      </x:c>
      <x:c r="O75" t="str">
        <x:f>IF(A75="","",IF(AND(C75="MXN",OR(D75="",E75="")),"FX HOLD",IF(E75&gt;D75,"REVIEW: ABOVE CUSTOMER PO",IF('PO Authorization'!H75="REVIEW: SNAPSHOT DIFFERS","REVIEW: PO SNAPSHOT",IF(E75=D75,"FULLY INVOICED",IF(E75&gt;0,"PARTIAL INVOICE","NOT INVOICED"))))))</x:f>
      </x:c>
      <x:c r="P75" t="str">
        <x:f>IF(A75="","",IF(OR(O75="FX HOLD",O75="REVIEW: PO SNAPSHOT",L75="OVER BUDGET",L75="BUDGET EXHAUSTED",O75="REVIEW: ABOVE CUSTOMER PO",'ERP Snapshot'!L75="YES"),"CRITICAL / REVIEW",IF(OR(L75="PO DATA REQUIRED",L75="BUDGET DATA REQUIRED",L75="REVIEW: NO BUDGET",L75="REVIEW: PO AMOUNT",N75&gt;0,M75&gt;0,F75&gt;0),"FOLLOW UP","NORMAL")))</x:f>
      </x:c>
      <x:c r="Q75" t="str">
        <x:f>IF(A75="","",'ERP Snapshot'!N75)</x:f>
      </x:c>
      <x:c r="R75" t="str">
        <x:f>IF(A75="","",'ERP Snapshot'!Q75)</x:f>
      </x:c>
      <x:c r="S75" t="str">
        <x:f>IF(A75="","",'ERP Snapshot'!R75)</x:f>
      </x:c>
      <x:c r="T75" t="str">
        <x:f>IF(A75="","",'ERP Snapshot'!C75)</x:f>
      </x:c>
    </x:row>
    <x:row r="76">
      <x:c r="A76" t="str">
        <x:f>IF('ERP Snapshot'!A76="","",'ERP Snapshot'!A76)</x:f>
      </x:c>
      <x:c r="B76" t="str">
        <x:f>IF(A76="","",'ERP Snapshot'!B76)</x:f>
      </x:c>
      <x:c r="C76" t="str">
        <x:f>IF(A76="","",'ERP Snapshot'!D76)</x:f>
      </x:c>
      <x:c r="D76" t="str">
        <x:f>IF(A76="","",IF(C76="MXN",IF(AND(Settings!$B$8="APPROVED",Settings!$B$9&lt;&gt;"",Settings!$B$10&lt;&gt;"",Settings!$B$2&gt;0),'PO Authorization'!F76/Settings!$B$2,""),'PO Authorization'!F76))</x:f>
      </x:c>
      <x:c r="E76" t="str">
        <x:f>IF(A76="","",IF(C76="MXN",IF(AND(Settings!$B$8="APPROVED",Settings!$B$9&lt;&gt;"",Settings!$B$10&lt;&gt;"",Settings!$B$2&gt;0),'ERP Snapshot'!I76/Settings!$B$2,""),'ERP Snapshot'!I76))</x:f>
      </x:c>
      <x:c r="F76" t="str">
        <x:f>IF(A76="","",IF(AND(ISNUMBER(D76),ISNUMBER(E76)),D76-E76,""))</x:f>
      </x:c>
      <x:c r="G76" t="str">
        <x:f>IF(A76="","",IF(ISNUMBER('ERP Snapshot'!F76),'ERP Snapshot'!F76,""))</x:f>
      </x:c>
      <x:c r="H76" t="str">
        <x:f>IF(A76="","",'ERP Snapshot'!G76)</x:f>
      </x:c>
      <x:c r="I76" t="str">
        <x:f>IF(A76="","",IF(ISNUMBER('ERP Snapshot'!S76),'ERP Snapshot'!S76,""))</x:f>
      </x:c>
      <x:c r="J76" t="str">
        <x:f>IF(A76="","",IF(AND(ISNUMBER(G76),ISNUMBER(I76)),G76-I76,""))</x:f>
      </x:c>
      <x:c r="K76" s="8" t="str">
        <x:f>IF(A76="","",IF(AND(ISNUMBER(G76),G76&gt;0,ISNUMBER(I76)),I76/G76,""))</x:f>
      </x:c>
      <x:c r="L76" t="str">
        <x:f>IF(A76="","",IF(NOT(ISNUMBER(G76)),"BUDGET DATA REQUIRED",IF(G76&lt;=0,"REVIEW: NO BUDGET",IF(NOT(ISNUMBER(I76)),"PO DATA REQUIRED",IF(I76&lt;0,"REVIEW: PO AMOUNT",IF(K76&gt;1,"OVER BUDGET",IF(K76=1,"BUDGET EXHAUSTED",IF(K76&gt;=Settings!$B$3,"PREVENTIVE ALERT","OK"))))))))</x:f>
      </x:c>
      <x:c r="M76" t="str">
        <x:f>IF(A76="","",'ERP Snapshot'!K76)</x:f>
      </x:c>
      <x:c r="N76" t="str">
        <x:f>IF(A76="","",COUNTIFS(Exceptions!$A$2:$A$101,A76,Exceptions!$E$2:$E$101,"Open"))</x:f>
      </x:c>
      <x:c r="O76" t="str">
        <x:f>IF(A76="","",IF(AND(C76="MXN",OR(D76="",E76="")),"FX HOLD",IF(E76&gt;D76,"REVIEW: ABOVE CUSTOMER PO",IF('PO Authorization'!H76="REVIEW: SNAPSHOT DIFFERS","REVIEW: PO SNAPSHOT",IF(E76=D76,"FULLY INVOICED",IF(E76&gt;0,"PARTIAL INVOICE","NOT INVOICED"))))))</x:f>
      </x:c>
      <x:c r="P76" t="str">
        <x:f>IF(A76="","",IF(OR(O76="FX HOLD",O76="REVIEW: PO SNAPSHOT",L76="OVER BUDGET",L76="BUDGET EXHAUSTED",O76="REVIEW: ABOVE CUSTOMER PO",'ERP Snapshot'!L76="YES"),"CRITICAL / REVIEW",IF(OR(L76="PO DATA REQUIRED",L76="BUDGET DATA REQUIRED",L76="REVIEW: NO BUDGET",L76="REVIEW: PO AMOUNT",N76&gt;0,M76&gt;0,F76&gt;0),"FOLLOW UP","NORMAL")))</x:f>
      </x:c>
      <x:c r="Q76" t="str">
        <x:f>IF(A76="","",'ERP Snapshot'!N76)</x:f>
      </x:c>
      <x:c r="R76" t="str">
        <x:f>IF(A76="","",'ERP Snapshot'!Q76)</x:f>
      </x:c>
      <x:c r="S76" t="str">
        <x:f>IF(A76="","",'ERP Snapshot'!R76)</x:f>
      </x:c>
      <x:c r="T76" t="str">
        <x:f>IF(A76="","",'ERP Snapshot'!C76)</x:f>
      </x:c>
    </x:row>
    <x:row r="77">
      <x:c r="A77" t="str">
        <x:f>IF('ERP Snapshot'!A77="","",'ERP Snapshot'!A77)</x:f>
      </x:c>
      <x:c r="B77" t="str">
        <x:f>IF(A77="","",'ERP Snapshot'!B77)</x:f>
      </x:c>
      <x:c r="C77" t="str">
        <x:f>IF(A77="","",'ERP Snapshot'!D77)</x:f>
      </x:c>
      <x:c r="D77" t="str">
        <x:f>IF(A77="","",IF(C77="MXN",IF(AND(Settings!$B$8="APPROVED",Settings!$B$9&lt;&gt;"",Settings!$B$10&lt;&gt;"",Settings!$B$2&gt;0),'PO Authorization'!F77/Settings!$B$2,""),'PO Authorization'!F77))</x:f>
      </x:c>
      <x:c r="E77" t="str">
        <x:f>IF(A77="","",IF(C77="MXN",IF(AND(Settings!$B$8="APPROVED",Settings!$B$9&lt;&gt;"",Settings!$B$10&lt;&gt;"",Settings!$B$2&gt;0),'ERP Snapshot'!I77/Settings!$B$2,""),'ERP Snapshot'!I77))</x:f>
      </x:c>
      <x:c r="F77" t="str">
        <x:f>IF(A77="","",IF(AND(ISNUMBER(D77),ISNUMBER(E77)),D77-E77,""))</x:f>
      </x:c>
      <x:c r="G77" t="str">
        <x:f>IF(A77="","",IF(ISNUMBER('ERP Snapshot'!F77),'ERP Snapshot'!F77,""))</x:f>
      </x:c>
      <x:c r="H77" t="str">
        <x:f>IF(A77="","",'ERP Snapshot'!G77)</x:f>
      </x:c>
      <x:c r="I77" t="str">
        <x:f>IF(A77="","",IF(ISNUMBER('ERP Snapshot'!S77),'ERP Snapshot'!S77,""))</x:f>
      </x:c>
      <x:c r="J77" t="str">
        <x:f>IF(A77="","",IF(AND(ISNUMBER(G77),ISNUMBER(I77)),G77-I77,""))</x:f>
      </x:c>
      <x:c r="K77" s="8" t="str">
        <x:f>IF(A77="","",IF(AND(ISNUMBER(G77),G77&gt;0,ISNUMBER(I77)),I77/G77,""))</x:f>
      </x:c>
      <x:c r="L77" t="str">
        <x:f>IF(A77="","",IF(NOT(ISNUMBER(G77)),"BUDGET DATA REQUIRED",IF(G77&lt;=0,"REVIEW: NO BUDGET",IF(NOT(ISNUMBER(I77)),"PO DATA REQUIRED",IF(I77&lt;0,"REVIEW: PO AMOUNT",IF(K77&gt;1,"OVER BUDGET",IF(K77=1,"BUDGET EXHAUSTED",IF(K77&gt;=Settings!$B$3,"PREVENTIVE ALERT","OK"))))))))</x:f>
      </x:c>
      <x:c r="M77" t="str">
        <x:f>IF(A77="","",'ERP Snapshot'!K77)</x:f>
      </x:c>
      <x:c r="N77" t="str">
        <x:f>IF(A77="","",COUNTIFS(Exceptions!$A$2:$A$101,A77,Exceptions!$E$2:$E$101,"Open"))</x:f>
      </x:c>
      <x:c r="O77" t="str">
        <x:f>IF(A77="","",IF(AND(C77="MXN",OR(D77="",E77="")),"FX HOLD",IF(E77&gt;D77,"REVIEW: ABOVE CUSTOMER PO",IF('PO Authorization'!H77="REVIEW: SNAPSHOT DIFFERS","REVIEW: PO SNAPSHOT",IF(E77=D77,"FULLY INVOICED",IF(E77&gt;0,"PARTIAL INVOICE","NOT INVOICED"))))))</x:f>
      </x:c>
      <x:c r="P77" t="str">
        <x:f>IF(A77="","",IF(OR(O77="FX HOLD",O77="REVIEW: PO SNAPSHOT",L77="OVER BUDGET",L77="BUDGET EXHAUSTED",O77="REVIEW: ABOVE CUSTOMER PO",'ERP Snapshot'!L77="YES"),"CRITICAL / REVIEW",IF(OR(L77="PO DATA REQUIRED",L77="BUDGET DATA REQUIRED",L77="REVIEW: NO BUDGET",L77="REVIEW: PO AMOUNT",N77&gt;0,M77&gt;0,F77&gt;0),"FOLLOW UP","NORMAL")))</x:f>
      </x:c>
      <x:c r="Q77" t="str">
        <x:f>IF(A77="","",'ERP Snapshot'!N77)</x:f>
      </x:c>
      <x:c r="R77" t="str">
        <x:f>IF(A77="","",'ERP Snapshot'!Q77)</x:f>
      </x:c>
      <x:c r="S77" t="str">
        <x:f>IF(A77="","",'ERP Snapshot'!R77)</x:f>
      </x:c>
      <x:c r="T77" t="str">
        <x:f>IF(A77="","",'ERP Snapshot'!C77)</x:f>
      </x:c>
    </x:row>
    <x:row r="78">
      <x:c r="A78" t="str">
        <x:f>IF('ERP Snapshot'!A78="","",'ERP Snapshot'!A78)</x:f>
      </x:c>
      <x:c r="B78" t="str">
        <x:f>IF(A78="","",'ERP Snapshot'!B78)</x:f>
      </x:c>
      <x:c r="C78" t="str">
        <x:f>IF(A78="","",'ERP Snapshot'!D78)</x:f>
      </x:c>
      <x:c r="D78" t="str">
        <x:f>IF(A78="","",IF(C78="MXN",IF(AND(Settings!$B$8="APPROVED",Settings!$B$9&lt;&gt;"",Settings!$B$10&lt;&gt;"",Settings!$B$2&gt;0),'PO Authorization'!F78/Settings!$B$2,""),'PO Authorization'!F78))</x:f>
      </x:c>
      <x:c r="E78" t="str">
        <x:f>IF(A78="","",IF(C78="MXN",IF(AND(Settings!$B$8="APPROVED",Settings!$B$9&lt;&gt;"",Settings!$B$10&lt;&gt;"",Settings!$B$2&gt;0),'ERP Snapshot'!I78/Settings!$B$2,""),'ERP Snapshot'!I78))</x:f>
      </x:c>
      <x:c r="F78" t="str">
        <x:f>IF(A78="","",IF(AND(ISNUMBER(D78),ISNUMBER(E78)),D78-E78,""))</x:f>
      </x:c>
      <x:c r="G78" t="str">
        <x:f>IF(A78="","",IF(ISNUMBER('ERP Snapshot'!F78),'ERP Snapshot'!F78,""))</x:f>
      </x:c>
      <x:c r="H78" t="str">
        <x:f>IF(A78="","",'ERP Snapshot'!G78)</x:f>
      </x:c>
      <x:c r="I78" t="str">
        <x:f>IF(A78="","",IF(ISNUMBER('ERP Snapshot'!S78),'ERP Snapshot'!S78,""))</x:f>
      </x:c>
      <x:c r="J78" t="str">
        <x:f>IF(A78="","",IF(AND(ISNUMBER(G78),ISNUMBER(I78)),G78-I78,""))</x:f>
      </x:c>
      <x:c r="K78" s="8" t="str">
        <x:f>IF(A78="","",IF(AND(ISNUMBER(G78),G78&gt;0,ISNUMBER(I78)),I78/G78,""))</x:f>
      </x:c>
      <x:c r="L78" t="str">
        <x:f>IF(A78="","",IF(NOT(ISNUMBER(G78)),"BUDGET DATA REQUIRED",IF(G78&lt;=0,"REVIEW: NO BUDGET",IF(NOT(ISNUMBER(I78)),"PO DATA REQUIRED",IF(I78&lt;0,"REVIEW: PO AMOUNT",IF(K78&gt;1,"OVER BUDGET",IF(K78=1,"BUDGET EXHAUSTED",IF(K78&gt;=Settings!$B$3,"PREVENTIVE ALERT","OK"))))))))</x:f>
      </x:c>
      <x:c r="M78" t="str">
        <x:f>IF(A78="","",'ERP Snapshot'!K78)</x:f>
      </x:c>
      <x:c r="N78" t="str">
        <x:f>IF(A78="","",COUNTIFS(Exceptions!$A$2:$A$101,A78,Exceptions!$E$2:$E$101,"Open"))</x:f>
      </x:c>
      <x:c r="O78" t="str">
        <x:f>IF(A78="","",IF(AND(C78="MXN",OR(D78="",E78="")),"FX HOLD",IF(E78&gt;D78,"REVIEW: ABOVE CUSTOMER PO",IF('PO Authorization'!H78="REVIEW: SNAPSHOT DIFFERS","REVIEW: PO SNAPSHOT",IF(E78=D78,"FULLY INVOICED",IF(E78&gt;0,"PARTIAL INVOICE","NOT INVOICED"))))))</x:f>
      </x:c>
      <x:c r="P78" t="str">
        <x:f>IF(A78="","",IF(OR(O78="FX HOLD",O78="REVIEW: PO SNAPSHOT",L78="OVER BUDGET",L78="BUDGET EXHAUSTED",O78="REVIEW: ABOVE CUSTOMER PO",'ERP Snapshot'!L78="YES"),"CRITICAL / REVIEW",IF(OR(L78="PO DATA REQUIRED",L78="BUDGET DATA REQUIRED",L78="REVIEW: NO BUDGET",L78="REVIEW: PO AMOUNT",N78&gt;0,M78&gt;0,F78&gt;0),"FOLLOW UP","NORMAL")))</x:f>
      </x:c>
      <x:c r="Q78" t="str">
        <x:f>IF(A78="","",'ERP Snapshot'!N78)</x:f>
      </x:c>
      <x:c r="R78" t="str">
        <x:f>IF(A78="","",'ERP Snapshot'!Q78)</x:f>
      </x:c>
      <x:c r="S78" t="str">
        <x:f>IF(A78="","",'ERP Snapshot'!R78)</x:f>
      </x:c>
      <x:c r="T78" t="str">
        <x:f>IF(A78="","",'ERP Snapshot'!C78)</x:f>
      </x:c>
    </x:row>
    <x:row r="79">
      <x:c r="A79" t="str">
        <x:f>IF('ERP Snapshot'!A79="","",'ERP Snapshot'!A79)</x:f>
      </x:c>
      <x:c r="B79" t="str">
        <x:f>IF(A79="","",'ERP Snapshot'!B79)</x:f>
      </x:c>
      <x:c r="C79" t="str">
        <x:f>IF(A79="","",'ERP Snapshot'!D79)</x:f>
      </x:c>
      <x:c r="D79" t="str">
        <x:f>IF(A79="","",IF(C79="MXN",IF(AND(Settings!$B$8="APPROVED",Settings!$B$9&lt;&gt;"",Settings!$B$10&lt;&gt;"",Settings!$B$2&gt;0),'PO Authorization'!F79/Settings!$B$2,""),'PO Authorization'!F79))</x:f>
      </x:c>
      <x:c r="E79" t="str">
        <x:f>IF(A79="","",IF(C79="MXN",IF(AND(Settings!$B$8="APPROVED",Settings!$B$9&lt;&gt;"",Settings!$B$10&lt;&gt;"",Settings!$B$2&gt;0),'ERP Snapshot'!I79/Settings!$B$2,""),'ERP Snapshot'!I79))</x:f>
      </x:c>
      <x:c r="F79" t="str">
        <x:f>IF(A79="","",IF(AND(ISNUMBER(D79),ISNUMBER(E79)),D79-E79,""))</x:f>
      </x:c>
      <x:c r="G79" t="str">
        <x:f>IF(A79="","",IF(ISNUMBER('ERP Snapshot'!F79),'ERP Snapshot'!F79,""))</x:f>
      </x:c>
      <x:c r="H79" t="str">
        <x:f>IF(A79="","",'ERP Snapshot'!G79)</x:f>
      </x:c>
      <x:c r="I79" t="str">
        <x:f>IF(A79="","",IF(ISNUMBER('ERP Snapshot'!S79),'ERP Snapshot'!S79,""))</x:f>
      </x:c>
      <x:c r="J79" t="str">
        <x:f>IF(A79="","",IF(AND(ISNUMBER(G79),ISNUMBER(I79)),G79-I79,""))</x:f>
      </x:c>
      <x:c r="K79" s="8" t="str">
        <x:f>IF(A79="","",IF(AND(ISNUMBER(G79),G79&gt;0,ISNUMBER(I79)),I79/G79,""))</x:f>
      </x:c>
      <x:c r="L79" t="str">
        <x:f>IF(A79="","",IF(NOT(ISNUMBER(G79)),"BUDGET DATA REQUIRED",IF(G79&lt;=0,"REVIEW: NO BUDGET",IF(NOT(ISNUMBER(I79)),"PO DATA REQUIRED",IF(I79&lt;0,"REVIEW: PO AMOUNT",IF(K79&gt;1,"OVER BUDGET",IF(K79=1,"BUDGET EXHAUSTED",IF(K79&gt;=Settings!$B$3,"PREVENTIVE ALERT","OK"))))))))</x:f>
      </x:c>
      <x:c r="M79" t="str">
        <x:f>IF(A79="","",'ERP Snapshot'!K79)</x:f>
      </x:c>
      <x:c r="N79" t="str">
        <x:f>IF(A79="","",COUNTIFS(Exceptions!$A$2:$A$101,A79,Exceptions!$E$2:$E$101,"Open"))</x:f>
      </x:c>
      <x:c r="O79" t="str">
        <x:f>IF(A79="","",IF(AND(C79="MXN",OR(D79="",E79="")),"FX HOLD",IF(E79&gt;D79,"REVIEW: ABOVE CUSTOMER PO",IF('PO Authorization'!H79="REVIEW: SNAPSHOT DIFFERS","REVIEW: PO SNAPSHOT",IF(E79=D79,"FULLY INVOICED",IF(E79&gt;0,"PARTIAL INVOICE","NOT INVOICED"))))))</x:f>
      </x:c>
      <x:c r="P79" t="str">
        <x:f>IF(A79="","",IF(OR(O79="FX HOLD",O79="REVIEW: PO SNAPSHOT",L79="OVER BUDGET",L79="BUDGET EXHAUSTED",O79="REVIEW: ABOVE CUSTOMER PO",'ERP Snapshot'!L79="YES"),"CRITICAL / REVIEW",IF(OR(L79="PO DATA REQUIRED",L79="BUDGET DATA REQUIRED",L79="REVIEW: NO BUDGET",L79="REVIEW: PO AMOUNT",N79&gt;0,M79&gt;0,F79&gt;0),"FOLLOW UP","NORMAL")))</x:f>
      </x:c>
      <x:c r="Q79" t="str">
        <x:f>IF(A79="","",'ERP Snapshot'!N79)</x:f>
      </x:c>
      <x:c r="R79" t="str">
        <x:f>IF(A79="","",'ERP Snapshot'!Q79)</x:f>
      </x:c>
      <x:c r="S79" t="str">
        <x:f>IF(A79="","",'ERP Snapshot'!R79)</x:f>
      </x:c>
      <x:c r="T79" t="str">
        <x:f>IF(A79="","",'ERP Snapshot'!C79)</x:f>
      </x:c>
    </x:row>
    <x:row r="80">
      <x:c r="A80" t="str">
        <x:f>IF('ERP Snapshot'!A80="","",'ERP Snapshot'!A80)</x:f>
      </x:c>
      <x:c r="B80" t="str">
        <x:f>IF(A80="","",'ERP Snapshot'!B80)</x:f>
      </x:c>
      <x:c r="C80" t="str">
        <x:f>IF(A80="","",'ERP Snapshot'!D80)</x:f>
      </x:c>
      <x:c r="D80" t="str">
        <x:f>IF(A80="","",IF(C80="MXN",IF(AND(Settings!$B$8="APPROVED",Settings!$B$9&lt;&gt;"",Settings!$B$10&lt;&gt;"",Settings!$B$2&gt;0),'PO Authorization'!F80/Settings!$B$2,""),'PO Authorization'!F80))</x:f>
      </x:c>
      <x:c r="E80" t="str">
        <x:f>IF(A80="","",IF(C80="MXN",IF(AND(Settings!$B$8="APPROVED",Settings!$B$9&lt;&gt;"",Settings!$B$10&lt;&gt;"",Settings!$B$2&gt;0),'ERP Snapshot'!I80/Settings!$B$2,""),'ERP Snapshot'!I80))</x:f>
      </x:c>
      <x:c r="F80" t="str">
        <x:f>IF(A80="","",IF(AND(ISNUMBER(D80),ISNUMBER(E80)),D80-E80,""))</x:f>
      </x:c>
      <x:c r="G80" t="str">
        <x:f>IF(A80="","",IF(ISNUMBER('ERP Snapshot'!F80),'ERP Snapshot'!F80,""))</x:f>
      </x:c>
      <x:c r="H80" t="str">
        <x:f>IF(A80="","",'ERP Snapshot'!G80)</x:f>
      </x:c>
      <x:c r="I80" t="str">
        <x:f>IF(A80="","",IF(ISNUMBER('ERP Snapshot'!S80),'ERP Snapshot'!S80,""))</x:f>
      </x:c>
      <x:c r="J80" t="str">
        <x:f>IF(A80="","",IF(AND(ISNUMBER(G80),ISNUMBER(I80)),G80-I80,""))</x:f>
      </x:c>
      <x:c r="K80" s="8" t="str">
        <x:f>IF(A80="","",IF(AND(ISNUMBER(G80),G80&gt;0,ISNUMBER(I80)),I80/G80,""))</x:f>
      </x:c>
      <x:c r="L80" t="str">
        <x:f>IF(A80="","",IF(NOT(ISNUMBER(G80)),"BUDGET DATA REQUIRED",IF(G80&lt;=0,"REVIEW: NO BUDGET",IF(NOT(ISNUMBER(I80)),"PO DATA REQUIRED",IF(I80&lt;0,"REVIEW: PO AMOUNT",IF(K80&gt;1,"OVER BUDGET",IF(K80=1,"BUDGET EXHAUSTED",IF(K80&gt;=Settings!$B$3,"PREVENTIVE ALERT","OK"))))))))</x:f>
      </x:c>
      <x:c r="M80" t="str">
        <x:f>IF(A80="","",'ERP Snapshot'!K80)</x:f>
      </x:c>
      <x:c r="N80" t="str">
        <x:f>IF(A80="","",COUNTIFS(Exceptions!$A$2:$A$101,A80,Exceptions!$E$2:$E$101,"Open"))</x:f>
      </x:c>
      <x:c r="O80" t="str">
        <x:f>IF(A80="","",IF(AND(C80="MXN",OR(D80="",E80="")),"FX HOLD",IF(E80&gt;D80,"REVIEW: ABOVE CUSTOMER PO",IF('PO Authorization'!H80="REVIEW: SNAPSHOT DIFFERS","REVIEW: PO SNAPSHOT",IF(E80=D80,"FULLY INVOICED",IF(E80&gt;0,"PARTIAL INVOICE","NOT INVOICED"))))))</x:f>
      </x:c>
      <x:c r="P80" t="str">
        <x:f>IF(A80="","",IF(OR(O80="FX HOLD",O80="REVIEW: PO SNAPSHOT",L80="OVER BUDGET",L80="BUDGET EXHAUSTED",O80="REVIEW: ABOVE CUSTOMER PO",'ERP Snapshot'!L80="YES"),"CRITICAL / REVIEW",IF(OR(L80="PO DATA REQUIRED",L80="BUDGET DATA REQUIRED",L80="REVIEW: NO BUDGET",L80="REVIEW: PO AMOUNT",N80&gt;0,M80&gt;0,F80&gt;0),"FOLLOW UP","NORMAL")))</x:f>
      </x:c>
      <x:c r="Q80" t="str">
        <x:f>IF(A80="","",'ERP Snapshot'!N80)</x:f>
      </x:c>
      <x:c r="R80" t="str">
        <x:f>IF(A80="","",'ERP Snapshot'!Q80)</x:f>
      </x:c>
      <x:c r="S80" t="str">
        <x:f>IF(A80="","",'ERP Snapshot'!R80)</x:f>
      </x:c>
      <x:c r="T80" t="str">
        <x:f>IF(A80="","",'ERP Snapshot'!C80)</x:f>
      </x:c>
    </x:row>
    <x:row r="81">
      <x:c r="A81" t="str">
        <x:f>IF('ERP Snapshot'!A81="","",'ERP Snapshot'!A81)</x:f>
      </x:c>
      <x:c r="B81" t="str">
        <x:f>IF(A81="","",'ERP Snapshot'!B81)</x:f>
      </x:c>
      <x:c r="C81" t="str">
        <x:f>IF(A81="","",'ERP Snapshot'!D81)</x:f>
      </x:c>
      <x:c r="D81" t="str">
        <x:f>IF(A81="","",IF(C81="MXN",IF(AND(Settings!$B$8="APPROVED",Settings!$B$9&lt;&gt;"",Settings!$B$10&lt;&gt;"",Settings!$B$2&gt;0),'PO Authorization'!F81/Settings!$B$2,""),'PO Authorization'!F81))</x:f>
      </x:c>
      <x:c r="E81" t="str">
        <x:f>IF(A81="","",IF(C81="MXN",IF(AND(Settings!$B$8="APPROVED",Settings!$B$9&lt;&gt;"",Settings!$B$10&lt;&gt;"",Settings!$B$2&gt;0),'ERP Snapshot'!I81/Settings!$B$2,""),'ERP Snapshot'!I81))</x:f>
      </x:c>
      <x:c r="F81" t="str">
        <x:f>IF(A81="","",IF(AND(ISNUMBER(D81),ISNUMBER(E81)),D81-E81,""))</x:f>
      </x:c>
      <x:c r="G81" t="str">
        <x:f>IF(A81="","",IF(ISNUMBER('ERP Snapshot'!F81),'ERP Snapshot'!F81,""))</x:f>
      </x:c>
      <x:c r="H81" t="str">
        <x:f>IF(A81="","",'ERP Snapshot'!G81)</x:f>
      </x:c>
      <x:c r="I81" t="str">
        <x:f>IF(A81="","",IF(ISNUMBER('ERP Snapshot'!S81),'ERP Snapshot'!S81,""))</x:f>
      </x:c>
      <x:c r="J81" t="str">
        <x:f>IF(A81="","",IF(AND(ISNUMBER(G81),ISNUMBER(I81)),G81-I81,""))</x:f>
      </x:c>
      <x:c r="K81" s="8" t="str">
        <x:f>IF(A81="","",IF(AND(ISNUMBER(G81),G81&gt;0,ISNUMBER(I81)),I81/G81,""))</x:f>
      </x:c>
      <x:c r="L81" t="str">
        <x:f>IF(A81="","",IF(NOT(ISNUMBER(G81)),"BUDGET DATA REQUIRED",IF(G81&lt;=0,"REVIEW: NO BUDGET",IF(NOT(ISNUMBER(I81)),"PO DATA REQUIRED",IF(I81&lt;0,"REVIEW: PO AMOUNT",IF(K81&gt;1,"OVER BUDGET",IF(K81=1,"BUDGET EXHAUSTED",IF(K81&gt;=Settings!$B$3,"PREVENTIVE ALERT","OK"))))))))</x:f>
      </x:c>
      <x:c r="M81" t="str">
        <x:f>IF(A81="","",'ERP Snapshot'!K81)</x:f>
      </x:c>
      <x:c r="N81" t="str">
        <x:f>IF(A81="","",COUNTIFS(Exceptions!$A$2:$A$101,A81,Exceptions!$E$2:$E$101,"Open"))</x:f>
      </x:c>
      <x:c r="O81" t="str">
        <x:f>IF(A81="","",IF(AND(C81="MXN",OR(D81="",E81="")),"FX HOLD",IF(E81&gt;D81,"REVIEW: ABOVE CUSTOMER PO",IF('PO Authorization'!H81="REVIEW: SNAPSHOT DIFFERS","REVIEW: PO SNAPSHOT",IF(E81=D81,"FULLY INVOICED",IF(E81&gt;0,"PARTIAL INVOICE","NOT INVOICED"))))))</x:f>
      </x:c>
      <x:c r="P81" t="str">
        <x:f>IF(A81="","",IF(OR(O81="FX HOLD",O81="REVIEW: PO SNAPSHOT",L81="OVER BUDGET",L81="BUDGET EXHAUSTED",O81="REVIEW: ABOVE CUSTOMER PO",'ERP Snapshot'!L81="YES"),"CRITICAL / REVIEW",IF(OR(L81="PO DATA REQUIRED",L81="BUDGET DATA REQUIRED",L81="REVIEW: NO BUDGET",L81="REVIEW: PO AMOUNT",N81&gt;0,M81&gt;0,F81&gt;0),"FOLLOW UP","NORMAL")))</x:f>
      </x:c>
      <x:c r="Q81" t="str">
        <x:f>IF(A81="","",'ERP Snapshot'!N81)</x:f>
      </x:c>
      <x:c r="R81" t="str">
        <x:f>IF(A81="","",'ERP Snapshot'!Q81)</x:f>
      </x:c>
      <x:c r="S81" t="str">
        <x:f>IF(A81="","",'ERP Snapshot'!R81)</x:f>
      </x:c>
      <x:c r="T81" t="str">
        <x:f>IF(A81="","",'ERP Snapshot'!C81)</x:f>
      </x:c>
    </x:row>
    <x:row r="82">
      <x:c r="A82" t="str">
        <x:f>IF('ERP Snapshot'!A82="","",'ERP Snapshot'!A82)</x:f>
      </x:c>
      <x:c r="B82" t="str">
        <x:f>IF(A82="","",'ERP Snapshot'!B82)</x:f>
      </x:c>
      <x:c r="C82" t="str">
        <x:f>IF(A82="","",'ERP Snapshot'!D82)</x:f>
      </x:c>
      <x:c r="D82" t="str">
        <x:f>IF(A82="","",IF(C82="MXN",IF(AND(Settings!$B$8="APPROVED",Settings!$B$9&lt;&gt;"",Settings!$B$10&lt;&gt;"",Settings!$B$2&gt;0),'PO Authorization'!F82/Settings!$B$2,""),'PO Authorization'!F82))</x:f>
      </x:c>
      <x:c r="E82" t="str">
        <x:f>IF(A82="","",IF(C82="MXN",IF(AND(Settings!$B$8="APPROVED",Settings!$B$9&lt;&gt;"",Settings!$B$10&lt;&gt;"",Settings!$B$2&gt;0),'ERP Snapshot'!I82/Settings!$B$2,""),'ERP Snapshot'!I82))</x:f>
      </x:c>
      <x:c r="F82" t="str">
        <x:f>IF(A82="","",IF(AND(ISNUMBER(D82),ISNUMBER(E82)),D82-E82,""))</x:f>
      </x:c>
      <x:c r="G82" t="str">
        <x:f>IF(A82="","",IF(ISNUMBER('ERP Snapshot'!F82),'ERP Snapshot'!F82,""))</x:f>
      </x:c>
      <x:c r="H82" t="str">
        <x:f>IF(A82="","",'ERP Snapshot'!G82)</x:f>
      </x:c>
      <x:c r="I82" t="str">
        <x:f>IF(A82="","",IF(ISNUMBER('ERP Snapshot'!S82),'ERP Snapshot'!S82,""))</x:f>
      </x:c>
      <x:c r="J82" t="str">
        <x:f>IF(A82="","",IF(AND(ISNUMBER(G82),ISNUMBER(I82)),G82-I82,""))</x:f>
      </x:c>
      <x:c r="K82" s="8" t="str">
        <x:f>IF(A82="","",IF(AND(ISNUMBER(G82),G82&gt;0,ISNUMBER(I82)),I82/G82,""))</x:f>
      </x:c>
      <x:c r="L82" t="str">
        <x:f>IF(A82="","",IF(NOT(ISNUMBER(G82)),"BUDGET DATA REQUIRED",IF(G82&lt;=0,"REVIEW: NO BUDGET",IF(NOT(ISNUMBER(I82)),"PO DATA REQUIRED",IF(I82&lt;0,"REVIEW: PO AMOUNT",IF(K82&gt;1,"OVER BUDGET",IF(K82=1,"BUDGET EXHAUSTED",IF(K82&gt;=Settings!$B$3,"PREVENTIVE ALERT","OK"))))))))</x:f>
      </x:c>
      <x:c r="M82" t="str">
        <x:f>IF(A82="","",'ERP Snapshot'!K82)</x:f>
      </x:c>
      <x:c r="N82" t="str">
        <x:f>IF(A82="","",COUNTIFS(Exceptions!$A$2:$A$101,A82,Exceptions!$E$2:$E$101,"Open"))</x:f>
      </x:c>
      <x:c r="O82" t="str">
        <x:f>IF(A82="","",IF(AND(C82="MXN",OR(D82="",E82="")),"FX HOLD",IF(E82&gt;D82,"REVIEW: ABOVE CUSTOMER PO",IF('PO Authorization'!H82="REVIEW: SNAPSHOT DIFFERS","REVIEW: PO SNAPSHOT",IF(E82=D82,"FULLY INVOICED",IF(E82&gt;0,"PARTIAL INVOICE","NOT INVOICED"))))))</x:f>
      </x:c>
      <x:c r="P82" t="str">
        <x:f>IF(A82="","",IF(OR(O82="FX HOLD",O82="REVIEW: PO SNAPSHOT",L82="OVER BUDGET",L82="BUDGET EXHAUSTED",O82="REVIEW: ABOVE CUSTOMER PO",'ERP Snapshot'!L82="YES"),"CRITICAL / REVIEW",IF(OR(L82="PO DATA REQUIRED",L82="BUDGET DATA REQUIRED",L82="REVIEW: NO BUDGET",L82="REVIEW: PO AMOUNT",N82&gt;0,M82&gt;0,F82&gt;0),"FOLLOW UP","NORMAL")))</x:f>
      </x:c>
      <x:c r="Q82" t="str">
        <x:f>IF(A82="","",'ERP Snapshot'!N82)</x:f>
      </x:c>
      <x:c r="R82" t="str">
        <x:f>IF(A82="","",'ERP Snapshot'!Q82)</x:f>
      </x:c>
      <x:c r="S82" t="str">
        <x:f>IF(A82="","",'ERP Snapshot'!R82)</x:f>
      </x:c>
      <x:c r="T82" t="str">
        <x:f>IF(A82="","",'ERP Snapshot'!C82)</x:f>
      </x:c>
    </x:row>
    <x:row r="83">
      <x:c r="A83" t="str">
        <x:f>IF('ERP Snapshot'!A83="","",'ERP Snapshot'!A83)</x:f>
      </x:c>
      <x:c r="B83" t="str">
        <x:f>IF(A83="","",'ERP Snapshot'!B83)</x:f>
      </x:c>
      <x:c r="C83" t="str">
        <x:f>IF(A83="","",'ERP Snapshot'!D83)</x:f>
      </x:c>
      <x:c r="D83" t="str">
        <x:f>IF(A83="","",IF(C83="MXN",IF(AND(Settings!$B$8="APPROVED",Settings!$B$9&lt;&gt;"",Settings!$B$10&lt;&gt;"",Settings!$B$2&gt;0),'PO Authorization'!F83/Settings!$B$2,""),'PO Authorization'!F83))</x:f>
      </x:c>
      <x:c r="E83" t="str">
        <x:f>IF(A83="","",IF(C83="MXN",IF(AND(Settings!$B$8="APPROVED",Settings!$B$9&lt;&gt;"",Settings!$B$10&lt;&gt;"",Settings!$B$2&gt;0),'ERP Snapshot'!I83/Settings!$B$2,""),'ERP Snapshot'!I83))</x:f>
      </x:c>
      <x:c r="F83" t="str">
        <x:f>IF(A83="","",IF(AND(ISNUMBER(D83),ISNUMBER(E83)),D83-E83,""))</x:f>
      </x:c>
      <x:c r="G83" t="str">
        <x:f>IF(A83="","",IF(ISNUMBER('ERP Snapshot'!F83),'ERP Snapshot'!F83,""))</x:f>
      </x:c>
      <x:c r="H83" t="str">
        <x:f>IF(A83="","",'ERP Snapshot'!G83)</x:f>
      </x:c>
      <x:c r="I83" t="str">
        <x:f>IF(A83="","",IF(ISNUMBER('ERP Snapshot'!S83),'ERP Snapshot'!S83,""))</x:f>
      </x:c>
      <x:c r="J83" t="str">
        <x:f>IF(A83="","",IF(AND(ISNUMBER(G83),ISNUMBER(I83)),G83-I83,""))</x:f>
      </x:c>
      <x:c r="K83" s="8" t="str">
        <x:f>IF(A83="","",IF(AND(ISNUMBER(G83),G83&gt;0,ISNUMBER(I83)),I83/G83,""))</x:f>
      </x:c>
      <x:c r="L83" t="str">
        <x:f>IF(A83="","",IF(NOT(ISNUMBER(G83)),"BUDGET DATA REQUIRED",IF(G83&lt;=0,"REVIEW: NO BUDGET",IF(NOT(ISNUMBER(I83)),"PO DATA REQUIRED",IF(I83&lt;0,"REVIEW: PO AMOUNT",IF(K83&gt;1,"OVER BUDGET",IF(K83=1,"BUDGET EXHAUSTED",IF(K83&gt;=Settings!$B$3,"PREVENTIVE ALERT","OK"))))))))</x:f>
      </x:c>
      <x:c r="M83" t="str">
        <x:f>IF(A83="","",'ERP Snapshot'!K83)</x:f>
      </x:c>
      <x:c r="N83" t="str">
        <x:f>IF(A83="","",COUNTIFS(Exceptions!$A$2:$A$101,A83,Exceptions!$E$2:$E$101,"Open"))</x:f>
      </x:c>
      <x:c r="O83" t="str">
        <x:f>IF(A83="","",IF(AND(C83="MXN",OR(D83="",E83="")),"FX HOLD",IF(E83&gt;D83,"REVIEW: ABOVE CUSTOMER PO",IF('PO Authorization'!H83="REVIEW: SNAPSHOT DIFFERS","REVIEW: PO SNAPSHOT",IF(E83=D83,"FULLY INVOICED",IF(E83&gt;0,"PARTIAL INVOICE","NOT INVOICED"))))))</x:f>
      </x:c>
      <x:c r="P83" t="str">
        <x:f>IF(A83="","",IF(OR(O83="FX HOLD",O83="REVIEW: PO SNAPSHOT",L83="OVER BUDGET",L83="BUDGET EXHAUSTED",O83="REVIEW: ABOVE CUSTOMER PO",'ERP Snapshot'!L83="YES"),"CRITICAL / REVIEW",IF(OR(L83="PO DATA REQUIRED",L83="BUDGET DATA REQUIRED",L83="REVIEW: NO BUDGET",L83="REVIEW: PO AMOUNT",N83&gt;0,M83&gt;0,F83&gt;0),"FOLLOW UP","NORMAL")))</x:f>
      </x:c>
      <x:c r="Q83" t="str">
        <x:f>IF(A83="","",'ERP Snapshot'!N83)</x:f>
      </x:c>
      <x:c r="R83" t="str">
        <x:f>IF(A83="","",'ERP Snapshot'!Q83)</x:f>
      </x:c>
      <x:c r="S83" t="str">
        <x:f>IF(A83="","",'ERP Snapshot'!R83)</x:f>
      </x:c>
      <x:c r="T83" t="str">
        <x:f>IF(A83="","",'ERP Snapshot'!C83)</x:f>
      </x:c>
    </x:row>
    <x:row r="84">
      <x:c r="A84" t="str">
        <x:f>IF('ERP Snapshot'!A84="","",'ERP Snapshot'!A84)</x:f>
      </x:c>
      <x:c r="B84" t="str">
        <x:f>IF(A84="","",'ERP Snapshot'!B84)</x:f>
      </x:c>
      <x:c r="C84" t="str">
        <x:f>IF(A84="","",'ERP Snapshot'!D84)</x:f>
      </x:c>
      <x:c r="D84" t="str">
        <x:f>IF(A84="","",IF(C84="MXN",IF(AND(Settings!$B$8="APPROVED",Settings!$B$9&lt;&gt;"",Settings!$B$10&lt;&gt;"",Settings!$B$2&gt;0),'PO Authorization'!F84/Settings!$B$2,""),'PO Authorization'!F84))</x:f>
      </x:c>
      <x:c r="E84" t="str">
        <x:f>IF(A84="","",IF(C84="MXN",IF(AND(Settings!$B$8="APPROVED",Settings!$B$9&lt;&gt;"",Settings!$B$10&lt;&gt;"",Settings!$B$2&gt;0),'ERP Snapshot'!I84/Settings!$B$2,""),'ERP Snapshot'!I84))</x:f>
      </x:c>
      <x:c r="F84" t="str">
        <x:f>IF(A84="","",IF(AND(ISNUMBER(D84),ISNUMBER(E84)),D84-E84,""))</x:f>
      </x:c>
      <x:c r="G84" t="str">
        <x:f>IF(A84="","",IF(ISNUMBER('ERP Snapshot'!F84),'ERP Snapshot'!F84,""))</x:f>
      </x:c>
      <x:c r="H84" t="str">
        <x:f>IF(A84="","",'ERP Snapshot'!G84)</x:f>
      </x:c>
      <x:c r="I84" t="str">
        <x:f>IF(A84="","",IF(ISNUMBER('ERP Snapshot'!S84),'ERP Snapshot'!S84,""))</x:f>
      </x:c>
      <x:c r="J84" t="str">
        <x:f>IF(A84="","",IF(AND(ISNUMBER(G84),ISNUMBER(I84)),G84-I84,""))</x:f>
      </x:c>
      <x:c r="K84" s="8" t="str">
        <x:f>IF(A84="","",IF(AND(ISNUMBER(G84),G84&gt;0,ISNUMBER(I84)),I84/G84,""))</x:f>
      </x:c>
      <x:c r="L84" t="str">
        <x:f>IF(A84="","",IF(NOT(ISNUMBER(G84)),"BUDGET DATA REQUIRED",IF(G84&lt;=0,"REVIEW: NO BUDGET",IF(NOT(ISNUMBER(I84)),"PO DATA REQUIRED",IF(I84&lt;0,"REVIEW: PO AMOUNT",IF(K84&gt;1,"OVER BUDGET",IF(K84=1,"BUDGET EXHAUSTED",IF(K84&gt;=Settings!$B$3,"PREVENTIVE ALERT","OK"))))))))</x:f>
      </x:c>
      <x:c r="M84" t="str">
        <x:f>IF(A84="","",'ERP Snapshot'!K84)</x:f>
      </x:c>
      <x:c r="N84" t="str">
        <x:f>IF(A84="","",COUNTIFS(Exceptions!$A$2:$A$101,A84,Exceptions!$E$2:$E$101,"Open"))</x:f>
      </x:c>
      <x:c r="O84" t="str">
        <x:f>IF(A84="","",IF(AND(C84="MXN",OR(D84="",E84="")),"FX HOLD",IF(E84&gt;D84,"REVIEW: ABOVE CUSTOMER PO",IF('PO Authorization'!H84="REVIEW: SNAPSHOT DIFFERS","REVIEW: PO SNAPSHOT",IF(E84=D84,"FULLY INVOICED",IF(E84&gt;0,"PARTIAL INVOICE","NOT INVOICED"))))))</x:f>
      </x:c>
      <x:c r="P84" t="str">
        <x:f>IF(A84="","",IF(OR(O84="FX HOLD",O84="REVIEW: PO SNAPSHOT",L84="OVER BUDGET",L84="BUDGET EXHAUSTED",O84="REVIEW: ABOVE CUSTOMER PO",'ERP Snapshot'!L84="YES"),"CRITICAL / REVIEW",IF(OR(L84="PO DATA REQUIRED",L84="BUDGET DATA REQUIRED",L84="REVIEW: NO BUDGET",L84="REVIEW: PO AMOUNT",N84&gt;0,M84&gt;0,F84&gt;0),"FOLLOW UP","NORMAL")))</x:f>
      </x:c>
      <x:c r="Q84" t="str">
        <x:f>IF(A84="","",'ERP Snapshot'!N84)</x:f>
      </x:c>
      <x:c r="R84" t="str">
        <x:f>IF(A84="","",'ERP Snapshot'!Q84)</x:f>
      </x:c>
      <x:c r="S84" t="str">
        <x:f>IF(A84="","",'ERP Snapshot'!R84)</x:f>
      </x:c>
      <x:c r="T84" t="str">
        <x:f>IF(A84="","",'ERP Snapshot'!C84)</x:f>
      </x:c>
    </x:row>
    <x:row r="85">
      <x:c r="A85" t="str">
        <x:f>IF('ERP Snapshot'!A85="","",'ERP Snapshot'!A85)</x:f>
      </x:c>
      <x:c r="B85" t="str">
        <x:f>IF(A85="","",'ERP Snapshot'!B85)</x:f>
      </x:c>
      <x:c r="C85" t="str">
        <x:f>IF(A85="","",'ERP Snapshot'!D85)</x:f>
      </x:c>
      <x:c r="D85" t="str">
        <x:f>IF(A85="","",IF(C85="MXN",IF(AND(Settings!$B$8="APPROVED",Settings!$B$9&lt;&gt;"",Settings!$B$10&lt;&gt;"",Settings!$B$2&gt;0),'PO Authorization'!F85/Settings!$B$2,""),'PO Authorization'!F85))</x:f>
      </x:c>
      <x:c r="E85" t="str">
        <x:f>IF(A85="","",IF(C85="MXN",IF(AND(Settings!$B$8="APPROVED",Settings!$B$9&lt;&gt;"",Settings!$B$10&lt;&gt;"",Settings!$B$2&gt;0),'ERP Snapshot'!I85/Settings!$B$2,""),'ERP Snapshot'!I85))</x:f>
      </x:c>
      <x:c r="F85" t="str">
        <x:f>IF(A85="","",IF(AND(ISNUMBER(D85),ISNUMBER(E85)),D85-E85,""))</x:f>
      </x:c>
      <x:c r="G85" t="str">
        <x:f>IF(A85="","",IF(ISNUMBER('ERP Snapshot'!F85),'ERP Snapshot'!F85,""))</x:f>
      </x:c>
      <x:c r="H85" t="str">
        <x:f>IF(A85="","",'ERP Snapshot'!G85)</x:f>
      </x:c>
      <x:c r="I85" t="str">
        <x:f>IF(A85="","",IF(ISNUMBER('ERP Snapshot'!S85),'ERP Snapshot'!S85,""))</x:f>
      </x:c>
      <x:c r="J85" t="str">
        <x:f>IF(A85="","",IF(AND(ISNUMBER(G85),ISNUMBER(I85)),G85-I85,""))</x:f>
      </x:c>
      <x:c r="K85" s="8" t="str">
        <x:f>IF(A85="","",IF(AND(ISNUMBER(G85),G85&gt;0,ISNUMBER(I85)),I85/G85,""))</x:f>
      </x:c>
      <x:c r="L85" t="str">
        <x:f>IF(A85="","",IF(NOT(ISNUMBER(G85)),"BUDGET DATA REQUIRED",IF(G85&lt;=0,"REVIEW: NO BUDGET",IF(NOT(ISNUMBER(I85)),"PO DATA REQUIRED",IF(I85&lt;0,"REVIEW: PO AMOUNT",IF(K85&gt;1,"OVER BUDGET",IF(K85=1,"BUDGET EXHAUSTED",IF(K85&gt;=Settings!$B$3,"PREVENTIVE ALERT","OK"))))))))</x:f>
      </x:c>
      <x:c r="M85" t="str">
        <x:f>IF(A85="","",'ERP Snapshot'!K85)</x:f>
      </x:c>
      <x:c r="N85" t="str">
        <x:f>IF(A85="","",COUNTIFS(Exceptions!$A$2:$A$101,A85,Exceptions!$E$2:$E$101,"Open"))</x:f>
      </x:c>
      <x:c r="O85" t="str">
        <x:f>IF(A85="","",IF(AND(C85="MXN",OR(D85="",E85="")),"FX HOLD",IF(E85&gt;D85,"REVIEW: ABOVE CUSTOMER PO",IF('PO Authorization'!H85="REVIEW: SNAPSHOT DIFFERS","REVIEW: PO SNAPSHOT",IF(E85=D85,"FULLY INVOICED",IF(E85&gt;0,"PARTIAL INVOICE","NOT INVOICED"))))))</x:f>
      </x:c>
      <x:c r="P85" t="str">
        <x:f>IF(A85="","",IF(OR(O85="FX HOLD",O85="REVIEW: PO SNAPSHOT",L85="OVER BUDGET",L85="BUDGET EXHAUSTED",O85="REVIEW: ABOVE CUSTOMER PO",'ERP Snapshot'!L85="YES"),"CRITICAL / REVIEW",IF(OR(L85="PO DATA REQUIRED",L85="BUDGET DATA REQUIRED",L85="REVIEW: NO BUDGET",L85="REVIEW: PO AMOUNT",N85&gt;0,M85&gt;0,F85&gt;0),"FOLLOW UP","NORMAL")))</x:f>
      </x:c>
      <x:c r="Q85" t="str">
        <x:f>IF(A85="","",'ERP Snapshot'!N85)</x:f>
      </x:c>
      <x:c r="R85" t="str">
        <x:f>IF(A85="","",'ERP Snapshot'!Q85)</x:f>
      </x:c>
      <x:c r="S85" t="str">
        <x:f>IF(A85="","",'ERP Snapshot'!R85)</x:f>
      </x:c>
      <x:c r="T85" t="str">
        <x:f>IF(A85="","",'ERP Snapshot'!C85)</x:f>
      </x:c>
    </x:row>
    <x:row r="86">
      <x:c r="A86" t="str">
        <x:f>IF('ERP Snapshot'!A86="","",'ERP Snapshot'!A86)</x:f>
      </x:c>
      <x:c r="B86" t="str">
        <x:f>IF(A86="","",'ERP Snapshot'!B86)</x:f>
      </x:c>
      <x:c r="C86" t="str">
        <x:f>IF(A86="","",'ERP Snapshot'!D86)</x:f>
      </x:c>
      <x:c r="D86" t="str">
        <x:f>IF(A86="","",IF(C86="MXN",IF(AND(Settings!$B$8="APPROVED",Settings!$B$9&lt;&gt;"",Settings!$B$10&lt;&gt;"",Settings!$B$2&gt;0),'PO Authorization'!F86/Settings!$B$2,""),'PO Authorization'!F86))</x:f>
      </x:c>
      <x:c r="E86" t="str">
        <x:f>IF(A86="","",IF(C86="MXN",IF(AND(Settings!$B$8="APPROVED",Settings!$B$9&lt;&gt;"",Settings!$B$10&lt;&gt;"",Settings!$B$2&gt;0),'ERP Snapshot'!I86/Settings!$B$2,""),'ERP Snapshot'!I86))</x:f>
      </x:c>
      <x:c r="F86" t="str">
        <x:f>IF(A86="","",IF(AND(ISNUMBER(D86),ISNUMBER(E86)),D86-E86,""))</x:f>
      </x:c>
      <x:c r="G86" t="str">
        <x:f>IF(A86="","",IF(ISNUMBER('ERP Snapshot'!F86),'ERP Snapshot'!F86,""))</x:f>
      </x:c>
      <x:c r="H86" t="str">
        <x:f>IF(A86="","",'ERP Snapshot'!G86)</x:f>
      </x:c>
      <x:c r="I86" t="str">
        <x:f>IF(A86="","",IF(ISNUMBER('ERP Snapshot'!S86),'ERP Snapshot'!S86,""))</x:f>
      </x:c>
      <x:c r="J86" t="str">
        <x:f>IF(A86="","",IF(AND(ISNUMBER(G86),ISNUMBER(I86)),G86-I86,""))</x:f>
      </x:c>
      <x:c r="K86" s="8" t="str">
        <x:f>IF(A86="","",IF(AND(ISNUMBER(G86),G86&gt;0,ISNUMBER(I86)),I86/G86,""))</x:f>
      </x:c>
      <x:c r="L86" t="str">
        <x:f>IF(A86="","",IF(NOT(ISNUMBER(G86)),"BUDGET DATA REQUIRED",IF(G86&lt;=0,"REVIEW: NO BUDGET",IF(NOT(ISNUMBER(I86)),"PO DATA REQUIRED",IF(I86&lt;0,"REVIEW: PO AMOUNT",IF(K86&gt;1,"OVER BUDGET",IF(K86=1,"BUDGET EXHAUSTED",IF(K86&gt;=Settings!$B$3,"PREVENTIVE ALERT","OK"))))))))</x:f>
      </x:c>
      <x:c r="M86" t="str">
        <x:f>IF(A86="","",'ERP Snapshot'!K86)</x:f>
      </x:c>
      <x:c r="N86" t="str">
        <x:f>IF(A86="","",COUNTIFS(Exceptions!$A$2:$A$101,A86,Exceptions!$E$2:$E$101,"Open"))</x:f>
      </x:c>
      <x:c r="O86" t="str">
        <x:f>IF(A86="","",IF(AND(C86="MXN",OR(D86="",E86="")),"FX HOLD",IF(E86&gt;D86,"REVIEW: ABOVE CUSTOMER PO",IF('PO Authorization'!H86="REVIEW: SNAPSHOT DIFFERS","REVIEW: PO SNAPSHOT",IF(E86=D86,"FULLY INVOICED",IF(E86&gt;0,"PARTIAL INVOICE","NOT INVOICED"))))))</x:f>
      </x:c>
      <x:c r="P86" t="str">
        <x:f>IF(A86="","",IF(OR(O86="FX HOLD",O86="REVIEW: PO SNAPSHOT",L86="OVER BUDGET",L86="BUDGET EXHAUSTED",O86="REVIEW: ABOVE CUSTOMER PO",'ERP Snapshot'!L86="YES"),"CRITICAL / REVIEW",IF(OR(L86="PO DATA REQUIRED",L86="BUDGET DATA REQUIRED",L86="REVIEW: NO BUDGET",L86="REVIEW: PO AMOUNT",N86&gt;0,M86&gt;0,F86&gt;0),"FOLLOW UP","NORMAL")))</x:f>
      </x:c>
      <x:c r="Q86" t="str">
        <x:f>IF(A86="","",'ERP Snapshot'!N86)</x:f>
      </x:c>
      <x:c r="R86" t="str">
        <x:f>IF(A86="","",'ERP Snapshot'!Q86)</x:f>
      </x:c>
      <x:c r="S86" t="str">
        <x:f>IF(A86="","",'ERP Snapshot'!R86)</x:f>
      </x:c>
      <x:c r="T86" t="str">
        <x:f>IF(A86="","",'ERP Snapshot'!C86)</x:f>
      </x:c>
    </x:row>
    <x:row r="87">
      <x:c r="A87" t="str">
        <x:f>IF('ERP Snapshot'!A87="","",'ERP Snapshot'!A87)</x:f>
      </x:c>
      <x:c r="B87" t="str">
        <x:f>IF(A87="","",'ERP Snapshot'!B87)</x:f>
      </x:c>
      <x:c r="C87" t="str">
        <x:f>IF(A87="","",'ERP Snapshot'!D87)</x:f>
      </x:c>
      <x:c r="D87" t="str">
        <x:f>IF(A87="","",IF(C87="MXN",IF(AND(Settings!$B$8="APPROVED",Settings!$B$9&lt;&gt;"",Settings!$B$10&lt;&gt;"",Settings!$B$2&gt;0),'PO Authorization'!F87/Settings!$B$2,""),'PO Authorization'!F87))</x:f>
      </x:c>
      <x:c r="E87" t="str">
        <x:f>IF(A87="","",IF(C87="MXN",IF(AND(Settings!$B$8="APPROVED",Settings!$B$9&lt;&gt;"",Settings!$B$10&lt;&gt;"",Settings!$B$2&gt;0),'ERP Snapshot'!I87/Settings!$B$2,""),'ERP Snapshot'!I87))</x:f>
      </x:c>
      <x:c r="F87" t="str">
        <x:f>IF(A87="","",IF(AND(ISNUMBER(D87),ISNUMBER(E87)),D87-E87,""))</x:f>
      </x:c>
      <x:c r="G87" t="str">
        <x:f>IF(A87="","",IF(ISNUMBER('ERP Snapshot'!F87),'ERP Snapshot'!F87,""))</x:f>
      </x:c>
      <x:c r="H87" t="str">
        <x:f>IF(A87="","",'ERP Snapshot'!G87)</x:f>
      </x:c>
      <x:c r="I87" t="str">
        <x:f>IF(A87="","",IF(ISNUMBER('ERP Snapshot'!S87),'ERP Snapshot'!S87,""))</x:f>
      </x:c>
      <x:c r="J87" t="str">
        <x:f>IF(A87="","",IF(AND(ISNUMBER(G87),ISNUMBER(I87)),G87-I87,""))</x:f>
      </x:c>
      <x:c r="K87" s="8" t="str">
        <x:f>IF(A87="","",IF(AND(ISNUMBER(G87),G87&gt;0,ISNUMBER(I87)),I87/G87,""))</x:f>
      </x:c>
      <x:c r="L87" t="str">
        <x:f>IF(A87="","",IF(NOT(ISNUMBER(G87)),"BUDGET DATA REQUIRED",IF(G87&lt;=0,"REVIEW: NO BUDGET",IF(NOT(ISNUMBER(I87)),"PO DATA REQUIRED",IF(I87&lt;0,"REVIEW: PO AMOUNT",IF(K87&gt;1,"OVER BUDGET",IF(K87=1,"BUDGET EXHAUSTED",IF(K87&gt;=Settings!$B$3,"PREVENTIVE ALERT","OK"))))))))</x:f>
      </x:c>
      <x:c r="M87" t="str">
        <x:f>IF(A87="","",'ERP Snapshot'!K87)</x:f>
      </x:c>
      <x:c r="N87" t="str">
        <x:f>IF(A87="","",COUNTIFS(Exceptions!$A$2:$A$101,A87,Exceptions!$E$2:$E$101,"Open"))</x:f>
      </x:c>
      <x:c r="O87" t="str">
        <x:f>IF(A87="","",IF(AND(C87="MXN",OR(D87="",E87="")),"FX HOLD",IF(E87&gt;D87,"REVIEW: ABOVE CUSTOMER PO",IF('PO Authorization'!H87="REVIEW: SNAPSHOT DIFFERS","REVIEW: PO SNAPSHOT",IF(E87=D87,"FULLY INVOICED",IF(E87&gt;0,"PARTIAL INVOICE","NOT INVOICED"))))))</x:f>
      </x:c>
      <x:c r="P87" t="str">
        <x:f>IF(A87="","",IF(OR(O87="FX HOLD",O87="REVIEW: PO SNAPSHOT",L87="OVER BUDGET",L87="BUDGET EXHAUSTED",O87="REVIEW: ABOVE CUSTOMER PO",'ERP Snapshot'!L87="YES"),"CRITICAL / REVIEW",IF(OR(L87="PO DATA REQUIRED",L87="BUDGET DATA REQUIRED",L87="REVIEW: NO BUDGET",L87="REVIEW: PO AMOUNT",N87&gt;0,M87&gt;0,F87&gt;0),"FOLLOW UP","NORMAL")))</x:f>
      </x:c>
      <x:c r="Q87" t="str">
        <x:f>IF(A87="","",'ERP Snapshot'!N87)</x:f>
      </x:c>
      <x:c r="R87" t="str">
        <x:f>IF(A87="","",'ERP Snapshot'!Q87)</x:f>
      </x:c>
      <x:c r="S87" t="str">
        <x:f>IF(A87="","",'ERP Snapshot'!R87)</x:f>
      </x:c>
      <x:c r="T87" t="str">
        <x:f>IF(A87="","",'ERP Snapshot'!C87)</x:f>
      </x:c>
    </x:row>
    <x:row r="88">
      <x:c r="A88" t="str">
        <x:f>IF('ERP Snapshot'!A88="","",'ERP Snapshot'!A88)</x:f>
      </x:c>
      <x:c r="B88" t="str">
        <x:f>IF(A88="","",'ERP Snapshot'!B88)</x:f>
      </x:c>
      <x:c r="C88" t="str">
        <x:f>IF(A88="","",'ERP Snapshot'!D88)</x:f>
      </x:c>
      <x:c r="D88" t="str">
        <x:f>IF(A88="","",IF(C88="MXN",IF(AND(Settings!$B$8="APPROVED",Settings!$B$9&lt;&gt;"",Settings!$B$10&lt;&gt;"",Settings!$B$2&gt;0),'PO Authorization'!F88/Settings!$B$2,""),'PO Authorization'!F88))</x:f>
      </x:c>
      <x:c r="E88" t="str">
        <x:f>IF(A88="","",IF(C88="MXN",IF(AND(Settings!$B$8="APPROVED",Settings!$B$9&lt;&gt;"",Settings!$B$10&lt;&gt;"",Settings!$B$2&gt;0),'ERP Snapshot'!I88/Settings!$B$2,""),'ERP Snapshot'!I88))</x:f>
      </x:c>
      <x:c r="F88" t="str">
        <x:f>IF(A88="","",IF(AND(ISNUMBER(D88),ISNUMBER(E88)),D88-E88,""))</x:f>
      </x:c>
      <x:c r="G88" t="str">
        <x:f>IF(A88="","",IF(ISNUMBER('ERP Snapshot'!F88),'ERP Snapshot'!F88,""))</x:f>
      </x:c>
      <x:c r="H88" t="str">
        <x:f>IF(A88="","",'ERP Snapshot'!G88)</x:f>
      </x:c>
      <x:c r="I88" t="str">
        <x:f>IF(A88="","",IF(ISNUMBER('ERP Snapshot'!S88),'ERP Snapshot'!S88,""))</x:f>
      </x:c>
      <x:c r="J88" t="str">
        <x:f>IF(A88="","",IF(AND(ISNUMBER(G88),ISNUMBER(I88)),G88-I88,""))</x:f>
      </x:c>
      <x:c r="K88" s="8" t="str">
        <x:f>IF(A88="","",IF(AND(ISNUMBER(G88),G88&gt;0,ISNUMBER(I88)),I88/G88,""))</x:f>
      </x:c>
      <x:c r="L88" t="str">
        <x:f>IF(A88="","",IF(NOT(ISNUMBER(G88)),"BUDGET DATA REQUIRED",IF(G88&lt;=0,"REVIEW: NO BUDGET",IF(NOT(ISNUMBER(I88)),"PO DATA REQUIRED",IF(I88&lt;0,"REVIEW: PO AMOUNT",IF(K88&gt;1,"OVER BUDGET",IF(K88=1,"BUDGET EXHAUSTED",IF(K88&gt;=Settings!$B$3,"PREVENTIVE ALERT","OK"))))))))</x:f>
      </x:c>
      <x:c r="M88" t="str">
        <x:f>IF(A88="","",'ERP Snapshot'!K88)</x:f>
      </x:c>
      <x:c r="N88" t="str">
        <x:f>IF(A88="","",COUNTIFS(Exceptions!$A$2:$A$101,A88,Exceptions!$E$2:$E$101,"Open"))</x:f>
      </x:c>
      <x:c r="O88" t="str">
        <x:f>IF(A88="","",IF(AND(C88="MXN",OR(D88="",E88="")),"FX HOLD",IF(E88&gt;D88,"REVIEW: ABOVE CUSTOMER PO",IF('PO Authorization'!H88="REVIEW: SNAPSHOT DIFFERS","REVIEW: PO SNAPSHOT",IF(E88=D88,"FULLY INVOICED",IF(E88&gt;0,"PARTIAL INVOICE","NOT INVOICED"))))))</x:f>
      </x:c>
      <x:c r="P88" t="str">
        <x:f>IF(A88="","",IF(OR(O88="FX HOLD",O88="REVIEW: PO SNAPSHOT",L88="OVER BUDGET",L88="BUDGET EXHAUSTED",O88="REVIEW: ABOVE CUSTOMER PO",'ERP Snapshot'!L88="YES"),"CRITICAL / REVIEW",IF(OR(L88="PO DATA REQUIRED",L88="BUDGET DATA REQUIRED",L88="REVIEW: NO BUDGET",L88="REVIEW: PO AMOUNT",N88&gt;0,M88&gt;0,F88&gt;0),"FOLLOW UP","NORMAL")))</x:f>
      </x:c>
      <x:c r="Q88" t="str">
        <x:f>IF(A88="","",'ERP Snapshot'!N88)</x:f>
      </x:c>
      <x:c r="R88" t="str">
        <x:f>IF(A88="","",'ERP Snapshot'!Q88)</x:f>
      </x:c>
      <x:c r="S88" t="str">
        <x:f>IF(A88="","",'ERP Snapshot'!R88)</x:f>
      </x:c>
      <x:c r="T88" t="str">
        <x:f>IF(A88="","",'ERP Snapshot'!C88)</x:f>
      </x:c>
    </x:row>
    <x:row r="89">
      <x:c r="A89" t="str">
        <x:f>IF('ERP Snapshot'!A89="","",'ERP Snapshot'!A89)</x:f>
      </x:c>
      <x:c r="B89" t="str">
        <x:f>IF(A89="","",'ERP Snapshot'!B89)</x:f>
      </x:c>
      <x:c r="C89" t="str">
        <x:f>IF(A89="","",'ERP Snapshot'!D89)</x:f>
      </x:c>
      <x:c r="D89" t="str">
        <x:f>IF(A89="","",IF(C89="MXN",IF(AND(Settings!$B$8="APPROVED",Settings!$B$9&lt;&gt;"",Settings!$B$10&lt;&gt;"",Settings!$B$2&gt;0),'PO Authorization'!F89/Settings!$B$2,""),'PO Authorization'!F89))</x:f>
      </x:c>
      <x:c r="E89" t="str">
        <x:f>IF(A89="","",IF(C89="MXN",IF(AND(Settings!$B$8="APPROVED",Settings!$B$9&lt;&gt;"",Settings!$B$10&lt;&gt;"",Settings!$B$2&gt;0),'ERP Snapshot'!I89/Settings!$B$2,""),'ERP Snapshot'!I89))</x:f>
      </x:c>
      <x:c r="F89" t="str">
        <x:f>IF(A89="","",IF(AND(ISNUMBER(D89),ISNUMBER(E89)),D89-E89,""))</x:f>
      </x:c>
      <x:c r="G89" t="str">
        <x:f>IF(A89="","",IF(ISNUMBER('ERP Snapshot'!F89),'ERP Snapshot'!F89,""))</x:f>
      </x:c>
      <x:c r="H89" t="str">
        <x:f>IF(A89="","",'ERP Snapshot'!G89)</x:f>
      </x:c>
      <x:c r="I89" t="str">
        <x:f>IF(A89="","",IF(ISNUMBER('ERP Snapshot'!S89),'ERP Snapshot'!S89,""))</x:f>
      </x:c>
      <x:c r="J89" t="str">
        <x:f>IF(A89="","",IF(AND(ISNUMBER(G89),ISNUMBER(I89)),G89-I89,""))</x:f>
      </x:c>
      <x:c r="K89" s="8" t="str">
        <x:f>IF(A89="","",IF(AND(ISNUMBER(G89),G89&gt;0,ISNUMBER(I89)),I89/G89,""))</x:f>
      </x:c>
      <x:c r="L89" t="str">
        <x:f>IF(A89="","",IF(NOT(ISNUMBER(G89)),"BUDGET DATA REQUIRED",IF(G89&lt;=0,"REVIEW: NO BUDGET",IF(NOT(ISNUMBER(I89)),"PO DATA REQUIRED",IF(I89&lt;0,"REVIEW: PO AMOUNT",IF(K89&gt;1,"OVER BUDGET",IF(K89=1,"BUDGET EXHAUSTED",IF(K89&gt;=Settings!$B$3,"PREVENTIVE ALERT","OK"))))))))</x:f>
      </x:c>
      <x:c r="M89" t="str">
        <x:f>IF(A89="","",'ERP Snapshot'!K89)</x:f>
      </x:c>
      <x:c r="N89" t="str">
        <x:f>IF(A89="","",COUNTIFS(Exceptions!$A$2:$A$101,A89,Exceptions!$E$2:$E$101,"Open"))</x:f>
      </x:c>
      <x:c r="O89" t="str">
        <x:f>IF(A89="","",IF(AND(C89="MXN",OR(D89="",E89="")),"FX HOLD",IF(E89&gt;D89,"REVIEW: ABOVE CUSTOMER PO",IF('PO Authorization'!H89="REVIEW: SNAPSHOT DIFFERS","REVIEW: PO SNAPSHOT",IF(E89=D89,"FULLY INVOICED",IF(E89&gt;0,"PARTIAL INVOICE","NOT INVOICED"))))))</x:f>
      </x:c>
      <x:c r="P89" t="str">
        <x:f>IF(A89="","",IF(OR(O89="FX HOLD",O89="REVIEW: PO SNAPSHOT",L89="OVER BUDGET",L89="BUDGET EXHAUSTED",O89="REVIEW: ABOVE CUSTOMER PO",'ERP Snapshot'!L89="YES"),"CRITICAL / REVIEW",IF(OR(L89="PO DATA REQUIRED",L89="BUDGET DATA REQUIRED",L89="REVIEW: NO BUDGET",L89="REVIEW: PO AMOUNT",N89&gt;0,M89&gt;0,F89&gt;0),"FOLLOW UP","NORMAL")))</x:f>
      </x:c>
      <x:c r="Q89" t="str">
        <x:f>IF(A89="","",'ERP Snapshot'!N89)</x:f>
      </x:c>
      <x:c r="R89" t="str">
        <x:f>IF(A89="","",'ERP Snapshot'!Q89)</x:f>
      </x:c>
      <x:c r="S89" t="str">
        <x:f>IF(A89="","",'ERP Snapshot'!R89)</x:f>
      </x:c>
      <x:c r="T89" t="str">
        <x:f>IF(A89="","",'ERP Snapshot'!C89)</x:f>
      </x:c>
    </x:row>
    <x:row r="90">
      <x:c r="A90" t="str">
        <x:f>IF('ERP Snapshot'!A90="","",'ERP Snapshot'!A90)</x:f>
      </x:c>
      <x:c r="B90" t="str">
        <x:f>IF(A90="","",'ERP Snapshot'!B90)</x:f>
      </x:c>
      <x:c r="C90" t="str">
        <x:f>IF(A90="","",'ERP Snapshot'!D90)</x:f>
      </x:c>
      <x:c r="D90" t="str">
        <x:f>IF(A90="","",IF(C90="MXN",IF(AND(Settings!$B$8="APPROVED",Settings!$B$9&lt;&gt;"",Settings!$B$10&lt;&gt;"",Settings!$B$2&gt;0),'PO Authorization'!F90/Settings!$B$2,""),'PO Authorization'!F90))</x:f>
      </x:c>
      <x:c r="E90" t="str">
        <x:f>IF(A90="","",IF(C90="MXN",IF(AND(Settings!$B$8="APPROVED",Settings!$B$9&lt;&gt;"",Settings!$B$10&lt;&gt;"",Settings!$B$2&gt;0),'ERP Snapshot'!I90/Settings!$B$2,""),'ERP Snapshot'!I90))</x:f>
      </x:c>
      <x:c r="F90" t="str">
        <x:f>IF(A90="","",IF(AND(ISNUMBER(D90),ISNUMBER(E90)),D90-E90,""))</x:f>
      </x:c>
      <x:c r="G90" t="str">
        <x:f>IF(A90="","",IF(ISNUMBER('ERP Snapshot'!F90),'ERP Snapshot'!F90,""))</x:f>
      </x:c>
      <x:c r="H90" t="str">
        <x:f>IF(A90="","",'ERP Snapshot'!G90)</x:f>
      </x:c>
      <x:c r="I90" t="str">
        <x:f>IF(A90="","",IF(ISNUMBER('ERP Snapshot'!S90),'ERP Snapshot'!S90,""))</x:f>
      </x:c>
      <x:c r="J90" t="str">
        <x:f>IF(A90="","",IF(AND(ISNUMBER(G90),ISNUMBER(I90)),G90-I90,""))</x:f>
      </x:c>
      <x:c r="K90" s="8" t="str">
        <x:f>IF(A90="","",IF(AND(ISNUMBER(G90),G90&gt;0,ISNUMBER(I90)),I90/G90,""))</x:f>
      </x:c>
      <x:c r="L90" t="str">
        <x:f>IF(A90="","",IF(NOT(ISNUMBER(G90)),"BUDGET DATA REQUIRED",IF(G90&lt;=0,"REVIEW: NO BUDGET",IF(NOT(ISNUMBER(I90)),"PO DATA REQUIRED",IF(I90&lt;0,"REVIEW: PO AMOUNT",IF(K90&gt;1,"OVER BUDGET",IF(K90=1,"BUDGET EXHAUSTED",IF(K90&gt;=Settings!$B$3,"PREVENTIVE ALERT","OK"))))))))</x:f>
      </x:c>
      <x:c r="M90" t="str">
        <x:f>IF(A90="","",'ERP Snapshot'!K90)</x:f>
      </x:c>
      <x:c r="N90" t="str">
        <x:f>IF(A90="","",COUNTIFS(Exceptions!$A$2:$A$101,A90,Exceptions!$E$2:$E$101,"Open"))</x:f>
      </x:c>
      <x:c r="O90" t="str">
        <x:f>IF(A90="","",IF(AND(C90="MXN",OR(D90="",E90="")),"FX HOLD",IF(E90&gt;D90,"REVIEW: ABOVE CUSTOMER PO",IF('PO Authorization'!H90="REVIEW: SNAPSHOT DIFFERS","REVIEW: PO SNAPSHOT",IF(E90=D90,"FULLY INVOICED",IF(E90&gt;0,"PARTIAL INVOICE","NOT INVOICED"))))))</x:f>
      </x:c>
      <x:c r="P90" t="str">
        <x:f>IF(A90="","",IF(OR(O90="FX HOLD",O90="REVIEW: PO SNAPSHOT",L90="OVER BUDGET",L90="BUDGET EXHAUSTED",O90="REVIEW: ABOVE CUSTOMER PO",'ERP Snapshot'!L90="YES"),"CRITICAL / REVIEW",IF(OR(L90="PO DATA REQUIRED",L90="BUDGET DATA REQUIRED",L90="REVIEW: NO BUDGET",L90="REVIEW: PO AMOUNT",N90&gt;0,M90&gt;0,F90&gt;0),"FOLLOW UP","NORMAL")))</x:f>
      </x:c>
      <x:c r="Q90" t="str">
        <x:f>IF(A90="","",'ERP Snapshot'!N90)</x:f>
      </x:c>
      <x:c r="R90" t="str">
        <x:f>IF(A90="","",'ERP Snapshot'!Q90)</x:f>
      </x:c>
      <x:c r="S90" t="str">
        <x:f>IF(A90="","",'ERP Snapshot'!R90)</x:f>
      </x:c>
      <x:c r="T90" t="str">
        <x:f>IF(A90="","",'ERP Snapshot'!C90)</x:f>
      </x:c>
    </x:row>
    <x:row r="91">
      <x:c r="A91" t="str">
        <x:f>IF('ERP Snapshot'!A91="","",'ERP Snapshot'!A91)</x:f>
      </x:c>
      <x:c r="B91" t="str">
        <x:f>IF(A91="","",'ERP Snapshot'!B91)</x:f>
      </x:c>
      <x:c r="C91" t="str">
        <x:f>IF(A91="","",'ERP Snapshot'!D91)</x:f>
      </x:c>
      <x:c r="D91" t="str">
        <x:f>IF(A91="","",IF(C91="MXN",IF(AND(Settings!$B$8="APPROVED",Settings!$B$9&lt;&gt;"",Settings!$B$10&lt;&gt;"",Settings!$B$2&gt;0),'PO Authorization'!F91/Settings!$B$2,""),'PO Authorization'!F91))</x:f>
      </x:c>
      <x:c r="E91" t="str">
        <x:f>IF(A91="","",IF(C91="MXN",IF(AND(Settings!$B$8="APPROVED",Settings!$B$9&lt;&gt;"",Settings!$B$10&lt;&gt;"",Settings!$B$2&gt;0),'ERP Snapshot'!I91/Settings!$B$2,""),'ERP Snapshot'!I91))</x:f>
      </x:c>
      <x:c r="F91" t="str">
        <x:f>IF(A91="","",IF(AND(ISNUMBER(D91),ISNUMBER(E91)),D91-E91,""))</x:f>
      </x:c>
      <x:c r="G91" t="str">
        <x:f>IF(A91="","",IF(ISNUMBER('ERP Snapshot'!F91),'ERP Snapshot'!F91,""))</x:f>
      </x:c>
      <x:c r="H91" t="str">
        <x:f>IF(A91="","",'ERP Snapshot'!G91)</x:f>
      </x:c>
      <x:c r="I91" t="str">
        <x:f>IF(A91="","",IF(ISNUMBER('ERP Snapshot'!S91),'ERP Snapshot'!S91,""))</x:f>
      </x:c>
      <x:c r="J91" t="str">
        <x:f>IF(A91="","",IF(AND(ISNUMBER(G91),ISNUMBER(I91)),G91-I91,""))</x:f>
      </x:c>
      <x:c r="K91" s="8" t="str">
        <x:f>IF(A91="","",IF(AND(ISNUMBER(G91),G91&gt;0,ISNUMBER(I91)),I91/G91,""))</x:f>
      </x:c>
      <x:c r="L91" t="str">
        <x:f>IF(A91="","",IF(NOT(ISNUMBER(G91)),"BUDGET DATA REQUIRED",IF(G91&lt;=0,"REVIEW: NO BUDGET",IF(NOT(ISNUMBER(I91)),"PO DATA REQUIRED",IF(I91&lt;0,"REVIEW: PO AMOUNT",IF(K91&gt;1,"OVER BUDGET",IF(K91=1,"BUDGET EXHAUSTED",IF(K91&gt;=Settings!$B$3,"PREVENTIVE ALERT","OK"))))))))</x:f>
      </x:c>
      <x:c r="M91" t="str">
        <x:f>IF(A91="","",'ERP Snapshot'!K91)</x:f>
      </x:c>
      <x:c r="N91" t="str">
        <x:f>IF(A91="","",COUNTIFS(Exceptions!$A$2:$A$101,A91,Exceptions!$E$2:$E$101,"Open"))</x:f>
      </x:c>
      <x:c r="O91" t="str">
        <x:f>IF(A91="","",IF(AND(C91="MXN",OR(D91="",E91="")),"FX HOLD",IF(E91&gt;D91,"REVIEW: ABOVE CUSTOMER PO",IF('PO Authorization'!H91="REVIEW: SNAPSHOT DIFFERS","REVIEW: PO SNAPSHOT",IF(E91=D91,"FULLY INVOICED",IF(E91&gt;0,"PARTIAL INVOICE","NOT INVOICED"))))))</x:f>
      </x:c>
      <x:c r="P91" t="str">
        <x:f>IF(A91="","",IF(OR(O91="FX HOLD",O91="REVIEW: PO SNAPSHOT",L91="OVER BUDGET",L91="BUDGET EXHAUSTED",O91="REVIEW: ABOVE CUSTOMER PO",'ERP Snapshot'!L91="YES"),"CRITICAL / REVIEW",IF(OR(L91="PO DATA REQUIRED",L91="BUDGET DATA REQUIRED",L91="REVIEW: NO BUDGET",L91="REVIEW: PO AMOUNT",N91&gt;0,M91&gt;0,F91&gt;0),"FOLLOW UP","NORMAL")))</x:f>
      </x:c>
      <x:c r="Q91" t="str">
        <x:f>IF(A91="","",'ERP Snapshot'!N91)</x:f>
      </x:c>
      <x:c r="R91" t="str">
        <x:f>IF(A91="","",'ERP Snapshot'!Q91)</x:f>
      </x:c>
      <x:c r="S91" t="str">
        <x:f>IF(A91="","",'ERP Snapshot'!R91)</x:f>
      </x:c>
      <x:c r="T91" t="str">
        <x:f>IF(A91="","",'ERP Snapshot'!C91)</x:f>
      </x:c>
    </x:row>
    <x:row r="92">
      <x:c r="A92" t="str">
        <x:f>IF('ERP Snapshot'!A92="","",'ERP Snapshot'!A92)</x:f>
      </x:c>
      <x:c r="B92" t="str">
        <x:f>IF(A92="","",'ERP Snapshot'!B92)</x:f>
      </x:c>
      <x:c r="C92" t="str">
        <x:f>IF(A92="","",'ERP Snapshot'!D92)</x:f>
      </x:c>
      <x:c r="D92" t="str">
        <x:f>IF(A92="","",IF(C92="MXN",IF(AND(Settings!$B$8="APPROVED",Settings!$B$9&lt;&gt;"",Settings!$B$10&lt;&gt;"",Settings!$B$2&gt;0),'PO Authorization'!F92/Settings!$B$2,""),'PO Authorization'!F92))</x:f>
      </x:c>
      <x:c r="E92" t="str">
        <x:f>IF(A92="","",IF(C92="MXN",IF(AND(Settings!$B$8="APPROVED",Settings!$B$9&lt;&gt;"",Settings!$B$10&lt;&gt;"",Settings!$B$2&gt;0),'ERP Snapshot'!I92/Settings!$B$2,""),'ERP Snapshot'!I92))</x:f>
      </x:c>
      <x:c r="F92" t="str">
        <x:f>IF(A92="","",IF(AND(ISNUMBER(D92),ISNUMBER(E92)),D92-E92,""))</x:f>
      </x:c>
      <x:c r="G92" t="str">
        <x:f>IF(A92="","",IF(ISNUMBER('ERP Snapshot'!F92),'ERP Snapshot'!F92,""))</x:f>
      </x:c>
      <x:c r="H92" t="str">
        <x:f>IF(A92="","",'ERP Snapshot'!G92)</x:f>
      </x:c>
      <x:c r="I92" t="str">
        <x:f>IF(A92="","",IF(ISNUMBER('ERP Snapshot'!S92),'ERP Snapshot'!S92,""))</x:f>
      </x:c>
      <x:c r="J92" t="str">
        <x:f>IF(A92="","",IF(AND(ISNUMBER(G92),ISNUMBER(I92)),G92-I92,""))</x:f>
      </x:c>
      <x:c r="K92" s="8" t="str">
        <x:f>IF(A92="","",IF(AND(ISNUMBER(G92),G92&gt;0,ISNUMBER(I92)),I92/G92,""))</x:f>
      </x:c>
      <x:c r="L92" t="str">
        <x:f>IF(A92="","",IF(NOT(ISNUMBER(G92)),"BUDGET DATA REQUIRED",IF(G92&lt;=0,"REVIEW: NO BUDGET",IF(NOT(ISNUMBER(I92)),"PO DATA REQUIRED",IF(I92&lt;0,"REVIEW: PO AMOUNT",IF(K92&gt;1,"OVER BUDGET",IF(K92=1,"BUDGET EXHAUSTED",IF(K92&gt;=Settings!$B$3,"PREVENTIVE ALERT","OK"))))))))</x:f>
      </x:c>
      <x:c r="M92" t="str">
        <x:f>IF(A92="","",'ERP Snapshot'!K92)</x:f>
      </x:c>
      <x:c r="N92" t="str">
        <x:f>IF(A92="","",COUNTIFS(Exceptions!$A$2:$A$101,A92,Exceptions!$E$2:$E$101,"Open"))</x:f>
      </x:c>
      <x:c r="O92" t="str">
        <x:f>IF(A92="","",IF(AND(C92="MXN",OR(D92="",E92="")),"FX HOLD",IF(E92&gt;D92,"REVIEW: ABOVE CUSTOMER PO",IF('PO Authorization'!H92="REVIEW: SNAPSHOT DIFFERS","REVIEW: PO SNAPSHOT",IF(E92=D92,"FULLY INVOICED",IF(E92&gt;0,"PARTIAL INVOICE","NOT INVOICED"))))))</x:f>
      </x:c>
      <x:c r="P92" t="str">
        <x:f>IF(A92="","",IF(OR(O92="FX HOLD",O92="REVIEW: PO SNAPSHOT",L92="OVER BUDGET",L92="BUDGET EXHAUSTED",O92="REVIEW: ABOVE CUSTOMER PO",'ERP Snapshot'!L92="YES"),"CRITICAL / REVIEW",IF(OR(L92="PO DATA REQUIRED",L92="BUDGET DATA REQUIRED",L92="REVIEW: NO BUDGET",L92="REVIEW: PO AMOUNT",N92&gt;0,M92&gt;0,F92&gt;0),"FOLLOW UP","NORMAL")))</x:f>
      </x:c>
      <x:c r="Q92" t="str">
        <x:f>IF(A92="","",'ERP Snapshot'!N92)</x:f>
      </x:c>
      <x:c r="R92" t="str">
        <x:f>IF(A92="","",'ERP Snapshot'!Q92)</x:f>
      </x:c>
      <x:c r="S92" t="str">
        <x:f>IF(A92="","",'ERP Snapshot'!R92)</x:f>
      </x:c>
      <x:c r="T92" t="str">
        <x:f>IF(A92="","",'ERP Snapshot'!C92)</x:f>
      </x:c>
    </x:row>
    <x:row r="93">
      <x:c r="A93" t="str">
        <x:f>IF('ERP Snapshot'!A93="","",'ERP Snapshot'!A93)</x:f>
      </x:c>
      <x:c r="B93" t="str">
        <x:f>IF(A93="","",'ERP Snapshot'!B93)</x:f>
      </x:c>
      <x:c r="C93" t="str">
        <x:f>IF(A93="","",'ERP Snapshot'!D93)</x:f>
      </x:c>
      <x:c r="D93" t="str">
        <x:f>IF(A93="","",IF(C93="MXN",IF(AND(Settings!$B$8="APPROVED",Settings!$B$9&lt;&gt;"",Settings!$B$10&lt;&gt;"",Settings!$B$2&gt;0),'PO Authorization'!F93/Settings!$B$2,""),'PO Authorization'!F93))</x:f>
      </x:c>
      <x:c r="E93" t="str">
        <x:f>IF(A93="","",IF(C93="MXN",IF(AND(Settings!$B$8="APPROVED",Settings!$B$9&lt;&gt;"",Settings!$B$10&lt;&gt;"",Settings!$B$2&gt;0),'ERP Snapshot'!I93/Settings!$B$2,""),'ERP Snapshot'!I93))</x:f>
      </x:c>
      <x:c r="F93" t="str">
        <x:f>IF(A93="","",IF(AND(ISNUMBER(D93),ISNUMBER(E93)),D93-E93,""))</x:f>
      </x:c>
      <x:c r="G93" t="str">
        <x:f>IF(A93="","",IF(ISNUMBER('ERP Snapshot'!F93),'ERP Snapshot'!F93,""))</x:f>
      </x:c>
      <x:c r="H93" t="str">
        <x:f>IF(A93="","",'ERP Snapshot'!G93)</x:f>
      </x:c>
      <x:c r="I93" t="str">
        <x:f>IF(A93="","",IF(ISNUMBER('ERP Snapshot'!S93),'ERP Snapshot'!S93,""))</x:f>
      </x:c>
      <x:c r="J93" t="str">
        <x:f>IF(A93="","",IF(AND(ISNUMBER(G93),ISNUMBER(I93)),G93-I93,""))</x:f>
      </x:c>
      <x:c r="K93" s="8" t="str">
        <x:f>IF(A93="","",IF(AND(ISNUMBER(G93),G93&gt;0,ISNUMBER(I93)),I93/G93,""))</x:f>
      </x:c>
      <x:c r="L93" t="str">
        <x:f>IF(A93="","",IF(NOT(ISNUMBER(G93)),"BUDGET DATA REQUIRED",IF(G93&lt;=0,"REVIEW: NO BUDGET",IF(NOT(ISNUMBER(I93)),"PO DATA REQUIRED",IF(I93&lt;0,"REVIEW: PO AMOUNT",IF(K93&gt;1,"OVER BUDGET",IF(K93=1,"BUDGET EXHAUSTED",IF(K93&gt;=Settings!$B$3,"PREVENTIVE ALERT","OK"))))))))</x:f>
      </x:c>
      <x:c r="M93" t="str">
        <x:f>IF(A93="","",'ERP Snapshot'!K93)</x:f>
      </x:c>
      <x:c r="N93" t="str">
        <x:f>IF(A93="","",COUNTIFS(Exceptions!$A$2:$A$101,A93,Exceptions!$E$2:$E$101,"Open"))</x:f>
      </x:c>
      <x:c r="O93" t="str">
        <x:f>IF(A93="","",IF(AND(C93="MXN",OR(D93="",E93="")),"FX HOLD",IF(E93&gt;D93,"REVIEW: ABOVE CUSTOMER PO",IF('PO Authorization'!H93="REVIEW: SNAPSHOT DIFFERS","REVIEW: PO SNAPSHOT",IF(E93=D93,"FULLY INVOICED",IF(E93&gt;0,"PARTIAL INVOICE","NOT INVOICED"))))))</x:f>
      </x:c>
      <x:c r="P93" t="str">
        <x:f>IF(A93="","",IF(OR(O93="FX HOLD",O93="REVIEW: PO SNAPSHOT",L93="OVER BUDGET",L93="BUDGET EXHAUSTED",O93="REVIEW: ABOVE CUSTOMER PO",'ERP Snapshot'!L93="YES"),"CRITICAL / REVIEW",IF(OR(L93="PO DATA REQUIRED",L93="BUDGET DATA REQUIRED",L93="REVIEW: NO BUDGET",L93="REVIEW: PO AMOUNT",N93&gt;0,M93&gt;0,F93&gt;0),"FOLLOW UP","NORMAL")))</x:f>
      </x:c>
      <x:c r="Q93" t="str">
        <x:f>IF(A93="","",'ERP Snapshot'!N93)</x:f>
      </x:c>
      <x:c r="R93" t="str">
        <x:f>IF(A93="","",'ERP Snapshot'!Q93)</x:f>
      </x:c>
      <x:c r="S93" t="str">
        <x:f>IF(A93="","",'ERP Snapshot'!R93)</x:f>
      </x:c>
      <x:c r="T93" t="str">
        <x:f>IF(A93="","",'ERP Snapshot'!C93)</x:f>
      </x:c>
    </x:row>
    <x:row r="94">
      <x:c r="A94" t="str">
        <x:f>IF('ERP Snapshot'!A94="","",'ERP Snapshot'!A94)</x:f>
      </x:c>
      <x:c r="B94" t="str">
        <x:f>IF(A94="","",'ERP Snapshot'!B94)</x:f>
      </x:c>
      <x:c r="C94" t="str">
        <x:f>IF(A94="","",'ERP Snapshot'!D94)</x:f>
      </x:c>
      <x:c r="D94" t="str">
        <x:f>IF(A94="","",IF(C94="MXN",IF(AND(Settings!$B$8="APPROVED",Settings!$B$9&lt;&gt;"",Settings!$B$10&lt;&gt;"",Settings!$B$2&gt;0),'PO Authorization'!F94/Settings!$B$2,""),'PO Authorization'!F94))</x:f>
      </x:c>
      <x:c r="E94" t="str">
        <x:f>IF(A94="","",IF(C94="MXN",IF(AND(Settings!$B$8="APPROVED",Settings!$B$9&lt;&gt;"",Settings!$B$10&lt;&gt;"",Settings!$B$2&gt;0),'ERP Snapshot'!I94/Settings!$B$2,""),'ERP Snapshot'!I94))</x:f>
      </x:c>
      <x:c r="F94" t="str">
        <x:f>IF(A94="","",IF(AND(ISNUMBER(D94),ISNUMBER(E94)),D94-E94,""))</x:f>
      </x:c>
      <x:c r="G94" t="str">
        <x:f>IF(A94="","",IF(ISNUMBER('ERP Snapshot'!F94),'ERP Snapshot'!F94,""))</x:f>
      </x:c>
      <x:c r="H94" t="str">
        <x:f>IF(A94="","",'ERP Snapshot'!G94)</x:f>
      </x:c>
      <x:c r="I94" t="str">
        <x:f>IF(A94="","",IF(ISNUMBER('ERP Snapshot'!S94),'ERP Snapshot'!S94,""))</x:f>
      </x:c>
      <x:c r="J94" t="str">
        <x:f>IF(A94="","",IF(AND(ISNUMBER(G94),ISNUMBER(I94)),G94-I94,""))</x:f>
      </x:c>
      <x:c r="K94" s="8" t="str">
        <x:f>IF(A94="","",IF(AND(ISNUMBER(G94),G94&gt;0,ISNUMBER(I94)),I94/G94,""))</x:f>
      </x:c>
      <x:c r="L94" t="str">
        <x:f>IF(A94="","",IF(NOT(ISNUMBER(G94)),"BUDGET DATA REQUIRED",IF(G94&lt;=0,"REVIEW: NO BUDGET",IF(NOT(ISNUMBER(I94)),"PO DATA REQUIRED",IF(I94&lt;0,"REVIEW: PO AMOUNT",IF(K94&gt;1,"OVER BUDGET",IF(K94=1,"BUDGET EXHAUSTED",IF(K94&gt;=Settings!$B$3,"PREVENTIVE ALERT","OK"))))))))</x:f>
      </x:c>
      <x:c r="M94" t="str">
        <x:f>IF(A94="","",'ERP Snapshot'!K94)</x:f>
      </x:c>
      <x:c r="N94" t="str">
        <x:f>IF(A94="","",COUNTIFS(Exceptions!$A$2:$A$101,A94,Exceptions!$E$2:$E$101,"Open"))</x:f>
      </x:c>
      <x:c r="O94" t="str">
        <x:f>IF(A94="","",IF(AND(C94="MXN",OR(D94="",E94="")),"FX HOLD",IF(E94&gt;D94,"REVIEW: ABOVE CUSTOMER PO",IF('PO Authorization'!H94="REVIEW: SNAPSHOT DIFFERS","REVIEW: PO SNAPSHOT",IF(E94=D94,"FULLY INVOICED",IF(E94&gt;0,"PARTIAL INVOICE","NOT INVOICED"))))))</x:f>
      </x:c>
      <x:c r="P94" t="str">
        <x:f>IF(A94="","",IF(OR(O94="FX HOLD",O94="REVIEW: PO SNAPSHOT",L94="OVER BUDGET",L94="BUDGET EXHAUSTED",O94="REVIEW: ABOVE CUSTOMER PO",'ERP Snapshot'!L94="YES"),"CRITICAL / REVIEW",IF(OR(L94="PO DATA REQUIRED",L94="BUDGET DATA REQUIRED",L94="REVIEW: NO BUDGET",L94="REVIEW: PO AMOUNT",N94&gt;0,M94&gt;0,F94&gt;0),"FOLLOW UP","NORMAL")))</x:f>
      </x:c>
      <x:c r="Q94" t="str">
        <x:f>IF(A94="","",'ERP Snapshot'!N94)</x:f>
      </x:c>
      <x:c r="R94" t="str">
        <x:f>IF(A94="","",'ERP Snapshot'!Q94)</x:f>
      </x:c>
      <x:c r="S94" t="str">
        <x:f>IF(A94="","",'ERP Snapshot'!R94)</x:f>
      </x:c>
      <x:c r="T94" t="str">
        <x:f>IF(A94="","",'ERP Snapshot'!C94)</x:f>
      </x:c>
    </x:row>
    <x:row r="95">
      <x:c r="A95" t="str">
        <x:f>IF('ERP Snapshot'!A95="","",'ERP Snapshot'!A95)</x:f>
      </x:c>
      <x:c r="B95" t="str">
        <x:f>IF(A95="","",'ERP Snapshot'!B95)</x:f>
      </x:c>
      <x:c r="C95" t="str">
        <x:f>IF(A95="","",'ERP Snapshot'!D95)</x:f>
      </x:c>
      <x:c r="D95" t="str">
        <x:f>IF(A95="","",IF(C95="MXN",IF(AND(Settings!$B$8="APPROVED",Settings!$B$9&lt;&gt;"",Settings!$B$10&lt;&gt;"",Settings!$B$2&gt;0),'PO Authorization'!F95/Settings!$B$2,""),'PO Authorization'!F95))</x:f>
      </x:c>
      <x:c r="E95" t="str">
        <x:f>IF(A95="","",IF(C95="MXN",IF(AND(Settings!$B$8="APPROVED",Settings!$B$9&lt;&gt;"",Settings!$B$10&lt;&gt;"",Settings!$B$2&gt;0),'ERP Snapshot'!I95/Settings!$B$2,""),'ERP Snapshot'!I95))</x:f>
      </x:c>
      <x:c r="F95" t="str">
        <x:f>IF(A95="","",IF(AND(ISNUMBER(D95),ISNUMBER(E95)),D95-E95,""))</x:f>
      </x:c>
      <x:c r="G95" t="str">
        <x:f>IF(A95="","",IF(ISNUMBER('ERP Snapshot'!F95),'ERP Snapshot'!F95,""))</x:f>
      </x:c>
      <x:c r="H95" t="str">
        <x:f>IF(A95="","",'ERP Snapshot'!G95)</x:f>
      </x:c>
      <x:c r="I95" t="str">
        <x:f>IF(A95="","",IF(ISNUMBER('ERP Snapshot'!S95),'ERP Snapshot'!S95,""))</x:f>
      </x:c>
      <x:c r="J95" t="str">
        <x:f>IF(A95="","",IF(AND(ISNUMBER(G95),ISNUMBER(I95)),G95-I95,""))</x:f>
      </x:c>
      <x:c r="K95" s="8" t="str">
        <x:f>IF(A95="","",IF(AND(ISNUMBER(G95),G95&gt;0,ISNUMBER(I95)),I95/G95,""))</x:f>
      </x:c>
      <x:c r="L95" t="str">
        <x:f>IF(A95="","",IF(NOT(ISNUMBER(G95)),"BUDGET DATA REQUIRED",IF(G95&lt;=0,"REVIEW: NO BUDGET",IF(NOT(ISNUMBER(I95)),"PO DATA REQUIRED",IF(I95&lt;0,"REVIEW: PO AMOUNT",IF(K95&gt;1,"OVER BUDGET",IF(K95=1,"BUDGET EXHAUSTED",IF(K95&gt;=Settings!$B$3,"PREVENTIVE ALERT","OK"))))))))</x:f>
      </x:c>
      <x:c r="M95" t="str">
        <x:f>IF(A95="","",'ERP Snapshot'!K95)</x:f>
      </x:c>
      <x:c r="N95" t="str">
        <x:f>IF(A95="","",COUNTIFS(Exceptions!$A$2:$A$101,A95,Exceptions!$E$2:$E$101,"Open"))</x:f>
      </x:c>
      <x:c r="O95" t="str">
        <x:f>IF(A95="","",IF(AND(C95="MXN",OR(D95="",E95="")),"FX HOLD",IF(E95&gt;D95,"REVIEW: ABOVE CUSTOMER PO",IF('PO Authorization'!H95="REVIEW: SNAPSHOT DIFFERS","REVIEW: PO SNAPSHOT",IF(E95=D95,"FULLY INVOICED",IF(E95&gt;0,"PARTIAL INVOICE","NOT INVOICED"))))))</x:f>
      </x:c>
      <x:c r="P95" t="str">
        <x:f>IF(A95="","",IF(OR(O95="FX HOLD",O95="REVIEW: PO SNAPSHOT",L95="OVER BUDGET",L95="BUDGET EXHAUSTED",O95="REVIEW: ABOVE CUSTOMER PO",'ERP Snapshot'!L95="YES"),"CRITICAL / REVIEW",IF(OR(L95="PO DATA REQUIRED",L95="BUDGET DATA REQUIRED",L95="REVIEW: NO BUDGET",L95="REVIEW: PO AMOUNT",N95&gt;0,M95&gt;0,F95&gt;0),"FOLLOW UP","NORMAL")))</x:f>
      </x:c>
      <x:c r="Q95" t="str">
        <x:f>IF(A95="","",'ERP Snapshot'!N95)</x:f>
      </x:c>
      <x:c r="R95" t="str">
        <x:f>IF(A95="","",'ERP Snapshot'!Q95)</x:f>
      </x:c>
      <x:c r="S95" t="str">
        <x:f>IF(A95="","",'ERP Snapshot'!R95)</x:f>
      </x:c>
      <x:c r="T95" t="str">
        <x:f>IF(A95="","",'ERP Snapshot'!C95)</x:f>
      </x:c>
    </x:row>
    <x:row r="96">
      <x:c r="A96" t="str">
        <x:f>IF('ERP Snapshot'!A96="","",'ERP Snapshot'!A96)</x:f>
      </x:c>
      <x:c r="B96" t="str">
        <x:f>IF(A96="","",'ERP Snapshot'!B96)</x:f>
      </x:c>
      <x:c r="C96" t="str">
        <x:f>IF(A96="","",'ERP Snapshot'!D96)</x:f>
      </x:c>
      <x:c r="D96" t="str">
        <x:f>IF(A96="","",IF(C96="MXN",IF(AND(Settings!$B$8="APPROVED",Settings!$B$9&lt;&gt;"",Settings!$B$10&lt;&gt;"",Settings!$B$2&gt;0),'PO Authorization'!F96/Settings!$B$2,""),'PO Authorization'!F96))</x:f>
      </x:c>
      <x:c r="E96" t="str">
        <x:f>IF(A96="","",IF(C96="MXN",IF(AND(Settings!$B$8="APPROVED",Settings!$B$9&lt;&gt;"",Settings!$B$10&lt;&gt;"",Settings!$B$2&gt;0),'ERP Snapshot'!I96/Settings!$B$2,""),'ERP Snapshot'!I96))</x:f>
      </x:c>
      <x:c r="F96" t="str">
        <x:f>IF(A96="","",IF(AND(ISNUMBER(D96),ISNUMBER(E96)),D96-E96,""))</x:f>
      </x:c>
      <x:c r="G96" t="str">
        <x:f>IF(A96="","",IF(ISNUMBER('ERP Snapshot'!F96),'ERP Snapshot'!F96,""))</x:f>
      </x:c>
      <x:c r="H96" t="str">
        <x:f>IF(A96="","",'ERP Snapshot'!G96)</x:f>
      </x:c>
      <x:c r="I96" t="str">
        <x:f>IF(A96="","",IF(ISNUMBER('ERP Snapshot'!S96),'ERP Snapshot'!S96,""))</x:f>
      </x:c>
      <x:c r="J96" t="str">
        <x:f>IF(A96="","",IF(AND(ISNUMBER(G96),ISNUMBER(I96)),G96-I96,""))</x:f>
      </x:c>
      <x:c r="K96" s="8" t="str">
        <x:f>IF(A96="","",IF(AND(ISNUMBER(G96),G96&gt;0,ISNUMBER(I96)),I96/G96,""))</x:f>
      </x:c>
      <x:c r="L96" t="str">
        <x:f>IF(A96="","",IF(NOT(ISNUMBER(G96)),"BUDGET DATA REQUIRED",IF(G96&lt;=0,"REVIEW: NO BUDGET",IF(NOT(ISNUMBER(I96)),"PO DATA REQUIRED",IF(I96&lt;0,"REVIEW: PO AMOUNT",IF(K96&gt;1,"OVER BUDGET",IF(K96=1,"BUDGET EXHAUSTED",IF(K96&gt;=Settings!$B$3,"PREVENTIVE ALERT","OK"))))))))</x:f>
      </x:c>
      <x:c r="M96" t="str">
        <x:f>IF(A96="","",'ERP Snapshot'!K96)</x:f>
      </x:c>
      <x:c r="N96" t="str">
        <x:f>IF(A96="","",COUNTIFS(Exceptions!$A$2:$A$101,A96,Exceptions!$E$2:$E$101,"Open"))</x:f>
      </x:c>
      <x:c r="O96" t="str">
        <x:f>IF(A96="","",IF(AND(C96="MXN",OR(D96="",E96="")),"FX HOLD",IF(E96&gt;D96,"REVIEW: ABOVE CUSTOMER PO",IF('PO Authorization'!H96="REVIEW: SNAPSHOT DIFFERS","REVIEW: PO SNAPSHOT",IF(E96=D96,"FULLY INVOICED",IF(E96&gt;0,"PARTIAL INVOICE","NOT INVOICED"))))))</x:f>
      </x:c>
      <x:c r="P96" t="str">
        <x:f>IF(A96="","",IF(OR(O96="FX HOLD",O96="REVIEW: PO SNAPSHOT",L96="OVER BUDGET",L96="BUDGET EXHAUSTED",O96="REVIEW: ABOVE CUSTOMER PO",'ERP Snapshot'!L96="YES"),"CRITICAL / REVIEW",IF(OR(L96="PO DATA REQUIRED",L96="BUDGET DATA REQUIRED",L96="REVIEW: NO BUDGET",L96="REVIEW: PO AMOUNT",N96&gt;0,M96&gt;0,F96&gt;0),"FOLLOW UP","NORMAL")))</x:f>
      </x:c>
      <x:c r="Q96" t="str">
        <x:f>IF(A96="","",'ERP Snapshot'!N96)</x:f>
      </x:c>
      <x:c r="R96" t="str">
        <x:f>IF(A96="","",'ERP Snapshot'!Q96)</x:f>
      </x:c>
      <x:c r="S96" t="str">
        <x:f>IF(A96="","",'ERP Snapshot'!R96)</x:f>
      </x:c>
      <x:c r="T96" t="str">
        <x:f>IF(A96="","",'ERP Snapshot'!C96)</x:f>
      </x:c>
    </x:row>
    <x:row r="97">
      <x:c r="A97" t="str">
        <x:f>IF('ERP Snapshot'!A97="","",'ERP Snapshot'!A97)</x:f>
      </x:c>
      <x:c r="B97" t="str">
        <x:f>IF(A97="","",'ERP Snapshot'!B97)</x:f>
      </x:c>
      <x:c r="C97" t="str">
        <x:f>IF(A97="","",'ERP Snapshot'!D97)</x:f>
      </x:c>
      <x:c r="D97" t="str">
        <x:f>IF(A97="","",IF(C97="MXN",IF(AND(Settings!$B$8="APPROVED",Settings!$B$9&lt;&gt;"",Settings!$B$10&lt;&gt;"",Settings!$B$2&gt;0),'PO Authorization'!F97/Settings!$B$2,""),'PO Authorization'!F97))</x:f>
      </x:c>
      <x:c r="E97" t="str">
        <x:f>IF(A97="","",IF(C97="MXN",IF(AND(Settings!$B$8="APPROVED",Settings!$B$9&lt;&gt;"",Settings!$B$10&lt;&gt;"",Settings!$B$2&gt;0),'ERP Snapshot'!I97/Settings!$B$2,""),'ERP Snapshot'!I97))</x:f>
      </x:c>
      <x:c r="F97" t="str">
        <x:f>IF(A97="","",IF(AND(ISNUMBER(D97),ISNUMBER(E97)),D97-E97,""))</x:f>
      </x:c>
      <x:c r="G97" t="str">
        <x:f>IF(A97="","",IF(ISNUMBER('ERP Snapshot'!F97),'ERP Snapshot'!F97,""))</x:f>
      </x:c>
      <x:c r="H97" t="str">
        <x:f>IF(A97="","",'ERP Snapshot'!G97)</x:f>
      </x:c>
      <x:c r="I97" t="str">
        <x:f>IF(A97="","",IF(ISNUMBER('ERP Snapshot'!S97),'ERP Snapshot'!S97,""))</x:f>
      </x:c>
      <x:c r="J97" t="str">
        <x:f>IF(A97="","",IF(AND(ISNUMBER(G97),ISNUMBER(I97)),G97-I97,""))</x:f>
      </x:c>
      <x:c r="K97" s="8" t="str">
        <x:f>IF(A97="","",IF(AND(ISNUMBER(G97),G97&gt;0,ISNUMBER(I97)),I97/G97,""))</x:f>
      </x:c>
      <x:c r="L97" t="str">
        <x:f>IF(A97="","",IF(NOT(ISNUMBER(G97)),"BUDGET DATA REQUIRED",IF(G97&lt;=0,"REVIEW: NO BUDGET",IF(NOT(ISNUMBER(I97)),"PO DATA REQUIRED",IF(I97&lt;0,"REVIEW: PO AMOUNT",IF(K97&gt;1,"OVER BUDGET",IF(K97=1,"BUDGET EXHAUSTED",IF(K97&gt;=Settings!$B$3,"PREVENTIVE ALERT","OK"))))))))</x:f>
      </x:c>
      <x:c r="M97" t="str">
        <x:f>IF(A97="","",'ERP Snapshot'!K97)</x:f>
      </x:c>
      <x:c r="N97" t="str">
        <x:f>IF(A97="","",COUNTIFS(Exceptions!$A$2:$A$101,A97,Exceptions!$E$2:$E$101,"Open"))</x:f>
      </x:c>
      <x:c r="O97" t="str">
        <x:f>IF(A97="","",IF(AND(C97="MXN",OR(D97="",E97="")),"FX HOLD",IF(E97&gt;D97,"REVIEW: ABOVE CUSTOMER PO",IF('PO Authorization'!H97="REVIEW: SNAPSHOT DIFFERS","REVIEW: PO SNAPSHOT",IF(E97=D97,"FULLY INVOICED",IF(E97&gt;0,"PARTIAL INVOICE","NOT INVOICED"))))))</x:f>
      </x:c>
      <x:c r="P97" t="str">
        <x:f>IF(A97="","",IF(OR(O97="FX HOLD",O97="REVIEW: PO SNAPSHOT",L97="OVER BUDGET",L97="BUDGET EXHAUSTED",O97="REVIEW: ABOVE CUSTOMER PO",'ERP Snapshot'!L97="YES"),"CRITICAL / REVIEW",IF(OR(L97="PO DATA REQUIRED",L97="BUDGET DATA REQUIRED",L97="REVIEW: NO BUDGET",L97="REVIEW: PO AMOUNT",N97&gt;0,M97&gt;0,F97&gt;0),"FOLLOW UP","NORMAL")))</x:f>
      </x:c>
      <x:c r="Q97" t="str">
        <x:f>IF(A97="","",'ERP Snapshot'!N97)</x:f>
      </x:c>
      <x:c r="R97" t="str">
        <x:f>IF(A97="","",'ERP Snapshot'!Q97)</x:f>
      </x:c>
      <x:c r="S97" t="str">
        <x:f>IF(A97="","",'ERP Snapshot'!R97)</x:f>
      </x:c>
      <x:c r="T97" t="str">
        <x:f>IF(A97="","",'ERP Snapshot'!C97)</x:f>
      </x:c>
    </x:row>
    <x:row r="98">
      <x:c r="A98" t="str">
        <x:f>IF('ERP Snapshot'!A98="","",'ERP Snapshot'!A98)</x:f>
      </x:c>
      <x:c r="B98" t="str">
        <x:f>IF(A98="","",'ERP Snapshot'!B98)</x:f>
      </x:c>
      <x:c r="C98" t="str">
        <x:f>IF(A98="","",'ERP Snapshot'!D98)</x:f>
      </x:c>
      <x:c r="D98" t="str">
        <x:f>IF(A98="","",IF(C98="MXN",IF(AND(Settings!$B$8="APPROVED",Settings!$B$9&lt;&gt;"",Settings!$B$10&lt;&gt;"",Settings!$B$2&gt;0),'PO Authorization'!F98/Settings!$B$2,""),'PO Authorization'!F98))</x:f>
      </x:c>
      <x:c r="E98" t="str">
        <x:f>IF(A98="","",IF(C98="MXN",IF(AND(Settings!$B$8="APPROVED",Settings!$B$9&lt;&gt;"",Settings!$B$10&lt;&gt;"",Settings!$B$2&gt;0),'ERP Snapshot'!I98/Settings!$B$2,""),'ERP Snapshot'!I98))</x:f>
      </x:c>
      <x:c r="F98" t="str">
        <x:f>IF(A98="","",IF(AND(ISNUMBER(D98),ISNUMBER(E98)),D98-E98,""))</x:f>
      </x:c>
      <x:c r="G98" t="str">
        <x:f>IF(A98="","",IF(ISNUMBER('ERP Snapshot'!F98),'ERP Snapshot'!F98,""))</x:f>
      </x:c>
      <x:c r="H98" t="str">
        <x:f>IF(A98="","",'ERP Snapshot'!G98)</x:f>
      </x:c>
      <x:c r="I98" t="str">
        <x:f>IF(A98="","",IF(ISNUMBER('ERP Snapshot'!S98),'ERP Snapshot'!S98,""))</x:f>
      </x:c>
      <x:c r="J98" t="str">
        <x:f>IF(A98="","",IF(AND(ISNUMBER(G98),ISNUMBER(I98)),G98-I98,""))</x:f>
      </x:c>
      <x:c r="K98" s="8" t="str">
        <x:f>IF(A98="","",IF(AND(ISNUMBER(G98),G98&gt;0,ISNUMBER(I98)),I98/G98,""))</x:f>
      </x:c>
      <x:c r="L98" t="str">
        <x:f>IF(A98="","",IF(NOT(ISNUMBER(G98)),"BUDGET DATA REQUIRED",IF(G98&lt;=0,"REVIEW: NO BUDGET",IF(NOT(ISNUMBER(I98)),"PO DATA REQUIRED",IF(I98&lt;0,"REVIEW: PO AMOUNT",IF(K98&gt;1,"OVER BUDGET",IF(K98=1,"BUDGET EXHAUSTED",IF(K98&gt;=Settings!$B$3,"PREVENTIVE ALERT","OK"))))))))</x:f>
      </x:c>
      <x:c r="M98" t="str">
        <x:f>IF(A98="","",'ERP Snapshot'!K98)</x:f>
      </x:c>
      <x:c r="N98" t="str">
        <x:f>IF(A98="","",COUNTIFS(Exceptions!$A$2:$A$101,A98,Exceptions!$E$2:$E$101,"Open"))</x:f>
      </x:c>
      <x:c r="O98" t="str">
        <x:f>IF(A98="","",IF(AND(C98="MXN",OR(D98="",E98="")),"FX HOLD",IF(E98&gt;D98,"REVIEW: ABOVE CUSTOMER PO",IF('PO Authorization'!H98="REVIEW: SNAPSHOT DIFFERS","REVIEW: PO SNAPSHOT",IF(E98=D98,"FULLY INVOICED",IF(E98&gt;0,"PARTIAL INVOICE","NOT INVOICED"))))))</x:f>
      </x:c>
      <x:c r="P98" t="str">
        <x:f>IF(A98="","",IF(OR(O98="FX HOLD",O98="REVIEW: PO SNAPSHOT",L98="OVER BUDGET",L98="BUDGET EXHAUSTED",O98="REVIEW: ABOVE CUSTOMER PO",'ERP Snapshot'!L98="YES"),"CRITICAL / REVIEW",IF(OR(L98="PO DATA REQUIRED",L98="BUDGET DATA REQUIRED",L98="REVIEW: NO BUDGET",L98="REVIEW: PO AMOUNT",N98&gt;0,M98&gt;0,F98&gt;0),"FOLLOW UP","NORMAL")))</x:f>
      </x:c>
      <x:c r="Q98" t="str">
        <x:f>IF(A98="","",'ERP Snapshot'!N98)</x:f>
      </x:c>
      <x:c r="R98" t="str">
        <x:f>IF(A98="","",'ERP Snapshot'!Q98)</x:f>
      </x:c>
      <x:c r="S98" t="str">
        <x:f>IF(A98="","",'ERP Snapshot'!R98)</x:f>
      </x:c>
      <x:c r="T98" t="str">
        <x:f>IF(A98="","",'ERP Snapshot'!C98)</x:f>
      </x:c>
    </x:row>
    <x:row r="99">
      <x:c r="A99" t="str">
        <x:f>IF('ERP Snapshot'!A99="","",'ERP Snapshot'!A99)</x:f>
      </x:c>
      <x:c r="B99" t="str">
        <x:f>IF(A99="","",'ERP Snapshot'!B99)</x:f>
      </x:c>
      <x:c r="C99" t="str">
        <x:f>IF(A99="","",'ERP Snapshot'!D99)</x:f>
      </x:c>
      <x:c r="D99" t="str">
        <x:f>IF(A99="","",IF(C99="MXN",IF(AND(Settings!$B$8="APPROVED",Settings!$B$9&lt;&gt;"",Settings!$B$10&lt;&gt;"",Settings!$B$2&gt;0),'PO Authorization'!F99/Settings!$B$2,""),'PO Authorization'!F99))</x:f>
      </x:c>
      <x:c r="E99" t="str">
        <x:f>IF(A99="","",IF(C99="MXN",IF(AND(Settings!$B$8="APPROVED",Settings!$B$9&lt;&gt;"",Settings!$B$10&lt;&gt;"",Settings!$B$2&gt;0),'ERP Snapshot'!I99/Settings!$B$2,""),'ERP Snapshot'!I99))</x:f>
      </x:c>
      <x:c r="F99" t="str">
        <x:f>IF(A99="","",IF(AND(ISNUMBER(D99),ISNUMBER(E99)),D99-E99,""))</x:f>
      </x:c>
      <x:c r="G99" t="str">
        <x:f>IF(A99="","",IF(ISNUMBER('ERP Snapshot'!F99),'ERP Snapshot'!F99,""))</x:f>
      </x:c>
      <x:c r="H99" t="str">
        <x:f>IF(A99="","",'ERP Snapshot'!G99)</x:f>
      </x:c>
      <x:c r="I99" t="str">
        <x:f>IF(A99="","",IF(ISNUMBER('ERP Snapshot'!S99),'ERP Snapshot'!S99,""))</x:f>
      </x:c>
      <x:c r="J99" t="str">
        <x:f>IF(A99="","",IF(AND(ISNUMBER(G99),ISNUMBER(I99)),G99-I99,""))</x:f>
      </x:c>
      <x:c r="K99" s="8" t="str">
        <x:f>IF(A99="","",IF(AND(ISNUMBER(G99),G99&gt;0,ISNUMBER(I99)),I99/G99,""))</x:f>
      </x:c>
      <x:c r="L99" t="str">
        <x:f>IF(A99="","",IF(NOT(ISNUMBER(G99)),"BUDGET DATA REQUIRED",IF(G99&lt;=0,"REVIEW: NO BUDGET",IF(NOT(ISNUMBER(I99)),"PO DATA REQUIRED",IF(I99&lt;0,"REVIEW: PO AMOUNT",IF(K99&gt;1,"OVER BUDGET",IF(K99=1,"BUDGET EXHAUSTED",IF(K99&gt;=Settings!$B$3,"PREVENTIVE ALERT","OK"))))))))</x:f>
      </x:c>
      <x:c r="M99" t="str">
        <x:f>IF(A99="","",'ERP Snapshot'!K99)</x:f>
      </x:c>
      <x:c r="N99" t="str">
        <x:f>IF(A99="","",COUNTIFS(Exceptions!$A$2:$A$101,A99,Exceptions!$E$2:$E$101,"Open"))</x:f>
      </x:c>
      <x:c r="O99" t="str">
        <x:f>IF(A99="","",IF(AND(C99="MXN",OR(D99="",E99="")),"FX HOLD",IF(E99&gt;D99,"REVIEW: ABOVE CUSTOMER PO",IF('PO Authorization'!H99="REVIEW: SNAPSHOT DIFFERS","REVIEW: PO SNAPSHOT",IF(E99=D99,"FULLY INVOICED",IF(E99&gt;0,"PARTIAL INVOICE","NOT INVOICED"))))))</x:f>
      </x:c>
      <x:c r="P99" t="str">
        <x:f>IF(A99="","",IF(OR(O99="FX HOLD",O99="REVIEW: PO SNAPSHOT",L99="OVER BUDGET",L99="BUDGET EXHAUSTED",O99="REVIEW: ABOVE CUSTOMER PO",'ERP Snapshot'!L99="YES"),"CRITICAL / REVIEW",IF(OR(L99="PO DATA REQUIRED",L99="BUDGET DATA REQUIRED",L99="REVIEW: NO BUDGET",L99="REVIEW: PO AMOUNT",N99&gt;0,M99&gt;0,F99&gt;0),"FOLLOW UP","NORMAL")))</x:f>
      </x:c>
      <x:c r="Q99" t="str">
        <x:f>IF(A99="","",'ERP Snapshot'!N99)</x:f>
      </x:c>
      <x:c r="R99" t="str">
        <x:f>IF(A99="","",'ERP Snapshot'!Q99)</x:f>
      </x:c>
      <x:c r="S99" t="str">
        <x:f>IF(A99="","",'ERP Snapshot'!R99)</x:f>
      </x:c>
      <x:c r="T99" t="str">
        <x:f>IF(A99="","",'ERP Snapshot'!C99)</x:f>
      </x:c>
    </x:row>
    <x:row r="100">
      <x:c r="A100" t="str">
        <x:f>IF('ERP Snapshot'!A100="","",'ERP Snapshot'!A100)</x:f>
      </x:c>
      <x:c r="B100" t="str">
        <x:f>IF(A100="","",'ERP Snapshot'!B100)</x:f>
      </x:c>
      <x:c r="C100" t="str">
        <x:f>IF(A100="","",'ERP Snapshot'!D100)</x:f>
      </x:c>
      <x:c r="D100" t="str">
        <x:f>IF(A100="","",IF(C100="MXN",IF(AND(Settings!$B$8="APPROVED",Settings!$B$9&lt;&gt;"",Settings!$B$10&lt;&gt;"",Settings!$B$2&gt;0),'PO Authorization'!F100/Settings!$B$2,""),'PO Authorization'!F100))</x:f>
      </x:c>
      <x:c r="E100" t="str">
        <x:f>IF(A100="","",IF(C100="MXN",IF(AND(Settings!$B$8="APPROVED",Settings!$B$9&lt;&gt;"",Settings!$B$10&lt;&gt;"",Settings!$B$2&gt;0),'ERP Snapshot'!I100/Settings!$B$2,""),'ERP Snapshot'!I100))</x:f>
      </x:c>
      <x:c r="F100" t="str">
        <x:f>IF(A100="","",IF(AND(ISNUMBER(D100),ISNUMBER(E100)),D100-E100,""))</x:f>
      </x:c>
      <x:c r="G100" t="str">
        <x:f>IF(A100="","",IF(ISNUMBER('ERP Snapshot'!F100),'ERP Snapshot'!F100,""))</x:f>
      </x:c>
      <x:c r="H100" t="str">
        <x:f>IF(A100="","",'ERP Snapshot'!G100)</x:f>
      </x:c>
      <x:c r="I100" t="str">
        <x:f>IF(A100="","",IF(ISNUMBER('ERP Snapshot'!S100),'ERP Snapshot'!S100,""))</x:f>
      </x:c>
      <x:c r="J100" t="str">
        <x:f>IF(A100="","",IF(AND(ISNUMBER(G100),ISNUMBER(I100)),G100-I100,""))</x:f>
      </x:c>
      <x:c r="K100" s="8" t="str">
        <x:f>IF(A100="","",IF(AND(ISNUMBER(G100),G100&gt;0,ISNUMBER(I100)),I100/G100,""))</x:f>
      </x:c>
      <x:c r="L100" t="str">
        <x:f>IF(A100="","",IF(NOT(ISNUMBER(G100)),"BUDGET DATA REQUIRED",IF(G100&lt;=0,"REVIEW: NO BUDGET",IF(NOT(ISNUMBER(I100)),"PO DATA REQUIRED",IF(I100&lt;0,"REVIEW: PO AMOUNT",IF(K100&gt;1,"OVER BUDGET",IF(K100=1,"BUDGET EXHAUSTED",IF(K100&gt;=Settings!$B$3,"PREVENTIVE ALERT","OK"))))))))</x:f>
      </x:c>
      <x:c r="M100" t="str">
        <x:f>IF(A100="","",'ERP Snapshot'!K100)</x:f>
      </x:c>
      <x:c r="N100" t="str">
        <x:f>IF(A100="","",COUNTIFS(Exceptions!$A$2:$A$101,A100,Exceptions!$E$2:$E$101,"Open"))</x:f>
      </x:c>
      <x:c r="O100" t="str">
        <x:f>IF(A100="","",IF(AND(C100="MXN",OR(D100="",E100="")),"FX HOLD",IF(E100&gt;D100,"REVIEW: ABOVE CUSTOMER PO",IF('PO Authorization'!H100="REVIEW: SNAPSHOT DIFFERS","REVIEW: PO SNAPSHOT",IF(E100=D100,"FULLY INVOICED",IF(E100&gt;0,"PARTIAL INVOICE","NOT INVOICED"))))))</x:f>
      </x:c>
      <x:c r="P100" t="str">
        <x:f>IF(A100="","",IF(OR(O100="FX HOLD",O100="REVIEW: PO SNAPSHOT",L100="OVER BUDGET",L100="BUDGET EXHAUSTED",O100="REVIEW: ABOVE CUSTOMER PO",'ERP Snapshot'!L100="YES"),"CRITICAL / REVIEW",IF(OR(L100="PO DATA REQUIRED",L100="BUDGET DATA REQUIRED",L100="REVIEW: NO BUDGET",L100="REVIEW: PO AMOUNT",N100&gt;0,M100&gt;0,F100&gt;0),"FOLLOW UP","NORMAL")))</x:f>
      </x:c>
      <x:c r="Q100" t="str">
        <x:f>IF(A100="","",'ERP Snapshot'!N100)</x:f>
      </x:c>
      <x:c r="R100" t="str">
        <x:f>IF(A100="","",'ERP Snapshot'!Q100)</x:f>
      </x:c>
      <x:c r="S100" t="str">
        <x:f>IF(A100="","",'ERP Snapshot'!R100)</x:f>
      </x:c>
      <x:c r="T100" t="str">
        <x:f>IF(A100="","",'ERP Snapshot'!C100)</x:f>
      </x:c>
    </x:row>
    <x:row r="101">
      <x:c r="A101" t="str">
        <x:f>IF('ERP Snapshot'!A101="","",'ERP Snapshot'!A101)</x:f>
      </x:c>
      <x:c r="B101" t="str">
        <x:f>IF(A101="","",'ERP Snapshot'!B101)</x:f>
      </x:c>
      <x:c r="C101" t="str">
        <x:f>IF(A101="","",'ERP Snapshot'!D101)</x:f>
      </x:c>
      <x:c r="D101" t="str">
        <x:f>IF(A101="","",IF(C101="MXN",IF(AND(Settings!$B$8="APPROVED",Settings!$B$9&lt;&gt;"",Settings!$B$10&lt;&gt;"",Settings!$B$2&gt;0),'PO Authorization'!F101/Settings!$B$2,""),'PO Authorization'!F101))</x:f>
      </x:c>
      <x:c r="E101" t="str">
        <x:f>IF(A101="","",IF(C101="MXN",IF(AND(Settings!$B$8="APPROVED",Settings!$B$9&lt;&gt;"",Settings!$B$10&lt;&gt;"",Settings!$B$2&gt;0),'ERP Snapshot'!I101/Settings!$B$2,""),'ERP Snapshot'!I101))</x:f>
      </x:c>
      <x:c r="F101" t="str">
        <x:f>IF(A101="","",IF(AND(ISNUMBER(D101),ISNUMBER(E101)),D101-E101,""))</x:f>
      </x:c>
      <x:c r="G101" t="str">
        <x:f>IF(A101="","",IF(ISNUMBER('ERP Snapshot'!F101),'ERP Snapshot'!F101,""))</x:f>
      </x:c>
      <x:c r="H101" t="str">
        <x:f>IF(A101="","",'ERP Snapshot'!G101)</x:f>
      </x:c>
      <x:c r="I101" t="str">
        <x:f>IF(A101="","",IF(ISNUMBER('ERP Snapshot'!S101),'ERP Snapshot'!S101,""))</x:f>
      </x:c>
      <x:c r="J101" t="str">
        <x:f>IF(A101="","",IF(AND(ISNUMBER(G101),ISNUMBER(I101)),G101-I101,""))</x:f>
      </x:c>
      <x:c r="K101" s="8" t="str">
        <x:f>IF(A101="","",IF(AND(ISNUMBER(G101),G101&gt;0,ISNUMBER(I101)),I101/G101,""))</x:f>
      </x:c>
      <x:c r="L101" t="str">
        <x:f>IF(A101="","",IF(NOT(ISNUMBER(G101)),"BUDGET DATA REQUIRED",IF(G101&lt;=0,"REVIEW: NO BUDGET",IF(NOT(ISNUMBER(I101)),"PO DATA REQUIRED",IF(I101&lt;0,"REVIEW: PO AMOUNT",IF(K101&gt;1,"OVER BUDGET",IF(K101=1,"BUDGET EXHAUSTED",IF(K101&gt;=Settings!$B$3,"PREVENTIVE ALERT","OK"))))))))</x:f>
      </x:c>
      <x:c r="M101" t="str">
        <x:f>IF(A101="","",'ERP Snapshot'!K101)</x:f>
      </x:c>
      <x:c r="N101" t="str">
        <x:f>IF(A101="","",COUNTIFS(Exceptions!$A$2:$A$101,A101,Exceptions!$E$2:$E$101,"Open"))</x:f>
      </x:c>
      <x:c r="O101" t="str">
        <x:f>IF(A101="","",IF(AND(C101="MXN",OR(D101="",E101="")),"FX HOLD",IF(E101&gt;D101,"REVIEW: ABOVE CUSTOMER PO",IF('PO Authorization'!H101="REVIEW: SNAPSHOT DIFFERS","REVIEW: PO SNAPSHOT",IF(E101=D101,"FULLY INVOICED",IF(E101&gt;0,"PARTIAL INVOICE","NOT INVOICED"))))))</x:f>
      </x:c>
      <x:c r="P101" t="str">
        <x:f>IF(A101="","",IF(OR(O101="FX HOLD",O101="REVIEW: PO SNAPSHOT",L101="OVER BUDGET",L101="BUDGET EXHAUSTED",O101="REVIEW: ABOVE CUSTOMER PO",'ERP Snapshot'!L101="YES"),"CRITICAL / REVIEW",IF(OR(L101="PO DATA REQUIRED",L101="BUDGET DATA REQUIRED",L101="REVIEW: NO BUDGET",L101="REVIEW: PO AMOUNT",N101&gt;0,M101&gt;0,F101&gt;0),"FOLLOW UP","NORMAL")))</x:f>
      </x:c>
      <x:c r="Q101" t="str">
        <x:f>IF(A101="","",'ERP Snapshot'!N101)</x:f>
      </x:c>
      <x:c r="R101" t="str">
        <x:f>IF(A101="","",'ERP Snapshot'!Q101)</x:f>
      </x:c>
      <x:c r="S101" t="str">
        <x:f>IF(A101="","",'ERP Snapshot'!R101)</x:f>
      </x:c>
      <x:c r="T101" t="str">
        <x:f>IF(A101="","",'ERP Snapshot'!C101)</x:f>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 hidden="0" customWidth="1"/>
    <x:col min="2" max="2" width="70"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55" hidden="0" customWidth="1"/>
  </x:cols>
  <x:sheetData>
    <x:row r="1" ht="44" customHeight="1">
      <x:c r="A1" s="21" t="str">
        <x:v>ERP Project ID</x:v>
      </x:c>
      <x:c r="B1" s="21" t="str">
        <x:v>Authorized customer PO USD</x:v>
      </x:c>
      <x:c r="C1" s="21" t="str">
        <x:v>Invoiced to date USD</x:v>
      </x:c>
      <x:c r="D1" s="21" t="str">
        <x:v>Uninvoiced USD</x:v>
      </x:c>
      <x:c r="E1" s="21" t="str">
        <x:v>Authorized operating budget USD</x:v>
      </x:c>
      <x:c r="F1" s="21" t="str">
        <x:v>Supplier PO authorized value USD</x:v>
      </x:c>
      <x:c r="G1" s="21" t="str">
        <x:v>Budget not committed via POs USD</x:v>
      </x:c>
      <x:c r="H1" s="21" t="str">
        <x:v>Budget committed via POs %</x:v>
      </x:c>
      <x:c r="I1" s="21" t="str">
        <x:v>Budget alert</x:v>
      </x:c>
      <x:c r="J1" s="21" t="str">
        <x:v>Invoice status</x:v>
      </x:c>
      <x:c r="K1" s="21" t="str">
        <x:v>Interpretation</x:v>
      </x:c>
    </x:row>
    <x:row r="2">
      <x:c r="A2" t="str">
        <x:f>IF('Project Control'!A2="","",'Project Control'!A2)</x:f>
        <x:v>100245</x:v>
      </x:c>
      <x:c r="B2" t="n">
        <x:f>IF(A2="","",IF('Project Control'!D2="","",'Project Control'!D2))</x:f>
        <x:v>50000</x:v>
      </x:c>
      <x:c r="C2" s="8" t="n">
        <x:f>IF(A2="","",IF('Project Control'!E2="","",'Project Control'!E2))</x:f>
        <x:v>28000</x:v>
      </x:c>
      <x:c r="D2" t="n">
        <x:f>IF(A2="","",IF('Project Control'!F2="","",'Project Control'!F2))</x:f>
        <x:v>22000</x:v>
      </x:c>
      <x:c r="E2" t="n">
        <x:f>IF(A2="","",IF('Project Control'!G2="","",'Project Control'!G2))</x:f>
        <x:v>38000</x:v>
      </x:c>
      <x:c r="F2" t="str">
        <x:f>IF(A2="","",IF('Project Control'!I2="","",'Project Control'!I2))</x:f>
      </x:c>
      <x:c r="G2" s="8" t="str">
        <x:f>IF(A2="","",IF('Project Control'!J2="","",'Project Control'!J2))</x:f>
      </x:c>
      <x:c r="H2" s="8" t="str">
        <x:f>IF(A2="","",IF('Project Control'!K2="","",'Project Control'!K2))</x:f>
      </x:c>
      <x:c r="I2" t="str">
        <x:f>IF(A2="","",IF('Project Control'!L2="","",'Project Control'!L2))</x:f>
        <x:v>PO DATA REQUIRED</x:v>
      </x:c>
      <x:c r="J2" s="8" t="str">
        <x:f>IF(A2="","",IF('Project Control'!O2="","",'Project Control'!O2))</x:f>
        <x:v>PARTIAL INVOICE</x:v>
      </x:c>
      <x:c r="K2" s="25" t="str">
        <x:f>IF(A2="","","OPERATIONAL CONTROL; NO RECEIPT, LIABILITY OR PAYMENT INFERENCE")</x:f>
        <x:v>OPERATIONAL CONTROL; NO RECEIPT, LIABILITY OR PAYMENT INFERENCE</x:v>
      </x:c>
    </x:row>
    <x:row r="3">
      <x:c r="A3" t="str">
        <x:f>IF('Project Control'!A3="","",'Project Control'!A3)</x:f>
        <x:v>100246</x:v>
      </x:c>
      <x:c r="B3" t="str">
        <x:f>IF(A3="","",IF('Project Control'!D3="","",'Project Control'!D3))</x:f>
      </x:c>
      <x:c r="C3" s="8" t="str">
        <x:f>IF(A3="","",IF('Project Control'!E3="","",'Project Control'!E3))</x:f>
      </x:c>
      <x:c r="D3" t="str">
        <x:f>IF(A3="","",IF('Project Control'!F3="","",'Project Control'!F3))</x:f>
      </x:c>
      <x:c r="E3" t="n">
        <x:f>IF(A3="","",IF('Project Control'!G3="","",'Project Control'!G3))</x:f>
        <x:v>32000</x:v>
      </x:c>
      <x:c r="F3" t="str">
        <x:f>IF(A3="","",IF('Project Control'!I3="","",'Project Control'!I3))</x:f>
      </x:c>
      <x:c r="G3" s="8" t="str">
        <x:f>IF(A3="","",IF('Project Control'!J3="","",'Project Control'!J3))</x:f>
      </x:c>
      <x:c r="H3" s="8" t="str">
        <x:f>IF(A3="","",IF('Project Control'!K3="","",'Project Control'!K3))</x:f>
      </x:c>
      <x:c r="I3" t="str">
        <x:f>IF(A3="","",IF('Project Control'!L3="","",'Project Control'!L3))</x:f>
        <x:v>PO DATA REQUIRED</x:v>
      </x:c>
      <x:c r="J3" s="8" t="str">
        <x:f>IF(A3="","",IF('Project Control'!O3="","",'Project Control'!O3))</x:f>
        <x:v>FX HOLD</x:v>
      </x:c>
      <x:c r="K3" s="25" t="str">
        <x:f>IF(A3="","","OPERATIONAL CONTROL; NO RECEIPT, LIABILITY OR PAYMENT INFERENCE")</x:f>
        <x:v>OPERATIONAL CONTROL; NO RECEIPT, LIABILITY OR PAYMENT INFERENCE</x:v>
      </x:c>
    </x:row>
    <x:row r="4">
      <x:c r="A4" t="str">
        <x:f>IF('Project Control'!A4="","",'Project Control'!A4)</x:f>
        <x:v>100247</x:v>
      </x:c>
      <x:c r="B4" t="n">
        <x:f>IF(A4="","",IF('Project Control'!D4="","",'Project Control'!D4))</x:f>
        <x:v>34000</x:v>
      </x:c>
      <x:c r="C4" s="8" t="n">
        <x:f>IF(A4="","",IF('Project Control'!E4="","",'Project Control'!E4))</x:f>
        <x:v>12000</x:v>
      </x:c>
      <x:c r="D4" t="n">
        <x:f>IF(A4="","",IF('Project Control'!F4="","",'Project Control'!F4))</x:f>
        <x:v>22000</x:v>
      </x:c>
      <x:c r="E4" t="n">
        <x:f>IF(A4="","",IF('Project Control'!G4="","",'Project Control'!G4))</x:f>
        <x:v>26000</x:v>
      </x:c>
      <x:c r="F4" t="str">
        <x:f>IF(A4="","",IF('Project Control'!I4="","",'Project Control'!I4))</x:f>
      </x:c>
      <x:c r="G4" s="8" t="str">
        <x:f>IF(A4="","",IF('Project Control'!J4="","",'Project Control'!J4))</x:f>
      </x:c>
      <x:c r="H4" s="8" t="str">
        <x:f>IF(A4="","",IF('Project Control'!K4="","",'Project Control'!K4))</x:f>
      </x:c>
      <x:c r="I4" t="str">
        <x:f>IF(A4="","",IF('Project Control'!L4="","",'Project Control'!L4))</x:f>
        <x:v>PO DATA REQUIRED</x:v>
      </x:c>
      <x:c r="J4" s="8" t="str">
        <x:f>IF(A4="","",IF('Project Control'!O4="","",'Project Control'!O4))</x:f>
        <x:v>PARTIAL INVOICE</x:v>
      </x:c>
      <x:c r="K4" s="25" t="str">
        <x:f>IF(A4="","","OPERATIONAL CONTROL; NO RECEIPT, LIABILITY OR PAYMENT INFERENCE")</x:f>
        <x:v>OPERATIONAL CONTROL; NO RECEIPT, LIABILITY OR PAYMENT INFERENCE</x:v>
      </x:c>
    </x:row>
    <x:row r="5">
      <x:c r="A5" t="str">
        <x:f>IF('Project Control'!A5="","",'Project Control'!A5)</x:f>
        <x:v>100248</x:v>
      </x:c>
      <x:c r="B5" t="n">
        <x:f>IF(A5="","",IF('Project Control'!D5="","",'Project Control'!D5))</x:f>
        <x:v>24000</x:v>
      </x:c>
      <x:c r="C5" s="8" t="str">
        <x:f>IF(A5="","",IF('Project Control'!E5="","",'Project Control'!E5))</x:f>
      </x:c>
      <x:c r="D5" t="n">
        <x:f>IF(A5="","",IF('Project Control'!F5="","",'Project Control'!F5))</x:f>
        <x:v>24000</x:v>
      </x:c>
      <x:c r="E5" t="n">
        <x:f>IF(A5="","",IF('Project Control'!G5="","",'Project Control'!G5))</x:f>
        <x:v>18000</x:v>
      </x:c>
      <x:c r="F5" t="str">
        <x:f>IF(A5="","",IF('Project Control'!I5="","",'Project Control'!I5))</x:f>
      </x:c>
      <x:c r="G5" s="8" t="str">
        <x:f>IF(A5="","",IF('Project Control'!J5="","",'Project Control'!J5))</x:f>
      </x:c>
      <x:c r="H5" s="8" t="str">
        <x:f>IF(A5="","",IF('Project Control'!K5="","",'Project Control'!K5))</x:f>
      </x:c>
      <x:c r="I5" t="str">
        <x:f>IF(A5="","",IF('Project Control'!L5="","",'Project Control'!L5))</x:f>
        <x:v>PO DATA REQUIRED</x:v>
      </x:c>
      <x:c r="J5" s="8" t="str">
        <x:f>IF(A5="","",IF('Project Control'!O5="","",'Project Control'!O5))</x:f>
        <x:v>NOT INVOICED</x:v>
      </x:c>
      <x:c r="K5" s="25" t="str">
        <x:f>IF(A5="","","OPERATIONAL CONTROL; NO RECEIPT, LIABILITY OR PAYMENT INFERENCE")</x:f>
        <x:v>OPERATIONAL CONTROL; NO RECEIPT, LIABILITY OR PAYMENT INFERENCE</x:v>
      </x:c>
    </x:row>
    <x:row r="6">
      <x:c r="A6" t="str">
        <x:f>IF('Project Control'!A6="","",'Project Control'!A6)</x:f>
      </x:c>
      <x:c r="B6" t="str">
        <x:f>IF(A6="","",IF('Project Control'!D6="","",'Project Control'!D6))</x:f>
      </x:c>
      <x:c r="C6" s="8" t="str">
        <x:f>IF(A6="","",IF('Project Control'!E6="","",'Project Control'!E6))</x:f>
      </x:c>
      <x:c r="D6" t="str">
        <x:f>IF(A6="","",IF('Project Control'!F6="","",'Project Control'!F6))</x:f>
      </x:c>
      <x:c r="E6" t="str">
        <x:f>IF(A6="","",IF('Project Control'!G6="","",'Project Control'!G6))</x:f>
      </x:c>
      <x:c r="F6" t="str">
        <x:f>IF(A6="","",IF('Project Control'!I6="","",'Project Control'!I6))</x:f>
      </x:c>
      <x:c r="G6" s="8" t="str">
        <x:f>IF(A6="","",IF('Project Control'!J6="","",'Project Control'!J6))</x:f>
      </x:c>
      <x:c r="H6" s="8" t="str">
        <x:f>IF(A6="","",IF('Project Control'!K6="","",'Project Control'!K6))</x:f>
      </x:c>
      <x:c r="I6" t="str">
        <x:f>IF(A6="","",IF('Project Control'!L6="","",'Project Control'!L6))</x:f>
      </x:c>
      <x:c r="J6" s="8" t="str">
        <x:f>IF(A6="","",IF('Project Control'!O6="","",'Project Control'!O6))</x:f>
      </x:c>
      <x:c r="K6" s="25" t="str">
        <x:f>IF(A6="","","OPERATIONAL CONTROL; NO RECEIPT, LIABILITY OR PAYMENT INFERENCE")</x:f>
      </x:c>
    </x:row>
    <x:row r="7">
      <x:c r="A7" t="str">
        <x:f>IF('Project Control'!A7="","",'Project Control'!A7)</x:f>
      </x:c>
      <x:c r="B7" t="str">
        <x:f>IF(A7="","",IF('Project Control'!D7="","",'Project Control'!D7))</x:f>
      </x:c>
      <x:c r="C7" s="8" t="str">
        <x:f>IF(A7="","",IF('Project Control'!E7="","",'Project Control'!E7))</x:f>
      </x:c>
      <x:c r="D7" t="str">
        <x:f>IF(A7="","",IF('Project Control'!F7="","",'Project Control'!F7))</x:f>
      </x:c>
      <x:c r="E7" t="str">
        <x:f>IF(A7="","",IF('Project Control'!G7="","",'Project Control'!G7))</x:f>
      </x:c>
      <x:c r="F7" t="str">
        <x:f>IF(A7="","",IF('Project Control'!I7="","",'Project Control'!I7))</x:f>
      </x:c>
      <x:c r="G7" s="8" t="str">
        <x:f>IF(A7="","",IF('Project Control'!J7="","",'Project Control'!J7))</x:f>
      </x:c>
      <x:c r="H7" s="8" t="str">
        <x:f>IF(A7="","",IF('Project Control'!K7="","",'Project Control'!K7))</x:f>
      </x:c>
      <x:c r="I7" t="str">
        <x:f>IF(A7="","",IF('Project Control'!L7="","",'Project Control'!L7))</x:f>
      </x:c>
      <x:c r="J7" s="8" t="str">
        <x:f>IF(A7="","",IF('Project Control'!O7="","",'Project Control'!O7))</x:f>
      </x:c>
      <x:c r="K7" s="25" t="str">
        <x:f>IF(A7="","","OPERATIONAL CONTROL; NO RECEIPT, LIABILITY OR PAYMENT INFERENCE")</x:f>
      </x:c>
    </x:row>
    <x:row r="8">
      <x:c r="A8" t="str">
        <x:f>IF('Project Control'!A8="","",'Project Control'!A8)</x:f>
      </x:c>
      <x:c r="B8" t="str">
        <x:f>IF(A8="","",IF('Project Control'!D8="","",'Project Control'!D8))</x:f>
      </x:c>
      <x:c r="C8" s="8" t="str">
        <x:f>IF(A8="","",IF('Project Control'!E8="","",'Project Control'!E8))</x:f>
      </x:c>
      <x:c r="D8" t="str">
        <x:f>IF(A8="","",IF('Project Control'!F8="","",'Project Control'!F8))</x:f>
      </x:c>
      <x:c r="E8" t="str">
        <x:f>IF(A8="","",IF('Project Control'!G8="","",'Project Control'!G8))</x:f>
      </x:c>
      <x:c r="F8" t="str">
        <x:f>IF(A8="","",IF('Project Control'!I8="","",'Project Control'!I8))</x:f>
      </x:c>
      <x:c r="G8" s="8" t="str">
        <x:f>IF(A8="","",IF('Project Control'!J8="","",'Project Control'!J8))</x:f>
      </x:c>
      <x:c r="H8" s="8" t="str">
        <x:f>IF(A8="","",IF('Project Control'!K8="","",'Project Control'!K8))</x:f>
      </x:c>
      <x:c r="I8" t="str">
        <x:f>IF(A8="","",IF('Project Control'!L8="","",'Project Control'!L8))</x:f>
      </x:c>
      <x:c r="J8" s="8" t="str">
        <x:f>IF(A8="","",IF('Project Control'!O8="","",'Project Control'!O8))</x:f>
      </x:c>
      <x:c r="K8" s="25" t="str">
        <x:f>IF(A8="","","OPERATIONAL CONTROL; NO RECEIPT, LIABILITY OR PAYMENT INFERENCE")</x:f>
      </x:c>
    </x:row>
    <x:row r="9">
      <x:c r="A9" t="str">
        <x:f>IF('Project Control'!A9="","",'Project Control'!A9)</x:f>
      </x:c>
      <x:c r="B9" t="str">
        <x:f>IF(A9="","",IF('Project Control'!D9="","",'Project Control'!D9))</x:f>
      </x:c>
      <x:c r="C9" s="8" t="str">
        <x:f>IF(A9="","",IF('Project Control'!E9="","",'Project Control'!E9))</x:f>
      </x:c>
      <x:c r="D9" t="str">
        <x:f>IF(A9="","",IF('Project Control'!F9="","",'Project Control'!F9))</x:f>
      </x:c>
      <x:c r="E9" t="str">
        <x:f>IF(A9="","",IF('Project Control'!G9="","",'Project Control'!G9))</x:f>
      </x:c>
      <x:c r="F9" t="str">
        <x:f>IF(A9="","",IF('Project Control'!I9="","",'Project Control'!I9))</x:f>
      </x:c>
      <x:c r="G9" s="8" t="str">
        <x:f>IF(A9="","",IF('Project Control'!J9="","",'Project Control'!J9))</x:f>
      </x:c>
      <x:c r="H9" s="8" t="str">
        <x:f>IF(A9="","",IF('Project Control'!K9="","",'Project Control'!K9))</x:f>
      </x:c>
      <x:c r="I9" t="str">
        <x:f>IF(A9="","",IF('Project Control'!L9="","",'Project Control'!L9))</x:f>
      </x:c>
      <x:c r="J9" s="8" t="str">
        <x:f>IF(A9="","",IF('Project Control'!O9="","",'Project Control'!O9))</x:f>
      </x:c>
      <x:c r="K9" s="25" t="str">
        <x:f>IF(A9="","","OPERATIONAL CONTROL; NO RECEIPT, LIABILITY OR PAYMENT INFERENCE")</x:f>
      </x:c>
    </x:row>
    <x:row r="10">
      <x:c r="A10" t="str">
        <x:f>IF('Project Control'!A10="","",'Project Control'!A10)</x:f>
      </x:c>
      <x:c r="B10" t="str">
        <x:f>IF(A10="","",IF('Project Control'!D10="","",'Project Control'!D10))</x:f>
      </x:c>
      <x:c r="C10" s="8" t="str">
        <x:f>IF(A10="","",IF('Project Control'!E10="","",'Project Control'!E10))</x:f>
      </x:c>
      <x:c r="D10" t="str">
        <x:f>IF(A10="","",IF('Project Control'!F10="","",'Project Control'!F10))</x:f>
      </x:c>
      <x:c r="E10" t="str">
        <x:f>IF(A10="","",IF('Project Control'!G10="","",'Project Control'!G10))</x:f>
      </x:c>
      <x:c r="F10" t="str">
        <x:f>IF(A10="","",IF('Project Control'!I10="","",'Project Control'!I10))</x:f>
      </x:c>
      <x:c r="G10" s="8" t="str">
        <x:f>IF(A10="","",IF('Project Control'!J10="","",'Project Control'!J10))</x:f>
      </x:c>
      <x:c r="H10" s="8" t="str">
        <x:f>IF(A10="","",IF('Project Control'!K10="","",'Project Control'!K10))</x:f>
      </x:c>
      <x:c r="I10" t="str">
        <x:f>IF(A10="","",IF('Project Control'!L10="","",'Project Control'!L10))</x:f>
      </x:c>
      <x:c r="J10" s="8" t="str">
        <x:f>IF(A10="","",IF('Project Control'!O10="","",'Project Control'!O10))</x:f>
      </x:c>
      <x:c r="K10" s="25" t="str">
        <x:f>IF(A10="","","OPERATIONAL CONTROL; NO RECEIPT, LIABILITY OR PAYMENT INFERENCE")</x:f>
      </x:c>
    </x:row>
    <x:row r="11">
      <x:c r="A11" t="str">
        <x:f>IF('Project Control'!A11="","",'Project Control'!A11)</x:f>
      </x:c>
      <x:c r="B11" t="str">
        <x:f>IF(A11="","",IF('Project Control'!D11="","",'Project Control'!D11))</x:f>
      </x:c>
      <x:c r="C11" s="8" t="str">
        <x:f>IF(A11="","",IF('Project Control'!E11="","",'Project Control'!E11))</x:f>
      </x:c>
      <x:c r="D11" t="str">
        <x:f>IF(A11="","",IF('Project Control'!F11="","",'Project Control'!F11))</x:f>
      </x:c>
      <x:c r="E11" t="str">
        <x:f>IF(A11="","",IF('Project Control'!G11="","",'Project Control'!G11))</x:f>
      </x:c>
      <x:c r="F11" t="str">
        <x:f>IF(A11="","",IF('Project Control'!I11="","",'Project Control'!I11))</x:f>
      </x:c>
      <x:c r="G11" s="8" t="str">
        <x:f>IF(A11="","",IF('Project Control'!J11="","",'Project Control'!J11))</x:f>
      </x:c>
      <x:c r="H11" s="8" t="str">
        <x:f>IF(A11="","",IF('Project Control'!K11="","",'Project Control'!K11))</x:f>
      </x:c>
      <x:c r="I11" t="str">
        <x:f>IF(A11="","",IF('Project Control'!L11="","",'Project Control'!L11))</x:f>
      </x:c>
      <x:c r="J11" s="8" t="str">
        <x:f>IF(A11="","",IF('Project Control'!O11="","",'Project Control'!O11))</x:f>
      </x:c>
      <x:c r="K11" s="25" t="str">
        <x:f>IF(A11="","","OPERATIONAL CONTROL; NO RECEIPT, LIABILITY OR PAYMENT INFERENCE")</x:f>
      </x:c>
    </x:row>
    <x:row r="12">
      <x:c r="A12" t="str">
        <x:f>IF('Project Control'!A12="","",'Project Control'!A12)</x:f>
      </x:c>
      <x:c r="B12" t="str">
        <x:f>IF(A12="","",IF('Project Control'!D12="","",'Project Control'!D12))</x:f>
      </x:c>
      <x:c r="C12" s="8" t="str">
        <x:f>IF(A12="","",IF('Project Control'!E12="","",'Project Control'!E12))</x:f>
      </x:c>
      <x:c r="D12" t="str">
        <x:f>IF(A12="","",IF('Project Control'!F12="","",'Project Control'!F12))</x:f>
      </x:c>
      <x:c r="E12" t="str">
        <x:f>IF(A12="","",IF('Project Control'!G12="","",'Project Control'!G12))</x:f>
      </x:c>
      <x:c r="F12" t="str">
        <x:f>IF(A12="","",IF('Project Control'!I12="","",'Project Control'!I12))</x:f>
      </x:c>
      <x:c r="G12" s="8" t="str">
        <x:f>IF(A12="","",IF('Project Control'!J12="","",'Project Control'!J12))</x:f>
      </x:c>
      <x:c r="H12" s="8" t="str">
        <x:f>IF(A12="","",IF('Project Control'!K12="","",'Project Control'!K12))</x:f>
      </x:c>
      <x:c r="I12" t="str">
        <x:f>IF(A12="","",IF('Project Control'!L12="","",'Project Control'!L12))</x:f>
      </x:c>
      <x:c r="J12" s="8" t="str">
        <x:f>IF(A12="","",IF('Project Control'!O12="","",'Project Control'!O12))</x:f>
      </x:c>
      <x:c r="K12" s="25" t="str">
        <x:f>IF(A12="","","OPERATIONAL CONTROL; NO RECEIPT, LIABILITY OR PAYMENT INFERENCE")</x:f>
      </x:c>
    </x:row>
    <x:row r="13">
      <x:c r="A13" t="str">
        <x:f>IF('Project Control'!A13="","",'Project Control'!A13)</x:f>
      </x:c>
      <x:c r="B13" t="str">
        <x:f>IF(A13="","",IF('Project Control'!D13="","",'Project Control'!D13))</x:f>
      </x:c>
      <x:c r="C13" s="8" t="str">
        <x:f>IF(A13="","",IF('Project Control'!E13="","",'Project Control'!E13))</x:f>
      </x:c>
      <x:c r="D13" t="str">
        <x:f>IF(A13="","",IF('Project Control'!F13="","",'Project Control'!F13))</x:f>
      </x:c>
      <x:c r="E13" t="str">
        <x:f>IF(A13="","",IF('Project Control'!G13="","",'Project Control'!G13))</x:f>
      </x:c>
      <x:c r="F13" t="str">
        <x:f>IF(A13="","",IF('Project Control'!I13="","",'Project Control'!I13))</x:f>
      </x:c>
      <x:c r="G13" s="8" t="str">
        <x:f>IF(A13="","",IF('Project Control'!J13="","",'Project Control'!J13))</x:f>
      </x:c>
      <x:c r="H13" s="8" t="str">
        <x:f>IF(A13="","",IF('Project Control'!K13="","",'Project Control'!K13))</x:f>
      </x:c>
      <x:c r="I13" t="str">
        <x:f>IF(A13="","",IF('Project Control'!L13="","",'Project Control'!L13))</x:f>
      </x:c>
      <x:c r="J13" s="8" t="str">
        <x:f>IF(A13="","",IF('Project Control'!O13="","",'Project Control'!O13))</x:f>
      </x:c>
      <x:c r="K13" s="25" t="str">
        <x:f>IF(A13="","","OPERATIONAL CONTROL; NO RECEIPT, LIABILITY OR PAYMENT INFERENCE")</x:f>
      </x:c>
    </x:row>
    <x:row r="14">
      <x:c r="A14" t="str">
        <x:f>IF('Project Control'!A14="","",'Project Control'!A14)</x:f>
      </x:c>
      <x:c r="B14" t="str">
        <x:f>IF(A14="","",IF('Project Control'!D14="","",'Project Control'!D14))</x:f>
      </x:c>
      <x:c r="C14" s="8" t="str">
        <x:f>IF(A14="","",IF('Project Control'!E14="","",'Project Control'!E14))</x:f>
      </x:c>
      <x:c r="D14" t="str">
        <x:f>IF(A14="","",IF('Project Control'!F14="","",'Project Control'!F14))</x:f>
      </x:c>
      <x:c r="E14" t="str">
        <x:f>IF(A14="","",IF('Project Control'!G14="","",'Project Control'!G14))</x:f>
      </x:c>
      <x:c r="F14" t="str">
        <x:f>IF(A14="","",IF('Project Control'!I14="","",'Project Control'!I14))</x:f>
      </x:c>
      <x:c r="G14" s="8" t="str">
        <x:f>IF(A14="","",IF('Project Control'!J14="","",'Project Control'!J14))</x:f>
      </x:c>
      <x:c r="H14" s="8" t="str">
        <x:f>IF(A14="","",IF('Project Control'!K14="","",'Project Control'!K14))</x:f>
      </x:c>
      <x:c r="I14" t="str">
        <x:f>IF(A14="","",IF('Project Control'!L14="","",'Project Control'!L14))</x:f>
      </x:c>
      <x:c r="J14" s="8" t="str">
        <x:f>IF(A14="","",IF('Project Control'!O14="","",'Project Control'!O14))</x:f>
      </x:c>
      <x:c r="K14" s="25" t="str">
        <x:f>IF(A14="","","OPERATIONAL CONTROL; NO RECEIPT, LIABILITY OR PAYMENT INFERENCE")</x:f>
      </x:c>
    </x:row>
    <x:row r="15">
      <x:c r="A15" t="str">
        <x:f>IF('Project Control'!A15="","",'Project Control'!A15)</x:f>
      </x:c>
      <x:c r="B15" t="str">
        <x:f>IF(A15="","",IF('Project Control'!D15="","",'Project Control'!D15))</x:f>
      </x:c>
      <x:c r="C15" s="8" t="str">
        <x:f>IF(A15="","",IF('Project Control'!E15="","",'Project Control'!E15))</x:f>
      </x:c>
      <x:c r="D15" t="str">
        <x:f>IF(A15="","",IF('Project Control'!F15="","",'Project Control'!F15))</x:f>
      </x:c>
      <x:c r="E15" t="str">
        <x:f>IF(A15="","",IF('Project Control'!G15="","",'Project Control'!G15))</x:f>
      </x:c>
      <x:c r="F15" t="str">
        <x:f>IF(A15="","",IF('Project Control'!I15="","",'Project Control'!I15))</x:f>
      </x:c>
      <x:c r="G15" s="8" t="str">
        <x:f>IF(A15="","",IF('Project Control'!J15="","",'Project Control'!J15))</x:f>
      </x:c>
      <x:c r="H15" s="8" t="str">
        <x:f>IF(A15="","",IF('Project Control'!K15="","",'Project Control'!K15))</x:f>
      </x:c>
      <x:c r="I15" t="str">
        <x:f>IF(A15="","",IF('Project Control'!L15="","",'Project Control'!L15))</x:f>
      </x:c>
      <x:c r="J15" s="8" t="str">
        <x:f>IF(A15="","",IF('Project Control'!O15="","",'Project Control'!O15))</x:f>
      </x:c>
      <x:c r="K15" s="25" t="str">
        <x:f>IF(A15="","","OPERATIONAL CONTROL; NO RECEIPT, LIABILITY OR PAYMENT INFERENCE")</x:f>
      </x:c>
    </x:row>
    <x:row r="16">
      <x:c r="A16" t="str">
        <x:f>IF('Project Control'!A16="","",'Project Control'!A16)</x:f>
      </x:c>
      <x:c r="B16" t="str">
        <x:f>IF(A16="","",IF('Project Control'!D16="","",'Project Control'!D16))</x:f>
      </x:c>
      <x:c r="C16" s="8" t="str">
        <x:f>IF(A16="","",IF('Project Control'!E16="","",'Project Control'!E16))</x:f>
      </x:c>
      <x:c r="D16" t="str">
        <x:f>IF(A16="","",IF('Project Control'!F16="","",'Project Control'!F16))</x:f>
      </x:c>
      <x:c r="E16" t="str">
        <x:f>IF(A16="","",IF('Project Control'!G16="","",'Project Control'!G16))</x:f>
      </x:c>
      <x:c r="F16" t="str">
        <x:f>IF(A16="","",IF('Project Control'!I16="","",'Project Control'!I16))</x:f>
      </x:c>
      <x:c r="G16" s="8" t="str">
        <x:f>IF(A16="","",IF('Project Control'!J16="","",'Project Control'!J16))</x:f>
      </x:c>
      <x:c r="H16" s="8" t="str">
        <x:f>IF(A16="","",IF('Project Control'!K16="","",'Project Control'!K16))</x:f>
      </x:c>
      <x:c r="I16" t="str">
        <x:f>IF(A16="","",IF('Project Control'!L16="","",'Project Control'!L16))</x:f>
      </x:c>
      <x:c r="J16" s="8" t="str">
        <x:f>IF(A16="","",IF('Project Control'!O16="","",'Project Control'!O16))</x:f>
      </x:c>
      <x:c r="K16" s="25" t="str">
        <x:f>IF(A16="","","OPERATIONAL CONTROL; NO RECEIPT, LIABILITY OR PAYMENT INFERENCE")</x:f>
      </x:c>
    </x:row>
    <x:row r="17">
      <x:c r="A17" t="str">
        <x:f>IF('Project Control'!A17="","",'Project Control'!A17)</x:f>
      </x:c>
      <x:c r="B17" t="str">
        <x:f>IF(A17="","",IF('Project Control'!D17="","",'Project Control'!D17))</x:f>
      </x:c>
      <x:c r="C17" s="8" t="str">
        <x:f>IF(A17="","",IF('Project Control'!E17="","",'Project Control'!E17))</x:f>
      </x:c>
      <x:c r="D17" t="str">
        <x:f>IF(A17="","",IF('Project Control'!F17="","",'Project Control'!F17))</x:f>
      </x:c>
      <x:c r="E17" t="str">
        <x:f>IF(A17="","",IF('Project Control'!G17="","",'Project Control'!G17))</x:f>
      </x:c>
      <x:c r="F17" t="str">
        <x:f>IF(A17="","",IF('Project Control'!I17="","",'Project Control'!I17))</x:f>
      </x:c>
      <x:c r="G17" s="8" t="str">
        <x:f>IF(A17="","",IF('Project Control'!J17="","",'Project Control'!J17))</x:f>
      </x:c>
      <x:c r="H17" s="8" t="str">
        <x:f>IF(A17="","",IF('Project Control'!K17="","",'Project Control'!K17))</x:f>
      </x:c>
      <x:c r="I17" t="str">
        <x:f>IF(A17="","",IF('Project Control'!L17="","",'Project Control'!L17))</x:f>
      </x:c>
      <x:c r="J17" s="8" t="str">
        <x:f>IF(A17="","",IF('Project Control'!O17="","",'Project Control'!O17))</x:f>
      </x:c>
      <x:c r="K17" s="25" t="str">
        <x:f>IF(A17="","","OPERATIONAL CONTROL; NO RECEIPT, LIABILITY OR PAYMENT INFERENCE")</x:f>
      </x:c>
    </x:row>
    <x:row r="18">
      <x:c r="A18" t="str">
        <x:f>IF('Project Control'!A18="","",'Project Control'!A18)</x:f>
      </x:c>
      <x:c r="B18" t="str">
        <x:f>IF(A18="","",IF('Project Control'!D18="","",'Project Control'!D18))</x:f>
      </x:c>
      <x:c r="C18" s="8" t="str">
        <x:f>IF(A18="","",IF('Project Control'!E18="","",'Project Control'!E18))</x:f>
      </x:c>
      <x:c r="D18" t="str">
        <x:f>IF(A18="","",IF('Project Control'!F18="","",'Project Control'!F18))</x:f>
      </x:c>
      <x:c r="E18" t="str">
        <x:f>IF(A18="","",IF('Project Control'!G18="","",'Project Control'!G18))</x:f>
      </x:c>
      <x:c r="F18" t="str">
        <x:f>IF(A18="","",IF('Project Control'!I18="","",'Project Control'!I18))</x:f>
      </x:c>
      <x:c r="G18" s="8" t="str">
        <x:f>IF(A18="","",IF('Project Control'!J18="","",'Project Control'!J18))</x:f>
      </x:c>
      <x:c r="H18" s="8" t="str">
        <x:f>IF(A18="","",IF('Project Control'!K18="","",'Project Control'!K18))</x:f>
      </x:c>
      <x:c r="I18" t="str">
        <x:f>IF(A18="","",IF('Project Control'!L18="","",'Project Control'!L18))</x:f>
      </x:c>
      <x:c r="J18" s="8" t="str">
        <x:f>IF(A18="","",IF('Project Control'!O18="","",'Project Control'!O18))</x:f>
      </x:c>
      <x:c r="K18" s="25" t="str">
        <x:f>IF(A18="","","OPERATIONAL CONTROL; NO RECEIPT, LIABILITY OR PAYMENT INFERENCE")</x:f>
      </x:c>
    </x:row>
    <x:row r="19">
      <x:c r="A19" t="str">
        <x:f>IF('Project Control'!A19="","",'Project Control'!A19)</x:f>
      </x:c>
      <x:c r="B19" t="str">
        <x:f>IF(A19="","",IF('Project Control'!D19="","",'Project Control'!D19))</x:f>
      </x:c>
      <x:c r="C19" s="8" t="str">
        <x:f>IF(A19="","",IF('Project Control'!E19="","",'Project Control'!E19))</x:f>
      </x:c>
      <x:c r="D19" t="str">
        <x:f>IF(A19="","",IF('Project Control'!F19="","",'Project Control'!F19))</x:f>
      </x:c>
      <x:c r="E19" t="str">
        <x:f>IF(A19="","",IF('Project Control'!G19="","",'Project Control'!G19))</x:f>
      </x:c>
      <x:c r="F19" t="str">
        <x:f>IF(A19="","",IF('Project Control'!I19="","",'Project Control'!I19))</x:f>
      </x:c>
      <x:c r="G19" s="8" t="str">
        <x:f>IF(A19="","",IF('Project Control'!J19="","",'Project Control'!J19))</x:f>
      </x:c>
      <x:c r="H19" s="8" t="str">
        <x:f>IF(A19="","",IF('Project Control'!K19="","",'Project Control'!K19))</x:f>
      </x:c>
      <x:c r="I19" t="str">
        <x:f>IF(A19="","",IF('Project Control'!L19="","",'Project Control'!L19))</x:f>
      </x:c>
      <x:c r="J19" s="8" t="str">
        <x:f>IF(A19="","",IF('Project Control'!O19="","",'Project Control'!O19))</x:f>
      </x:c>
      <x:c r="K19" s="25" t="str">
        <x:f>IF(A19="","","OPERATIONAL CONTROL; NO RECEIPT, LIABILITY OR PAYMENT INFERENCE")</x:f>
      </x:c>
    </x:row>
    <x:row r="20">
      <x:c r="A20" t="str">
        <x:f>IF('Project Control'!A20="","",'Project Control'!A20)</x:f>
      </x:c>
      <x:c r="B20" t="str">
        <x:f>IF(A20="","",IF('Project Control'!D20="","",'Project Control'!D20))</x:f>
      </x:c>
      <x:c r="C20" s="8" t="str">
        <x:f>IF(A20="","",IF('Project Control'!E20="","",'Project Control'!E20))</x:f>
      </x:c>
      <x:c r="D20" t="str">
        <x:f>IF(A20="","",IF('Project Control'!F20="","",'Project Control'!F20))</x:f>
      </x:c>
      <x:c r="E20" t="str">
        <x:f>IF(A20="","",IF('Project Control'!G20="","",'Project Control'!G20))</x:f>
      </x:c>
      <x:c r="F20" t="str">
        <x:f>IF(A20="","",IF('Project Control'!I20="","",'Project Control'!I20))</x:f>
      </x:c>
      <x:c r="G20" s="8" t="str">
        <x:f>IF(A20="","",IF('Project Control'!J20="","",'Project Control'!J20))</x:f>
      </x:c>
      <x:c r="H20" s="8" t="str">
        <x:f>IF(A20="","",IF('Project Control'!K20="","",'Project Control'!K20))</x:f>
      </x:c>
      <x:c r="I20" t="str">
        <x:f>IF(A20="","",IF('Project Control'!L20="","",'Project Control'!L20))</x:f>
      </x:c>
      <x:c r="J20" s="8" t="str">
        <x:f>IF(A20="","",IF('Project Control'!O20="","",'Project Control'!O20))</x:f>
      </x:c>
      <x:c r="K20" s="25" t="str">
        <x:f>IF(A20="","","OPERATIONAL CONTROL; NO RECEIPT, LIABILITY OR PAYMENT INFERENCE")</x:f>
      </x:c>
    </x:row>
    <x:row r="21">
      <x:c r="A21" t="str">
        <x:f>IF('Project Control'!A21="","",'Project Control'!A21)</x:f>
      </x:c>
      <x:c r="B21" t="str">
        <x:f>IF(A21="","",IF('Project Control'!D21="","",'Project Control'!D21))</x:f>
      </x:c>
      <x:c r="C21" s="8" t="str">
        <x:f>IF(A21="","",IF('Project Control'!E21="","",'Project Control'!E21))</x:f>
      </x:c>
      <x:c r="D21" t="str">
        <x:f>IF(A21="","",IF('Project Control'!F21="","",'Project Control'!F21))</x:f>
      </x:c>
      <x:c r="E21" t="str">
        <x:f>IF(A21="","",IF('Project Control'!G21="","",'Project Control'!G21))</x:f>
      </x:c>
      <x:c r="F21" t="str">
        <x:f>IF(A21="","",IF('Project Control'!I21="","",'Project Control'!I21))</x:f>
      </x:c>
      <x:c r="G21" s="8" t="str">
        <x:f>IF(A21="","",IF('Project Control'!J21="","",'Project Control'!J21))</x:f>
      </x:c>
      <x:c r="H21" s="8" t="str">
        <x:f>IF(A21="","",IF('Project Control'!K21="","",'Project Control'!K21))</x:f>
      </x:c>
      <x:c r="I21" t="str">
        <x:f>IF(A21="","",IF('Project Control'!L21="","",'Project Control'!L21))</x:f>
      </x:c>
      <x:c r="J21" s="8" t="str">
        <x:f>IF(A21="","",IF('Project Control'!O21="","",'Project Control'!O21))</x:f>
      </x:c>
      <x:c r="K21" s="25" t="str">
        <x:f>IF(A21="","","OPERATIONAL CONTROL; NO RECEIPT, LIABILITY OR PAYMENT INFERENCE")</x:f>
      </x:c>
    </x:row>
    <x:row r="22">
      <x:c r="A22" t="str">
        <x:f>IF('Project Control'!A22="","",'Project Control'!A22)</x:f>
      </x:c>
      <x:c r="B22" t="str">
        <x:f>IF(A22="","",IF('Project Control'!D22="","",'Project Control'!D22))</x:f>
      </x:c>
      <x:c r="C22" s="8" t="str">
        <x:f>IF(A22="","",IF('Project Control'!E22="","",'Project Control'!E22))</x:f>
      </x:c>
      <x:c r="D22" t="str">
        <x:f>IF(A22="","",IF('Project Control'!F22="","",'Project Control'!F22))</x:f>
      </x:c>
      <x:c r="E22" t="str">
        <x:f>IF(A22="","",IF('Project Control'!G22="","",'Project Control'!G22))</x:f>
      </x:c>
      <x:c r="F22" t="str">
        <x:f>IF(A22="","",IF('Project Control'!I22="","",'Project Control'!I22))</x:f>
      </x:c>
      <x:c r="G22" s="8" t="str">
        <x:f>IF(A22="","",IF('Project Control'!J22="","",'Project Control'!J22))</x:f>
      </x:c>
      <x:c r="H22" s="8" t="str">
        <x:f>IF(A22="","",IF('Project Control'!K22="","",'Project Control'!K22))</x:f>
      </x:c>
      <x:c r="I22" t="str">
        <x:f>IF(A22="","",IF('Project Control'!L22="","",'Project Control'!L22))</x:f>
      </x:c>
      <x:c r="J22" s="8" t="str">
        <x:f>IF(A22="","",IF('Project Control'!O22="","",'Project Control'!O22))</x:f>
      </x:c>
      <x:c r="K22" s="25" t="str">
        <x:f>IF(A22="","","OPERATIONAL CONTROL; NO RECEIPT, LIABILITY OR PAYMENT INFERENCE")</x:f>
      </x:c>
    </x:row>
    <x:row r="23">
      <x:c r="A23" t="str">
        <x:f>IF('Project Control'!A23="","",'Project Control'!A23)</x:f>
      </x:c>
      <x:c r="B23" t="str">
        <x:f>IF(A23="","",IF('Project Control'!D23="","",'Project Control'!D23))</x:f>
      </x:c>
      <x:c r="C23" s="8" t="str">
        <x:f>IF(A23="","",IF('Project Control'!E23="","",'Project Control'!E23))</x:f>
      </x:c>
      <x:c r="D23" t="str">
        <x:f>IF(A23="","",IF('Project Control'!F23="","",'Project Control'!F23))</x:f>
      </x:c>
      <x:c r="E23" t="str">
        <x:f>IF(A23="","",IF('Project Control'!G23="","",'Project Control'!G23))</x:f>
      </x:c>
      <x:c r="F23" t="str">
        <x:f>IF(A23="","",IF('Project Control'!I23="","",'Project Control'!I23))</x:f>
      </x:c>
      <x:c r="G23" s="8" t="str">
        <x:f>IF(A23="","",IF('Project Control'!J23="","",'Project Control'!J23))</x:f>
      </x:c>
      <x:c r="H23" s="8" t="str">
        <x:f>IF(A23="","",IF('Project Control'!K23="","",'Project Control'!K23))</x:f>
      </x:c>
      <x:c r="I23" t="str">
        <x:f>IF(A23="","",IF('Project Control'!L23="","",'Project Control'!L23))</x:f>
      </x:c>
      <x:c r="J23" s="8" t="str">
        <x:f>IF(A23="","",IF('Project Control'!O23="","",'Project Control'!O23))</x:f>
      </x:c>
      <x:c r="K23" s="25" t="str">
        <x:f>IF(A23="","","OPERATIONAL CONTROL; NO RECEIPT, LIABILITY OR PAYMENT INFERENCE")</x:f>
      </x:c>
    </x:row>
    <x:row r="24">
      <x:c r="A24" t="str">
        <x:f>IF('Project Control'!A24="","",'Project Control'!A24)</x:f>
      </x:c>
      <x:c r="B24" t="str">
        <x:f>IF(A24="","",IF('Project Control'!D24="","",'Project Control'!D24))</x:f>
      </x:c>
      <x:c r="C24" s="8" t="str">
        <x:f>IF(A24="","",IF('Project Control'!E24="","",'Project Control'!E24))</x:f>
      </x:c>
      <x:c r="D24" t="str">
        <x:f>IF(A24="","",IF('Project Control'!F24="","",'Project Control'!F24))</x:f>
      </x:c>
      <x:c r="E24" t="str">
        <x:f>IF(A24="","",IF('Project Control'!G24="","",'Project Control'!G24))</x:f>
      </x:c>
      <x:c r="F24" t="str">
        <x:f>IF(A24="","",IF('Project Control'!I24="","",'Project Control'!I24))</x:f>
      </x:c>
      <x:c r="G24" s="8" t="str">
        <x:f>IF(A24="","",IF('Project Control'!J24="","",'Project Control'!J24))</x:f>
      </x:c>
      <x:c r="H24" s="8" t="str">
        <x:f>IF(A24="","",IF('Project Control'!K24="","",'Project Control'!K24))</x:f>
      </x:c>
      <x:c r="I24" t="str">
        <x:f>IF(A24="","",IF('Project Control'!L24="","",'Project Control'!L24))</x:f>
      </x:c>
      <x:c r="J24" s="8" t="str">
        <x:f>IF(A24="","",IF('Project Control'!O24="","",'Project Control'!O24))</x:f>
      </x:c>
      <x:c r="K24" s="25" t="str">
        <x:f>IF(A24="","","OPERATIONAL CONTROL; NO RECEIPT, LIABILITY OR PAYMENT INFERENCE")</x:f>
      </x:c>
    </x:row>
    <x:row r="25">
      <x:c r="A25" t="str">
        <x:f>IF('Project Control'!A25="","",'Project Control'!A25)</x:f>
      </x:c>
      <x:c r="B25" t="str">
        <x:f>IF(A25="","",IF('Project Control'!D25="","",'Project Control'!D25))</x:f>
      </x:c>
      <x:c r="C25" s="8" t="str">
        <x:f>IF(A25="","",IF('Project Control'!E25="","",'Project Control'!E25))</x:f>
      </x:c>
      <x:c r="D25" t="str">
        <x:f>IF(A25="","",IF('Project Control'!F25="","",'Project Control'!F25))</x:f>
      </x:c>
      <x:c r="E25" t="str">
        <x:f>IF(A25="","",IF('Project Control'!G25="","",'Project Control'!G25))</x:f>
      </x:c>
      <x:c r="F25" t="str">
        <x:f>IF(A25="","",IF('Project Control'!I25="","",'Project Control'!I25))</x:f>
      </x:c>
      <x:c r="G25" s="8" t="str">
        <x:f>IF(A25="","",IF('Project Control'!J25="","",'Project Control'!J25))</x:f>
      </x:c>
      <x:c r="H25" s="8" t="str">
        <x:f>IF(A25="","",IF('Project Control'!K25="","",'Project Control'!K25))</x:f>
      </x:c>
      <x:c r="I25" t="str">
        <x:f>IF(A25="","",IF('Project Control'!L25="","",'Project Control'!L25))</x:f>
      </x:c>
      <x:c r="J25" s="8" t="str">
        <x:f>IF(A25="","",IF('Project Control'!O25="","",'Project Control'!O25))</x:f>
      </x:c>
      <x:c r="K25" s="25" t="str">
        <x:f>IF(A25="","","OPERATIONAL CONTROL; NO RECEIPT, LIABILITY OR PAYMENT INFERENCE")</x:f>
      </x:c>
    </x:row>
    <x:row r="26">
      <x:c r="A26" t="str">
        <x:f>IF('Project Control'!A26="","",'Project Control'!A26)</x:f>
      </x:c>
      <x:c r="B26" t="str">
        <x:f>IF(A26="","",IF('Project Control'!D26="","",'Project Control'!D26))</x:f>
      </x:c>
      <x:c r="C26" s="8" t="str">
        <x:f>IF(A26="","",IF('Project Control'!E26="","",'Project Control'!E26))</x:f>
      </x:c>
      <x:c r="D26" t="str">
        <x:f>IF(A26="","",IF('Project Control'!F26="","",'Project Control'!F26))</x:f>
      </x:c>
      <x:c r="E26" t="str">
        <x:f>IF(A26="","",IF('Project Control'!G26="","",'Project Control'!G26))</x:f>
      </x:c>
      <x:c r="F26" t="str">
        <x:f>IF(A26="","",IF('Project Control'!I26="","",'Project Control'!I26))</x:f>
      </x:c>
      <x:c r="G26" s="8" t="str">
        <x:f>IF(A26="","",IF('Project Control'!J26="","",'Project Control'!J26))</x:f>
      </x:c>
      <x:c r="H26" s="8" t="str">
        <x:f>IF(A26="","",IF('Project Control'!K26="","",'Project Control'!K26))</x:f>
      </x:c>
      <x:c r="I26" t="str">
        <x:f>IF(A26="","",IF('Project Control'!L26="","",'Project Control'!L26))</x:f>
      </x:c>
      <x:c r="J26" s="8" t="str">
        <x:f>IF(A26="","",IF('Project Control'!O26="","",'Project Control'!O26))</x:f>
      </x:c>
      <x:c r="K26" s="25" t="str">
        <x:f>IF(A26="","","OPERATIONAL CONTROL; NO RECEIPT, LIABILITY OR PAYMENT INFERENCE")</x:f>
      </x:c>
    </x:row>
    <x:row r="27">
      <x:c r="A27" t="str">
        <x:f>IF('Project Control'!A27="","",'Project Control'!A27)</x:f>
      </x:c>
      <x:c r="B27" t="str">
        <x:f>IF(A27="","",IF('Project Control'!D27="","",'Project Control'!D27))</x:f>
      </x:c>
      <x:c r="C27" s="8" t="str">
        <x:f>IF(A27="","",IF('Project Control'!E27="","",'Project Control'!E27))</x:f>
      </x:c>
      <x:c r="D27" t="str">
        <x:f>IF(A27="","",IF('Project Control'!F27="","",'Project Control'!F27))</x:f>
      </x:c>
      <x:c r="E27" t="str">
        <x:f>IF(A27="","",IF('Project Control'!G27="","",'Project Control'!G27))</x:f>
      </x:c>
      <x:c r="F27" t="str">
        <x:f>IF(A27="","",IF('Project Control'!I27="","",'Project Control'!I27))</x:f>
      </x:c>
      <x:c r="G27" s="8" t="str">
        <x:f>IF(A27="","",IF('Project Control'!J27="","",'Project Control'!J27))</x:f>
      </x:c>
      <x:c r="H27" s="8" t="str">
        <x:f>IF(A27="","",IF('Project Control'!K27="","",'Project Control'!K27))</x:f>
      </x:c>
      <x:c r="I27" t="str">
        <x:f>IF(A27="","",IF('Project Control'!L27="","",'Project Control'!L27))</x:f>
      </x:c>
      <x:c r="J27" s="8" t="str">
        <x:f>IF(A27="","",IF('Project Control'!O27="","",'Project Control'!O27))</x:f>
      </x:c>
      <x:c r="K27" s="25" t="str">
        <x:f>IF(A27="","","OPERATIONAL CONTROL; NO RECEIPT, LIABILITY OR PAYMENT INFERENCE")</x:f>
      </x:c>
    </x:row>
    <x:row r="28">
      <x:c r="A28" t="str">
        <x:f>IF('Project Control'!A28="","",'Project Control'!A28)</x:f>
      </x:c>
      <x:c r="B28" t="str">
        <x:f>IF(A28="","",IF('Project Control'!D28="","",'Project Control'!D28))</x:f>
      </x:c>
      <x:c r="C28" s="8" t="str">
        <x:f>IF(A28="","",IF('Project Control'!E28="","",'Project Control'!E28))</x:f>
      </x:c>
      <x:c r="D28" t="str">
        <x:f>IF(A28="","",IF('Project Control'!F28="","",'Project Control'!F28))</x:f>
      </x:c>
      <x:c r="E28" t="str">
        <x:f>IF(A28="","",IF('Project Control'!G28="","",'Project Control'!G28))</x:f>
      </x:c>
      <x:c r="F28" t="str">
        <x:f>IF(A28="","",IF('Project Control'!I28="","",'Project Control'!I28))</x:f>
      </x:c>
      <x:c r="G28" s="8" t="str">
        <x:f>IF(A28="","",IF('Project Control'!J28="","",'Project Control'!J28))</x:f>
      </x:c>
      <x:c r="H28" s="8" t="str">
        <x:f>IF(A28="","",IF('Project Control'!K28="","",'Project Control'!K28))</x:f>
      </x:c>
      <x:c r="I28" t="str">
        <x:f>IF(A28="","",IF('Project Control'!L28="","",'Project Control'!L28))</x:f>
      </x:c>
      <x:c r="J28" s="8" t="str">
        <x:f>IF(A28="","",IF('Project Control'!O28="","",'Project Control'!O28))</x:f>
      </x:c>
      <x:c r="K28" s="25" t="str">
        <x:f>IF(A28="","","OPERATIONAL CONTROL; NO RECEIPT, LIABILITY OR PAYMENT INFERENCE")</x:f>
      </x:c>
    </x:row>
    <x:row r="29">
      <x:c r="A29" t="str">
        <x:f>IF('Project Control'!A29="","",'Project Control'!A29)</x:f>
      </x:c>
      <x:c r="B29" t="str">
        <x:f>IF(A29="","",IF('Project Control'!D29="","",'Project Control'!D29))</x:f>
      </x:c>
      <x:c r="C29" s="8" t="str">
        <x:f>IF(A29="","",IF('Project Control'!E29="","",'Project Control'!E29))</x:f>
      </x:c>
      <x:c r="D29" t="str">
        <x:f>IF(A29="","",IF('Project Control'!F29="","",'Project Control'!F29))</x:f>
      </x:c>
      <x:c r="E29" t="str">
        <x:f>IF(A29="","",IF('Project Control'!G29="","",'Project Control'!G29))</x:f>
      </x:c>
      <x:c r="F29" t="str">
        <x:f>IF(A29="","",IF('Project Control'!I29="","",'Project Control'!I29))</x:f>
      </x:c>
      <x:c r="G29" s="8" t="str">
        <x:f>IF(A29="","",IF('Project Control'!J29="","",'Project Control'!J29))</x:f>
      </x:c>
      <x:c r="H29" s="8" t="str">
        <x:f>IF(A29="","",IF('Project Control'!K29="","",'Project Control'!K29))</x:f>
      </x:c>
      <x:c r="I29" t="str">
        <x:f>IF(A29="","",IF('Project Control'!L29="","",'Project Control'!L29))</x:f>
      </x:c>
      <x:c r="J29" s="8" t="str">
        <x:f>IF(A29="","",IF('Project Control'!O29="","",'Project Control'!O29))</x:f>
      </x:c>
      <x:c r="K29" s="25" t="str">
        <x:f>IF(A29="","","OPERATIONAL CONTROL; NO RECEIPT, LIABILITY OR PAYMENT INFERENCE")</x:f>
      </x:c>
    </x:row>
    <x:row r="30">
      <x:c r="A30" t="str">
        <x:f>IF('Project Control'!A30="","",'Project Control'!A30)</x:f>
      </x:c>
      <x:c r="B30" t="str">
        <x:f>IF(A30="","",IF('Project Control'!D30="","",'Project Control'!D30))</x:f>
      </x:c>
      <x:c r="C30" s="8" t="str">
        <x:f>IF(A30="","",IF('Project Control'!E30="","",'Project Control'!E30))</x:f>
      </x:c>
      <x:c r="D30" t="str">
        <x:f>IF(A30="","",IF('Project Control'!F30="","",'Project Control'!F30))</x:f>
      </x:c>
      <x:c r="E30" t="str">
        <x:f>IF(A30="","",IF('Project Control'!G30="","",'Project Control'!G30))</x:f>
      </x:c>
      <x:c r="F30" t="str">
        <x:f>IF(A30="","",IF('Project Control'!I30="","",'Project Control'!I30))</x:f>
      </x:c>
      <x:c r="G30" s="8" t="str">
        <x:f>IF(A30="","",IF('Project Control'!J30="","",'Project Control'!J30))</x:f>
      </x:c>
      <x:c r="H30" s="8" t="str">
        <x:f>IF(A30="","",IF('Project Control'!K30="","",'Project Control'!K30))</x:f>
      </x:c>
      <x:c r="I30" t="str">
        <x:f>IF(A30="","",IF('Project Control'!L30="","",'Project Control'!L30))</x:f>
      </x:c>
      <x:c r="J30" s="8" t="str">
        <x:f>IF(A30="","",IF('Project Control'!O30="","",'Project Control'!O30))</x:f>
      </x:c>
      <x:c r="K30" s="25" t="str">
        <x:f>IF(A30="","","OPERATIONAL CONTROL; NO RECEIPT, LIABILITY OR PAYMENT INFERENCE")</x:f>
      </x:c>
    </x:row>
    <x:row r="31">
      <x:c r="A31" t="str">
        <x:f>IF('Project Control'!A31="","",'Project Control'!A31)</x:f>
      </x:c>
      <x:c r="B31" t="str">
        <x:f>IF(A31="","",IF('Project Control'!D31="","",'Project Control'!D31))</x:f>
      </x:c>
      <x:c r="C31" s="8" t="str">
        <x:f>IF(A31="","",IF('Project Control'!E31="","",'Project Control'!E31))</x:f>
      </x:c>
      <x:c r="D31" t="str">
        <x:f>IF(A31="","",IF('Project Control'!F31="","",'Project Control'!F31))</x:f>
      </x:c>
      <x:c r="E31" t="str">
        <x:f>IF(A31="","",IF('Project Control'!G31="","",'Project Control'!G31))</x:f>
      </x:c>
      <x:c r="F31" t="str">
        <x:f>IF(A31="","",IF('Project Control'!I31="","",'Project Control'!I31))</x:f>
      </x:c>
      <x:c r="G31" s="8" t="str">
        <x:f>IF(A31="","",IF('Project Control'!J31="","",'Project Control'!J31))</x:f>
      </x:c>
      <x:c r="H31" s="8" t="str">
        <x:f>IF(A31="","",IF('Project Control'!K31="","",'Project Control'!K31))</x:f>
      </x:c>
      <x:c r="I31" t="str">
        <x:f>IF(A31="","",IF('Project Control'!L31="","",'Project Control'!L31))</x:f>
      </x:c>
      <x:c r="J31" s="8" t="str">
        <x:f>IF(A31="","",IF('Project Control'!O31="","",'Project Control'!O31))</x:f>
      </x:c>
      <x:c r="K31" s="25" t="str">
        <x:f>IF(A31="","","OPERATIONAL CONTROL; NO RECEIPT, LIABILITY OR PAYMENT INFERENCE")</x:f>
      </x:c>
    </x:row>
    <x:row r="32">
      <x:c r="A32" t="str">
        <x:f>IF('Project Control'!A32="","",'Project Control'!A32)</x:f>
      </x:c>
      <x:c r="B32" t="str">
        <x:f>IF(A32="","",IF('Project Control'!D32="","",'Project Control'!D32))</x:f>
      </x:c>
      <x:c r="C32" s="8" t="str">
        <x:f>IF(A32="","",IF('Project Control'!E32="","",'Project Control'!E32))</x:f>
      </x:c>
      <x:c r="D32" t="str">
        <x:f>IF(A32="","",IF('Project Control'!F32="","",'Project Control'!F32))</x:f>
      </x:c>
      <x:c r="E32" t="str">
        <x:f>IF(A32="","",IF('Project Control'!G32="","",'Project Control'!G32))</x:f>
      </x:c>
      <x:c r="F32" t="str">
        <x:f>IF(A32="","",IF('Project Control'!I32="","",'Project Control'!I32))</x:f>
      </x:c>
      <x:c r="G32" s="8" t="str">
        <x:f>IF(A32="","",IF('Project Control'!J32="","",'Project Control'!J32))</x:f>
      </x:c>
      <x:c r="H32" s="8" t="str">
        <x:f>IF(A32="","",IF('Project Control'!K32="","",'Project Control'!K32))</x:f>
      </x:c>
      <x:c r="I32" t="str">
        <x:f>IF(A32="","",IF('Project Control'!L32="","",'Project Control'!L32))</x:f>
      </x:c>
      <x:c r="J32" s="8" t="str">
        <x:f>IF(A32="","",IF('Project Control'!O32="","",'Project Control'!O32))</x:f>
      </x:c>
      <x:c r="K32" s="25" t="str">
        <x:f>IF(A32="","","OPERATIONAL CONTROL; NO RECEIPT, LIABILITY OR PAYMENT INFERENCE")</x:f>
      </x:c>
    </x:row>
    <x:row r="33">
      <x:c r="A33" t="str">
        <x:f>IF('Project Control'!A33="","",'Project Control'!A33)</x:f>
      </x:c>
      <x:c r="B33" t="str">
        <x:f>IF(A33="","",IF('Project Control'!D33="","",'Project Control'!D33))</x:f>
      </x:c>
      <x:c r="C33" s="8" t="str">
        <x:f>IF(A33="","",IF('Project Control'!E33="","",'Project Control'!E33))</x:f>
      </x:c>
      <x:c r="D33" t="str">
        <x:f>IF(A33="","",IF('Project Control'!F33="","",'Project Control'!F33))</x:f>
      </x:c>
      <x:c r="E33" t="str">
        <x:f>IF(A33="","",IF('Project Control'!G33="","",'Project Control'!G33))</x:f>
      </x:c>
      <x:c r="F33" t="str">
        <x:f>IF(A33="","",IF('Project Control'!I33="","",'Project Control'!I33))</x:f>
      </x:c>
      <x:c r="G33" s="8" t="str">
        <x:f>IF(A33="","",IF('Project Control'!J33="","",'Project Control'!J33))</x:f>
      </x:c>
      <x:c r="H33" s="8" t="str">
        <x:f>IF(A33="","",IF('Project Control'!K33="","",'Project Control'!K33))</x:f>
      </x:c>
      <x:c r="I33" t="str">
        <x:f>IF(A33="","",IF('Project Control'!L33="","",'Project Control'!L33))</x:f>
      </x:c>
      <x:c r="J33" s="8" t="str">
        <x:f>IF(A33="","",IF('Project Control'!O33="","",'Project Control'!O33))</x:f>
      </x:c>
      <x:c r="K33" s="25" t="str">
        <x:f>IF(A33="","","OPERATIONAL CONTROL; NO RECEIPT, LIABILITY OR PAYMENT INFERENCE")</x:f>
      </x:c>
    </x:row>
    <x:row r="34">
      <x:c r="A34" t="str">
        <x:f>IF('Project Control'!A34="","",'Project Control'!A34)</x:f>
      </x:c>
      <x:c r="B34" t="str">
        <x:f>IF(A34="","",IF('Project Control'!D34="","",'Project Control'!D34))</x:f>
      </x:c>
      <x:c r="C34" s="8" t="str">
        <x:f>IF(A34="","",IF('Project Control'!E34="","",'Project Control'!E34))</x:f>
      </x:c>
      <x:c r="D34" t="str">
        <x:f>IF(A34="","",IF('Project Control'!F34="","",'Project Control'!F34))</x:f>
      </x:c>
      <x:c r="E34" t="str">
        <x:f>IF(A34="","",IF('Project Control'!G34="","",'Project Control'!G34))</x:f>
      </x:c>
      <x:c r="F34" t="str">
        <x:f>IF(A34="","",IF('Project Control'!I34="","",'Project Control'!I34))</x:f>
      </x:c>
      <x:c r="G34" s="8" t="str">
        <x:f>IF(A34="","",IF('Project Control'!J34="","",'Project Control'!J34))</x:f>
      </x:c>
      <x:c r="H34" s="8" t="str">
        <x:f>IF(A34="","",IF('Project Control'!K34="","",'Project Control'!K34))</x:f>
      </x:c>
      <x:c r="I34" t="str">
        <x:f>IF(A34="","",IF('Project Control'!L34="","",'Project Control'!L34))</x:f>
      </x:c>
      <x:c r="J34" s="8" t="str">
        <x:f>IF(A34="","",IF('Project Control'!O34="","",'Project Control'!O34))</x:f>
      </x:c>
      <x:c r="K34" s="25" t="str">
        <x:f>IF(A34="","","OPERATIONAL CONTROL; NO RECEIPT, LIABILITY OR PAYMENT INFERENCE")</x:f>
      </x:c>
    </x:row>
    <x:row r="35">
      <x:c r="A35" t="str">
        <x:f>IF('Project Control'!A35="","",'Project Control'!A35)</x:f>
      </x:c>
      <x:c r="B35" t="str">
        <x:f>IF(A35="","",IF('Project Control'!D35="","",'Project Control'!D35))</x:f>
      </x:c>
      <x:c r="C35" s="8" t="str">
        <x:f>IF(A35="","",IF('Project Control'!E35="","",'Project Control'!E35))</x:f>
      </x:c>
      <x:c r="D35" t="str">
        <x:f>IF(A35="","",IF('Project Control'!F35="","",'Project Control'!F35))</x:f>
      </x:c>
      <x:c r="E35" t="str">
        <x:f>IF(A35="","",IF('Project Control'!G35="","",'Project Control'!G35))</x:f>
      </x:c>
      <x:c r="F35" t="str">
        <x:f>IF(A35="","",IF('Project Control'!I35="","",'Project Control'!I35))</x:f>
      </x:c>
      <x:c r="G35" s="8" t="str">
        <x:f>IF(A35="","",IF('Project Control'!J35="","",'Project Control'!J35))</x:f>
      </x:c>
      <x:c r="H35" s="8" t="str">
        <x:f>IF(A35="","",IF('Project Control'!K35="","",'Project Control'!K35))</x:f>
      </x:c>
      <x:c r="I35" t="str">
        <x:f>IF(A35="","",IF('Project Control'!L35="","",'Project Control'!L35))</x:f>
      </x:c>
      <x:c r="J35" s="8" t="str">
        <x:f>IF(A35="","",IF('Project Control'!O35="","",'Project Control'!O35))</x:f>
      </x:c>
      <x:c r="K35" s="25" t="str">
        <x:f>IF(A35="","","OPERATIONAL CONTROL; NO RECEIPT, LIABILITY OR PAYMENT INFERENCE")</x:f>
      </x:c>
    </x:row>
    <x:row r="36">
      <x:c r="A36" t="str">
        <x:f>IF('Project Control'!A36="","",'Project Control'!A36)</x:f>
      </x:c>
      <x:c r="B36" t="str">
        <x:f>IF(A36="","",IF('Project Control'!D36="","",'Project Control'!D36))</x:f>
      </x:c>
      <x:c r="C36" s="8" t="str">
        <x:f>IF(A36="","",IF('Project Control'!E36="","",'Project Control'!E36))</x:f>
      </x:c>
      <x:c r="D36" t="str">
        <x:f>IF(A36="","",IF('Project Control'!F36="","",'Project Control'!F36))</x:f>
      </x:c>
      <x:c r="E36" t="str">
        <x:f>IF(A36="","",IF('Project Control'!G36="","",'Project Control'!G36))</x:f>
      </x:c>
      <x:c r="F36" t="str">
        <x:f>IF(A36="","",IF('Project Control'!I36="","",'Project Control'!I36))</x:f>
      </x:c>
      <x:c r="G36" s="8" t="str">
        <x:f>IF(A36="","",IF('Project Control'!J36="","",'Project Control'!J36))</x:f>
      </x:c>
      <x:c r="H36" s="8" t="str">
        <x:f>IF(A36="","",IF('Project Control'!K36="","",'Project Control'!K36))</x:f>
      </x:c>
      <x:c r="I36" t="str">
        <x:f>IF(A36="","",IF('Project Control'!L36="","",'Project Control'!L36))</x:f>
      </x:c>
      <x:c r="J36" s="8" t="str">
        <x:f>IF(A36="","",IF('Project Control'!O36="","",'Project Control'!O36))</x:f>
      </x:c>
      <x:c r="K36" s="25" t="str">
        <x:f>IF(A36="","","OPERATIONAL CONTROL; NO RECEIPT, LIABILITY OR PAYMENT INFERENCE")</x:f>
      </x:c>
    </x:row>
    <x:row r="37">
      <x:c r="A37" t="str">
        <x:f>IF('Project Control'!A37="","",'Project Control'!A37)</x:f>
      </x:c>
      <x:c r="B37" t="str">
        <x:f>IF(A37="","",IF('Project Control'!D37="","",'Project Control'!D37))</x:f>
      </x:c>
      <x:c r="C37" s="8" t="str">
        <x:f>IF(A37="","",IF('Project Control'!E37="","",'Project Control'!E37))</x:f>
      </x:c>
      <x:c r="D37" t="str">
        <x:f>IF(A37="","",IF('Project Control'!F37="","",'Project Control'!F37))</x:f>
      </x:c>
      <x:c r="E37" t="str">
        <x:f>IF(A37="","",IF('Project Control'!G37="","",'Project Control'!G37))</x:f>
      </x:c>
      <x:c r="F37" t="str">
        <x:f>IF(A37="","",IF('Project Control'!I37="","",'Project Control'!I37))</x:f>
      </x:c>
      <x:c r="G37" s="8" t="str">
        <x:f>IF(A37="","",IF('Project Control'!J37="","",'Project Control'!J37))</x:f>
      </x:c>
      <x:c r="H37" s="8" t="str">
        <x:f>IF(A37="","",IF('Project Control'!K37="","",'Project Control'!K37))</x:f>
      </x:c>
      <x:c r="I37" t="str">
        <x:f>IF(A37="","",IF('Project Control'!L37="","",'Project Control'!L37))</x:f>
      </x:c>
      <x:c r="J37" s="8" t="str">
        <x:f>IF(A37="","",IF('Project Control'!O37="","",'Project Control'!O37))</x:f>
      </x:c>
      <x:c r="K37" s="25" t="str">
        <x:f>IF(A37="","","OPERATIONAL CONTROL; NO RECEIPT, LIABILITY OR PAYMENT INFERENCE")</x:f>
      </x:c>
    </x:row>
    <x:row r="38">
      <x:c r="A38" t="str">
        <x:f>IF('Project Control'!A38="","",'Project Control'!A38)</x:f>
      </x:c>
      <x:c r="B38" t="str">
        <x:f>IF(A38="","",IF('Project Control'!D38="","",'Project Control'!D38))</x:f>
      </x:c>
      <x:c r="C38" s="8" t="str">
        <x:f>IF(A38="","",IF('Project Control'!E38="","",'Project Control'!E38))</x:f>
      </x:c>
      <x:c r="D38" t="str">
        <x:f>IF(A38="","",IF('Project Control'!F38="","",'Project Control'!F38))</x:f>
      </x:c>
      <x:c r="E38" t="str">
        <x:f>IF(A38="","",IF('Project Control'!G38="","",'Project Control'!G38))</x:f>
      </x:c>
      <x:c r="F38" t="str">
        <x:f>IF(A38="","",IF('Project Control'!I38="","",'Project Control'!I38))</x:f>
      </x:c>
      <x:c r="G38" s="8" t="str">
        <x:f>IF(A38="","",IF('Project Control'!J38="","",'Project Control'!J38))</x:f>
      </x:c>
      <x:c r="H38" s="8" t="str">
        <x:f>IF(A38="","",IF('Project Control'!K38="","",'Project Control'!K38))</x:f>
      </x:c>
      <x:c r="I38" t="str">
        <x:f>IF(A38="","",IF('Project Control'!L38="","",'Project Control'!L38))</x:f>
      </x:c>
      <x:c r="J38" s="8" t="str">
        <x:f>IF(A38="","",IF('Project Control'!O38="","",'Project Control'!O38))</x:f>
      </x:c>
      <x:c r="K38" s="25" t="str">
        <x:f>IF(A38="","","OPERATIONAL CONTROL; NO RECEIPT, LIABILITY OR PAYMENT INFERENCE")</x:f>
      </x:c>
    </x:row>
    <x:row r="39">
      <x:c r="A39" t="str">
        <x:f>IF('Project Control'!A39="","",'Project Control'!A39)</x:f>
      </x:c>
      <x:c r="B39" t="str">
        <x:f>IF(A39="","",IF('Project Control'!D39="","",'Project Control'!D39))</x:f>
      </x:c>
      <x:c r="C39" s="8" t="str">
        <x:f>IF(A39="","",IF('Project Control'!E39="","",'Project Control'!E39))</x:f>
      </x:c>
      <x:c r="D39" t="str">
        <x:f>IF(A39="","",IF('Project Control'!F39="","",'Project Control'!F39))</x:f>
      </x:c>
      <x:c r="E39" t="str">
        <x:f>IF(A39="","",IF('Project Control'!G39="","",'Project Control'!G39))</x:f>
      </x:c>
      <x:c r="F39" t="str">
        <x:f>IF(A39="","",IF('Project Control'!I39="","",'Project Control'!I39))</x:f>
      </x:c>
      <x:c r="G39" s="8" t="str">
        <x:f>IF(A39="","",IF('Project Control'!J39="","",'Project Control'!J39))</x:f>
      </x:c>
      <x:c r="H39" s="8" t="str">
        <x:f>IF(A39="","",IF('Project Control'!K39="","",'Project Control'!K39))</x:f>
      </x:c>
      <x:c r="I39" t="str">
        <x:f>IF(A39="","",IF('Project Control'!L39="","",'Project Control'!L39))</x:f>
      </x:c>
      <x:c r="J39" s="8" t="str">
        <x:f>IF(A39="","",IF('Project Control'!O39="","",'Project Control'!O39))</x:f>
      </x:c>
      <x:c r="K39" s="25" t="str">
        <x:f>IF(A39="","","OPERATIONAL CONTROL; NO RECEIPT, LIABILITY OR PAYMENT INFERENCE")</x:f>
      </x:c>
    </x:row>
    <x:row r="40">
      <x:c r="A40" t="str">
        <x:f>IF('Project Control'!A40="","",'Project Control'!A40)</x:f>
      </x:c>
      <x:c r="B40" t="str">
        <x:f>IF(A40="","",IF('Project Control'!D40="","",'Project Control'!D40))</x:f>
      </x:c>
      <x:c r="C40" s="8" t="str">
        <x:f>IF(A40="","",IF('Project Control'!E40="","",'Project Control'!E40))</x:f>
      </x:c>
      <x:c r="D40" t="str">
        <x:f>IF(A40="","",IF('Project Control'!F40="","",'Project Control'!F40))</x:f>
      </x:c>
      <x:c r="E40" t="str">
        <x:f>IF(A40="","",IF('Project Control'!G40="","",'Project Control'!G40))</x:f>
      </x:c>
      <x:c r="F40" t="str">
        <x:f>IF(A40="","",IF('Project Control'!I40="","",'Project Control'!I40))</x:f>
      </x:c>
      <x:c r="G40" s="8" t="str">
        <x:f>IF(A40="","",IF('Project Control'!J40="","",'Project Control'!J40))</x:f>
      </x:c>
      <x:c r="H40" s="8" t="str">
        <x:f>IF(A40="","",IF('Project Control'!K40="","",'Project Control'!K40))</x:f>
      </x:c>
      <x:c r="I40" t="str">
        <x:f>IF(A40="","",IF('Project Control'!L40="","",'Project Control'!L40))</x:f>
      </x:c>
      <x:c r="J40" s="8" t="str">
        <x:f>IF(A40="","",IF('Project Control'!O40="","",'Project Control'!O40))</x:f>
      </x:c>
      <x:c r="K40" s="25" t="str">
        <x:f>IF(A40="","","OPERATIONAL CONTROL; NO RECEIPT, LIABILITY OR PAYMENT INFERENCE")</x:f>
      </x:c>
    </x:row>
    <x:row r="41">
      <x:c r="A41" t="str">
        <x:f>IF('Project Control'!A41="","",'Project Control'!A41)</x:f>
      </x:c>
      <x:c r="B41" t="str">
        <x:f>IF(A41="","",IF('Project Control'!D41="","",'Project Control'!D41))</x:f>
      </x:c>
      <x:c r="C41" s="8" t="str">
        <x:f>IF(A41="","",IF('Project Control'!E41="","",'Project Control'!E41))</x:f>
      </x:c>
      <x:c r="D41" t="str">
        <x:f>IF(A41="","",IF('Project Control'!F41="","",'Project Control'!F41))</x:f>
      </x:c>
      <x:c r="E41" t="str">
        <x:f>IF(A41="","",IF('Project Control'!G41="","",'Project Control'!G41))</x:f>
      </x:c>
      <x:c r="F41" t="str">
        <x:f>IF(A41="","",IF('Project Control'!I41="","",'Project Control'!I41))</x:f>
      </x:c>
      <x:c r="G41" s="8" t="str">
        <x:f>IF(A41="","",IF('Project Control'!J41="","",'Project Control'!J41))</x:f>
      </x:c>
      <x:c r="H41" s="8" t="str">
        <x:f>IF(A41="","",IF('Project Control'!K41="","",'Project Control'!K41))</x:f>
      </x:c>
      <x:c r="I41" t="str">
        <x:f>IF(A41="","",IF('Project Control'!L41="","",'Project Control'!L41))</x:f>
      </x:c>
      <x:c r="J41" s="8" t="str">
        <x:f>IF(A41="","",IF('Project Control'!O41="","",'Project Control'!O41))</x:f>
      </x:c>
      <x:c r="K41" s="25" t="str">
        <x:f>IF(A41="","","OPERATIONAL CONTROL; NO RECEIPT, LIABILITY OR PAYMENT INFERENCE")</x:f>
      </x:c>
    </x:row>
    <x:row r="42">
      <x:c r="A42" t="str">
        <x:f>IF('Project Control'!A42="","",'Project Control'!A42)</x:f>
      </x:c>
      <x:c r="B42" t="str">
        <x:f>IF(A42="","",IF('Project Control'!D42="","",'Project Control'!D42))</x:f>
      </x:c>
      <x:c r="C42" s="8" t="str">
        <x:f>IF(A42="","",IF('Project Control'!E42="","",'Project Control'!E42))</x:f>
      </x:c>
      <x:c r="D42" t="str">
        <x:f>IF(A42="","",IF('Project Control'!F42="","",'Project Control'!F42))</x:f>
      </x:c>
      <x:c r="E42" t="str">
        <x:f>IF(A42="","",IF('Project Control'!G42="","",'Project Control'!G42))</x:f>
      </x:c>
      <x:c r="F42" t="str">
        <x:f>IF(A42="","",IF('Project Control'!I42="","",'Project Control'!I42))</x:f>
      </x:c>
      <x:c r="G42" s="8" t="str">
        <x:f>IF(A42="","",IF('Project Control'!J42="","",'Project Control'!J42))</x:f>
      </x:c>
      <x:c r="H42" s="8" t="str">
        <x:f>IF(A42="","",IF('Project Control'!K42="","",'Project Control'!K42))</x:f>
      </x:c>
      <x:c r="I42" t="str">
        <x:f>IF(A42="","",IF('Project Control'!L42="","",'Project Control'!L42))</x:f>
      </x:c>
      <x:c r="J42" s="8" t="str">
        <x:f>IF(A42="","",IF('Project Control'!O42="","",'Project Control'!O42))</x:f>
      </x:c>
      <x:c r="K42" s="25" t="str">
        <x:f>IF(A42="","","OPERATIONAL CONTROL; NO RECEIPT, LIABILITY OR PAYMENT INFERENCE")</x:f>
      </x:c>
    </x:row>
    <x:row r="43">
      <x:c r="A43" t="str">
        <x:f>IF('Project Control'!A43="","",'Project Control'!A43)</x:f>
      </x:c>
      <x:c r="B43" t="str">
        <x:f>IF(A43="","",IF('Project Control'!D43="","",'Project Control'!D43))</x:f>
      </x:c>
      <x:c r="C43" s="8" t="str">
        <x:f>IF(A43="","",IF('Project Control'!E43="","",'Project Control'!E43))</x:f>
      </x:c>
      <x:c r="D43" t="str">
        <x:f>IF(A43="","",IF('Project Control'!F43="","",'Project Control'!F43))</x:f>
      </x:c>
      <x:c r="E43" t="str">
        <x:f>IF(A43="","",IF('Project Control'!G43="","",'Project Control'!G43))</x:f>
      </x:c>
      <x:c r="F43" t="str">
        <x:f>IF(A43="","",IF('Project Control'!I43="","",'Project Control'!I43))</x:f>
      </x:c>
      <x:c r="G43" s="8" t="str">
        <x:f>IF(A43="","",IF('Project Control'!J43="","",'Project Control'!J43))</x:f>
      </x:c>
      <x:c r="H43" s="8" t="str">
        <x:f>IF(A43="","",IF('Project Control'!K43="","",'Project Control'!K43))</x:f>
      </x:c>
      <x:c r="I43" t="str">
        <x:f>IF(A43="","",IF('Project Control'!L43="","",'Project Control'!L43))</x:f>
      </x:c>
      <x:c r="J43" s="8" t="str">
        <x:f>IF(A43="","",IF('Project Control'!O43="","",'Project Control'!O43))</x:f>
      </x:c>
      <x:c r="K43" s="25" t="str">
        <x:f>IF(A43="","","OPERATIONAL CONTROL; NO RECEIPT, LIABILITY OR PAYMENT INFERENCE")</x:f>
      </x:c>
    </x:row>
    <x:row r="44">
      <x:c r="A44" t="str">
        <x:f>IF('Project Control'!A44="","",'Project Control'!A44)</x:f>
      </x:c>
      <x:c r="B44" t="str">
        <x:f>IF(A44="","",IF('Project Control'!D44="","",'Project Control'!D44))</x:f>
      </x:c>
      <x:c r="C44" s="8" t="str">
        <x:f>IF(A44="","",IF('Project Control'!E44="","",'Project Control'!E44))</x:f>
      </x:c>
      <x:c r="D44" t="str">
        <x:f>IF(A44="","",IF('Project Control'!F44="","",'Project Control'!F44))</x:f>
      </x:c>
      <x:c r="E44" t="str">
        <x:f>IF(A44="","",IF('Project Control'!G44="","",'Project Control'!G44))</x:f>
      </x:c>
      <x:c r="F44" t="str">
        <x:f>IF(A44="","",IF('Project Control'!I44="","",'Project Control'!I44))</x:f>
      </x:c>
      <x:c r="G44" s="8" t="str">
        <x:f>IF(A44="","",IF('Project Control'!J44="","",'Project Control'!J44))</x:f>
      </x:c>
      <x:c r="H44" s="8" t="str">
        <x:f>IF(A44="","",IF('Project Control'!K44="","",'Project Control'!K44))</x:f>
      </x:c>
      <x:c r="I44" t="str">
        <x:f>IF(A44="","",IF('Project Control'!L44="","",'Project Control'!L44))</x:f>
      </x:c>
      <x:c r="J44" s="8" t="str">
        <x:f>IF(A44="","",IF('Project Control'!O44="","",'Project Control'!O44))</x:f>
      </x:c>
      <x:c r="K44" s="25" t="str">
        <x:f>IF(A44="","","OPERATIONAL CONTROL; NO RECEIPT, LIABILITY OR PAYMENT INFERENCE")</x:f>
      </x:c>
    </x:row>
    <x:row r="45">
      <x:c r="A45" t="str">
        <x:f>IF('Project Control'!A45="","",'Project Control'!A45)</x:f>
      </x:c>
      <x:c r="B45" t="str">
        <x:f>IF(A45="","",IF('Project Control'!D45="","",'Project Control'!D45))</x:f>
      </x:c>
      <x:c r="C45" s="8" t="str">
        <x:f>IF(A45="","",IF('Project Control'!E45="","",'Project Control'!E45))</x:f>
      </x:c>
      <x:c r="D45" t="str">
        <x:f>IF(A45="","",IF('Project Control'!F45="","",'Project Control'!F45))</x:f>
      </x:c>
      <x:c r="E45" t="str">
        <x:f>IF(A45="","",IF('Project Control'!G45="","",'Project Control'!G45))</x:f>
      </x:c>
      <x:c r="F45" t="str">
        <x:f>IF(A45="","",IF('Project Control'!I45="","",'Project Control'!I45))</x:f>
      </x:c>
      <x:c r="G45" s="8" t="str">
        <x:f>IF(A45="","",IF('Project Control'!J45="","",'Project Control'!J45))</x:f>
      </x:c>
      <x:c r="H45" s="8" t="str">
        <x:f>IF(A45="","",IF('Project Control'!K45="","",'Project Control'!K45))</x:f>
      </x:c>
      <x:c r="I45" t="str">
        <x:f>IF(A45="","",IF('Project Control'!L45="","",'Project Control'!L45))</x:f>
      </x:c>
      <x:c r="J45" s="8" t="str">
        <x:f>IF(A45="","",IF('Project Control'!O45="","",'Project Control'!O45))</x:f>
      </x:c>
      <x:c r="K45" s="25" t="str">
        <x:f>IF(A45="","","OPERATIONAL CONTROL; NO RECEIPT, LIABILITY OR PAYMENT INFERENCE")</x:f>
      </x:c>
    </x:row>
    <x:row r="46">
      <x:c r="A46" t="str">
        <x:f>IF('Project Control'!A46="","",'Project Control'!A46)</x:f>
      </x:c>
      <x:c r="B46" t="str">
        <x:f>IF(A46="","",IF('Project Control'!D46="","",'Project Control'!D46))</x:f>
      </x:c>
      <x:c r="C46" s="8" t="str">
        <x:f>IF(A46="","",IF('Project Control'!E46="","",'Project Control'!E46))</x:f>
      </x:c>
      <x:c r="D46" t="str">
        <x:f>IF(A46="","",IF('Project Control'!F46="","",'Project Control'!F46))</x:f>
      </x:c>
      <x:c r="E46" t="str">
        <x:f>IF(A46="","",IF('Project Control'!G46="","",'Project Control'!G46))</x:f>
      </x:c>
      <x:c r="F46" t="str">
        <x:f>IF(A46="","",IF('Project Control'!I46="","",'Project Control'!I46))</x:f>
      </x:c>
      <x:c r="G46" s="8" t="str">
        <x:f>IF(A46="","",IF('Project Control'!J46="","",'Project Control'!J46))</x:f>
      </x:c>
      <x:c r="H46" s="8" t="str">
        <x:f>IF(A46="","",IF('Project Control'!K46="","",'Project Control'!K46))</x:f>
      </x:c>
      <x:c r="I46" t="str">
        <x:f>IF(A46="","",IF('Project Control'!L46="","",'Project Control'!L46))</x:f>
      </x:c>
      <x:c r="J46" s="8" t="str">
        <x:f>IF(A46="","",IF('Project Control'!O46="","",'Project Control'!O46))</x:f>
      </x:c>
      <x:c r="K46" s="25" t="str">
        <x:f>IF(A46="","","OPERATIONAL CONTROL; NO RECEIPT, LIABILITY OR PAYMENT INFERENCE")</x:f>
      </x:c>
    </x:row>
    <x:row r="47">
      <x:c r="A47" t="str">
        <x:f>IF('Project Control'!A47="","",'Project Control'!A47)</x:f>
      </x:c>
      <x:c r="B47" t="str">
        <x:f>IF(A47="","",IF('Project Control'!D47="","",'Project Control'!D47))</x:f>
      </x:c>
      <x:c r="C47" s="8" t="str">
        <x:f>IF(A47="","",IF('Project Control'!E47="","",'Project Control'!E47))</x:f>
      </x:c>
      <x:c r="D47" t="str">
        <x:f>IF(A47="","",IF('Project Control'!F47="","",'Project Control'!F47))</x:f>
      </x:c>
      <x:c r="E47" t="str">
        <x:f>IF(A47="","",IF('Project Control'!G47="","",'Project Control'!G47))</x:f>
      </x:c>
      <x:c r="F47" t="str">
        <x:f>IF(A47="","",IF('Project Control'!I47="","",'Project Control'!I47))</x:f>
      </x:c>
      <x:c r="G47" s="8" t="str">
        <x:f>IF(A47="","",IF('Project Control'!J47="","",'Project Control'!J47))</x:f>
      </x:c>
      <x:c r="H47" s="8" t="str">
        <x:f>IF(A47="","",IF('Project Control'!K47="","",'Project Control'!K47))</x:f>
      </x:c>
      <x:c r="I47" t="str">
        <x:f>IF(A47="","",IF('Project Control'!L47="","",'Project Control'!L47))</x:f>
      </x:c>
      <x:c r="J47" s="8" t="str">
        <x:f>IF(A47="","",IF('Project Control'!O47="","",'Project Control'!O47))</x:f>
      </x:c>
      <x:c r="K47" s="25" t="str">
        <x:f>IF(A47="","","OPERATIONAL CONTROL; NO RECEIPT, LIABILITY OR PAYMENT INFERENCE")</x:f>
      </x:c>
    </x:row>
    <x:row r="48">
      <x:c r="A48" t="str">
        <x:f>IF('Project Control'!A48="","",'Project Control'!A48)</x:f>
      </x:c>
      <x:c r="B48" t="str">
        <x:f>IF(A48="","",IF('Project Control'!D48="","",'Project Control'!D48))</x:f>
      </x:c>
      <x:c r="C48" s="8" t="str">
        <x:f>IF(A48="","",IF('Project Control'!E48="","",'Project Control'!E48))</x:f>
      </x:c>
      <x:c r="D48" t="str">
        <x:f>IF(A48="","",IF('Project Control'!F48="","",'Project Control'!F48))</x:f>
      </x:c>
      <x:c r="E48" t="str">
        <x:f>IF(A48="","",IF('Project Control'!G48="","",'Project Control'!G48))</x:f>
      </x:c>
      <x:c r="F48" t="str">
        <x:f>IF(A48="","",IF('Project Control'!I48="","",'Project Control'!I48))</x:f>
      </x:c>
      <x:c r="G48" s="8" t="str">
        <x:f>IF(A48="","",IF('Project Control'!J48="","",'Project Control'!J48))</x:f>
      </x:c>
      <x:c r="H48" s="8" t="str">
        <x:f>IF(A48="","",IF('Project Control'!K48="","",'Project Control'!K48))</x:f>
      </x:c>
      <x:c r="I48" t="str">
        <x:f>IF(A48="","",IF('Project Control'!L48="","",'Project Control'!L48))</x:f>
      </x:c>
      <x:c r="J48" s="8" t="str">
        <x:f>IF(A48="","",IF('Project Control'!O48="","",'Project Control'!O48))</x:f>
      </x:c>
      <x:c r="K48" s="25" t="str">
        <x:f>IF(A48="","","OPERATIONAL CONTROL; NO RECEIPT, LIABILITY OR PAYMENT INFERENCE")</x:f>
      </x:c>
    </x:row>
    <x:row r="49">
      <x:c r="A49" t="str">
        <x:f>IF('Project Control'!A49="","",'Project Control'!A49)</x:f>
      </x:c>
      <x:c r="B49" t="str">
        <x:f>IF(A49="","",IF('Project Control'!D49="","",'Project Control'!D49))</x:f>
      </x:c>
      <x:c r="C49" s="8" t="str">
        <x:f>IF(A49="","",IF('Project Control'!E49="","",'Project Control'!E49))</x:f>
      </x:c>
      <x:c r="D49" t="str">
        <x:f>IF(A49="","",IF('Project Control'!F49="","",'Project Control'!F49))</x:f>
      </x:c>
      <x:c r="E49" t="str">
        <x:f>IF(A49="","",IF('Project Control'!G49="","",'Project Control'!G49))</x:f>
      </x:c>
      <x:c r="F49" t="str">
        <x:f>IF(A49="","",IF('Project Control'!I49="","",'Project Control'!I49))</x:f>
      </x:c>
      <x:c r="G49" s="8" t="str">
        <x:f>IF(A49="","",IF('Project Control'!J49="","",'Project Control'!J49))</x:f>
      </x:c>
      <x:c r="H49" s="8" t="str">
        <x:f>IF(A49="","",IF('Project Control'!K49="","",'Project Control'!K49))</x:f>
      </x:c>
      <x:c r="I49" t="str">
        <x:f>IF(A49="","",IF('Project Control'!L49="","",'Project Control'!L49))</x:f>
      </x:c>
      <x:c r="J49" s="8" t="str">
        <x:f>IF(A49="","",IF('Project Control'!O49="","",'Project Control'!O49))</x:f>
      </x:c>
      <x:c r="K49" s="25" t="str">
        <x:f>IF(A49="","","OPERATIONAL CONTROL; NO RECEIPT, LIABILITY OR PAYMENT INFERENCE")</x:f>
      </x:c>
    </x:row>
    <x:row r="50">
      <x:c r="A50" t="str">
        <x:f>IF('Project Control'!A50="","",'Project Control'!A50)</x:f>
      </x:c>
      <x:c r="B50" t="str">
        <x:f>IF(A50="","",IF('Project Control'!D50="","",'Project Control'!D50))</x:f>
      </x:c>
      <x:c r="C50" s="8" t="str">
        <x:f>IF(A50="","",IF('Project Control'!E50="","",'Project Control'!E50))</x:f>
      </x:c>
      <x:c r="D50" t="str">
        <x:f>IF(A50="","",IF('Project Control'!F50="","",'Project Control'!F50))</x:f>
      </x:c>
      <x:c r="E50" t="str">
        <x:f>IF(A50="","",IF('Project Control'!G50="","",'Project Control'!G50))</x:f>
      </x:c>
      <x:c r="F50" t="str">
        <x:f>IF(A50="","",IF('Project Control'!I50="","",'Project Control'!I50))</x:f>
      </x:c>
      <x:c r="G50" s="8" t="str">
        <x:f>IF(A50="","",IF('Project Control'!J50="","",'Project Control'!J50))</x:f>
      </x:c>
      <x:c r="H50" s="8" t="str">
        <x:f>IF(A50="","",IF('Project Control'!K50="","",'Project Control'!K50))</x:f>
      </x:c>
      <x:c r="I50" t="str">
        <x:f>IF(A50="","",IF('Project Control'!L50="","",'Project Control'!L50))</x:f>
      </x:c>
      <x:c r="J50" s="8" t="str">
        <x:f>IF(A50="","",IF('Project Control'!O50="","",'Project Control'!O50))</x:f>
      </x:c>
      <x:c r="K50" s="25" t="str">
        <x:f>IF(A50="","","OPERATIONAL CONTROL; NO RECEIPT, LIABILITY OR PAYMENT INFERENCE")</x:f>
      </x:c>
    </x:row>
    <x:row r="51">
      <x:c r="A51" t="str">
        <x:f>IF('Project Control'!A51="","",'Project Control'!A51)</x:f>
      </x:c>
      <x:c r="B51" t="str">
        <x:f>IF(A51="","",IF('Project Control'!D51="","",'Project Control'!D51))</x:f>
      </x:c>
      <x:c r="C51" s="8" t="str">
        <x:f>IF(A51="","",IF('Project Control'!E51="","",'Project Control'!E51))</x:f>
      </x:c>
      <x:c r="D51" t="str">
        <x:f>IF(A51="","",IF('Project Control'!F51="","",'Project Control'!F51))</x:f>
      </x:c>
      <x:c r="E51" t="str">
        <x:f>IF(A51="","",IF('Project Control'!G51="","",'Project Control'!G51))</x:f>
      </x:c>
      <x:c r="F51" t="str">
        <x:f>IF(A51="","",IF('Project Control'!I51="","",'Project Control'!I51))</x:f>
      </x:c>
      <x:c r="G51" s="8" t="str">
        <x:f>IF(A51="","",IF('Project Control'!J51="","",'Project Control'!J51))</x:f>
      </x:c>
      <x:c r="H51" s="8" t="str">
        <x:f>IF(A51="","",IF('Project Control'!K51="","",'Project Control'!K51))</x:f>
      </x:c>
      <x:c r="I51" t="str">
        <x:f>IF(A51="","",IF('Project Control'!L51="","",'Project Control'!L51))</x:f>
      </x:c>
      <x:c r="J51" s="8" t="str">
        <x:f>IF(A51="","",IF('Project Control'!O51="","",'Project Control'!O51))</x:f>
      </x:c>
      <x:c r="K51" s="25" t="str">
        <x:f>IF(A51="","","OPERATIONAL CONTROL; NO RECEIPT, LIABILITY OR PAYMENT INFERENCE")</x:f>
      </x:c>
    </x:row>
    <x:row r="52">
      <x:c r="A52" t="str">
        <x:f>IF('Project Control'!A52="","",'Project Control'!A52)</x:f>
      </x:c>
      <x:c r="B52" t="str">
        <x:f>IF(A52="","",IF('Project Control'!D52="","",'Project Control'!D52))</x:f>
      </x:c>
      <x:c r="C52" s="8" t="str">
        <x:f>IF(A52="","",IF('Project Control'!E52="","",'Project Control'!E52))</x:f>
      </x:c>
      <x:c r="D52" t="str">
        <x:f>IF(A52="","",IF('Project Control'!F52="","",'Project Control'!F52))</x:f>
      </x:c>
      <x:c r="E52" t="str">
        <x:f>IF(A52="","",IF('Project Control'!G52="","",'Project Control'!G52))</x:f>
      </x:c>
      <x:c r="F52" t="str">
        <x:f>IF(A52="","",IF('Project Control'!I52="","",'Project Control'!I52))</x:f>
      </x:c>
      <x:c r="G52" s="8" t="str">
        <x:f>IF(A52="","",IF('Project Control'!J52="","",'Project Control'!J52))</x:f>
      </x:c>
      <x:c r="H52" s="8" t="str">
        <x:f>IF(A52="","",IF('Project Control'!K52="","",'Project Control'!K52))</x:f>
      </x:c>
      <x:c r="I52" t="str">
        <x:f>IF(A52="","",IF('Project Control'!L52="","",'Project Control'!L52))</x:f>
      </x:c>
      <x:c r="J52" s="8" t="str">
        <x:f>IF(A52="","",IF('Project Control'!O52="","",'Project Control'!O52))</x:f>
      </x:c>
      <x:c r="K52" s="25" t="str">
        <x:f>IF(A52="","","OPERATIONAL CONTROL; NO RECEIPT, LIABILITY OR PAYMENT INFERENCE")</x:f>
      </x:c>
    </x:row>
    <x:row r="53">
      <x:c r="A53" t="str">
        <x:f>IF('Project Control'!A53="","",'Project Control'!A53)</x:f>
      </x:c>
      <x:c r="B53" t="str">
        <x:f>IF(A53="","",IF('Project Control'!D53="","",'Project Control'!D53))</x:f>
      </x:c>
      <x:c r="C53" s="8" t="str">
        <x:f>IF(A53="","",IF('Project Control'!E53="","",'Project Control'!E53))</x:f>
      </x:c>
      <x:c r="D53" t="str">
        <x:f>IF(A53="","",IF('Project Control'!F53="","",'Project Control'!F53))</x:f>
      </x:c>
      <x:c r="E53" t="str">
        <x:f>IF(A53="","",IF('Project Control'!G53="","",'Project Control'!G53))</x:f>
      </x:c>
      <x:c r="F53" t="str">
        <x:f>IF(A53="","",IF('Project Control'!I53="","",'Project Control'!I53))</x:f>
      </x:c>
      <x:c r="G53" s="8" t="str">
        <x:f>IF(A53="","",IF('Project Control'!J53="","",'Project Control'!J53))</x:f>
      </x:c>
      <x:c r="H53" s="8" t="str">
        <x:f>IF(A53="","",IF('Project Control'!K53="","",'Project Control'!K53))</x:f>
      </x:c>
      <x:c r="I53" t="str">
        <x:f>IF(A53="","",IF('Project Control'!L53="","",'Project Control'!L53))</x:f>
      </x:c>
      <x:c r="J53" s="8" t="str">
        <x:f>IF(A53="","",IF('Project Control'!O53="","",'Project Control'!O53))</x:f>
      </x:c>
      <x:c r="K53" s="25" t="str">
        <x:f>IF(A53="","","OPERATIONAL CONTROL; NO RECEIPT, LIABILITY OR PAYMENT INFERENCE")</x:f>
      </x:c>
    </x:row>
    <x:row r="54">
      <x:c r="A54" t="str">
        <x:f>IF('Project Control'!A54="","",'Project Control'!A54)</x:f>
      </x:c>
      <x:c r="B54" t="str">
        <x:f>IF(A54="","",IF('Project Control'!D54="","",'Project Control'!D54))</x:f>
      </x:c>
      <x:c r="C54" s="8" t="str">
        <x:f>IF(A54="","",IF('Project Control'!E54="","",'Project Control'!E54))</x:f>
      </x:c>
      <x:c r="D54" t="str">
        <x:f>IF(A54="","",IF('Project Control'!F54="","",'Project Control'!F54))</x:f>
      </x:c>
      <x:c r="E54" t="str">
        <x:f>IF(A54="","",IF('Project Control'!G54="","",'Project Control'!G54))</x:f>
      </x:c>
      <x:c r="F54" t="str">
        <x:f>IF(A54="","",IF('Project Control'!I54="","",'Project Control'!I54))</x:f>
      </x:c>
      <x:c r="G54" s="8" t="str">
        <x:f>IF(A54="","",IF('Project Control'!J54="","",'Project Control'!J54))</x:f>
      </x:c>
      <x:c r="H54" s="8" t="str">
        <x:f>IF(A54="","",IF('Project Control'!K54="","",'Project Control'!K54))</x:f>
      </x:c>
      <x:c r="I54" t="str">
        <x:f>IF(A54="","",IF('Project Control'!L54="","",'Project Control'!L54))</x:f>
      </x:c>
      <x:c r="J54" s="8" t="str">
        <x:f>IF(A54="","",IF('Project Control'!O54="","",'Project Control'!O54))</x:f>
      </x:c>
      <x:c r="K54" s="25" t="str">
        <x:f>IF(A54="","","OPERATIONAL CONTROL; NO RECEIPT, LIABILITY OR PAYMENT INFERENCE")</x:f>
      </x:c>
    </x:row>
    <x:row r="55">
      <x:c r="A55" t="str">
        <x:f>IF('Project Control'!A55="","",'Project Control'!A55)</x:f>
      </x:c>
      <x:c r="B55" t="str">
        <x:f>IF(A55="","",IF('Project Control'!D55="","",'Project Control'!D55))</x:f>
      </x:c>
      <x:c r="C55" s="8" t="str">
        <x:f>IF(A55="","",IF('Project Control'!E55="","",'Project Control'!E55))</x:f>
      </x:c>
      <x:c r="D55" t="str">
        <x:f>IF(A55="","",IF('Project Control'!F55="","",'Project Control'!F55))</x:f>
      </x:c>
      <x:c r="E55" t="str">
        <x:f>IF(A55="","",IF('Project Control'!G55="","",'Project Control'!G55))</x:f>
      </x:c>
      <x:c r="F55" t="str">
        <x:f>IF(A55="","",IF('Project Control'!I55="","",'Project Control'!I55))</x:f>
      </x:c>
      <x:c r="G55" s="8" t="str">
        <x:f>IF(A55="","",IF('Project Control'!J55="","",'Project Control'!J55))</x:f>
      </x:c>
      <x:c r="H55" s="8" t="str">
        <x:f>IF(A55="","",IF('Project Control'!K55="","",'Project Control'!K55))</x:f>
      </x:c>
      <x:c r="I55" t="str">
        <x:f>IF(A55="","",IF('Project Control'!L55="","",'Project Control'!L55))</x:f>
      </x:c>
      <x:c r="J55" s="8" t="str">
        <x:f>IF(A55="","",IF('Project Control'!O55="","",'Project Control'!O55))</x:f>
      </x:c>
      <x:c r="K55" s="25" t="str">
        <x:f>IF(A55="","","OPERATIONAL CONTROL; NO RECEIPT, LIABILITY OR PAYMENT INFERENCE")</x:f>
      </x:c>
    </x:row>
    <x:row r="56">
      <x:c r="A56" t="str">
        <x:f>IF('Project Control'!A56="","",'Project Control'!A56)</x:f>
      </x:c>
      <x:c r="B56" t="str">
        <x:f>IF(A56="","",IF('Project Control'!D56="","",'Project Control'!D56))</x:f>
      </x:c>
      <x:c r="C56" s="8" t="str">
        <x:f>IF(A56="","",IF('Project Control'!E56="","",'Project Control'!E56))</x:f>
      </x:c>
      <x:c r="D56" t="str">
        <x:f>IF(A56="","",IF('Project Control'!F56="","",'Project Control'!F56))</x:f>
      </x:c>
      <x:c r="E56" t="str">
        <x:f>IF(A56="","",IF('Project Control'!G56="","",'Project Control'!G56))</x:f>
      </x:c>
      <x:c r="F56" t="str">
        <x:f>IF(A56="","",IF('Project Control'!I56="","",'Project Control'!I56))</x:f>
      </x:c>
      <x:c r="G56" s="8" t="str">
        <x:f>IF(A56="","",IF('Project Control'!J56="","",'Project Control'!J56))</x:f>
      </x:c>
      <x:c r="H56" s="8" t="str">
        <x:f>IF(A56="","",IF('Project Control'!K56="","",'Project Control'!K56))</x:f>
      </x:c>
      <x:c r="I56" t="str">
        <x:f>IF(A56="","",IF('Project Control'!L56="","",'Project Control'!L56))</x:f>
      </x:c>
      <x:c r="J56" s="8" t="str">
        <x:f>IF(A56="","",IF('Project Control'!O56="","",'Project Control'!O56))</x:f>
      </x:c>
      <x:c r="K56" s="25" t="str">
        <x:f>IF(A56="","","OPERATIONAL CONTROL; NO RECEIPT, LIABILITY OR PAYMENT INFERENCE")</x:f>
      </x:c>
    </x:row>
    <x:row r="57">
      <x:c r="A57" t="str">
        <x:f>IF('Project Control'!A57="","",'Project Control'!A57)</x:f>
      </x:c>
      <x:c r="B57" t="str">
        <x:f>IF(A57="","",IF('Project Control'!D57="","",'Project Control'!D57))</x:f>
      </x:c>
      <x:c r="C57" s="8" t="str">
        <x:f>IF(A57="","",IF('Project Control'!E57="","",'Project Control'!E57))</x:f>
      </x:c>
      <x:c r="D57" t="str">
        <x:f>IF(A57="","",IF('Project Control'!F57="","",'Project Control'!F57))</x:f>
      </x:c>
      <x:c r="E57" t="str">
        <x:f>IF(A57="","",IF('Project Control'!G57="","",'Project Control'!G57))</x:f>
      </x:c>
      <x:c r="F57" t="str">
        <x:f>IF(A57="","",IF('Project Control'!I57="","",'Project Control'!I57))</x:f>
      </x:c>
      <x:c r="G57" s="8" t="str">
        <x:f>IF(A57="","",IF('Project Control'!J57="","",'Project Control'!J57))</x:f>
      </x:c>
      <x:c r="H57" s="8" t="str">
        <x:f>IF(A57="","",IF('Project Control'!K57="","",'Project Control'!K57))</x:f>
      </x:c>
      <x:c r="I57" t="str">
        <x:f>IF(A57="","",IF('Project Control'!L57="","",'Project Control'!L57))</x:f>
      </x:c>
      <x:c r="J57" s="8" t="str">
        <x:f>IF(A57="","",IF('Project Control'!O57="","",'Project Control'!O57))</x:f>
      </x:c>
      <x:c r="K57" s="25" t="str">
        <x:f>IF(A57="","","OPERATIONAL CONTROL; NO RECEIPT, LIABILITY OR PAYMENT INFERENCE")</x:f>
      </x:c>
    </x:row>
    <x:row r="58">
      <x:c r="A58" t="str">
        <x:f>IF('Project Control'!A58="","",'Project Control'!A58)</x:f>
      </x:c>
      <x:c r="B58" t="str">
        <x:f>IF(A58="","",IF('Project Control'!D58="","",'Project Control'!D58))</x:f>
      </x:c>
      <x:c r="C58" s="8" t="str">
        <x:f>IF(A58="","",IF('Project Control'!E58="","",'Project Control'!E58))</x:f>
      </x:c>
      <x:c r="D58" t="str">
        <x:f>IF(A58="","",IF('Project Control'!F58="","",'Project Control'!F58))</x:f>
      </x:c>
      <x:c r="E58" t="str">
        <x:f>IF(A58="","",IF('Project Control'!G58="","",'Project Control'!G58))</x:f>
      </x:c>
      <x:c r="F58" t="str">
        <x:f>IF(A58="","",IF('Project Control'!I58="","",'Project Control'!I58))</x:f>
      </x:c>
      <x:c r="G58" s="8" t="str">
        <x:f>IF(A58="","",IF('Project Control'!J58="","",'Project Control'!J58))</x:f>
      </x:c>
      <x:c r="H58" s="8" t="str">
        <x:f>IF(A58="","",IF('Project Control'!K58="","",'Project Control'!K58))</x:f>
      </x:c>
      <x:c r="I58" t="str">
        <x:f>IF(A58="","",IF('Project Control'!L58="","",'Project Control'!L58))</x:f>
      </x:c>
      <x:c r="J58" s="8" t="str">
        <x:f>IF(A58="","",IF('Project Control'!O58="","",'Project Control'!O58))</x:f>
      </x:c>
      <x:c r="K58" s="25" t="str">
        <x:f>IF(A58="","","OPERATIONAL CONTROL; NO RECEIPT, LIABILITY OR PAYMENT INFERENCE")</x:f>
      </x:c>
    </x:row>
    <x:row r="59">
      <x:c r="A59" t="str">
        <x:f>IF('Project Control'!A59="","",'Project Control'!A59)</x:f>
      </x:c>
      <x:c r="B59" t="str">
        <x:f>IF(A59="","",IF('Project Control'!D59="","",'Project Control'!D59))</x:f>
      </x:c>
      <x:c r="C59" s="8" t="str">
        <x:f>IF(A59="","",IF('Project Control'!E59="","",'Project Control'!E59))</x:f>
      </x:c>
      <x:c r="D59" t="str">
        <x:f>IF(A59="","",IF('Project Control'!F59="","",'Project Control'!F59))</x:f>
      </x:c>
      <x:c r="E59" t="str">
        <x:f>IF(A59="","",IF('Project Control'!G59="","",'Project Control'!G59))</x:f>
      </x:c>
      <x:c r="F59" t="str">
        <x:f>IF(A59="","",IF('Project Control'!I59="","",'Project Control'!I59))</x:f>
      </x:c>
      <x:c r="G59" s="8" t="str">
        <x:f>IF(A59="","",IF('Project Control'!J59="","",'Project Control'!J59))</x:f>
      </x:c>
      <x:c r="H59" s="8" t="str">
        <x:f>IF(A59="","",IF('Project Control'!K59="","",'Project Control'!K59))</x:f>
      </x:c>
      <x:c r="I59" t="str">
        <x:f>IF(A59="","",IF('Project Control'!L59="","",'Project Control'!L59))</x:f>
      </x:c>
      <x:c r="J59" s="8" t="str">
        <x:f>IF(A59="","",IF('Project Control'!O59="","",'Project Control'!O59))</x:f>
      </x:c>
      <x:c r="K59" s="25" t="str">
        <x:f>IF(A59="","","OPERATIONAL CONTROL; NO RECEIPT, LIABILITY OR PAYMENT INFERENCE")</x:f>
      </x:c>
    </x:row>
    <x:row r="60">
      <x:c r="A60" t="str">
        <x:f>IF('Project Control'!A60="","",'Project Control'!A60)</x:f>
      </x:c>
      <x:c r="B60" t="str">
        <x:f>IF(A60="","",IF('Project Control'!D60="","",'Project Control'!D60))</x:f>
      </x:c>
      <x:c r="C60" s="8" t="str">
        <x:f>IF(A60="","",IF('Project Control'!E60="","",'Project Control'!E60))</x:f>
      </x:c>
      <x:c r="D60" t="str">
        <x:f>IF(A60="","",IF('Project Control'!F60="","",'Project Control'!F60))</x:f>
      </x:c>
      <x:c r="E60" t="str">
        <x:f>IF(A60="","",IF('Project Control'!G60="","",'Project Control'!G60))</x:f>
      </x:c>
      <x:c r="F60" t="str">
        <x:f>IF(A60="","",IF('Project Control'!I60="","",'Project Control'!I60))</x:f>
      </x:c>
      <x:c r="G60" s="8" t="str">
        <x:f>IF(A60="","",IF('Project Control'!J60="","",'Project Control'!J60))</x:f>
      </x:c>
      <x:c r="H60" s="8" t="str">
        <x:f>IF(A60="","",IF('Project Control'!K60="","",'Project Control'!K60))</x:f>
      </x:c>
      <x:c r="I60" t="str">
        <x:f>IF(A60="","",IF('Project Control'!L60="","",'Project Control'!L60))</x:f>
      </x:c>
      <x:c r="J60" s="8" t="str">
        <x:f>IF(A60="","",IF('Project Control'!O60="","",'Project Control'!O60))</x:f>
      </x:c>
      <x:c r="K60" s="25" t="str">
        <x:f>IF(A60="","","OPERATIONAL CONTROL; NO RECEIPT, LIABILITY OR PAYMENT INFERENCE")</x:f>
      </x:c>
    </x:row>
    <x:row r="61">
      <x:c r="A61" t="str">
        <x:f>IF('Project Control'!A61="","",'Project Control'!A61)</x:f>
      </x:c>
      <x:c r="B61" t="str">
        <x:f>IF(A61="","",IF('Project Control'!D61="","",'Project Control'!D61))</x:f>
      </x:c>
      <x:c r="C61" s="8" t="str">
        <x:f>IF(A61="","",IF('Project Control'!E61="","",'Project Control'!E61))</x:f>
      </x:c>
      <x:c r="D61" t="str">
        <x:f>IF(A61="","",IF('Project Control'!F61="","",'Project Control'!F61))</x:f>
      </x:c>
      <x:c r="E61" t="str">
        <x:f>IF(A61="","",IF('Project Control'!G61="","",'Project Control'!G61))</x:f>
      </x:c>
      <x:c r="F61" t="str">
        <x:f>IF(A61="","",IF('Project Control'!I61="","",'Project Control'!I61))</x:f>
      </x:c>
      <x:c r="G61" s="8" t="str">
        <x:f>IF(A61="","",IF('Project Control'!J61="","",'Project Control'!J61))</x:f>
      </x:c>
      <x:c r="H61" s="8" t="str">
        <x:f>IF(A61="","",IF('Project Control'!K61="","",'Project Control'!K61))</x:f>
      </x:c>
      <x:c r="I61" t="str">
        <x:f>IF(A61="","",IF('Project Control'!L61="","",'Project Control'!L61))</x:f>
      </x:c>
      <x:c r="J61" s="8" t="str">
        <x:f>IF(A61="","",IF('Project Control'!O61="","",'Project Control'!O61))</x:f>
      </x:c>
      <x:c r="K61" s="25" t="str">
        <x:f>IF(A61="","","OPERATIONAL CONTROL; NO RECEIPT, LIABILITY OR PAYMENT INFERENCE")</x:f>
      </x:c>
    </x:row>
    <x:row r="62">
      <x:c r="A62" t="str">
        <x:f>IF('Project Control'!A62="","",'Project Control'!A62)</x:f>
      </x:c>
      <x:c r="B62" t="str">
        <x:f>IF(A62="","",IF('Project Control'!D62="","",'Project Control'!D62))</x:f>
      </x:c>
      <x:c r="C62" s="8" t="str">
        <x:f>IF(A62="","",IF('Project Control'!E62="","",'Project Control'!E62))</x:f>
      </x:c>
      <x:c r="D62" t="str">
        <x:f>IF(A62="","",IF('Project Control'!F62="","",'Project Control'!F62))</x:f>
      </x:c>
      <x:c r="E62" t="str">
        <x:f>IF(A62="","",IF('Project Control'!G62="","",'Project Control'!G62))</x:f>
      </x:c>
      <x:c r="F62" t="str">
        <x:f>IF(A62="","",IF('Project Control'!I62="","",'Project Control'!I62))</x:f>
      </x:c>
      <x:c r="G62" s="8" t="str">
        <x:f>IF(A62="","",IF('Project Control'!J62="","",'Project Control'!J62))</x:f>
      </x:c>
      <x:c r="H62" s="8" t="str">
        <x:f>IF(A62="","",IF('Project Control'!K62="","",'Project Control'!K62))</x:f>
      </x:c>
      <x:c r="I62" t="str">
        <x:f>IF(A62="","",IF('Project Control'!L62="","",'Project Control'!L62))</x:f>
      </x:c>
      <x:c r="J62" s="8" t="str">
        <x:f>IF(A62="","",IF('Project Control'!O62="","",'Project Control'!O62))</x:f>
      </x:c>
      <x:c r="K62" s="25" t="str">
        <x:f>IF(A62="","","OPERATIONAL CONTROL; NO RECEIPT, LIABILITY OR PAYMENT INFERENCE")</x:f>
      </x:c>
    </x:row>
    <x:row r="63">
      <x:c r="A63" t="str">
        <x:f>IF('Project Control'!A63="","",'Project Control'!A63)</x:f>
      </x:c>
      <x:c r="B63" t="str">
        <x:f>IF(A63="","",IF('Project Control'!D63="","",'Project Control'!D63))</x:f>
      </x:c>
      <x:c r="C63" s="8" t="str">
        <x:f>IF(A63="","",IF('Project Control'!E63="","",'Project Control'!E63))</x:f>
      </x:c>
      <x:c r="D63" t="str">
        <x:f>IF(A63="","",IF('Project Control'!F63="","",'Project Control'!F63))</x:f>
      </x:c>
      <x:c r="E63" t="str">
        <x:f>IF(A63="","",IF('Project Control'!G63="","",'Project Control'!G63))</x:f>
      </x:c>
      <x:c r="F63" t="str">
        <x:f>IF(A63="","",IF('Project Control'!I63="","",'Project Control'!I63))</x:f>
      </x:c>
      <x:c r="G63" s="8" t="str">
        <x:f>IF(A63="","",IF('Project Control'!J63="","",'Project Control'!J63))</x:f>
      </x:c>
      <x:c r="H63" s="8" t="str">
        <x:f>IF(A63="","",IF('Project Control'!K63="","",'Project Control'!K63))</x:f>
      </x:c>
      <x:c r="I63" t="str">
        <x:f>IF(A63="","",IF('Project Control'!L63="","",'Project Control'!L63))</x:f>
      </x:c>
      <x:c r="J63" s="8" t="str">
        <x:f>IF(A63="","",IF('Project Control'!O63="","",'Project Control'!O63))</x:f>
      </x:c>
      <x:c r="K63" s="25" t="str">
        <x:f>IF(A63="","","OPERATIONAL CONTROL; NO RECEIPT, LIABILITY OR PAYMENT INFERENCE")</x:f>
      </x:c>
    </x:row>
    <x:row r="64">
      <x:c r="A64" t="str">
        <x:f>IF('Project Control'!A64="","",'Project Control'!A64)</x:f>
      </x:c>
      <x:c r="B64" t="str">
        <x:f>IF(A64="","",IF('Project Control'!D64="","",'Project Control'!D64))</x:f>
      </x:c>
      <x:c r="C64" s="8" t="str">
        <x:f>IF(A64="","",IF('Project Control'!E64="","",'Project Control'!E64))</x:f>
      </x:c>
      <x:c r="D64" t="str">
        <x:f>IF(A64="","",IF('Project Control'!F64="","",'Project Control'!F64))</x:f>
      </x:c>
      <x:c r="E64" t="str">
        <x:f>IF(A64="","",IF('Project Control'!G64="","",'Project Control'!G64))</x:f>
      </x:c>
      <x:c r="F64" t="str">
        <x:f>IF(A64="","",IF('Project Control'!I64="","",'Project Control'!I64))</x:f>
      </x:c>
      <x:c r="G64" s="8" t="str">
        <x:f>IF(A64="","",IF('Project Control'!J64="","",'Project Control'!J64))</x:f>
      </x:c>
      <x:c r="H64" s="8" t="str">
        <x:f>IF(A64="","",IF('Project Control'!K64="","",'Project Control'!K64))</x:f>
      </x:c>
      <x:c r="I64" t="str">
        <x:f>IF(A64="","",IF('Project Control'!L64="","",'Project Control'!L64))</x:f>
      </x:c>
      <x:c r="J64" s="8" t="str">
        <x:f>IF(A64="","",IF('Project Control'!O64="","",'Project Control'!O64))</x:f>
      </x:c>
      <x:c r="K64" s="25" t="str">
        <x:f>IF(A64="","","OPERATIONAL CONTROL; NO RECEIPT, LIABILITY OR PAYMENT INFERENCE")</x:f>
      </x:c>
    </x:row>
    <x:row r="65">
      <x:c r="A65" t="str">
        <x:f>IF('Project Control'!A65="","",'Project Control'!A65)</x:f>
      </x:c>
      <x:c r="B65" t="str">
        <x:f>IF(A65="","",IF('Project Control'!D65="","",'Project Control'!D65))</x:f>
      </x:c>
      <x:c r="C65" s="8" t="str">
        <x:f>IF(A65="","",IF('Project Control'!E65="","",'Project Control'!E65))</x:f>
      </x:c>
      <x:c r="D65" t="str">
        <x:f>IF(A65="","",IF('Project Control'!F65="","",'Project Control'!F65))</x:f>
      </x:c>
      <x:c r="E65" t="str">
        <x:f>IF(A65="","",IF('Project Control'!G65="","",'Project Control'!G65))</x:f>
      </x:c>
      <x:c r="F65" t="str">
        <x:f>IF(A65="","",IF('Project Control'!I65="","",'Project Control'!I65))</x:f>
      </x:c>
      <x:c r="G65" s="8" t="str">
        <x:f>IF(A65="","",IF('Project Control'!J65="","",'Project Control'!J65))</x:f>
      </x:c>
      <x:c r="H65" s="8" t="str">
        <x:f>IF(A65="","",IF('Project Control'!K65="","",'Project Control'!K65))</x:f>
      </x:c>
      <x:c r="I65" t="str">
        <x:f>IF(A65="","",IF('Project Control'!L65="","",'Project Control'!L65))</x:f>
      </x:c>
      <x:c r="J65" s="8" t="str">
        <x:f>IF(A65="","",IF('Project Control'!O65="","",'Project Control'!O65))</x:f>
      </x:c>
      <x:c r="K65" s="25" t="str">
        <x:f>IF(A65="","","OPERATIONAL CONTROL; NO RECEIPT, LIABILITY OR PAYMENT INFERENCE")</x:f>
      </x:c>
    </x:row>
    <x:row r="66">
      <x:c r="A66" t="str">
        <x:f>IF('Project Control'!A66="","",'Project Control'!A66)</x:f>
      </x:c>
      <x:c r="B66" t="str">
        <x:f>IF(A66="","",IF('Project Control'!D66="","",'Project Control'!D66))</x:f>
      </x:c>
      <x:c r="C66" s="8" t="str">
        <x:f>IF(A66="","",IF('Project Control'!E66="","",'Project Control'!E66))</x:f>
      </x:c>
      <x:c r="D66" t="str">
        <x:f>IF(A66="","",IF('Project Control'!F66="","",'Project Control'!F66))</x:f>
      </x:c>
      <x:c r="E66" t="str">
        <x:f>IF(A66="","",IF('Project Control'!G66="","",'Project Control'!G66))</x:f>
      </x:c>
      <x:c r="F66" t="str">
        <x:f>IF(A66="","",IF('Project Control'!I66="","",'Project Control'!I66))</x:f>
      </x:c>
      <x:c r="G66" s="8" t="str">
        <x:f>IF(A66="","",IF('Project Control'!J66="","",'Project Control'!J66))</x:f>
      </x:c>
      <x:c r="H66" s="8" t="str">
        <x:f>IF(A66="","",IF('Project Control'!K66="","",'Project Control'!K66))</x:f>
      </x:c>
      <x:c r="I66" t="str">
        <x:f>IF(A66="","",IF('Project Control'!L66="","",'Project Control'!L66))</x:f>
      </x:c>
      <x:c r="J66" s="8" t="str">
        <x:f>IF(A66="","",IF('Project Control'!O66="","",'Project Control'!O66))</x:f>
      </x:c>
      <x:c r="K66" s="25" t="str">
        <x:f>IF(A66="","","OPERATIONAL CONTROL; NO RECEIPT, LIABILITY OR PAYMENT INFERENCE")</x:f>
      </x:c>
    </x:row>
    <x:row r="67">
      <x:c r="A67" t="str">
        <x:f>IF('Project Control'!A67="","",'Project Control'!A67)</x:f>
      </x:c>
      <x:c r="B67" t="str">
        <x:f>IF(A67="","",IF('Project Control'!D67="","",'Project Control'!D67))</x:f>
      </x:c>
      <x:c r="C67" s="8" t="str">
        <x:f>IF(A67="","",IF('Project Control'!E67="","",'Project Control'!E67))</x:f>
      </x:c>
      <x:c r="D67" t="str">
        <x:f>IF(A67="","",IF('Project Control'!F67="","",'Project Control'!F67))</x:f>
      </x:c>
      <x:c r="E67" t="str">
        <x:f>IF(A67="","",IF('Project Control'!G67="","",'Project Control'!G67))</x:f>
      </x:c>
      <x:c r="F67" t="str">
        <x:f>IF(A67="","",IF('Project Control'!I67="","",'Project Control'!I67))</x:f>
      </x:c>
      <x:c r="G67" s="8" t="str">
        <x:f>IF(A67="","",IF('Project Control'!J67="","",'Project Control'!J67))</x:f>
      </x:c>
      <x:c r="H67" s="8" t="str">
        <x:f>IF(A67="","",IF('Project Control'!K67="","",'Project Control'!K67))</x:f>
      </x:c>
      <x:c r="I67" t="str">
        <x:f>IF(A67="","",IF('Project Control'!L67="","",'Project Control'!L67))</x:f>
      </x:c>
      <x:c r="J67" s="8" t="str">
        <x:f>IF(A67="","",IF('Project Control'!O67="","",'Project Control'!O67))</x:f>
      </x:c>
      <x:c r="K67" s="25" t="str">
        <x:f>IF(A67="","","OPERATIONAL CONTROL; NO RECEIPT, LIABILITY OR PAYMENT INFERENCE")</x:f>
      </x:c>
    </x:row>
    <x:row r="68">
      <x:c r="A68" t="str">
        <x:f>IF('Project Control'!A68="","",'Project Control'!A68)</x:f>
      </x:c>
      <x:c r="B68" t="str">
        <x:f>IF(A68="","",IF('Project Control'!D68="","",'Project Control'!D68))</x:f>
      </x:c>
      <x:c r="C68" s="8" t="str">
        <x:f>IF(A68="","",IF('Project Control'!E68="","",'Project Control'!E68))</x:f>
      </x:c>
      <x:c r="D68" t="str">
        <x:f>IF(A68="","",IF('Project Control'!F68="","",'Project Control'!F68))</x:f>
      </x:c>
      <x:c r="E68" t="str">
        <x:f>IF(A68="","",IF('Project Control'!G68="","",'Project Control'!G68))</x:f>
      </x:c>
      <x:c r="F68" t="str">
        <x:f>IF(A68="","",IF('Project Control'!I68="","",'Project Control'!I68))</x:f>
      </x:c>
      <x:c r="G68" s="8" t="str">
        <x:f>IF(A68="","",IF('Project Control'!J68="","",'Project Control'!J68))</x:f>
      </x:c>
      <x:c r="H68" s="8" t="str">
        <x:f>IF(A68="","",IF('Project Control'!K68="","",'Project Control'!K68))</x:f>
      </x:c>
      <x:c r="I68" t="str">
        <x:f>IF(A68="","",IF('Project Control'!L68="","",'Project Control'!L68))</x:f>
      </x:c>
      <x:c r="J68" s="8" t="str">
        <x:f>IF(A68="","",IF('Project Control'!O68="","",'Project Control'!O68))</x:f>
      </x:c>
      <x:c r="K68" s="25" t="str">
        <x:f>IF(A68="","","OPERATIONAL CONTROL; NO RECEIPT, LIABILITY OR PAYMENT INFERENCE")</x:f>
      </x:c>
    </x:row>
    <x:row r="69">
      <x:c r="A69" t="str">
        <x:f>IF('Project Control'!A69="","",'Project Control'!A69)</x:f>
      </x:c>
      <x:c r="B69" t="str">
        <x:f>IF(A69="","",IF('Project Control'!D69="","",'Project Control'!D69))</x:f>
      </x:c>
      <x:c r="C69" s="8" t="str">
        <x:f>IF(A69="","",IF('Project Control'!E69="","",'Project Control'!E69))</x:f>
      </x:c>
      <x:c r="D69" t="str">
        <x:f>IF(A69="","",IF('Project Control'!F69="","",'Project Control'!F69))</x:f>
      </x:c>
      <x:c r="E69" t="str">
        <x:f>IF(A69="","",IF('Project Control'!G69="","",'Project Control'!G69))</x:f>
      </x:c>
      <x:c r="F69" t="str">
        <x:f>IF(A69="","",IF('Project Control'!I69="","",'Project Control'!I69))</x:f>
      </x:c>
      <x:c r="G69" s="8" t="str">
        <x:f>IF(A69="","",IF('Project Control'!J69="","",'Project Control'!J69))</x:f>
      </x:c>
      <x:c r="H69" s="8" t="str">
        <x:f>IF(A69="","",IF('Project Control'!K69="","",'Project Control'!K69))</x:f>
      </x:c>
      <x:c r="I69" t="str">
        <x:f>IF(A69="","",IF('Project Control'!L69="","",'Project Control'!L69))</x:f>
      </x:c>
      <x:c r="J69" s="8" t="str">
        <x:f>IF(A69="","",IF('Project Control'!O69="","",'Project Control'!O69))</x:f>
      </x:c>
      <x:c r="K69" s="25" t="str">
        <x:f>IF(A69="","","OPERATIONAL CONTROL; NO RECEIPT, LIABILITY OR PAYMENT INFERENCE")</x:f>
      </x:c>
    </x:row>
    <x:row r="70">
      <x:c r="A70" t="str">
        <x:f>IF('Project Control'!A70="","",'Project Control'!A70)</x:f>
      </x:c>
      <x:c r="B70" t="str">
        <x:f>IF(A70="","",IF('Project Control'!D70="","",'Project Control'!D70))</x:f>
      </x:c>
      <x:c r="C70" s="8" t="str">
        <x:f>IF(A70="","",IF('Project Control'!E70="","",'Project Control'!E70))</x:f>
      </x:c>
      <x:c r="D70" t="str">
        <x:f>IF(A70="","",IF('Project Control'!F70="","",'Project Control'!F70))</x:f>
      </x:c>
      <x:c r="E70" t="str">
        <x:f>IF(A70="","",IF('Project Control'!G70="","",'Project Control'!G70))</x:f>
      </x:c>
      <x:c r="F70" t="str">
        <x:f>IF(A70="","",IF('Project Control'!I70="","",'Project Control'!I70))</x:f>
      </x:c>
      <x:c r="G70" s="8" t="str">
        <x:f>IF(A70="","",IF('Project Control'!J70="","",'Project Control'!J70))</x:f>
      </x:c>
      <x:c r="H70" s="8" t="str">
        <x:f>IF(A70="","",IF('Project Control'!K70="","",'Project Control'!K70))</x:f>
      </x:c>
      <x:c r="I70" t="str">
        <x:f>IF(A70="","",IF('Project Control'!L70="","",'Project Control'!L70))</x:f>
      </x:c>
      <x:c r="J70" s="8" t="str">
        <x:f>IF(A70="","",IF('Project Control'!O70="","",'Project Control'!O70))</x:f>
      </x:c>
      <x:c r="K70" s="25" t="str">
        <x:f>IF(A70="","","OPERATIONAL CONTROL; NO RECEIPT, LIABILITY OR PAYMENT INFERENCE")</x:f>
      </x:c>
    </x:row>
    <x:row r="71">
      <x:c r="A71" t="str">
        <x:f>IF('Project Control'!A71="","",'Project Control'!A71)</x:f>
      </x:c>
      <x:c r="B71" t="str">
        <x:f>IF(A71="","",IF('Project Control'!D71="","",'Project Control'!D71))</x:f>
      </x:c>
      <x:c r="C71" s="8" t="str">
        <x:f>IF(A71="","",IF('Project Control'!E71="","",'Project Control'!E71))</x:f>
      </x:c>
      <x:c r="D71" t="str">
        <x:f>IF(A71="","",IF('Project Control'!F71="","",'Project Control'!F71))</x:f>
      </x:c>
      <x:c r="E71" t="str">
        <x:f>IF(A71="","",IF('Project Control'!G71="","",'Project Control'!G71))</x:f>
      </x:c>
      <x:c r="F71" t="str">
        <x:f>IF(A71="","",IF('Project Control'!I71="","",'Project Control'!I71))</x:f>
      </x:c>
      <x:c r="G71" s="8" t="str">
        <x:f>IF(A71="","",IF('Project Control'!J71="","",'Project Control'!J71))</x:f>
      </x:c>
      <x:c r="H71" s="8" t="str">
        <x:f>IF(A71="","",IF('Project Control'!K71="","",'Project Control'!K71))</x:f>
      </x:c>
      <x:c r="I71" t="str">
        <x:f>IF(A71="","",IF('Project Control'!L71="","",'Project Control'!L71))</x:f>
      </x:c>
      <x:c r="J71" s="8" t="str">
        <x:f>IF(A71="","",IF('Project Control'!O71="","",'Project Control'!O71))</x:f>
      </x:c>
      <x:c r="K71" s="25" t="str">
        <x:f>IF(A71="","","OPERATIONAL CONTROL; NO RECEIPT, LIABILITY OR PAYMENT INFERENCE")</x:f>
      </x:c>
    </x:row>
    <x:row r="72">
      <x:c r="A72" t="str">
        <x:f>IF('Project Control'!A72="","",'Project Control'!A72)</x:f>
      </x:c>
      <x:c r="B72" t="str">
        <x:f>IF(A72="","",IF('Project Control'!D72="","",'Project Control'!D72))</x:f>
      </x:c>
      <x:c r="C72" s="8" t="str">
        <x:f>IF(A72="","",IF('Project Control'!E72="","",'Project Control'!E72))</x:f>
      </x:c>
      <x:c r="D72" t="str">
        <x:f>IF(A72="","",IF('Project Control'!F72="","",'Project Control'!F72))</x:f>
      </x:c>
      <x:c r="E72" t="str">
        <x:f>IF(A72="","",IF('Project Control'!G72="","",'Project Control'!G72))</x:f>
      </x:c>
      <x:c r="F72" t="str">
        <x:f>IF(A72="","",IF('Project Control'!I72="","",'Project Control'!I72))</x:f>
      </x:c>
      <x:c r="G72" s="8" t="str">
        <x:f>IF(A72="","",IF('Project Control'!J72="","",'Project Control'!J72))</x:f>
      </x:c>
      <x:c r="H72" s="8" t="str">
        <x:f>IF(A72="","",IF('Project Control'!K72="","",'Project Control'!K72))</x:f>
      </x:c>
      <x:c r="I72" t="str">
        <x:f>IF(A72="","",IF('Project Control'!L72="","",'Project Control'!L72))</x:f>
      </x:c>
      <x:c r="J72" s="8" t="str">
        <x:f>IF(A72="","",IF('Project Control'!O72="","",'Project Control'!O72))</x:f>
      </x:c>
      <x:c r="K72" s="25" t="str">
        <x:f>IF(A72="","","OPERATIONAL CONTROL; NO RECEIPT, LIABILITY OR PAYMENT INFERENCE")</x:f>
      </x:c>
    </x:row>
    <x:row r="73">
      <x:c r="A73" t="str">
        <x:f>IF('Project Control'!A73="","",'Project Control'!A73)</x:f>
      </x:c>
      <x:c r="B73" t="str">
        <x:f>IF(A73="","",IF('Project Control'!D73="","",'Project Control'!D73))</x:f>
      </x:c>
      <x:c r="C73" s="8" t="str">
        <x:f>IF(A73="","",IF('Project Control'!E73="","",'Project Control'!E73))</x:f>
      </x:c>
      <x:c r="D73" t="str">
        <x:f>IF(A73="","",IF('Project Control'!F73="","",'Project Control'!F73))</x:f>
      </x:c>
      <x:c r="E73" t="str">
        <x:f>IF(A73="","",IF('Project Control'!G73="","",'Project Control'!G73))</x:f>
      </x:c>
      <x:c r="F73" t="str">
        <x:f>IF(A73="","",IF('Project Control'!I73="","",'Project Control'!I73))</x:f>
      </x:c>
      <x:c r="G73" s="8" t="str">
        <x:f>IF(A73="","",IF('Project Control'!J73="","",'Project Control'!J73))</x:f>
      </x:c>
      <x:c r="H73" s="8" t="str">
        <x:f>IF(A73="","",IF('Project Control'!K73="","",'Project Control'!K73))</x:f>
      </x:c>
      <x:c r="I73" t="str">
        <x:f>IF(A73="","",IF('Project Control'!L73="","",'Project Control'!L73))</x:f>
      </x:c>
      <x:c r="J73" s="8" t="str">
        <x:f>IF(A73="","",IF('Project Control'!O73="","",'Project Control'!O73))</x:f>
      </x:c>
      <x:c r="K73" s="25" t="str">
        <x:f>IF(A73="","","OPERATIONAL CONTROL; NO RECEIPT, LIABILITY OR PAYMENT INFERENCE")</x:f>
      </x:c>
    </x:row>
    <x:row r="74">
      <x:c r="A74" t="str">
        <x:f>IF('Project Control'!A74="","",'Project Control'!A74)</x:f>
      </x:c>
      <x:c r="B74" t="str">
        <x:f>IF(A74="","",IF('Project Control'!D74="","",'Project Control'!D74))</x:f>
      </x:c>
      <x:c r="C74" s="8" t="str">
        <x:f>IF(A74="","",IF('Project Control'!E74="","",'Project Control'!E74))</x:f>
      </x:c>
      <x:c r="D74" t="str">
        <x:f>IF(A74="","",IF('Project Control'!F74="","",'Project Control'!F74))</x:f>
      </x:c>
      <x:c r="E74" t="str">
        <x:f>IF(A74="","",IF('Project Control'!G74="","",'Project Control'!G74))</x:f>
      </x:c>
      <x:c r="F74" t="str">
        <x:f>IF(A74="","",IF('Project Control'!I74="","",'Project Control'!I74))</x:f>
      </x:c>
      <x:c r="G74" s="8" t="str">
        <x:f>IF(A74="","",IF('Project Control'!J74="","",'Project Control'!J74))</x:f>
      </x:c>
      <x:c r="H74" s="8" t="str">
        <x:f>IF(A74="","",IF('Project Control'!K74="","",'Project Control'!K74))</x:f>
      </x:c>
      <x:c r="I74" t="str">
        <x:f>IF(A74="","",IF('Project Control'!L74="","",'Project Control'!L74))</x:f>
      </x:c>
      <x:c r="J74" s="8" t="str">
        <x:f>IF(A74="","",IF('Project Control'!O74="","",'Project Control'!O74))</x:f>
      </x:c>
      <x:c r="K74" s="25" t="str">
        <x:f>IF(A74="","","OPERATIONAL CONTROL; NO RECEIPT, LIABILITY OR PAYMENT INFERENCE")</x:f>
      </x:c>
    </x:row>
    <x:row r="75">
      <x:c r="A75" t="str">
        <x:f>IF('Project Control'!A75="","",'Project Control'!A75)</x:f>
      </x:c>
      <x:c r="B75" t="str">
        <x:f>IF(A75="","",IF('Project Control'!D75="","",'Project Control'!D75))</x:f>
      </x:c>
      <x:c r="C75" s="8" t="str">
        <x:f>IF(A75="","",IF('Project Control'!E75="","",'Project Control'!E75))</x:f>
      </x:c>
      <x:c r="D75" t="str">
        <x:f>IF(A75="","",IF('Project Control'!F75="","",'Project Control'!F75))</x:f>
      </x:c>
      <x:c r="E75" t="str">
        <x:f>IF(A75="","",IF('Project Control'!G75="","",'Project Control'!G75))</x:f>
      </x:c>
      <x:c r="F75" t="str">
        <x:f>IF(A75="","",IF('Project Control'!I75="","",'Project Control'!I75))</x:f>
      </x:c>
      <x:c r="G75" s="8" t="str">
        <x:f>IF(A75="","",IF('Project Control'!J75="","",'Project Control'!J75))</x:f>
      </x:c>
      <x:c r="H75" s="8" t="str">
        <x:f>IF(A75="","",IF('Project Control'!K75="","",'Project Control'!K75))</x:f>
      </x:c>
      <x:c r="I75" t="str">
        <x:f>IF(A75="","",IF('Project Control'!L75="","",'Project Control'!L75))</x:f>
      </x:c>
      <x:c r="J75" s="8" t="str">
        <x:f>IF(A75="","",IF('Project Control'!O75="","",'Project Control'!O75))</x:f>
      </x:c>
      <x:c r="K75" s="25" t="str">
        <x:f>IF(A75="","","OPERATIONAL CONTROL; NO RECEIPT, LIABILITY OR PAYMENT INFERENCE")</x:f>
      </x:c>
    </x:row>
    <x:row r="76">
      <x:c r="A76" t="str">
        <x:f>IF('Project Control'!A76="","",'Project Control'!A76)</x:f>
      </x:c>
      <x:c r="B76" t="str">
        <x:f>IF(A76="","",IF('Project Control'!D76="","",'Project Control'!D76))</x:f>
      </x:c>
      <x:c r="C76" s="8" t="str">
        <x:f>IF(A76="","",IF('Project Control'!E76="","",'Project Control'!E76))</x:f>
      </x:c>
      <x:c r="D76" t="str">
        <x:f>IF(A76="","",IF('Project Control'!F76="","",'Project Control'!F76))</x:f>
      </x:c>
      <x:c r="E76" t="str">
        <x:f>IF(A76="","",IF('Project Control'!G76="","",'Project Control'!G76))</x:f>
      </x:c>
      <x:c r="F76" t="str">
        <x:f>IF(A76="","",IF('Project Control'!I76="","",'Project Control'!I76))</x:f>
      </x:c>
      <x:c r="G76" s="8" t="str">
        <x:f>IF(A76="","",IF('Project Control'!J76="","",'Project Control'!J76))</x:f>
      </x:c>
      <x:c r="H76" s="8" t="str">
        <x:f>IF(A76="","",IF('Project Control'!K76="","",'Project Control'!K76))</x:f>
      </x:c>
      <x:c r="I76" t="str">
        <x:f>IF(A76="","",IF('Project Control'!L76="","",'Project Control'!L76))</x:f>
      </x:c>
      <x:c r="J76" s="8" t="str">
        <x:f>IF(A76="","",IF('Project Control'!O76="","",'Project Control'!O76))</x:f>
      </x:c>
      <x:c r="K76" s="25" t="str">
        <x:f>IF(A76="","","OPERATIONAL CONTROL; NO RECEIPT, LIABILITY OR PAYMENT INFERENCE")</x:f>
      </x:c>
    </x:row>
    <x:row r="77">
      <x:c r="A77" t="str">
        <x:f>IF('Project Control'!A77="","",'Project Control'!A77)</x:f>
      </x:c>
      <x:c r="B77" t="str">
        <x:f>IF(A77="","",IF('Project Control'!D77="","",'Project Control'!D77))</x:f>
      </x:c>
      <x:c r="C77" s="8" t="str">
        <x:f>IF(A77="","",IF('Project Control'!E77="","",'Project Control'!E77))</x:f>
      </x:c>
      <x:c r="D77" t="str">
        <x:f>IF(A77="","",IF('Project Control'!F77="","",'Project Control'!F77))</x:f>
      </x:c>
      <x:c r="E77" t="str">
        <x:f>IF(A77="","",IF('Project Control'!G77="","",'Project Control'!G77))</x:f>
      </x:c>
      <x:c r="F77" t="str">
        <x:f>IF(A77="","",IF('Project Control'!I77="","",'Project Control'!I77))</x:f>
      </x:c>
      <x:c r="G77" s="8" t="str">
        <x:f>IF(A77="","",IF('Project Control'!J77="","",'Project Control'!J77))</x:f>
      </x:c>
      <x:c r="H77" s="8" t="str">
        <x:f>IF(A77="","",IF('Project Control'!K77="","",'Project Control'!K77))</x:f>
      </x:c>
      <x:c r="I77" t="str">
        <x:f>IF(A77="","",IF('Project Control'!L77="","",'Project Control'!L77))</x:f>
      </x:c>
      <x:c r="J77" s="8" t="str">
        <x:f>IF(A77="","",IF('Project Control'!O77="","",'Project Control'!O77))</x:f>
      </x:c>
      <x:c r="K77" s="25" t="str">
        <x:f>IF(A77="","","OPERATIONAL CONTROL; NO RECEIPT, LIABILITY OR PAYMENT INFERENCE")</x:f>
      </x:c>
    </x:row>
    <x:row r="78">
      <x:c r="A78" t="str">
        <x:f>IF('Project Control'!A78="","",'Project Control'!A78)</x:f>
      </x:c>
      <x:c r="B78" t="str">
        <x:f>IF(A78="","",IF('Project Control'!D78="","",'Project Control'!D78))</x:f>
      </x:c>
      <x:c r="C78" s="8" t="str">
        <x:f>IF(A78="","",IF('Project Control'!E78="","",'Project Control'!E78))</x:f>
      </x:c>
      <x:c r="D78" t="str">
        <x:f>IF(A78="","",IF('Project Control'!F78="","",'Project Control'!F78))</x:f>
      </x:c>
      <x:c r="E78" t="str">
        <x:f>IF(A78="","",IF('Project Control'!G78="","",'Project Control'!G78))</x:f>
      </x:c>
      <x:c r="F78" t="str">
        <x:f>IF(A78="","",IF('Project Control'!I78="","",'Project Control'!I78))</x:f>
      </x:c>
      <x:c r="G78" s="8" t="str">
        <x:f>IF(A78="","",IF('Project Control'!J78="","",'Project Control'!J78))</x:f>
      </x:c>
      <x:c r="H78" s="8" t="str">
        <x:f>IF(A78="","",IF('Project Control'!K78="","",'Project Control'!K78))</x:f>
      </x:c>
      <x:c r="I78" t="str">
        <x:f>IF(A78="","",IF('Project Control'!L78="","",'Project Control'!L78))</x:f>
      </x:c>
      <x:c r="J78" s="8" t="str">
        <x:f>IF(A78="","",IF('Project Control'!O78="","",'Project Control'!O78))</x:f>
      </x:c>
      <x:c r="K78" s="25" t="str">
        <x:f>IF(A78="","","OPERATIONAL CONTROL; NO RECEIPT, LIABILITY OR PAYMENT INFERENCE")</x:f>
      </x:c>
    </x:row>
    <x:row r="79">
      <x:c r="A79" t="str">
        <x:f>IF('Project Control'!A79="","",'Project Control'!A79)</x:f>
      </x:c>
      <x:c r="B79" t="str">
        <x:f>IF(A79="","",IF('Project Control'!D79="","",'Project Control'!D79))</x:f>
      </x:c>
      <x:c r="C79" s="8" t="str">
        <x:f>IF(A79="","",IF('Project Control'!E79="","",'Project Control'!E79))</x:f>
      </x:c>
      <x:c r="D79" t="str">
        <x:f>IF(A79="","",IF('Project Control'!F79="","",'Project Control'!F79))</x:f>
      </x:c>
      <x:c r="E79" t="str">
        <x:f>IF(A79="","",IF('Project Control'!G79="","",'Project Control'!G79))</x:f>
      </x:c>
      <x:c r="F79" t="str">
        <x:f>IF(A79="","",IF('Project Control'!I79="","",'Project Control'!I79))</x:f>
      </x:c>
      <x:c r="G79" s="8" t="str">
        <x:f>IF(A79="","",IF('Project Control'!J79="","",'Project Control'!J79))</x:f>
      </x:c>
      <x:c r="H79" s="8" t="str">
        <x:f>IF(A79="","",IF('Project Control'!K79="","",'Project Control'!K79))</x:f>
      </x:c>
      <x:c r="I79" t="str">
        <x:f>IF(A79="","",IF('Project Control'!L79="","",'Project Control'!L79))</x:f>
      </x:c>
      <x:c r="J79" s="8" t="str">
        <x:f>IF(A79="","",IF('Project Control'!O79="","",'Project Control'!O79))</x:f>
      </x:c>
      <x:c r="K79" s="25" t="str">
        <x:f>IF(A79="","","OPERATIONAL CONTROL; NO RECEIPT, LIABILITY OR PAYMENT INFERENCE")</x:f>
      </x:c>
    </x:row>
    <x:row r="80">
      <x:c r="A80" t="str">
        <x:f>IF('Project Control'!A80="","",'Project Control'!A80)</x:f>
      </x:c>
      <x:c r="B80" t="str">
        <x:f>IF(A80="","",IF('Project Control'!D80="","",'Project Control'!D80))</x:f>
      </x:c>
      <x:c r="C80" s="8" t="str">
        <x:f>IF(A80="","",IF('Project Control'!E80="","",'Project Control'!E80))</x:f>
      </x:c>
      <x:c r="D80" t="str">
        <x:f>IF(A80="","",IF('Project Control'!F80="","",'Project Control'!F80))</x:f>
      </x:c>
      <x:c r="E80" t="str">
        <x:f>IF(A80="","",IF('Project Control'!G80="","",'Project Control'!G80))</x:f>
      </x:c>
      <x:c r="F80" t="str">
        <x:f>IF(A80="","",IF('Project Control'!I80="","",'Project Control'!I80))</x:f>
      </x:c>
      <x:c r="G80" s="8" t="str">
        <x:f>IF(A80="","",IF('Project Control'!J80="","",'Project Control'!J80))</x:f>
      </x:c>
      <x:c r="H80" s="8" t="str">
        <x:f>IF(A80="","",IF('Project Control'!K80="","",'Project Control'!K80))</x:f>
      </x:c>
      <x:c r="I80" t="str">
        <x:f>IF(A80="","",IF('Project Control'!L80="","",'Project Control'!L80))</x:f>
      </x:c>
      <x:c r="J80" s="8" t="str">
        <x:f>IF(A80="","",IF('Project Control'!O80="","",'Project Control'!O80))</x:f>
      </x:c>
      <x:c r="K80" s="25" t="str">
        <x:f>IF(A80="","","OPERATIONAL CONTROL; NO RECEIPT, LIABILITY OR PAYMENT INFERENCE")</x:f>
      </x:c>
    </x:row>
    <x:row r="81">
      <x:c r="A81" t="str">
        <x:f>IF('Project Control'!A81="","",'Project Control'!A81)</x:f>
      </x:c>
      <x:c r="B81" t="str">
        <x:f>IF(A81="","",IF('Project Control'!D81="","",'Project Control'!D81))</x:f>
      </x:c>
      <x:c r="C81" s="8" t="str">
        <x:f>IF(A81="","",IF('Project Control'!E81="","",'Project Control'!E81))</x:f>
      </x:c>
      <x:c r="D81" t="str">
        <x:f>IF(A81="","",IF('Project Control'!F81="","",'Project Control'!F81))</x:f>
      </x:c>
      <x:c r="E81" t="str">
        <x:f>IF(A81="","",IF('Project Control'!G81="","",'Project Control'!G81))</x:f>
      </x:c>
      <x:c r="F81" t="str">
        <x:f>IF(A81="","",IF('Project Control'!I81="","",'Project Control'!I81))</x:f>
      </x:c>
      <x:c r="G81" s="8" t="str">
        <x:f>IF(A81="","",IF('Project Control'!J81="","",'Project Control'!J81))</x:f>
      </x:c>
      <x:c r="H81" s="8" t="str">
        <x:f>IF(A81="","",IF('Project Control'!K81="","",'Project Control'!K81))</x:f>
      </x:c>
      <x:c r="I81" t="str">
        <x:f>IF(A81="","",IF('Project Control'!L81="","",'Project Control'!L81))</x:f>
      </x:c>
      <x:c r="J81" s="8" t="str">
        <x:f>IF(A81="","",IF('Project Control'!O81="","",'Project Control'!O81))</x:f>
      </x:c>
      <x:c r="K81" s="25" t="str">
        <x:f>IF(A81="","","OPERATIONAL CONTROL; NO RECEIPT, LIABILITY OR PAYMENT INFERENCE")</x:f>
      </x:c>
    </x:row>
    <x:row r="82">
      <x:c r="A82" t="str">
        <x:f>IF('Project Control'!A82="","",'Project Control'!A82)</x:f>
      </x:c>
      <x:c r="B82" t="str">
        <x:f>IF(A82="","",IF('Project Control'!D82="","",'Project Control'!D82))</x:f>
      </x:c>
      <x:c r="C82" s="8" t="str">
        <x:f>IF(A82="","",IF('Project Control'!E82="","",'Project Control'!E82))</x:f>
      </x:c>
      <x:c r="D82" t="str">
        <x:f>IF(A82="","",IF('Project Control'!F82="","",'Project Control'!F82))</x:f>
      </x:c>
      <x:c r="E82" t="str">
        <x:f>IF(A82="","",IF('Project Control'!G82="","",'Project Control'!G82))</x:f>
      </x:c>
      <x:c r="F82" t="str">
        <x:f>IF(A82="","",IF('Project Control'!I82="","",'Project Control'!I82))</x:f>
      </x:c>
      <x:c r="G82" s="8" t="str">
        <x:f>IF(A82="","",IF('Project Control'!J82="","",'Project Control'!J82))</x:f>
      </x:c>
      <x:c r="H82" s="8" t="str">
        <x:f>IF(A82="","",IF('Project Control'!K82="","",'Project Control'!K82))</x:f>
      </x:c>
      <x:c r="I82" t="str">
        <x:f>IF(A82="","",IF('Project Control'!L82="","",'Project Control'!L82))</x:f>
      </x:c>
      <x:c r="J82" s="8" t="str">
        <x:f>IF(A82="","",IF('Project Control'!O82="","",'Project Control'!O82))</x:f>
      </x:c>
      <x:c r="K82" s="25" t="str">
        <x:f>IF(A82="","","OPERATIONAL CONTROL; NO RECEIPT, LIABILITY OR PAYMENT INFERENCE")</x:f>
      </x:c>
    </x:row>
    <x:row r="83">
      <x:c r="A83" t="str">
        <x:f>IF('Project Control'!A83="","",'Project Control'!A83)</x:f>
      </x:c>
      <x:c r="B83" t="str">
        <x:f>IF(A83="","",IF('Project Control'!D83="","",'Project Control'!D83))</x:f>
      </x:c>
      <x:c r="C83" s="8" t="str">
        <x:f>IF(A83="","",IF('Project Control'!E83="","",'Project Control'!E83))</x:f>
      </x:c>
      <x:c r="D83" t="str">
        <x:f>IF(A83="","",IF('Project Control'!F83="","",'Project Control'!F83))</x:f>
      </x:c>
      <x:c r="E83" t="str">
        <x:f>IF(A83="","",IF('Project Control'!G83="","",'Project Control'!G83))</x:f>
      </x:c>
      <x:c r="F83" t="str">
        <x:f>IF(A83="","",IF('Project Control'!I83="","",'Project Control'!I83))</x:f>
      </x:c>
      <x:c r="G83" s="8" t="str">
        <x:f>IF(A83="","",IF('Project Control'!J83="","",'Project Control'!J83))</x:f>
      </x:c>
      <x:c r="H83" s="8" t="str">
        <x:f>IF(A83="","",IF('Project Control'!K83="","",'Project Control'!K83))</x:f>
      </x:c>
      <x:c r="I83" t="str">
        <x:f>IF(A83="","",IF('Project Control'!L83="","",'Project Control'!L83))</x:f>
      </x:c>
      <x:c r="J83" s="8" t="str">
        <x:f>IF(A83="","",IF('Project Control'!O83="","",'Project Control'!O83))</x:f>
      </x:c>
      <x:c r="K83" s="25" t="str">
        <x:f>IF(A83="","","OPERATIONAL CONTROL; NO RECEIPT, LIABILITY OR PAYMENT INFERENCE")</x:f>
      </x:c>
    </x:row>
    <x:row r="84">
      <x:c r="A84" t="str">
        <x:f>IF('Project Control'!A84="","",'Project Control'!A84)</x:f>
      </x:c>
      <x:c r="B84" t="str">
        <x:f>IF(A84="","",IF('Project Control'!D84="","",'Project Control'!D84))</x:f>
      </x:c>
      <x:c r="C84" s="8" t="str">
        <x:f>IF(A84="","",IF('Project Control'!E84="","",'Project Control'!E84))</x:f>
      </x:c>
      <x:c r="D84" t="str">
        <x:f>IF(A84="","",IF('Project Control'!F84="","",'Project Control'!F84))</x:f>
      </x:c>
      <x:c r="E84" t="str">
        <x:f>IF(A84="","",IF('Project Control'!G84="","",'Project Control'!G84))</x:f>
      </x:c>
      <x:c r="F84" t="str">
        <x:f>IF(A84="","",IF('Project Control'!I84="","",'Project Control'!I84))</x:f>
      </x:c>
      <x:c r="G84" s="8" t="str">
        <x:f>IF(A84="","",IF('Project Control'!J84="","",'Project Control'!J84))</x:f>
      </x:c>
      <x:c r="H84" s="8" t="str">
        <x:f>IF(A84="","",IF('Project Control'!K84="","",'Project Control'!K84))</x:f>
      </x:c>
      <x:c r="I84" t="str">
        <x:f>IF(A84="","",IF('Project Control'!L84="","",'Project Control'!L84))</x:f>
      </x:c>
      <x:c r="J84" s="8" t="str">
        <x:f>IF(A84="","",IF('Project Control'!O84="","",'Project Control'!O84))</x:f>
      </x:c>
      <x:c r="K84" s="25" t="str">
        <x:f>IF(A84="","","OPERATIONAL CONTROL; NO RECEIPT, LIABILITY OR PAYMENT INFERENCE")</x:f>
      </x:c>
    </x:row>
    <x:row r="85">
      <x:c r="A85" t="str">
        <x:f>IF('Project Control'!A85="","",'Project Control'!A85)</x:f>
      </x:c>
      <x:c r="B85" t="str">
        <x:f>IF(A85="","",IF('Project Control'!D85="","",'Project Control'!D85))</x:f>
      </x:c>
      <x:c r="C85" s="8" t="str">
        <x:f>IF(A85="","",IF('Project Control'!E85="","",'Project Control'!E85))</x:f>
      </x:c>
      <x:c r="D85" t="str">
        <x:f>IF(A85="","",IF('Project Control'!F85="","",'Project Control'!F85))</x:f>
      </x:c>
      <x:c r="E85" t="str">
        <x:f>IF(A85="","",IF('Project Control'!G85="","",'Project Control'!G85))</x:f>
      </x:c>
      <x:c r="F85" t="str">
        <x:f>IF(A85="","",IF('Project Control'!I85="","",'Project Control'!I85))</x:f>
      </x:c>
      <x:c r="G85" s="8" t="str">
        <x:f>IF(A85="","",IF('Project Control'!J85="","",'Project Control'!J85))</x:f>
      </x:c>
      <x:c r="H85" s="8" t="str">
        <x:f>IF(A85="","",IF('Project Control'!K85="","",'Project Control'!K85))</x:f>
      </x:c>
      <x:c r="I85" t="str">
        <x:f>IF(A85="","",IF('Project Control'!L85="","",'Project Control'!L85))</x:f>
      </x:c>
      <x:c r="J85" s="8" t="str">
        <x:f>IF(A85="","",IF('Project Control'!O85="","",'Project Control'!O85))</x:f>
      </x:c>
      <x:c r="K85" s="25" t="str">
        <x:f>IF(A85="","","OPERATIONAL CONTROL; NO RECEIPT, LIABILITY OR PAYMENT INFERENCE")</x:f>
      </x:c>
    </x:row>
    <x:row r="86">
      <x:c r="A86" t="str">
        <x:f>IF('Project Control'!A86="","",'Project Control'!A86)</x:f>
      </x:c>
      <x:c r="B86" t="str">
        <x:f>IF(A86="","",IF('Project Control'!D86="","",'Project Control'!D86))</x:f>
      </x:c>
      <x:c r="C86" s="8" t="str">
        <x:f>IF(A86="","",IF('Project Control'!E86="","",'Project Control'!E86))</x:f>
      </x:c>
      <x:c r="D86" t="str">
        <x:f>IF(A86="","",IF('Project Control'!F86="","",'Project Control'!F86))</x:f>
      </x:c>
      <x:c r="E86" t="str">
        <x:f>IF(A86="","",IF('Project Control'!G86="","",'Project Control'!G86))</x:f>
      </x:c>
      <x:c r="F86" t="str">
        <x:f>IF(A86="","",IF('Project Control'!I86="","",'Project Control'!I86))</x:f>
      </x:c>
      <x:c r="G86" s="8" t="str">
        <x:f>IF(A86="","",IF('Project Control'!J86="","",'Project Control'!J86))</x:f>
      </x:c>
      <x:c r="H86" s="8" t="str">
        <x:f>IF(A86="","",IF('Project Control'!K86="","",'Project Control'!K86))</x:f>
      </x:c>
      <x:c r="I86" t="str">
        <x:f>IF(A86="","",IF('Project Control'!L86="","",'Project Control'!L86))</x:f>
      </x:c>
      <x:c r="J86" s="8" t="str">
        <x:f>IF(A86="","",IF('Project Control'!O86="","",'Project Control'!O86))</x:f>
      </x:c>
      <x:c r="K86" s="25" t="str">
        <x:f>IF(A86="","","OPERATIONAL CONTROL; NO RECEIPT, LIABILITY OR PAYMENT INFERENCE")</x:f>
      </x:c>
    </x:row>
    <x:row r="87">
      <x:c r="A87" t="str">
        <x:f>IF('Project Control'!A87="","",'Project Control'!A87)</x:f>
      </x:c>
      <x:c r="B87" t="str">
        <x:f>IF(A87="","",IF('Project Control'!D87="","",'Project Control'!D87))</x:f>
      </x:c>
      <x:c r="C87" s="8" t="str">
        <x:f>IF(A87="","",IF('Project Control'!E87="","",'Project Control'!E87))</x:f>
      </x:c>
      <x:c r="D87" t="str">
        <x:f>IF(A87="","",IF('Project Control'!F87="","",'Project Control'!F87))</x:f>
      </x:c>
      <x:c r="E87" t="str">
        <x:f>IF(A87="","",IF('Project Control'!G87="","",'Project Control'!G87))</x:f>
      </x:c>
      <x:c r="F87" t="str">
        <x:f>IF(A87="","",IF('Project Control'!I87="","",'Project Control'!I87))</x:f>
      </x:c>
      <x:c r="G87" s="8" t="str">
        <x:f>IF(A87="","",IF('Project Control'!J87="","",'Project Control'!J87))</x:f>
      </x:c>
      <x:c r="H87" s="8" t="str">
        <x:f>IF(A87="","",IF('Project Control'!K87="","",'Project Control'!K87))</x:f>
      </x:c>
      <x:c r="I87" t="str">
        <x:f>IF(A87="","",IF('Project Control'!L87="","",'Project Control'!L87))</x:f>
      </x:c>
      <x:c r="J87" s="8" t="str">
        <x:f>IF(A87="","",IF('Project Control'!O87="","",'Project Control'!O87))</x:f>
      </x:c>
      <x:c r="K87" s="25" t="str">
        <x:f>IF(A87="","","OPERATIONAL CONTROL; NO RECEIPT, LIABILITY OR PAYMENT INFERENCE")</x:f>
      </x:c>
    </x:row>
    <x:row r="88">
      <x:c r="A88" t="str">
        <x:f>IF('Project Control'!A88="","",'Project Control'!A88)</x:f>
      </x:c>
      <x:c r="B88" t="str">
        <x:f>IF(A88="","",IF('Project Control'!D88="","",'Project Control'!D88))</x:f>
      </x:c>
      <x:c r="C88" s="8" t="str">
        <x:f>IF(A88="","",IF('Project Control'!E88="","",'Project Control'!E88))</x:f>
      </x:c>
      <x:c r="D88" t="str">
        <x:f>IF(A88="","",IF('Project Control'!F88="","",'Project Control'!F88))</x:f>
      </x:c>
      <x:c r="E88" t="str">
        <x:f>IF(A88="","",IF('Project Control'!G88="","",'Project Control'!G88))</x:f>
      </x:c>
      <x:c r="F88" t="str">
        <x:f>IF(A88="","",IF('Project Control'!I88="","",'Project Control'!I88))</x:f>
      </x:c>
      <x:c r="G88" s="8" t="str">
        <x:f>IF(A88="","",IF('Project Control'!J88="","",'Project Control'!J88))</x:f>
      </x:c>
      <x:c r="H88" s="8" t="str">
        <x:f>IF(A88="","",IF('Project Control'!K88="","",'Project Control'!K88))</x:f>
      </x:c>
      <x:c r="I88" t="str">
        <x:f>IF(A88="","",IF('Project Control'!L88="","",'Project Control'!L88))</x:f>
      </x:c>
      <x:c r="J88" s="8" t="str">
        <x:f>IF(A88="","",IF('Project Control'!O88="","",'Project Control'!O88))</x:f>
      </x:c>
      <x:c r="K88" s="25" t="str">
        <x:f>IF(A88="","","OPERATIONAL CONTROL; NO RECEIPT, LIABILITY OR PAYMENT INFERENCE")</x:f>
      </x:c>
    </x:row>
    <x:row r="89">
      <x:c r="A89" t="str">
        <x:f>IF('Project Control'!A89="","",'Project Control'!A89)</x:f>
      </x:c>
      <x:c r="B89" t="str">
        <x:f>IF(A89="","",IF('Project Control'!D89="","",'Project Control'!D89))</x:f>
      </x:c>
      <x:c r="C89" s="8" t="str">
        <x:f>IF(A89="","",IF('Project Control'!E89="","",'Project Control'!E89))</x:f>
      </x:c>
      <x:c r="D89" t="str">
        <x:f>IF(A89="","",IF('Project Control'!F89="","",'Project Control'!F89))</x:f>
      </x:c>
      <x:c r="E89" t="str">
        <x:f>IF(A89="","",IF('Project Control'!G89="","",'Project Control'!G89))</x:f>
      </x:c>
      <x:c r="F89" t="str">
        <x:f>IF(A89="","",IF('Project Control'!I89="","",'Project Control'!I89))</x:f>
      </x:c>
      <x:c r="G89" s="8" t="str">
        <x:f>IF(A89="","",IF('Project Control'!J89="","",'Project Control'!J89))</x:f>
      </x:c>
      <x:c r="H89" s="8" t="str">
        <x:f>IF(A89="","",IF('Project Control'!K89="","",'Project Control'!K89))</x:f>
      </x:c>
      <x:c r="I89" t="str">
        <x:f>IF(A89="","",IF('Project Control'!L89="","",'Project Control'!L89))</x:f>
      </x:c>
      <x:c r="J89" s="8" t="str">
        <x:f>IF(A89="","",IF('Project Control'!O89="","",'Project Control'!O89))</x:f>
      </x:c>
      <x:c r="K89" s="25" t="str">
        <x:f>IF(A89="","","OPERATIONAL CONTROL; NO RECEIPT, LIABILITY OR PAYMENT INFERENCE")</x:f>
      </x:c>
    </x:row>
    <x:row r="90">
      <x:c r="A90" t="str">
        <x:f>IF('Project Control'!A90="","",'Project Control'!A90)</x:f>
      </x:c>
      <x:c r="B90" t="str">
        <x:f>IF(A90="","",IF('Project Control'!D90="","",'Project Control'!D90))</x:f>
      </x:c>
      <x:c r="C90" s="8" t="str">
        <x:f>IF(A90="","",IF('Project Control'!E90="","",'Project Control'!E90))</x:f>
      </x:c>
      <x:c r="D90" t="str">
        <x:f>IF(A90="","",IF('Project Control'!F90="","",'Project Control'!F90))</x:f>
      </x:c>
      <x:c r="E90" t="str">
        <x:f>IF(A90="","",IF('Project Control'!G90="","",'Project Control'!G90))</x:f>
      </x:c>
      <x:c r="F90" t="str">
        <x:f>IF(A90="","",IF('Project Control'!I90="","",'Project Control'!I90))</x:f>
      </x:c>
      <x:c r="G90" s="8" t="str">
        <x:f>IF(A90="","",IF('Project Control'!J90="","",'Project Control'!J90))</x:f>
      </x:c>
      <x:c r="H90" s="8" t="str">
        <x:f>IF(A90="","",IF('Project Control'!K90="","",'Project Control'!K90))</x:f>
      </x:c>
      <x:c r="I90" t="str">
        <x:f>IF(A90="","",IF('Project Control'!L90="","",'Project Control'!L90))</x:f>
      </x:c>
      <x:c r="J90" s="8" t="str">
        <x:f>IF(A90="","",IF('Project Control'!O90="","",'Project Control'!O90))</x:f>
      </x:c>
      <x:c r="K90" s="25" t="str">
        <x:f>IF(A90="","","OPERATIONAL CONTROL; NO RECEIPT, LIABILITY OR PAYMENT INFERENCE")</x:f>
      </x:c>
    </x:row>
    <x:row r="91">
      <x:c r="A91" t="str">
        <x:f>IF('Project Control'!A91="","",'Project Control'!A91)</x:f>
      </x:c>
      <x:c r="B91" t="str">
        <x:f>IF(A91="","",IF('Project Control'!D91="","",'Project Control'!D91))</x:f>
      </x:c>
      <x:c r="C91" s="8" t="str">
        <x:f>IF(A91="","",IF('Project Control'!E91="","",'Project Control'!E91))</x:f>
      </x:c>
      <x:c r="D91" t="str">
        <x:f>IF(A91="","",IF('Project Control'!F91="","",'Project Control'!F91))</x:f>
      </x:c>
      <x:c r="E91" t="str">
        <x:f>IF(A91="","",IF('Project Control'!G91="","",'Project Control'!G91))</x:f>
      </x:c>
      <x:c r="F91" t="str">
        <x:f>IF(A91="","",IF('Project Control'!I91="","",'Project Control'!I91))</x:f>
      </x:c>
      <x:c r="G91" s="8" t="str">
        <x:f>IF(A91="","",IF('Project Control'!J91="","",'Project Control'!J91))</x:f>
      </x:c>
      <x:c r="H91" s="8" t="str">
        <x:f>IF(A91="","",IF('Project Control'!K91="","",'Project Control'!K91))</x:f>
      </x:c>
      <x:c r="I91" t="str">
        <x:f>IF(A91="","",IF('Project Control'!L91="","",'Project Control'!L91))</x:f>
      </x:c>
      <x:c r="J91" s="8" t="str">
        <x:f>IF(A91="","",IF('Project Control'!O91="","",'Project Control'!O91))</x:f>
      </x:c>
      <x:c r="K91" s="25" t="str">
        <x:f>IF(A91="","","OPERATIONAL CONTROL; NO RECEIPT, LIABILITY OR PAYMENT INFERENCE")</x:f>
      </x:c>
    </x:row>
    <x:row r="92">
      <x:c r="A92" t="str">
        <x:f>IF('Project Control'!A92="","",'Project Control'!A92)</x:f>
      </x:c>
      <x:c r="B92" t="str">
        <x:f>IF(A92="","",IF('Project Control'!D92="","",'Project Control'!D92))</x:f>
      </x:c>
      <x:c r="C92" s="8" t="str">
        <x:f>IF(A92="","",IF('Project Control'!E92="","",'Project Control'!E92))</x:f>
      </x:c>
      <x:c r="D92" t="str">
        <x:f>IF(A92="","",IF('Project Control'!F92="","",'Project Control'!F92))</x:f>
      </x:c>
      <x:c r="E92" t="str">
        <x:f>IF(A92="","",IF('Project Control'!G92="","",'Project Control'!G92))</x:f>
      </x:c>
      <x:c r="F92" t="str">
        <x:f>IF(A92="","",IF('Project Control'!I92="","",'Project Control'!I92))</x:f>
      </x:c>
      <x:c r="G92" s="8" t="str">
        <x:f>IF(A92="","",IF('Project Control'!J92="","",'Project Control'!J92))</x:f>
      </x:c>
      <x:c r="H92" s="8" t="str">
        <x:f>IF(A92="","",IF('Project Control'!K92="","",'Project Control'!K92))</x:f>
      </x:c>
      <x:c r="I92" t="str">
        <x:f>IF(A92="","",IF('Project Control'!L92="","",'Project Control'!L92))</x:f>
      </x:c>
      <x:c r="J92" s="8" t="str">
        <x:f>IF(A92="","",IF('Project Control'!O92="","",'Project Control'!O92))</x:f>
      </x:c>
      <x:c r="K92" s="25" t="str">
        <x:f>IF(A92="","","OPERATIONAL CONTROL; NO RECEIPT, LIABILITY OR PAYMENT INFERENCE")</x:f>
      </x:c>
    </x:row>
    <x:row r="93">
      <x:c r="A93" t="str">
        <x:f>IF('Project Control'!A93="","",'Project Control'!A93)</x:f>
      </x:c>
      <x:c r="B93" t="str">
        <x:f>IF(A93="","",IF('Project Control'!D93="","",'Project Control'!D93))</x:f>
      </x:c>
      <x:c r="C93" s="8" t="str">
        <x:f>IF(A93="","",IF('Project Control'!E93="","",'Project Control'!E93))</x:f>
      </x:c>
      <x:c r="D93" t="str">
        <x:f>IF(A93="","",IF('Project Control'!F93="","",'Project Control'!F93))</x:f>
      </x:c>
      <x:c r="E93" t="str">
        <x:f>IF(A93="","",IF('Project Control'!G93="","",'Project Control'!G93))</x:f>
      </x:c>
      <x:c r="F93" t="str">
        <x:f>IF(A93="","",IF('Project Control'!I93="","",'Project Control'!I93))</x:f>
      </x:c>
      <x:c r="G93" s="8" t="str">
        <x:f>IF(A93="","",IF('Project Control'!J93="","",'Project Control'!J93))</x:f>
      </x:c>
      <x:c r="H93" s="8" t="str">
        <x:f>IF(A93="","",IF('Project Control'!K93="","",'Project Control'!K93))</x:f>
      </x:c>
      <x:c r="I93" t="str">
        <x:f>IF(A93="","",IF('Project Control'!L93="","",'Project Control'!L93))</x:f>
      </x:c>
      <x:c r="J93" s="8" t="str">
        <x:f>IF(A93="","",IF('Project Control'!O93="","",'Project Control'!O93))</x:f>
      </x:c>
      <x:c r="K93" s="25" t="str">
        <x:f>IF(A93="","","OPERATIONAL CONTROL; NO RECEIPT, LIABILITY OR PAYMENT INFERENCE")</x:f>
      </x:c>
    </x:row>
    <x:row r="94">
      <x:c r="A94" t="str">
        <x:f>IF('Project Control'!A94="","",'Project Control'!A94)</x:f>
      </x:c>
      <x:c r="B94" t="str">
        <x:f>IF(A94="","",IF('Project Control'!D94="","",'Project Control'!D94))</x:f>
      </x:c>
      <x:c r="C94" s="8" t="str">
        <x:f>IF(A94="","",IF('Project Control'!E94="","",'Project Control'!E94))</x:f>
      </x:c>
      <x:c r="D94" t="str">
        <x:f>IF(A94="","",IF('Project Control'!F94="","",'Project Control'!F94))</x:f>
      </x:c>
      <x:c r="E94" t="str">
        <x:f>IF(A94="","",IF('Project Control'!G94="","",'Project Control'!G94))</x:f>
      </x:c>
      <x:c r="F94" t="str">
        <x:f>IF(A94="","",IF('Project Control'!I94="","",'Project Control'!I94))</x:f>
      </x:c>
      <x:c r="G94" s="8" t="str">
        <x:f>IF(A94="","",IF('Project Control'!J94="","",'Project Control'!J94))</x:f>
      </x:c>
      <x:c r="H94" s="8" t="str">
        <x:f>IF(A94="","",IF('Project Control'!K94="","",'Project Control'!K94))</x:f>
      </x:c>
      <x:c r="I94" t="str">
        <x:f>IF(A94="","",IF('Project Control'!L94="","",'Project Control'!L94))</x:f>
      </x:c>
      <x:c r="J94" s="8" t="str">
        <x:f>IF(A94="","",IF('Project Control'!O94="","",'Project Control'!O94))</x:f>
      </x:c>
      <x:c r="K94" s="25" t="str">
        <x:f>IF(A94="","","OPERATIONAL CONTROL; NO RECEIPT, LIABILITY OR PAYMENT INFERENCE")</x:f>
      </x:c>
    </x:row>
    <x:row r="95">
      <x:c r="A95" t="str">
        <x:f>IF('Project Control'!A95="","",'Project Control'!A95)</x:f>
      </x:c>
      <x:c r="B95" t="str">
        <x:f>IF(A95="","",IF('Project Control'!D95="","",'Project Control'!D95))</x:f>
      </x:c>
      <x:c r="C95" s="8" t="str">
        <x:f>IF(A95="","",IF('Project Control'!E95="","",'Project Control'!E95))</x:f>
      </x:c>
      <x:c r="D95" t="str">
        <x:f>IF(A95="","",IF('Project Control'!F95="","",'Project Control'!F95))</x:f>
      </x:c>
      <x:c r="E95" t="str">
        <x:f>IF(A95="","",IF('Project Control'!G95="","",'Project Control'!G95))</x:f>
      </x:c>
      <x:c r="F95" t="str">
        <x:f>IF(A95="","",IF('Project Control'!I95="","",'Project Control'!I95))</x:f>
      </x:c>
      <x:c r="G95" s="8" t="str">
        <x:f>IF(A95="","",IF('Project Control'!J95="","",'Project Control'!J95))</x:f>
      </x:c>
      <x:c r="H95" s="8" t="str">
        <x:f>IF(A95="","",IF('Project Control'!K95="","",'Project Control'!K95))</x:f>
      </x:c>
      <x:c r="I95" t="str">
        <x:f>IF(A95="","",IF('Project Control'!L95="","",'Project Control'!L95))</x:f>
      </x:c>
      <x:c r="J95" s="8" t="str">
        <x:f>IF(A95="","",IF('Project Control'!O95="","",'Project Control'!O95))</x:f>
      </x:c>
      <x:c r="K95" s="25" t="str">
        <x:f>IF(A95="","","OPERATIONAL CONTROL; NO RECEIPT, LIABILITY OR PAYMENT INFERENCE")</x:f>
      </x:c>
    </x:row>
    <x:row r="96">
      <x:c r="A96" t="str">
        <x:f>IF('Project Control'!A96="","",'Project Control'!A96)</x:f>
      </x:c>
      <x:c r="B96" t="str">
        <x:f>IF(A96="","",IF('Project Control'!D96="","",'Project Control'!D96))</x:f>
      </x:c>
      <x:c r="C96" s="8" t="str">
        <x:f>IF(A96="","",IF('Project Control'!E96="","",'Project Control'!E96))</x:f>
      </x:c>
      <x:c r="D96" t="str">
        <x:f>IF(A96="","",IF('Project Control'!F96="","",'Project Control'!F96))</x:f>
      </x:c>
      <x:c r="E96" t="str">
        <x:f>IF(A96="","",IF('Project Control'!G96="","",'Project Control'!G96))</x:f>
      </x:c>
      <x:c r="F96" t="str">
        <x:f>IF(A96="","",IF('Project Control'!I96="","",'Project Control'!I96))</x:f>
      </x:c>
      <x:c r="G96" s="8" t="str">
        <x:f>IF(A96="","",IF('Project Control'!J96="","",'Project Control'!J96))</x:f>
      </x:c>
      <x:c r="H96" s="8" t="str">
        <x:f>IF(A96="","",IF('Project Control'!K96="","",'Project Control'!K96))</x:f>
      </x:c>
      <x:c r="I96" t="str">
        <x:f>IF(A96="","",IF('Project Control'!L96="","",'Project Control'!L96))</x:f>
      </x:c>
      <x:c r="J96" s="8" t="str">
        <x:f>IF(A96="","",IF('Project Control'!O96="","",'Project Control'!O96))</x:f>
      </x:c>
      <x:c r="K96" s="25" t="str">
        <x:f>IF(A96="","","OPERATIONAL CONTROL; NO RECEIPT, LIABILITY OR PAYMENT INFERENCE")</x:f>
      </x:c>
    </x:row>
    <x:row r="97">
      <x:c r="A97" t="str">
        <x:f>IF('Project Control'!A97="","",'Project Control'!A97)</x:f>
      </x:c>
      <x:c r="B97" t="str">
        <x:f>IF(A97="","",IF('Project Control'!D97="","",'Project Control'!D97))</x:f>
      </x:c>
      <x:c r="C97" s="8" t="str">
        <x:f>IF(A97="","",IF('Project Control'!E97="","",'Project Control'!E97))</x:f>
      </x:c>
      <x:c r="D97" t="str">
        <x:f>IF(A97="","",IF('Project Control'!F97="","",'Project Control'!F97))</x:f>
      </x:c>
      <x:c r="E97" t="str">
        <x:f>IF(A97="","",IF('Project Control'!G97="","",'Project Control'!G97))</x:f>
      </x:c>
      <x:c r="F97" t="str">
        <x:f>IF(A97="","",IF('Project Control'!I97="","",'Project Control'!I97))</x:f>
      </x:c>
      <x:c r="G97" s="8" t="str">
        <x:f>IF(A97="","",IF('Project Control'!J97="","",'Project Control'!J97))</x:f>
      </x:c>
      <x:c r="H97" s="8" t="str">
        <x:f>IF(A97="","",IF('Project Control'!K97="","",'Project Control'!K97))</x:f>
      </x:c>
      <x:c r="I97" t="str">
        <x:f>IF(A97="","",IF('Project Control'!L97="","",'Project Control'!L97))</x:f>
      </x:c>
      <x:c r="J97" s="8" t="str">
        <x:f>IF(A97="","",IF('Project Control'!O97="","",'Project Control'!O97))</x:f>
      </x:c>
      <x:c r="K97" s="25" t="str">
        <x:f>IF(A97="","","OPERATIONAL CONTROL; NO RECEIPT, LIABILITY OR PAYMENT INFERENCE")</x:f>
      </x:c>
    </x:row>
    <x:row r="98">
      <x:c r="A98" t="str">
        <x:f>IF('Project Control'!A98="","",'Project Control'!A98)</x:f>
      </x:c>
      <x:c r="B98" t="str">
        <x:f>IF(A98="","",IF('Project Control'!D98="","",'Project Control'!D98))</x:f>
      </x:c>
      <x:c r="C98" s="8" t="str">
        <x:f>IF(A98="","",IF('Project Control'!E98="","",'Project Control'!E98))</x:f>
      </x:c>
      <x:c r="D98" t="str">
        <x:f>IF(A98="","",IF('Project Control'!F98="","",'Project Control'!F98))</x:f>
      </x:c>
      <x:c r="E98" t="str">
        <x:f>IF(A98="","",IF('Project Control'!G98="","",'Project Control'!G98))</x:f>
      </x:c>
      <x:c r="F98" t="str">
        <x:f>IF(A98="","",IF('Project Control'!I98="","",'Project Control'!I98))</x:f>
      </x:c>
      <x:c r="G98" s="8" t="str">
        <x:f>IF(A98="","",IF('Project Control'!J98="","",'Project Control'!J98))</x:f>
      </x:c>
      <x:c r="H98" s="8" t="str">
        <x:f>IF(A98="","",IF('Project Control'!K98="","",'Project Control'!K98))</x:f>
      </x:c>
      <x:c r="I98" t="str">
        <x:f>IF(A98="","",IF('Project Control'!L98="","",'Project Control'!L98))</x:f>
      </x:c>
      <x:c r="J98" s="8" t="str">
        <x:f>IF(A98="","",IF('Project Control'!O98="","",'Project Control'!O98))</x:f>
      </x:c>
      <x:c r="K98" s="25" t="str">
        <x:f>IF(A98="","","OPERATIONAL CONTROL; NO RECEIPT, LIABILITY OR PAYMENT INFERENCE")</x:f>
      </x:c>
    </x:row>
    <x:row r="99">
      <x:c r="A99" t="str">
        <x:f>IF('Project Control'!A99="","",'Project Control'!A99)</x:f>
      </x:c>
      <x:c r="B99" t="str">
        <x:f>IF(A99="","",IF('Project Control'!D99="","",'Project Control'!D99))</x:f>
      </x:c>
      <x:c r="C99" s="8" t="str">
        <x:f>IF(A99="","",IF('Project Control'!E99="","",'Project Control'!E99))</x:f>
      </x:c>
      <x:c r="D99" t="str">
        <x:f>IF(A99="","",IF('Project Control'!F99="","",'Project Control'!F99))</x:f>
      </x:c>
      <x:c r="E99" t="str">
        <x:f>IF(A99="","",IF('Project Control'!G99="","",'Project Control'!G99))</x:f>
      </x:c>
      <x:c r="F99" t="str">
        <x:f>IF(A99="","",IF('Project Control'!I99="","",'Project Control'!I99))</x:f>
      </x:c>
      <x:c r="G99" s="8" t="str">
        <x:f>IF(A99="","",IF('Project Control'!J99="","",'Project Control'!J99))</x:f>
      </x:c>
      <x:c r="H99" s="8" t="str">
        <x:f>IF(A99="","",IF('Project Control'!K99="","",'Project Control'!K99))</x:f>
      </x:c>
      <x:c r="I99" t="str">
        <x:f>IF(A99="","",IF('Project Control'!L99="","",'Project Control'!L99))</x:f>
      </x:c>
      <x:c r="J99" s="8" t="str">
        <x:f>IF(A99="","",IF('Project Control'!O99="","",'Project Control'!O99))</x:f>
      </x:c>
      <x:c r="K99" s="25" t="str">
        <x:f>IF(A99="","","OPERATIONAL CONTROL; NO RECEIPT, LIABILITY OR PAYMENT INFERENCE")</x:f>
      </x:c>
    </x:row>
    <x:row r="100">
      <x:c r="A100" t="str">
        <x:f>IF('Project Control'!A100="","",'Project Control'!A100)</x:f>
      </x:c>
      <x:c r="B100" t="str">
        <x:f>IF(A100="","",IF('Project Control'!D100="","",'Project Control'!D100))</x:f>
      </x:c>
      <x:c r="C100" s="8" t="str">
        <x:f>IF(A100="","",IF('Project Control'!E100="","",'Project Control'!E100))</x:f>
      </x:c>
      <x:c r="D100" t="str">
        <x:f>IF(A100="","",IF('Project Control'!F100="","",'Project Control'!F100))</x:f>
      </x:c>
      <x:c r="E100" t="str">
        <x:f>IF(A100="","",IF('Project Control'!G100="","",'Project Control'!G100))</x:f>
      </x:c>
      <x:c r="F100" t="str">
        <x:f>IF(A100="","",IF('Project Control'!I100="","",'Project Control'!I100))</x:f>
      </x:c>
      <x:c r="G100" s="8" t="str">
        <x:f>IF(A100="","",IF('Project Control'!J100="","",'Project Control'!J100))</x:f>
      </x:c>
      <x:c r="H100" s="8" t="str">
        <x:f>IF(A100="","",IF('Project Control'!K100="","",'Project Control'!K100))</x:f>
      </x:c>
      <x:c r="I100" t="str">
        <x:f>IF(A100="","",IF('Project Control'!L100="","",'Project Control'!L100))</x:f>
      </x:c>
      <x:c r="J100" s="8" t="str">
        <x:f>IF(A100="","",IF('Project Control'!O100="","",'Project Control'!O100))</x:f>
      </x:c>
      <x:c r="K100" s="25" t="str">
        <x:f>IF(A100="","","OPERATIONAL CONTROL; NO RECEIPT, LIABILITY OR PAYMENT INFERENCE")</x:f>
      </x:c>
    </x:row>
    <x:row r="101">
      <x:c r="A101" t="str">
        <x:f>IF('Project Control'!A101="","",'Project Control'!A101)</x:f>
      </x:c>
      <x:c r="B101" t="str">
        <x:f>IF(A101="","",IF('Project Control'!D101="","",'Project Control'!D101))</x:f>
      </x:c>
      <x:c r="C101" s="8" t="str">
        <x:f>IF(A101="","",IF('Project Control'!E101="","",'Project Control'!E101))</x:f>
      </x:c>
      <x:c r="D101" t="str">
        <x:f>IF(A101="","",IF('Project Control'!F101="","",'Project Control'!F101))</x:f>
      </x:c>
      <x:c r="E101" t="str">
        <x:f>IF(A101="","",IF('Project Control'!G101="","",'Project Control'!G101))</x:f>
      </x:c>
      <x:c r="F101" t="str">
        <x:f>IF(A101="","",IF('Project Control'!I101="","",'Project Control'!I101))</x:f>
      </x:c>
      <x:c r="G101" s="8" t="str">
        <x:f>IF(A101="","",IF('Project Control'!J101="","",'Project Control'!J101))</x:f>
      </x:c>
      <x:c r="H101" s="8" t="str">
        <x:f>IF(A101="","",IF('Project Control'!K101="","",'Project Control'!K101))</x:f>
      </x:c>
      <x:c r="I101" t="str">
        <x:f>IF(A101="","",IF('Project Control'!L101="","",'Project Control'!L101))</x:f>
      </x:c>
      <x:c r="J101" s="8" t="str">
        <x:f>IF(A101="","",IF('Project Control'!O101="","",'Project Control'!O101))</x:f>
      </x:c>
      <x:c r="K101" s="25" t="str">
        <x:f>IF(A101="","","OPERATIONAL CONTROL; NO RECEIPT, LIABILITY OR PAYMENT INFERENCE")</x:f>
      </x:c>
    </x:row>
    <x:row r="103">
      <x:c r="A103" t="str">
        <x:v>CONTROL BASIS</x:v>
      </x:c>
      <x:c r="B103" t="str">
        <x:v>Authorized Customer PO and approved revisions govern project commercial value</x:v>
      </x:c>
    </x:row>
    <x:row r="104">
      <x:c r="A104" t="str">
        <x:v>COST BASIS</x:v>
      </x:c>
      <x:c r="B104" t="str">
        <x:v>ERP recognized costs + open unrecognized commitments; avoid overlap</x:v>
      </x:c>
    </x:row>
    <x:row r="105">
      <x:c r="A105" t="str">
        <x:v>LIMITATION</x:v>
      </x:c>
      <x:c r="B105" t="str">
        <x:v>PO less cost exposure is operational potential, not realized or final profit</x:v>
      </x:c>
    </x:row>
    <x:row r="106">
      <x:c r="A106" t="str">
        <x:v>QUOTE KPIS</x:v>
      </x:c>
      <x:c r="B106" t="str">
        <x:v>Removed: target markup, indicative quote, quote margin and quote profit</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9" hidden="0" customWidth="1"/>
    <x:col min="2" max="2" width="22" hidden="0" customWidth="1"/>
    <x:col min="3" max="3" width="64" hidden="0" customWidth="1"/>
    <x:col min="4" max="4" width="24" hidden="0" customWidth="1"/>
    <x:col min="5" max="5" width="24" hidden="0" customWidth="1"/>
    <x:col min="6" max="6" width="24" hidden="0" customWidth="1"/>
  </x:cols>
  <x:sheetData>
    <x:row r="1" ht="32" customHeight="1">
      <x:c r="A1" s="4" t="str">
        <x:v>KPI (USD unless stated)</x:v>
      </x:c>
      <x:c r="B1" s="4" t="str">
        <x:v>Value</x:v>
      </x:c>
      <x:c r="C1" s="4" t="str">
        <x:v>Interpretation</x:v>
      </x:c>
      <x:c r="D1" s="64" t="str">
        <x:v>MONEDA ORIGINAL</x:v>
      </x:c>
      <x:c r="E1" s="64" t="str">
        <x:v>USD</x:v>
      </x:c>
      <x:c r="F1" s="64" t="str">
        <x:v>MXN</x:v>
      </x:c>
    </x:row>
    <x:row r="2">
      <x:c r="A2" t="str">
        <x:v>Projects in snapshot</x:v>
      </x:c>
      <x:c r="B2" t="n">
        <x:f>COUNTA('ERP Snapshot'!A2:A101)</x:f>
        <x:v>4</x:v>
      </x:c>
      <x:c r="C2" s="25" t="str">
        <x:v>Unique ERP Project IDs, one row each</x:v>
      </x:c>
      <x:c r="D2" s="25"/>
      <x:c r="E2" s="25"/>
      <x:c r="F2" s="25"/>
    </x:row>
    <x:row r="3" ht="42" customHeight="1">
      <x:c r="A3" t="str">
        <x:v>Authorized Customer PO USD</x:v>
      </x:c>
      <x:c r="B3" t="n">
        <x:f>SUM('Project Control'!D2:D101)</x:f>
        <x:v>108000</x:v>
      </x:c>
      <x:c r="C3" s="25" t="str">
        <x:v>Normalized USD may be partial during FX HOLD; original currencies are shown separately in E:F.</x:v>
      </x:c>
      <x:c r="D3" s="25" t="str">
        <x:v>Venta autorizada</x:v>
      </x:c>
      <x:c r="E3" s="65" t="n">
        <x:f>SUMIFS('PO Authorization'!$F$2:$F$101,'PO Authorization'!$I$2:$I$101,"USD")</x:f>
        <x:v>108000</x:v>
      </x:c>
      <x:c r="F3" s="65" t="n">
        <x:f>SUMIFS('PO Authorization'!$F$2:$F$101,'PO Authorization'!$I$2:$I$101,"MXN")</x:f>
        <x:v>820000</x:v>
      </x:c>
    </x:row>
    <x:row r="4" ht="42" customHeight="1">
      <x:c r="A4" t="str">
        <x:v>Invoiced amount USD</x:v>
      </x:c>
      <x:c r="B4" t="n">
        <x:f>SUM('Project Control'!E2:E101)</x:f>
        <x:v>40000</x:v>
      </x:c>
      <x:c r="C4" s="25" t="str">
        <x:v>Current snapshot billing, not the selected reporting month; original currencies E:F remain visible.</x:v>
      </x:c>
      <x:c r="D4" s="25" t="str">
        <x:v>Facturación al corte</x:v>
      </x:c>
      <x:c r="E4" s="65" t="n">
        <x:f>SUMIFS('ERP Snapshot'!$I$2:$I$101,'ERP Snapshot'!$D$2:$D$101,"USD")</x:f>
        <x:v>40000</x:v>
      </x:c>
      <x:c r="F4" s="65" t="n">
        <x:f>SUMIFS('ERP Snapshot'!$I$2:$I$101,'ERP Snapshot'!$D$2:$D$101,"MXN")</x:f>
        <x:v>820000</x:v>
      </x:c>
    </x:row>
    <x:row r="5" ht="42" customHeight="1">
      <x:c r="A5" t="str">
        <x:v>Uninvoiced value USD</x:v>
      </x:c>
      <x:c r="B5" t="n">
        <x:f>SUM('Project Control'!F2:F101)</x:f>
        <x:v>68000</x:v>
      </x:c>
      <x:c r="C5" s="25" t="str">
        <x:v>Authorized minus invoiced; negative requires review</x:v>
      </x:c>
      <x:c r="D5" s="25" t="str">
        <x:v>Pendiente de facturar</x:v>
      </x:c>
      <x:c r="E5" s="65" t="n">
        <x:f>E3-E4</x:f>
        <x:v>68000</x:v>
      </x:c>
      <x:c r="F5" s="65" t="n">
        <x:f>F3-F4</x:f>
        <x:v>0</x:v>
      </x:c>
    </x:row>
    <x:row r="6">
      <x:c r="A6" s="25" t="str">
        <x:v>Authorized operating budgets USD</x:v>
      </x:c>
      <x:c r="B6" s="25" t="n">
        <x:f>SUM('Project Control'!G2:G101)</x:f>
        <x:v>114000</x:v>
      </x:c>
      <x:c r="C6" s="25" t="str">
        <x:v>Authorized budget includes all operating expenses attributable to each project.</x:v>
      </x:c>
      <x:c r="D6" s="25"/>
      <x:c r="E6" s="25"/>
      <x:c r="F6" s="25"/>
    </x:row>
    <x:row r="7" ht="42" customHeight="1">
      <x:c r="A7" s="25" t="str">
        <x:v>Supplier PO authorized value USD</x:v>
      </x:c>
      <x:c r="B7" s="25" t="str">
        <x:f>IF(COUNT('Project Control'!I2:I101)=COUNTA('ERP Snapshot'!A2:A101),SUM('Project Control'!I2:I101),"PO DATA REQUIRED")</x:f>
        <x:v>PO DATA REQUIRED</x:v>
      </x:c>
      <x:c r="C7" s="25" t="str">
        <x:v>Issued authorized supplier PO totals, including completed POs; amendments and cancellations reflected.</x:v>
      </x:c>
      <x:c r="D7" s="25"/>
      <x:c r="E7" s="25"/>
      <x:c r="F7" s="25"/>
    </x:row>
    <x:row r="8" ht="60" customHeight="1">
      <x:c r="A8" s="25" t="str">
        <x:v>Budget not committed via POs USD</x:v>
      </x:c>
      <x:c r="B8" s="25" t="str">
        <x:f>IF(AND(COUNT('Project Control'!I2:I101)=COUNTA('ERP Snapshot'!A2:A101),COUNT('Project Control'!G2:G101)=COUNTA('ERP Snapshot'!A2:A101)),SUM('Project Control'!J2:J101),"DATA REQUIRED")</x:f>
        <x:v>DATA REQUIRED</x:v>
      </x:c>
      <x:c r="C8" s="25" t="str">
        <x:v>Budget minus authorized supplier POs. Does not deduct operating expenses incurred outside POs; not total available budget.</x:v>
      </x:c>
      <x:c r="D8" s="25"/>
      <x:c r="E8" s="25"/>
      <x:c r="F8" s="25"/>
    </x:row>
    <x:row r="9" ht="60" customHeight="1">
      <x:c r="A9" s="25" t="str">
        <x:v>Budget committed via POs %</x:v>
      </x:c>
      <x:c r="B9" s="67" t="str">
        <x:f>IF(AND(ISNUMBER(B6),B6&gt;0,ISNUMBER(B7)),B7/B6,"")</x:f>
      </x:c>
      <x:c r="C9" s="25" t="str">
        <x:v>Authorized supplier PO value / total operating budget. Measures only the portion committed through POs.</x:v>
      </x:c>
      <x:c r="D9" s="25"/>
      <x:c r="E9" s="25"/>
      <x:c r="F9" s="25"/>
    </x:row>
    <x:row r="10">
      <x:c r="A10" t="str">
        <x:v>Projects at / over budget</x:v>
      </x:c>
      <x:c r="B10" t="str">
        <x:f>IF(COUNT('Project Control'!I2:I101)=COUNTA('ERP Snapshot'!A2:A101),COUNTIFS('Project Control'!L2:L101,"OVER BUDGET")+COUNTIFS('Project Control'!L2:L101,"BUDGET EXHAUSTED"),"DATA REQUIRED")</x:f>
        <x:v>DATA REQUIRED</x:v>
      </x:c>
      <x:c r="C10" s="25" t="str">
        <x:v>Preventive threshold not counted here</x:v>
      </x:c>
      <x:c r="D10" s="25"/>
      <x:c r="E10" s="25"/>
      <x:c r="F10" s="25"/>
    </x:row>
    <x:row r="11">
      <x:c r="A11" t="str">
        <x:v>Projects at preventive threshold</x:v>
      </x:c>
      <x:c r="B11" t="str">
        <x:f>IF(COUNT('Project Control'!I2:I101)=COUNTA('ERP Snapshot'!A2:A101),COUNTIFS('Project Control'!L2:L101,"PREVENTIVE ALERT"),"DATA REQUIRED")</x:f>
        <x:v>DATA REQUIRED</x:v>
      </x:c>
      <x:c r="C11" s="25" t="str">
        <x:v>At threshold, below 100%</x:v>
      </x:c>
      <x:c r="D11" s="25"/>
      <x:c r="E11" s="25"/>
      <x:c r="F11" s="25"/>
    </x:row>
    <x:row r="12">
      <x:c r="A12" t="str">
        <x:v>Projects with pending supplier POs</x:v>
      </x:c>
      <x:c r="B12" t="n">
        <x:f>COUNTIF('Project Control'!M2:M101,"&gt;0")</x:f>
        <x:v>2</x:v>
      </x:c>
      <x:c r="C12" s="25" t="str">
        <x:v>ERP summary count, not individual lines</x:v>
      </x:c>
      <x:c r="D12" s="25"/>
      <x:c r="E12" s="25"/>
      <x:c r="F12" s="25"/>
    </x:row>
    <x:row r="13">
      <x:c r="A13" t="str">
        <x:v>Projects with open exceptions</x:v>
      </x:c>
      <x:c r="B13" t="n">
        <x:f>COUNTIF('Project Control'!N2:N101,"&gt;0")</x:f>
        <x:v>3</x:v>
      </x:c>
      <x:c r="C13" s="25" t="str">
        <x:v>Manual management exceptions</x:v>
      </x:c>
      <x:c r="D13" s="25"/>
      <x:c r="E13" s="25"/>
      <x:c r="F13" s="25"/>
    </x:row>
    <x:row r="14">
      <x:c r="A14" t="str">
        <x:v>Projects with outstanding invoicing</x:v>
      </x:c>
      <x:c r="B14" t="n">
        <x:f>COUNTIF('Project Control'!F2:F101,"&gt;0")</x:f>
        <x:v>3</x:v>
      </x:c>
      <x:c r="C14" s="25" t="str">
        <x:v>Customer PO authorized value not yet invoiced</x:v>
      </x:c>
      <x:c r="D14" s="25"/>
      <x:c r="E14" s="25"/>
      <x:c r="F14" s="25"/>
    </x:row>
    <x:row r="15">
      <x:c r="A15" t="str">
        <x:v>Projects with critical follow-up</x:v>
      </x:c>
      <x:c r="B15" t="n">
        <x:f>COUNTIF('Project Control'!P2:P101,"CRITICAL / REVIEW")</x:f>
        <x:v>3</x:v>
      </x:c>
      <x:c r="C15" s="25" t="str">
        <x:v>Operational critical flags and source-data follow-up.</x:v>
      </x:c>
      <x:c r="D15" s="25"/>
      <x:c r="E15" s="25"/>
      <x:c r="F15" s="25"/>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22" hidden="0" customWidth="1"/>
    <x:col min="4" max="4" width="22" hidden="0" customWidth="1"/>
    <x:col min="5" max="5" width="22" hidden="0" customWidth="1"/>
    <x:col min="6" max="6" width="44" hidden="0" customWidth="1"/>
    <x:col min="7" max="7" width="44" hidden="0" customWidth="1"/>
  </x:cols>
  <x:sheetData>
    <x:row r="1" ht="40" customHeight="1">
      <x:c r="A1" s="4" t="str">
        <x:v>Update date</x:v>
      </x:c>
      <x:c r="B1" s="4" t="str">
        <x:v>Update type</x:v>
      </x:c>
      <x:c r="C1" s="4" t="str">
        <x:v>ERP export / source</x:v>
      </x:c>
      <x:c r="D1" s="4" t="str">
        <x:v>Projects refreshed</x:v>
      </x:c>
      <x:c r="E1" s="4" t="str">
        <x:v>Updated by</x:v>
      </x:c>
      <x:c r="F1" s="4" t="str">
        <x:v>Reason / critical incident</x:v>
      </x:c>
      <x:c r="G1" s="4" t="str">
        <x:v>Validation / notes</x:v>
      </x:c>
    </x:row>
    <x:row r="2">
      <x:c r="A2" t="str">
        <x:v>2026-10-16</x:v>
      </x:c>
      <x:c r="B2" t="str">
        <x:v>Weekly</x:v>
      </x:c>
      <x:c r="C2" t="str">
        <x:v>ERP-W42-001</x:v>
      </x:c>
      <x:c r="D2" t="n">
        <x:v>4</x:v>
      </x:c>
      <x:c r="E2" t="str">
        <x:v>Simulated user</x:v>
      </x:c>
      <x:c r="F2" t="str">
        <x:v>Baseline fictional snapshot</x:v>
      </x:c>
      <x:c r="G2" t="str">
        <x:v>No actual ERP connection; demonstration only</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2" hidden="0" customWidth="1"/>
    <x:col min="3" max="3" width="100" hidden="0" customWidth="1"/>
    <x:col min="4" max="4" width="22" hidden="0" customWidth="1"/>
  </x:cols>
  <x:sheetData>
    <x:row r="1" ht="15" hidden="0" customHeight="1">
      <x:c r="A1" s="4" t="str">
        <x:v>ID</x:v>
      </x:c>
      <x:c r="B1" s="4" t="str">
        <x:v>Topic</x:v>
      </x:c>
      <x:c r="C1" s="4" t="str">
        <x:v>Rule / open question</x:v>
      </x:c>
      <x:c r="D1" s="4" t="str">
        <x:v>Status</x:v>
      </x:c>
    </x:row>
    <x:row r="2" ht="15" hidden="0" customHeight="1">
      <x:c r="A2" s="25" t="str">
        <x:v>BR-001</x:v>
      </x:c>
      <x:c r="B2" s="25" t="str">
        <x:v>ERP system of record</x:v>
      </x:c>
      <x:c r="C2" s="25" t="str">
        <x:v>Project ID assigned by ERP. Excel never generates IDs; project summary only.</x:v>
      </x:c>
      <x:c r="D2" s="25" t="str">
        <x:v>APPROVED</x:v>
      </x:c>
    </x:row>
    <x:row r="3" ht="15" hidden="0" customHeight="1">
      <x:c r="A3" s="25" t="str">
        <x:v>BR-002</x:v>
      </x:c>
      <x:c r="B3" s="25" t="str">
        <x:v>Update cadence</x:v>
      </x:c>
      <x:c r="C3" s="25" t="str">
        <x:v>Weekly consolidated ERP snapshot; extraordinary refresh on critical incidents.</x:v>
      </x:c>
      <x:c r="D3" s="25" t="str">
        <x:v>APPROVED</x:v>
      </x:c>
    </x:row>
    <x:row r="4" ht="15" hidden="0" customHeight="1">
      <x:c r="A4" s="25" t="str">
        <x:v>BR-003</x:v>
      </x:c>
      <x:c r="B4" s="25" t="str">
        <x:v>Data entry ownership</x:v>
      </x:c>
      <x:c r="C4" s="25" t="str">
        <x:v>ERP provides transactional facts; manual edits only for management exceptions and update log.</x:v>
      </x:c>
      <x:c r="D4" s="25" t="str">
        <x:v>APPROVED</x:v>
      </x:c>
    </x:row>
    <x:row r="5" ht="15" hidden="0" customHeight="1">
      <x:c r="A5" s="25" t="str">
        <x:v>BR-004</x:v>
      </x:c>
      <x:c r="B5" s="25" t="str">
        <x:v>Customer PO</x:v>
      </x:c>
      <x:c r="C5" s="25" t="str">
        <x:v>Authorized PO total controls sales; no customer PO line replication.</x:v>
      </x:c>
      <x:c r="D5" s="25" t="str">
        <x:v>APPROVED</x:v>
      </x:c>
    </x:row>
    <x:row r="6" ht="15" hidden="0" customHeight="1">
      <x:c r="A6" s="25" t="str">
        <x:v>BR-005</x:v>
      </x:c>
      <x:c r="B6" s="25" t="str">
        <x:v>Supplier PO</x:v>
      </x:c>
      <x:c r="C6" s="25" t="str">
        <x:v>Only project-level counts and pending status; material details remain in ERP.</x:v>
      </x:c>
      <x:c r="D6" s="25" t="str">
        <x:v>APPROVED</x:v>
      </x:c>
    </x:row>
    <x:row r="7" ht="15" hidden="0" customHeight="1">
      <x:c r="A7" s="25" t="str">
        <x:v>BR-006</x:v>
      </x:c>
      <x:c r="B7" s="25" t="str">
        <x:v>Budget vs pricing</x:v>
      </x:c>
      <x:c r="C7" s="25" t="str">
        <x:v>Authorized budget includes all operating expenses of the project. Authorized customer PO sale remains a separate commercial measure.</x:v>
      </x:c>
      <x:c r="D7" s="25" t="str">
        <x:v>APPROVED</x:v>
      </x:c>
    </x:row>
    <x:row r="8" ht="52.79999923706055" hidden="0" customHeight="1">
      <x:c r="A8" s="25" t="str">
        <x:v>BR-007</x:v>
      </x:c>
      <x:c r="B8" s="25" t="str">
        <x:v>Conditional budget / supplier PO perimeter</x:v>
      </x:c>
      <x:c r="C8" s="25" t="str">
        <x:v>Goods-sale scenario and internal mandatory-project-PO policy are owner-reported assumptions, not a universal rule or verified ERP configuration. Budget and supplier POs must have the same eligible cost perimeter, currency and tax basis. The residual is available for new commitments only within that perimeter; it is not actual cost or realized profit. A cost without a PO is not automatically a financial/general expense.</x:v>
      </x:c>
      <x:c r="D8" s="25" t="str">
        <x:v>ACCEPTED CONDITIONALLY; SOURCE UNVERIFIED</x:v>
      </x:c>
    </x:row>
    <x:row r="9" ht="15" hidden="0" customHeight="1">
      <x:c r="A9" s="25" t="str">
        <x:v>BR-008</x:v>
      </x:c>
      <x:c r="B9" s="25" t="str">
        <x:v>21-day buffer</x:v>
      </x:c>
      <x:c r="C9" s="25" t="str">
        <x:v>7 days processing + 7 days intermediary + 7 days final customer.</x:v>
      </x:c>
      <x:c r="D9" s="25" t="str">
        <x:v>APPROVED</x:v>
      </x:c>
    </x:row>
    <x:row r="10" ht="15" hidden="0" customHeight="1">
      <x:c r="A10" s="25" t="str">
        <x:v>PL-001</x:v>
      </x:c>
      <x:c r="B10" s="25" t="str">
        <x:v>FX policy</x:v>
      </x:c>
      <x:c r="C10" s="25" t="str">
        <x:v>Illustrative fixed FX in Settings. Finance/ERP policy on historical or ERP rates remains undecided.</x:v>
      </x:c>
      <x:c r="D10" s="25" t="str">
        <x:v>OPEN</x:v>
      </x:c>
    </x:row>
    <x:row r="11" ht="15" hidden="0" customHeight="1">
      <x:c r="A11" s="25" t="str">
        <x:v>PL-002</x:v>
      </x:c>
      <x:c r="B11" s="25" t="str">
        <x:v>Over-PO invoicing</x:v>
      </x:c>
      <x:c r="C11" s="25" t="str">
        <x:v>Flag when invoicing exceeds authorized Customer PO; escalation and ERP correction policy pending.</x:v>
      </x:c>
      <x:c r="D11" s="25" t="str">
        <x:v>OPEN</x:v>
      </x:c>
    </x:row>
    <x:row r="12" ht="15" hidden="0" customHeight="1">
      <x:c r="A12" s="25" t="str">
        <x:v>PL-003</x:v>
      </x:c>
      <x:c r="B12" s="25" t="str">
        <x:v>ERP export mapping</x:v>
      </x:c>
      <x:c r="C12" s="25" t="str">
        <x:v>Confirm actual ERP export fields and extraction method before real-world use.</x:v>
      </x:c>
      <x:c r="D12" s="25" t="str">
        <x:v>OPEN</x:v>
      </x:c>
    </x:row>
    <x:row r="13" ht="15" hidden="0" customHeight="1">
      <x:c r="A13" s="25" t="str">
        <x:v>PL-004</x:v>
      </x:c>
      <x:c r="B13" s="25" t="str">
        <x:v>Critical incident trigger</x:v>
      </x:c>
      <x:c r="C13" s="25" t="str">
        <x:v>Define operational severity criteria and responsible approver for extraordinary refresh.</x:v>
      </x:c>
      <x:c r="D13" s="25" t="str">
        <x:v>OPEN</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53" hidden="0" customWidth="1"/>
  </x:cols>
  <x:sheetData>
    <x:row r="1" ht="42" customHeight="1">
      <x:c r="A1" s="13" t="str">
        <x:v>Business Unit</x:v>
      </x:c>
      <x:c r="B1" s="13" t="str">
        <x:v>Brand / Line</x:v>
      </x:c>
      <x:c r="C1" s="13" t="str">
        <x:v>Active</x:v>
      </x:c>
      <x:c r="D1" s="13" t="str">
        <x:v>Scope</x:v>
      </x:c>
      <x:c r="E1" s="13" t="str">
        <x:v>Guidance</x:v>
      </x:c>
    </x:row>
    <x:row r="2">
      <x:c r="A2" t="str">
        <x:v>Strategic Services</x:v>
      </x:c>
      <x:c r="B2" t="str">
        <x:v>N/A</x:v>
      </x:c>
      <x:c r="C2" t="str">
        <x:v>YES</x:v>
      </x:c>
      <x:c r="D2" t="str">
        <x:v>IN SCOPE</x:v>
      </x:c>
      <x:c r="E2" t="str">
        <x:v>Project-based strategic services</x:v>
      </x:c>
    </x:row>
    <x:row r="3">
      <x:c r="A3" t="str">
        <x:v>Brands</x:v>
      </x:c>
      <x:c r="B3" t="str">
        <x:v>Desoutter</x:v>
      </x:c>
      <x:c r="C3" t="str">
        <x:v>YES</x:v>
      </x:c>
      <x:c r="D3" t="str">
        <x:v>IN SCOPE</x:v>
      </x:c>
      <x:c r="E3" t="str">
        <x:v>One brand per quotation</x:v>
      </x:c>
    </x:row>
    <x:row r="4">
      <x:c r="A4" t="str">
        <x:v>Brands</x:v>
      </x:c>
      <x:c r="B4" t="str">
        <x:v>Datalogic</x:v>
      </x:c>
      <x:c r="C4" t="str">
        <x:v>YES</x:v>
      </x:c>
      <x:c r="D4" t="str">
        <x:v>IN SCOPE</x:v>
      </x:c>
      <x:c r="E4" t="str">
        <x:v>One brand per quotation</x:v>
      </x:c>
    </x:row>
    <x:row r="5">
      <x:c r="A5" t="str">
        <x:v>Brands</x:v>
      </x:c>
      <x:c r="B5" t="str">
        <x:v>Graco</x:v>
      </x:c>
      <x:c r="C5" t="str">
        <x:v>YES</x:v>
      </x:c>
      <x:c r="D5" t="str">
        <x:v>IN SCOPE</x:v>
      </x:c>
      <x:c r="E5" t="str">
        <x:v>One brand per quotation</x:v>
      </x:c>
    </x:row>
    <x:row r="6">
      <x:c r="A6" t="str">
        <x:v>Brands</x:v>
      </x:c>
      <x:c r="B6" t="str">
        <x:v>Chicago Pneumatic</x:v>
      </x:c>
      <x:c r="C6" t="str">
        <x:v>YES</x:v>
      </x:c>
      <x:c r="D6" t="str">
        <x:v>IN SCOPE</x:v>
      </x:c>
      <x:c r="E6" t="str">
        <x:v>One brand per quotation</x:v>
      </x:c>
    </x:row>
    <x:row r="7">
      <x:c r="A7" t="str">
        <x:v>Brands</x:v>
      </x:c>
      <x:c r="B7" t="str">
        <x:v>Ohtake</x:v>
      </x:c>
      <x:c r="C7" t="str">
        <x:v>YES</x:v>
      </x:c>
      <x:c r="D7" t="str">
        <x:v>IN SCOPE</x:v>
      </x:c>
      <x:c r="E7" t="str">
        <x:v>One brand per quotation</x:v>
      </x:c>
    </x:row>
    <x:row r="8">
      <x:c r="A8" t="str">
        <x:v>Brands</x:v>
      </x:c>
      <x:c r="B8" t="str">
        <x:v>Other / configurable</x:v>
      </x:c>
      <x:c r="C8" t="str">
        <x:v>YES</x:v>
      </x:c>
      <x:c r="D8" t="str">
        <x:v>IN SCOPE</x:v>
      </x:c>
      <x:c r="E8" t="str">
        <x:v>Replace with actual new brand</x:v>
      </x:c>
    </x:row>
    <x:row r="9">
      <x:c r="A9" t="str">
        <x:v>Automation</x:v>
      </x:c>
      <x:c r="B9" t="str">
        <x:v>N/A</x:v>
      </x:c>
      <x:c r="C9" t="str">
        <x:v>YES</x:v>
      </x:c>
      <x:c r="D9" t="str">
        <x:v>OUT OF SCOPE</x:v>
      </x:c>
      <x:c r="E9" t="str">
        <x:v>Company BU; no user-attributed results</x:v>
      </x:c>
    </x:row>
    <x:row r="10">
      <x:c r="A10" t="str">
        <x:v>Machining</x:v>
      </x:c>
      <x:c r="B10" t="str">
        <x:v>N/A</x:v>
      </x:c>
      <x:c r="C10" t="str">
        <x:v>YES</x:v>
      </x:c>
      <x:c r="D10" t="str">
        <x:v>OUT OF SCOPE</x:v>
      </x:c>
      <x:c r="E10" t="str">
        <x:v>Company BU; no user-attributed results</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62" hidden="0" customWidth="1"/>
  </x:cols>
  <x:sheetData>
    <x:row r="1" ht="42" customHeight="1">
      <x:c r="A1" s="13" t="str">
        <x:v>Entity code</x:v>
      </x:c>
      <x:c r="B1" s="13" t="str">
        <x:v>Entity description</x:v>
      </x:c>
      <x:c r="C1" s="13" t="str">
        <x:v>Reporting currency</x:v>
      </x:c>
      <x:c r="D1" s="13" t="str">
        <x:v>Sales currencies</x:v>
      </x:c>
      <x:c r="E1" s="13" t="str">
        <x:v>Notes</x:v>
      </x:c>
    </x:row>
    <x:row r="2">
      <x:c r="A2" t="str">
        <x:v>MX</x:v>
      </x:c>
      <x:c r="B2" t="str">
        <x:v>Mexico selling entity</x:v>
      </x:c>
      <x:c r="C2" t="str">
        <x:v>USD</x:v>
      </x:c>
      <x:c r="D2" t="str">
        <x:v>MXN / USD</x:v>
      </x:c>
      <x:c r="E2" t="str">
        <x:v>ERP legal entity code to be mapped</x:v>
      </x:c>
    </x:row>
    <x:row r="3">
      <x:c r="A3" t="str">
        <x:v>US</x:v>
      </x:c>
      <x:c r="B3" t="str">
        <x:v>USA selling entity</x:v>
      </x:c>
      <x:c r="C3" t="str">
        <x:v>USD</x:v>
      </x:c>
      <x:c r="D3" t="str">
        <x:v>ERP-defined</x:v>
      </x:c>
      <x:c r="E3" t="str">
        <x:v>USA can act as intercompany supplier to MX</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ht="42" customHeight="1">
      <x:c r="A1" s="13" t="str">
        <x:v>Project ID (ERP)</x:v>
      </x:c>
      <x:c r="B1" s="13" t="str">
        <x:v>Customer</x:v>
      </x:c>
      <x:c r="C1" s="13" t="str">
        <x:v>Business Unit</x:v>
      </x:c>
      <x:c r="D1" s="13" t="str">
        <x:v>Brand</x:v>
      </x:c>
      <x:c r="E1" s="13" t="str">
        <x:v>Selling Entity</x:v>
      </x:c>
      <x:c r="F1" s="13" t="str">
        <x:v>Sale currency</x:v>
      </x:c>
      <x:c r="G1" s="13" t="str">
        <x:v>Authorized PO USD</x:v>
      </x:c>
      <x:c r="H1" s="13" t="str">
        <x:v>Invoiced to date USD</x:v>
      </x:c>
      <x:c r="I1" s="13" t="str">
        <x:v>Uninvoiced USD</x:v>
      </x:c>
      <x:c r="J1" s="13" t="str">
        <x:v>Recognized cost USD</x:v>
      </x:c>
      <x:c r="K1" s="13" t="str">
        <x:v>Supplier PO authorized value USD</x:v>
      </x:c>
      <x:c r="L1" s="13" t="str">
        <x:v>Project status</x:v>
      </x:c>
    </x:row>
    <x:row r="2">
      <x:c r="A2" t="str">
        <x:f>IF('Project Control'!A2="","",'Project Control'!A2)</x:f>
        <x:v>100245</x:v>
      </x:c>
      <x:c r="B2" t="str">
        <x:f>IF(A2="","",'Project Control'!B2)</x:f>
        <x:v>Customer A</x:v>
      </x:c>
      <x:c r="C2" t="str">
        <x:f>IF(A2="","",'Project Control'!R2)</x:f>
        <x:v>Strategic Services</x:v>
      </x:c>
      <x:c r="D2" t="str">
        <x:f>IF(A2="","",'Project Control'!S2)</x:f>
        <x:v>N/A</x:v>
      </x:c>
      <x:c r="E2" t="str">
        <x:f>IF(A2="","",'Project Control'!T2)</x:f>
        <x:v>MX</x:v>
      </x:c>
      <x:c r="F2" t="str">
        <x:f>IF(A2="","",'Project Control'!C2)</x:f>
        <x:v>USD</x:v>
      </x:c>
      <x:c r="G2" t="n">
        <x:f>IF(A2="","",'Project Control'!D2)</x:f>
        <x:v>50000</x:v>
      </x:c>
      <x:c r="H2" t="n">
        <x:f>IF(A2="","",'Project Control'!E2)</x:f>
        <x:v>28000</x:v>
      </x:c>
      <x:c r="I2" t="n">
        <x:f>IF(A2="","",'Project Control'!F2)</x:f>
        <x:v>22000</x:v>
      </x:c>
      <x:c r="J2" t="n">
        <x:f>IF(A2="","",'Project Control'!H2)</x:f>
        <x:v>24000</x:v>
      </x:c>
      <x:c r="K2" t="str">
        <x:f>IF(A2="","",IF(ISNUMBER('Project Control'!I2),'Project Control'!I2,""))</x:f>
      </x:c>
      <x:c r="L2" t="str">
        <x:f>IF(A2="","",'Project Control'!O2)</x:f>
        <x:v>PARTIAL INVOICE</x:v>
      </x:c>
    </x:row>
    <x:row r="3">
      <x:c r="A3" t="str">
        <x:f>IF('Project Control'!A3="","",'Project Control'!A3)</x:f>
        <x:v>100246</x:v>
      </x:c>
      <x:c r="B3" t="str">
        <x:f>IF(A3="","",'Project Control'!B3)</x:f>
        <x:v>Customer B</x:v>
      </x:c>
      <x:c r="C3" t="str">
        <x:f>IF(A3="","",'Project Control'!R3)</x:f>
        <x:v>Brands</x:v>
      </x:c>
      <x:c r="D3" t="str">
        <x:f>IF(A3="","",'Project Control'!S3)</x:f>
        <x:v>Desoutter</x:v>
      </x:c>
      <x:c r="E3" t="str">
        <x:f>IF(A3="","",'Project Control'!T3)</x:f>
        <x:v>MX</x:v>
      </x:c>
      <x:c r="F3" t="str">
        <x:f>IF(A3="","",'Project Control'!C3)</x:f>
        <x:v>MXN</x:v>
      </x:c>
      <x:c r="G3" t="str">
        <x:f>IF(A3="","",'Project Control'!D3)</x:f>
      </x:c>
      <x:c r="H3" t="str">
        <x:f>IF(A3="","",'Project Control'!E3)</x:f>
      </x:c>
      <x:c r="I3" t="str">
        <x:f>IF(A3="","",'Project Control'!F3)</x:f>
      </x:c>
      <x:c r="J3" t="n">
        <x:f>IF(A3="","",'Project Control'!H3)</x:f>
        <x:v>29000</x:v>
      </x:c>
      <x:c r="K3" t="str">
        <x:f>IF(A3="","",IF(ISNUMBER('Project Control'!I3),'Project Control'!I3,""))</x:f>
      </x:c>
      <x:c r="L3" t="str">
        <x:f>IF(A3="","",'Project Control'!O3)</x:f>
        <x:v>FX HOLD</x:v>
      </x:c>
    </x:row>
    <x:row r="4">
      <x:c r="A4" t="str">
        <x:f>IF('Project Control'!A4="","",'Project Control'!A4)</x:f>
        <x:v>100247</x:v>
      </x:c>
      <x:c r="B4" t="str">
        <x:f>IF(A4="","",'Project Control'!B4)</x:f>
        <x:v>Customer C</x:v>
      </x:c>
      <x:c r="C4" t="str">
        <x:f>IF(A4="","",'Project Control'!R4)</x:f>
        <x:v>Brands</x:v>
      </x:c>
      <x:c r="D4" t="str">
        <x:f>IF(A4="","",'Project Control'!S4)</x:f>
        <x:v>Datalogic</x:v>
      </x:c>
      <x:c r="E4" t="str">
        <x:f>IF(A4="","",'Project Control'!T4)</x:f>
        <x:v>US</x:v>
      </x:c>
      <x:c r="F4" t="str">
        <x:f>IF(A4="","",'Project Control'!C4)</x:f>
        <x:v>USD</x:v>
      </x:c>
      <x:c r="G4" t="n">
        <x:f>IF(A4="","",'Project Control'!D4)</x:f>
        <x:v>34000</x:v>
      </x:c>
      <x:c r="H4" t="n">
        <x:f>IF(A4="","",'Project Control'!E4)</x:f>
        <x:v>12000</x:v>
      </x:c>
      <x:c r="I4" t="n">
        <x:f>IF(A4="","",'Project Control'!F4)</x:f>
        <x:v>22000</x:v>
      </x:c>
      <x:c r="J4" t="n">
        <x:f>IF(A4="","",'Project Control'!H4)</x:f>
        <x:v>21000</x:v>
      </x:c>
      <x:c r="K4" t="str">
        <x:f>IF(A4="","",IF(ISNUMBER('Project Control'!I4),'Project Control'!I4,""))</x:f>
      </x:c>
      <x:c r="L4" t="str">
        <x:f>IF(A4="","",'Project Control'!O4)</x:f>
        <x:v>PARTIAL INVOICE</x:v>
      </x:c>
    </x:row>
    <x:row r="5">
      <x:c r="A5" t="str">
        <x:f>IF('Project Control'!A5="","",'Project Control'!A5)</x:f>
        <x:v>100248</x:v>
      </x:c>
      <x:c r="B5" t="str">
        <x:f>IF(A5="","",'Project Control'!B5)</x:f>
        <x:v>Customer D</x:v>
      </x:c>
      <x:c r="C5" t="str">
        <x:f>IF(A5="","",'Project Control'!R5)</x:f>
        <x:v>Strategic Services</x:v>
      </x:c>
      <x:c r="D5" t="str">
        <x:f>IF(A5="","",'Project Control'!S5)</x:f>
        <x:v>N/A</x:v>
      </x:c>
      <x:c r="E5" t="str">
        <x:f>IF(A5="","",'Project Control'!T5)</x:f>
        <x:v>MX</x:v>
      </x:c>
      <x:c r="F5" t="str">
        <x:f>IF(A5="","",'Project Control'!C5)</x:f>
        <x:v>USD</x:v>
      </x:c>
      <x:c r="G5" t="n">
        <x:f>IF(A5="","",'Project Control'!D5)</x:f>
        <x:v>24000</x:v>
      </x:c>
      <x:c r="H5" t="n">
        <x:f>IF(A5="","",'Project Control'!E5)</x:f>
        <x:v>0</x:v>
      </x:c>
      <x:c r="I5" t="n">
        <x:f>IF(A5="","",'Project Control'!F5)</x:f>
        <x:v>24000</x:v>
      </x:c>
      <x:c r="J5" t="n">
        <x:f>IF(A5="","",'Project Control'!H5)</x:f>
        <x:v>12000</x:v>
      </x:c>
      <x:c r="K5" t="str">
        <x:f>IF(A5="","",IF(ISNUMBER('Project Control'!I5),'Project Control'!I5,""))</x:f>
      </x:c>
      <x:c r="L5" t="str">
        <x:f>IF(A5="","",'Project Control'!O5)</x:f>
        <x:v>NOT INVOICED</x:v>
      </x:c>
    </x:row>
    <x:row r="6">
      <x:c r="A6" t="str">
        <x:f>IF('Project Control'!A6="","",'Project Control'!A6)</x:f>
      </x:c>
      <x:c r="B6" t="str">
        <x:f>IF(A6="","",'Project Control'!B6)</x:f>
      </x:c>
      <x:c r="C6" t="str">
        <x:f>IF(A6="","",'Project Control'!R6)</x:f>
      </x:c>
      <x:c r="D6" t="str">
        <x:f>IF(A6="","",'Project Control'!S6)</x:f>
      </x:c>
      <x:c r="E6" t="str">
        <x:f>IF(A6="","",'Project Control'!T6)</x:f>
      </x:c>
      <x:c r="F6" t="str">
        <x:f>IF(A6="","",'Project Control'!C6)</x:f>
      </x:c>
      <x:c r="G6" t="str">
        <x:f>IF(A6="","",'Project Control'!D6)</x:f>
      </x:c>
      <x:c r="H6" t="str">
        <x:f>IF(A6="","",'Project Control'!E6)</x:f>
      </x:c>
      <x:c r="I6" t="str">
        <x:f>IF(A6="","",'Project Control'!F6)</x:f>
      </x:c>
      <x:c r="J6" t="str">
        <x:f>IF(A6="","",'Project Control'!H6)</x:f>
      </x:c>
      <x:c r="K6" t="str">
        <x:f>IF(A6="","",IF(ISNUMBER('Project Control'!I6),'Project Control'!I6,""))</x:f>
      </x:c>
      <x:c r="L6" t="str">
        <x:f>IF(A6="","",'Project Control'!O6)</x:f>
      </x:c>
    </x:row>
    <x:row r="7">
      <x:c r="A7" t="str">
        <x:f>IF('Project Control'!A7="","",'Project Control'!A7)</x:f>
      </x:c>
      <x:c r="B7" t="str">
        <x:f>IF(A7="","",'Project Control'!B7)</x:f>
      </x:c>
      <x:c r="C7" t="str">
        <x:f>IF(A7="","",'Project Control'!R7)</x:f>
      </x:c>
      <x:c r="D7" t="str">
        <x:f>IF(A7="","",'Project Control'!S7)</x:f>
      </x:c>
      <x:c r="E7" t="str">
        <x:f>IF(A7="","",'Project Control'!T7)</x:f>
      </x:c>
      <x:c r="F7" t="str">
        <x:f>IF(A7="","",'Project Control'!C7)</x:f>
      </x:c>
      <x:c r="G7" t="str">
        <x:f>IF(A7="","",'Project Control'!D7)</x:f>
      </x:c>
      <x:c r="H7" t="str">
        <x:f>IF(A7="","",'Project Control'!E7)</x:f>
      </x:c>
      <x:c r="I7" t="str">
        <x:f>IF(A7="","",'Project Control'!F7)</x:f>
      </x:c>
      <x:c r="J7" t="str">
        <x:f>IF(A7="","",'Project Control'!H7)</x:f>
      </x:c>
      <x:c r="K7" t="str">
        <x:f>IF(A7="","",IF(ISNUMBER('Project Control'!I7),'Project Control'!I7,""))</x:f>
      </x:c>
      <x:c r="L7" t="str">
        <x:f>IF(A7="","",'Project Control'!O7)</x:f>
      </x:c>
    </x:row>
    <x:row r="8">
      <x:c r="A8" t="str">
        <x:f>IF('Project Control'!A8="","",'Project Control'!A8)</x:f>
      </x:c>
      <x:c r="B8" t="str">
        <x:f>IF(A8="","",'Project Control'!B8)</x:f>
      </x:c>
      <x:c r="C8" t="str">
        <x:f>IF(A8="","",'Project Control'!R8)</x:f>
      </x:c>
      <x:c r="D8" t="str">
        <x:f>IF(A8="","",'Project Control'!S8)</x:f>
      </x:c>
      <x:c r="E8" t="str">
        <x:f>IF(A8="","",'Project Control'!T8)</x:f>
      </x:c>
      <x:c r="F8" t="str">
        <x:f>IF(A8="","",'Project Control'!C8)</x:f>
      </x:c>
      <x:c r="G8" t="str">
        <x:f>IF(A8="","",'Project Control'!D8)</x:f>
      </x:c>
      <x:c r="H8" t="str">
        <x:f>IF(A8="","",'Project Control'!E8)</x:f>
      </x:c>
      <x:c r="I8" t="str">
        <x:f>IF(A8="","",'Project Control'!F8)</x:f>
      </x:c>
      <x:c r="J8" t="str">
        <x:f>IF(A8="","",'Project Control'!H8)</x:f>
      </x:c>
      <x:c r="K8" t="str">
        <x:f>IF(A8="","",IF(ISNUMBER('Project Control'!I8),'Project Control'!I8,""))</x:f>
      </x:c>
      <x:c r="L8" t="str">
        <x:f>IF(A8="","",'Project Control'!O8)</x:f>
      </x:c>
    </x:row>
    <x:row r="9">
      <x:c r="A9" t="str">
        <x:f>IF('Project Control'!A9="","",'Project Control'!A9)</x:f>
      </x:c>
      <x:c r="B9" t="str">
        <x:f>IF(A9="","",'Project Control'!B9)</x:f>
      </x:c>
      <x:c r="C9" t="str">
        <x:f>IF(A9="","",'Project Control'!R9)</x:f>
      </x:c>
      <x:c r="D9" t="str">
        <x:f>IF(A9="","",'Project Control'!S9)</x:f>
      </x:c>
      <x:c r="E9" t="str">
        <x:f>IF(A9="","",'Project Control'!T9)</x:f>
      </x:c>
      <x:c r="F9" t="str">
        <x:f>IF(A9="","",'Project Control'!C9)</x:f>
      </x:c>
      <x:c r="G9" t="str">
        <x:f>IF(A9="","",'Project Control'!D9)</x:f>
      </x:c>
      <x:c r="H9" t="str">
        <x:f>IF(A9="","",'Project Control'!E9)</x:f>
      </x:c>
      <x:c r="I9" t="str">
        <x:f>IF(A9="","",'Project Control'!F9)</x:f>
      </x:c>
      <x:c r="J9" t="str">
        <x:f>IF(A9="","",'Project Control'!H9)</x:f>
      </x:c>
      <x:c r="K9" t="str">
        <x:f>IF(A9="","",IF(ISNUMBER('Project Control'!I9),'Project Control'!I9,""))</x:f>
      </x:c>
      <x:c r="L9" t="str">
        <x:f>IF(A9="","",'Project Control'!O9)</x:f>
      </x:c>
    </x:row>
    <x:row r="10">
      <x:c r="A10" t="str">
        <x:f>IF('Project Control'!A10="","",'Project Control'!A10)</x:f>
      </x:c>
      <x:c r="B10" t="str">
        <x:f>IF(A10="","",'Project Control'!B10)</x:f>
      </x:c>
      <x:c r="C10" t="str">
        <x:f>IF(A10="","",'Project Control'!R10)</x:f>
      </x:c>
      <x:c r="D10" t="str">
        <x:f>IF(A10="","",'Project Control'!S10)</x:f>
      </x:c>
      <x:c r="E10" t="str">
        <x:f>IF(A10="","",'Project Control'!T10)</x:f>
      </x:c>
      <x:c r="F10" t="str">
        <x:f>IF(A10="","",'Project Control'!C10)</x:f>
      </x:c>
      <x:c r="G10" t="str">
        <x:f>IF(A10="","",'Project Control'!D10)</x:f>
      </x:c>
      <x:c r="H10" t="str">
        <x:f>IF(A10="","",'Project Control'!E10)</x:f>
      </x:c>
      <x:c r="I10" t="str">
        <x:f>IF(A10="","",'Project Control'!F10)</x:f>
      </x:c>
      <x:c r="J10" t="str">
        <x:f>IF(A10="","",'Project Control'!H10)</x:f>
      </x:c>
      <x:c r="K10" t="str">
        <x:f>IF(A10="","",IF(ISNUMBER('Project Control'!I10),'Project Control'!I10,""))</x:f>
      </x:c>
      <x:c r="L10" t="str">
        <x:f>IF(A10="","",'Project Control'!O10)</x:f>
      </x:c>
    </x:row>
    <x:row r="11">
      <x:c r="A11" t="str">
        <x:f>IF('Project Control'!A11="","",'Project Control'!A11)</x:f>
      </x:c>
      <x:c r="B11" t="str">
        <x:f>IF(A11="","",'Project Control'!B11)</x:f>
      </x:c>
      <x:c r="C11" t="str">
        <x:f>IF(A11="","",'Project Control'!R11)</x:f>
      </x:c>
      <x:c r="D11" t="str">
        <x:f>IF(A11="","",'Project Control'!S11)</x:f>
      </x:c>
      <x:c r="E11" t="str">
        <x:f>IF(A11="","",'Project Control'!T11)</x:f>
      </x:c>
      <x:c r="F11" t="str">
        <x:f>IF(A11="","",'Project Control'!C11)</x:f>
      </x:c>
      <x:c r="G11" t="str">
        <x:f>IF(A11="","",'Project Control'!D11)</x:f>
      </x:c>
      <x:c r="H11" t="str">
        <x:f>IF(A11="","",'Project Control'!E11)</x:f>
      </x:c>
      <x:c r="I11" t="str">
        <x:f>IF(A11="","",'Project Control'!F11)</x:f>
      </x:c>
      <x:c r="J11" t="str">
        <x:f>IF(A11="","",'Project Control'!H11)</x:f>
      </x:c>
      <x:c r="K11" t="str">
        <x:f>IF(A11="","",IF(ISNUMBER('Project Control'!I11),'Project Control'!I11,""))</x:f>
      </x:c>
      <x:c r="L11" t="str">
        <x:f>IF(A11="","",'Project Control'!O11)</x:f>
      </x:c>
    </x:row>
    <x:row r="12">
      <x:c r="A12" t="str">
        <x:f>IF('Project Control'!A12="","",'Project Control'!A12)</x:f>
      </x:c>
      <x:c r="B12" t="str">
        <x:f>IF(A12="","",'Project Control'!B12)</x:f>
      </x:c>
      <x:c r="C12" t="str">
        <x:f>IF(A12="","",'Project Control'!R12)</x:f>
      </x:c>
      <x:c r="D12" t="str">
        <x:f>IF(A12="","",'Project Control'!S12)</x:f>
      </x:c>
      <x:c r="E12" t="str">
        <x:f>IF(A12="","",'Project Control'!T12)</x:f>
      </x:c>
      <x:c r="F12" t="str">
        <x:f>IF(A12="","",'Project Control'!C12)</x:f>
      </x:c>
      <x:c r="G12" t="str">
        <x:f>IF(A12="","",'Project Control'!D12)</x:f>
      </x:c>
      <x:c r="H12" t="str">
        <x:f>IF(A12="","",'Project Control'!E12)</x:f>
      </x:c>
      <x:c r="I12" t="str">
        <x:f>IF(A12="","",'Project Control'!F12)</x:f>
      </x:c>
      <x:c r="J12" t="str">
        <x:f>IF(A12="","",'Project Control'!H12)</x:f>
      </x:c>
      <x:c r="K12" t="str">
        <x:f>IF(A12="","",IF(ISNUMBER('Project Control'!I12),'Project Control'!I12,""))</x:f>
      </x:c>
      <x:c r="L12" t="str">
        <x:f>IF(A12="","",'Project Control'!O12)</x:f>
      </x:c>
    </x:row>
    <x:row r="13">
      <x:c r="A13" t="str">
        <x:f>IF('Project Control'!A13="","",'Project Control'!A13)</x:f>
      </x:c>
      <x:c r="B13" t="str">
        <x:f>IF(A13="","",'Project Control'!B13)</x:f>
      </x:c>
      <x:c r="C13" t="str">
        <x:f>IF(A13="","",'Project Control'!R13)</x:f>
      </x:c>
      <x:c r="D13" t="str">
        <x:f>IF(A13="","",'Project Control'!S13)</x:f>
      </x:c>
      <x:c r="E13" t="str">
        <x:f>IF(A13="","",'Project Control'!T13)</x:f>
      </x:c>
      <x:c r="F13" t="str">
        <x:f>IF(A13="","",'Project Control'!C13)</x:f>
      </x:c>
      <x:c r="G13" t="str">
        <x:f>IF(A13="","",'Project Control'!D13)</x:f>
      </x:c>
      <x:c r="H13" t="str">
        <x:f>IF(A13="","",'Project Control'!E13)</x:f>
      </x:c>
      <x:c r="I13" t="str">
        <x:f>IF(A13="","",'Project Control'!F13)</x:f>
      </x:c>
      <x:c r="J13" t="str">
        <x:f>IF(A13="","",'Project Control'!H13)</x:f>
      </x:c>
      <x:c r="K13" t="str">
        <x:f>IF(A13="","",IF(ISNUMBER('Project Control'!I13),'Project Control'!I13,""))</x:f>
      </x:c>
      <x:c r="L13" t="str">
        <x:f>IF(A13="","",'Project Control'!O13)</x:f>
      </x:c>
    </x:row>
    <x:row r="14">
      <x:c r="A14" t="str">
        <x:f>IF('Project Control'!A14="","",'Project Control'!A14)</x:f>
      </x:c>
      <x:c r="B14" t="str">
        <x:f>IF(A14="","",'Project Control'!B14)</x:f>
      </x:c>
      <x:c r="C14" t="str">
        <x:f>IF(A14="","",'Project Control'!R14)</x:f>
      </x:c>
      <x:c r="D14" t="str">
        <x:f>IF(A14="","",'Project Control'!S14)</x:f>
      </x:c>
      <x:c r="E14" t="str">
        <x:f>IF(A14="","",'Project Control'!T14)</x:f>
      </x:c>
      <x:c r="F14" t="str">
        <x:f>IF(A14="","",'Project Control'!C14)</x:f>
      </x:c>
      <x:c r="G14" t="str">
        <x:f>IF(A14="","",'Project Control'!D14)</x:f>
      </x:c>
      <x:c r="H14" t="str">
        <x:f>IF(A14="","",'Project Control'!E14)</x:f>
      </x:c>
      <x:c r="I14" t="str">
        <x:f>IF(A14="","",'Project Control'!F14)</x:f>
      </x:c>
      <x:c r="J14" t="str">
        <x:f>IF(A14="","",'Project Control'!H14)</x:f>
      </x:c>
      <x:c r="K14" t="str">
        <x:f>IF(A14="","",IF(ISNUMBER('Project Control'!I14),'Project Control'!I14,""))</x:f>
      </x:c>
      <x:c r="L14" t="str">
        <x:f>IF(A14="","",'Project Control'!O14)</x:f>
      </x:c>
    </x:row>
    <x:row r="15">
      <x:c r="A15" t="str">
        <x:f>IF('Project Control'!A15="","",'Project Control'!A15)</x:f>
      </x:c>
      <x:c r="B15" t="str">
        <x:f>IF(A15="","",'Project Control'!B15)</x:f>
      </x:c>
      <x:c r="C15" t="str">
        <x:f>IF(A15="","",'Project Control'!R15)</x:f>
      </x:c>
      <x:c r="D15" t="str">
        <x:f>IF(A15="","",'Project Control'!S15)</x:f>
      </x:c>
      <x:c r="E15" t="str">
        <x:f>IF(A15="","",'Project Control'!T15)</x:f>
      </x:c>
      <x:c r="F15" t="str">
        <x:f>IF(A15="","",'Project Control'!C15)</x:f>
      </x:c>
      <x:c r="G15" t="str">
        <x:f>IF(A15="","",'Project Control'!D15)</x:f>
      </x:c>
      <x:c r="H15" t="str">
        <x:f>IF(A15="","",'Project Control'!E15)</x:f>
      </x:c>
      <x:c r="I15" t="str">
        <x:f>IF(A15="","",'Project Control'!F15)</x:f>
      </x:c>
      <x:c r="J15" t="str">
        <x:f>IF(A15="","",'Project Control'!H15)</x:f>
      </x:c>
      <x:c r="K15" t="str">
        <x:f>IF(A15="","",IF(ISNUMBER('Project Control'!I15),'Project Control'!I15,""))</x:f>
      </x:c>
      <x:c r="L15" t="str">
        <x:f>IF(A15="","",'Project Control'!O15)</x:f>
      </x:c>
    </x:row>
    <x:row r="16">
      <x:c r="A16" t="str">
        <x:f>IF('Project Control'!A16="","",'Project Control'!A16)</x:f>
      </x:c>
      <x:c r="B16" t="str">
        <x:f>IF(A16="","",'Project Control'!B16)</x:f>
      </x:c>
      <x:c r="C16" t="str">
        <x:f>IF(A16="","",'Project Control'!R16)</x:f>
      </x:c>
      <x:c r="D16" t="str">
        <x:f>IF(A16="","",'Project Control'!S16)</x:f>
      </x:c>
      <x:c r="E16" t="str">
        <x:f>IF(A16="","",'Project Control'!T16)</x:f>
      </x:c>
      <x:c r="F16" t="str">
        <x:f>IF(A16="","",'Project Control'!C16)</x:f>
      </x:c>
      <x:c r="G16" t="str">
        <x:f>IF(A16="","",'Project Control'!D16)</x:f>
      </x:c>
      <x:c r="H16" t="str">
        <x:f>IF(A16="","",'Project Control'!E16)</x:f>
      </x:c>
      <x:c r="I16" t="str">
        <x:f>IF(A16="","",'Project Control'!F16)</x:f>
      </x:c>
      <x:c r="J16" t="str">
        <x:f>IF(A16="","",'Project Control'!H16)</x:f>
      </x:c>
      <x:c r="K16" t="str">
        <x:f>IF(A16="","",IF(ISNUMBER('Project Control'!I16),'Project Control'!I16,""))</x:f>
      </x:c>
      <x:c r="L16" t="str">
        <x:f>IF(A16="","",'Project Control'!O16)</x:f>
      </x:c>
    </x:row>
    <x:row r="17">
      <x:c r="A17" t="str">
        <x:f>IF('Project Control'!A17="","",'Project Control'!A17)</x:f>
      </x:c>
      <x:c r="B17" t="str">
        <x:f>IF(A17="","",'Project Control'!B17)</x:f>
      </x:c>
      <x:c r="C17" t="str">
        <x:f>IF(A17="","",'Project Control'!R17)</x:f>
      </x:c>
      <x:c r="D17" t="str">
        <x:f>IF(A17="","",'Project Control'!S17)</x:f>
      </x:c>
      <x:c r="E17" t="str">
        <x:f>IF(A17="","",'Project Control'!T17)</x:f>
      </x:c>
      <x:c r="F17" t="str">
        <x:f>IF(A17="","",'Project Control'!C17)</x:f>
      </x:c>
      <x:c r="G17" t="str">
        <x:f>IF(A17="","",'Project Control'!D17)</x:f>
      </x:c>
      <x:c r="H17" t="str">
        <x:f>IF(A17="","",'Project Control'!E17)</x:f>
      </x:c>
      <x:c r="I17" t="str">
        <x:f>IF(A17="","",'Project Control'!F17)</x:f>
      </x:c>
      <x:c r="J17" t="str">
        <x:f>IF(A17="","",'Project Control'!H17)</x:f>
      </x:c>
      <x:c r="K17" t="str">
        <x:f>IF(A17="","",IF(ISNUMBER('Project Control'!I17),'Project Control'!I17,""))</x:f>
      </x:c>
      <x:c r="L17" t="str">
        <x:f>IF(A17="","",'Project Control'!O17)</x:f>
      </x:c>
    </x:row>
    <x:row r="18">
      <x:c r="A18" t="str">
        <x:f>IF('Project Control'!A18="","",'Project Control'!A18)</x:f>
      </x:c>
      <x:c r="B18" t="str">
        <x:f>IF(A18="","",'Project Control'!B18)</x:f>
      </x:c>
      <x:c r="C18" t="str">
        <x:f>IF(A18="","",'Project Control'!R18)</x:f>
      </x:c>
      <x:c r="D18" t="str">
        <x:f>IF(A18="","",'Project Control'!S18)</x:f>
      </x:c>
      <x:c r="E18" t="str">
        <x:f>IF(A18="","",'Project Control'!T18)</x:f>
      </x:c>
      <x:c r="F18" t="str">
        <x:f>IF(A18="","",'Project Control'!C18)</x:f>
      </x:c>
      <x:c r="G18" t="str">
        <x:f>IF(A18="","",'Project Control'!D18)</x:f>
      </x:c>
      <x:c r="H18" t="str">
        <x:f>IF(A18="","",'Project Control'!E18)</x:f>
      </x:c>
      <x:c r="I18" t="str">
        <x:f>IF(A18="","",'Project Control'!F18)</x:f>
      </x:c>
      <x:c r="J18" t="str">
        <x:f>IF(A18="","",'Project Control'!H18)</x:f>
      </x:c>
      <x:c r="K18" t="str">
        <x:f>IF(A18="","",IF(ISNUMBER('Project Control'!I18),'Project Control'!I18,""))</x:f>
      </x:c>
      <x:c r="L18" t="str">
        <x:f>IF(A18="","",'Project Control'!O18)</x:f>
      </x:c>
    </x:row>
    <x:row r="19">
      <x:c r="A19" t="str">
        <x:f>IF('Project Control'!A19="","",'Project Control'!A19)</x:f>
      </x:c>
      <x:c r="B19" t="str">
        <x:f>IF(A19="","",'Project Control'!B19)</x:f>
      </x:c>
      <x:c r="C19" t="str">
        <x:f>IF(A19="","",'Project Control'!R19)</x:f>
      </x:c>
      <x:c r="D19" t="str">
        <x:f>IF(A19="","",'Project Control'!S19)</x:f>
      </x:c>
      <x:c r="E19" t="str">
        <x:f>IF(A19="","",'Project Control'!T19)</x:f>
      </x:c>
      <x:c r="F19" t="str">
        <x:f>IF(A19="","",'Project Control'!C19)</x:f>
      </x:c>
      <x:c r="G19" t="str">
        <x:f>IF(A19="","",'Project Control'!D19)</x:f>
      </x:c>
      <x:c r="H19" t="str">
        <x:f>IF(A19="","",'Project Control'!E19)</x:f>
      </x:c>
      <x:c r="I19" t="str">
        <x:f>IF(A19="","",'Project Control'!F19)</x:f>
      </x:c>
      <x:c r="J19" t="str">
        <x:f>IF(A19="","",'Project Control'!H19)</x:f>
      </x:c>
      <x:c r="K19" t="str">
        <x:f>IF(A19="","",IF(ISNUMBER('Project Control'!I19),'Project Control'!I19,""))</x:f>
      </x:c>
      <x:c r="L19" t="str">
        <x:f>IF(A19="","",'Project Control'!O19)</x:f>
      </x:c>
    </x:row>
    <x:row r="20">
      <x:c r="A20" t="str">
        <x:f>IF('Project Control'!A20="","",'Project Control'!A20)</x:f>
      </x:c>
      <x:c r="B20" t="str">
        <x:f>IF(A20="","",'Project Control'!B20)</x:f>
      </x:c>
      <x:c r="C20" t="str">
        <x:f>IF(A20="","",'Project Control'!R20)</x:f>
      </x:c>
      <x:c r="D20" t="str">
        <x:f>IF(A20="","",'Project Control'!S20)</x:f>
      </x:c>
      <x:c r="E20" t="str">
        <x:f>IF(A20="","",'Project Control'!T20)</x:f>
      </x:c>
      <x:c r="F20" t="str">
        <x:f>IF(A20="","",'Project Control'!C20)</x:f>
      </x:c>
      <x:c r="G20" t="str">
        <x:f>IF(A20="","",'Project Control'!D20)</x:f>
      </x:c>
      <x:c r="H20" t="str">
        <x:f>IF(A20="","",'Project Control'!E20)</x:f>
      </x:c>
      <x:c r="I20" t="str">
        <x:f>IF(A20="","",'Project Control'!F20)</x:f>
      </x:c>
      <x:c r="J20" t="str">
        <x:f>IF(A20="","",'Project Control'!H20)</x:f>
      </x:c>
      <x:c r="K20" t="str">
        <x:f>IF(A20="","",IF(ISNUMBER('Project Control'!I20),'Project Control'!I20,""))</x:f>
      </x:c>
      <x:c r="L20" t="str">
        <x:f>IF(A20="","",'Project Control'!O20)</x:f>
      </x:c>
    </x:row>
    <x:row r="21">
      <x:c r="A21" t="str">
        <x:f>IF('Project Control'!A21="","",'Project Control'!A21)</x:f>
      </x:c>
      <x:c r="B21" t="str">
        <x:f>IF(A21="","",'Project Control'!B21)</x:f>
      </x:c>
      <x:c r="C21" t="str">
        <x:f>IF(A21="","",'Project Control'!R21)</x:f>
      </x:c>
      <x:c r="D21" t="str">
        <x:f>IF(A21="","",'Project Control'!S21)</x:f>
      </x:c>
      <x:c r="E21" t="str">
        <x:f>IF(A21="","",'Project Control'!T21)</x:f>
      </x:c>
      <x:c r="F21" t="str">
        <x:f>IF(A21="","",'Project Control'!C21)</x:f>
      </x:c>
      <x:c r="G21" t="str">
        <x:f>IF(A21="","",'Project Control'!D21)</x:f>
      </x:c>
      <x:c r="H21" t="str">
        <x:f>IF(A21="","",'Project Control'!E21)</x:f>
      </x:c>
      <x:c r="I21" t="str">
        <x:f>IF(A21="","",'Project Control'!F21)</x:f>
      </x:c>
      <x:c r="J21" t="str">
        <x:f>IF(A21="","",'Project Control'!H21)</x:f>
      </x:c>
      <x:c r="K21" t="str">
        <x:f>IF(A21="","",IF(ISNUMBER('Project Control'!I21),'Project Control'!I21,""))</x:f>
      </x:c>
      <x:c r="L21" t="str">
        <x:f>IF(A21="","",'Project Control'!O21)</x:f>
      </x:c>
    </x:row>
    <x:row r="22">
      <x:c r="A22" t="str">
        <x:f>IF('Project Control'!A22="","",'Project Control'!A22)</x:f>
      </x:c>
      <x:c r="B22" t="str">
        <x:f>IF(A22="","",'Project Control'!B22)</x:f>
      </x:c>
      <x:c r="C22" t="str">
        <x:f>IF(A22="","",'Project Control'!R22)</x:f>
      </x:c>
      <x:c r="D22" t="str">
        <x:f>IF(A22="","",'Project Control'!S22)</x:f>
      </x:c>
      <x:c r="E22" t="str">
        <x:f>IF(A22="","",'Project Control'!T22)</x:f>
      </x:c>
      <x:c r="F22" t="str">
        <x:f>IF(A22="","",'Project Control'!C22)</x:f>
      </x:c>
      <x:c r="G22" t="str">
        <x:f>IF(A22="","",'Project Control'!D22)</x:f>
      </x:c>
      <x:c r="H22" t="str">
        <x:f>IF(A22="","",'Project Control'!E22)</x:f>
      </x:c>
      <x:c r="I22" t="str">
        <x:f>IF(A22="","",'Project Control'!F22)</x:f>
      </x:c>
      <x:c r="J22" t="str">
        <x:f>IF(A22="","",'Project Control'!H22)</x:f>
      </x:c>
      <x:c r="K22" t="str">
        <x:f>IF(A22="","",IF(ISNUMBER('Project Control'!I22),'Project Control'!I22,""))</x:f>
      </x:c>
      <x:c r="L22" t="str">
        <x:f>IF(A22="","",'Project Control'!O22)</x:f>
      </x:c>
    </x:row>
    <x:row r="23">
      <x:c r="A23" t="str">
        <x:f>IF('Project Control'!A23="","",'Project Control'!A23)</x:f>
      </x:c>
      <x:c r="B23" t="str">
        <x:f>IF(A23="","",'Project Control'!B23)</x:f>
      </x:c>
      <x:c r="C23" t="str">
        <x:f>IF(A23="","",'Project Control'!R23)</x:f>
      </x:c>
      <x:c r="D23" t="str">
        <x:f>IF(A23="","",'Project Control'!S23)</x:f>
      </x:c>
      <x:c r="E23" t="str">
        <x:f>IF(A23="","",'Project Control'!T23)</x:f>
      </x:c>
      <x:c r="F23" t="str">
        <x:f>IF(A23="","",'Project Control'!C23)</x:f>
      </x:c>
      <x:c r="G23" t="str">
        <x:f>IF(A23="","",'Project Control'!D23)</x:f>
      </x:c>
      <x:c r="H23" t="str">
        <x:f>IF(A23="","",'Project Control'!E23)</x:f>
      </x:c>
      <x:c r="I23" t="str">
        <x:f>IF(A23="","",'Project Control'!F23)</x:f>
      </x:c>
      <x:c r="J23" t="str">
        <x:f>IF(A23="","",'Project Control'!H23)</x:f>
      </x:c>
      <x:c r="K23" t="str">
        <x:f>IF(A23="","",IF(ISNUMBER('Project Control'!I23),'Project Control'!I23,""))</x:f>
      </x:c>
      <x:c r="L23" t="str">
        <x:f>IF(A23="","",'Project Control'!O23)</x:f>
      </x:c>
    </x:row>
    <x:row r="24">
      <x:c r="A24" t="str">
        <x:f>IF('Project Control'!A24="","",'Project Control'!A24)</x:f>
      </x:c>
      <x:c r="B24" t="str">
        <x:f>IF(A24="","",'Project Control'!B24)</x:f>
      </x:c>
      <x:c r="C24" t="str">
        <x:f>IF(A24="","",'Project Control'!R24)</x:f>
      </x:c>
      <x:c r="D24" t="str">
        <x:f>IF(A24="","",'Project Control'!S24)</x:f>
      </x:c>
      <x:c r="E24" t="str">
        <x:f>IF(A24="","",'Project Control'!T24)</x:f>
      </x:c>
      <x:c r="F24" t="str">
        <x:f>IF(A24="","",'Project Control'!C24)</x:f>
      </x:c>
      <x:c r="G24" t="str">
        <x:f>IF(A24="","",'Project Control'!D24)</x:f>
      </x:c>
      <x:c r="H24" t="str">
        <x:f>IF(A24="","",'Project Control'!E24)</x:f>
      </x:c>
      <x:c r="I24" t="str">
        <x:f>IF(A24="","",'Project Control'!F24)</x:f>
      </x:c>
      <x:c r="J24" t="str">
        <x:f>IF(A24="","",'Project Control'!H24)</x:f>
      </x:c>
      <x:c r="K24" t="str">
        <x:f>IF(A24="","",IF(ISNUMBER('Project Control'!I24),'Project Control'!I24,""))</x:f>
      </x:c>
      <x:c r="L24" t="str">
        <x:f>IF(A24="","",'Project Control'!O24)</x:f>
      </x:c>
    </x:row>
    <x:row r="25">
      <x:c r="A25" t="str">
        <x:f>IF('Project Control'!A25="","",'Project Control'!A25)</x:f>
      </x:c>
      <x:c r="B25" t="str">
        <x:f>IF(A25="","",'Project Control'!B25)</x:f>
      </x:c>
      <x:c r="C25" t="str">
        <x:f>IF(A25="","",'Project Control'!R25)</x:f>
      </x:c>
      <x:c r="D25" t="str">
        <x:f>IF(A25="","",'Project Control'!S25)</x:f>
      </x:c>
      <x:c r="E25" t="str">
        <x:f>IF(A25="","",'Project Control'!T25)</x:f>
      </x:c>
      <x:c r="F25" t="str">
        <x:f>IF(A25="","",'Project Control'!C25)</x:f>
      </x:c>
      <x:c r="G25" t="str">
        <x:f>IF(A25="","",'Project Control'!D25)</x:f>
      </x:c>
      <x:c r="H25" t="str">
        <x:f>IF(A25="","",'Project Control'!E25)</x:f>
      </x:c>
      <x:c r="I25" t="str">
        <x:f>IF(A25="","",'Project Control'!F25)</x:f>
      </x:c>
      <x:c r="J25" t="str">
        <x:f>IF(A25="","",'Project Control'!H25)</x:f>
      </x:c>
      <x:c r="K25" t="str">
        <x:f>IF(A25="","",IF(ISNUMBER('Project Control'!I25),'Project Control'!I25,""))</x:f>
      </x:c>
      <x:c r="L25" t="str">
        <x:f>IF(A25="","",'Project Control'!O25)</x:f>
      </x:c>
    </x:row>
    <x:row r="26">
      <x:c r="A26" t="str">
        <x:f>IF('Project Control'!A26="","",'Project Control'!A26)</x:f>
      </x:c>
      <x:c r="B26" t="str">
        <x:f>IF(A26="","",'Project Control'!B26)</x:f>
      </x:c>
      <x:c r="C26" t="str">
        <x:f>IF(A26="","",'Project Control'!R26)</x:f>
      </x:c>
      <x:c r="D26" t="str">
        <x:f>IF(A26="","",'Project Control'!S26)</x:f>
      </x:c>
      <x:c r="E26" t="str">
        <x:f>IF(A26="","",'Project Control'!T26)</x:f>
      </x:c>
      <x:c r="F26" t="str">
        <x:f>IF(A26="","",'Project Control'!C26)</x:f>
      </x:c>
      <x:c r="G26" t="str">
        <x:f>IF(A26="","",'Project Control'!D26)</x:f>
      </x:c>
      <x:c r="H26" t="str">
        <x:f>IF(A26="","",'Project Control'!E26)</x:f>
      </x:c>
      <x:c r="I26" t="str">
        <x:f>IF(A26="","",'Project Control'!F26)</x:f>
      </x:c>
      <x:c r="J26" t="str">
        <x:f>IF(A26="","",'Project Control'!H26)</x:f>
      </x:c>
      <x:c r="K26" t="str">
        <x:f>IF(A26="","",IF(ISNUMBER('Project Control'!I26),'Project Control'!I26,""))</x:f>
      </x:c>
      <x:c r="L26" t="str">
        <x:f>IF(A26="","",'Project Control'!O26)</x:f>
      </x:c>
    </x:row>
    <x:row r="27">
      <x:c r="A27" t="str">
        <x:f>IF('Project Control'!A27="","",'Project Control'!A27)</x:f>
      </x:c>
      <x:c r="B27" t="str">
        <x:f>IF(A27="","",'Project Control'!B27)</x:f>
      </x:c>
      <x:c r="C27" t="str">
        <x:f>IF(A27="","",'Project Control'!R27)</x:f>
      </x:c>
      <x:c r="D27" t="str">
        <x:f>IF(A27="","",'Project Control'!S27)</x:f>
      </x:c>
      <x:c r="E27" t="str">
        <x:f>IF(A27="","",'Project Control'!T27)</x:f>
      </x:c>
      <x:c r="F27" t="str">
        <x:f>IF(A27="","",'Project Control'!C27)</x:f>
      </x:c>
      <x:c r="G27" t="str">
        <x:f>IF(A27="","",'Project Control'!D27)</x:f>
      </x:c>
      <x:c r="H27" t="str">
        <x:f>IF(A27="","",'Project Control'!E27)</x:f>
      </x:c>
      <x:c r="I27" t="str">
        <x:f>IF(A27="","",'Project Control'!F27)</x:f>
      </x:c>
      <x:c r="J27" t="str">
        <x:f>IF(A27="","",'Project Control'!H27)</x:f>
      </x:c>
      <x:c r="K27" t="str">
        <x:f>IF(A27="","",IF(ISNUMBER('Project Control'!I27),'Project Control'!I27,""))</x:f>
      </x:c>
      <x:c r="L27" t="str">
        <x:f>IF(A27="","",'Project Control'!O27)</x:f>
      </x:c>
    </x:row>
    <x:row r="28">
      <x:c r="A28" t="str">
        <x:f>IF('Project Control'!A28="","",'Project Control'!A28)</x:f>
      </x:c>
      <x:c r="B28" t="str">
        <x:f>IF(A28="","",'Project Control'!B28)</x:f>
      </x:c>
      <x:c r="C28" t="str">
        <x:f>IF(A28="","",'Project Control'!R28)</x:f>
      </x:c>
      <x:c r="D28" t="str">
        <x:f>IF(A28="","",'Project Control'!S28)</x:f>
      </x:c>
      <x:c r="E28" t="str">
        <x:f>IF(A28="","",'Project Control'!T28)</x:f>
      </x:c>
      <x:c r="F28" t="str">
        <x:f>IF(A28="","",'Project Control'!C28)</x:f>
      </x:c>
      <x:c r="G28" t="str">
        <x:f>IF(A28="","",'Project Control'!D28)</x:f>
      </x:c>
      <x:c r="H28" t="str">
        <x:f>IF(A28="","",'Project Control'!E28)</x:f>
      </x:c>
      <x:c r="I28" t="str">
        <x:f>IF(A28="","",'Project Control'!F28)</x:f>
      </x:c>
      <x:c r="J28" t="str">
        <x:f>IF(A28="","",'Project Control'!H28)</x:f>
      </x:c>
      <x:c r="K28" t="str">
        <x:f>IF(A28="","",IF(ISNUMBER('Project Control'!I28),'Project Control'!I28,""))</x:f>
      </x:c>
      <x:c r="L28" t="str">
        <x:f>IF(A28="","",'Project Control'!O28)</x:f>
      </x:c>
    </x:row>
    <x:row r="29">
      <x:c r="A29" t="str">
        <x:f>IF('Project Control'!A29="","",'Project Control'!A29)</x:f>
      </x:c>
      <x:c r="B29" t="str">
        <x:f>IF(A29="","",'Project Control'!B29)</x:f>
      </x:c>
      <x:c r="C29" t="str">
        <x:f>IF(A29="","",'Project Control'!R29)</x:f>
      </x:c>
      <x:c r="D29" t="str">
        <x:f>IF(A29="","",'Project Control'!S29)</x:f>
      </x:c>
      <x:c r="E29" t="str">
        <x:f>IF(A29="","",'Project Control'!T29)</x:f>
      </x:c>
      <x:c r="F29" t="str">
        <x:f>IF(A29="","",'Project Control'!C29)</x:f>
      </x:c>
      <x:c r="G29" t="str">
        <x:f>IF(A29="","",'Project Control'!D29)</x:f>
      </x:c>
      <x:c r="H29" t="str">
        <x:f>IF(A29="","",'Project Control'!E29)</x:f>
      </x:c>
      <x:c r="I29" t="str">
        <x:f>IF(A29="","",'Project Control'!F29)</x:f>
      </x:c>
      <x:c r="J29" t="str">
        <x:f>IF(A29="","",'Project Control'!H29)</x:f>
      </x:c>
      <x:c r="K29" t="str">
        <x:f>IF(A29="","",IF(ISNUMBER('Project Control'!I29),'Project Control'!I29,""))</x:f>
      </x:c>
      <x:c r="L29" t="str">
        <x:f>IF(A29="","",'Project Control'!O29)</x:f>
      </x:c>
    </x:row>
    <x:row r="30">
      <x:c r="A30" t="str">
        <x:f>IF('Project Control'!A30="","",'Project Control'!A30)</x:f>
      </x:c>
      <x:c r="B30" t="str">
        <x:f>IF(A30="","",'Project Control'!B30)</x:f>
      </x:c>
      <x:c r="C30" t="str">
        <x:f>IF(A30="","",'Project Control'!R30)</x:f>
      </x:c>
      <x:c r="D30" t="str">
        <x:f>IF(A30="","",'Project Control'!S30)</x:f>
      </x:c>
      <x:c r="E30" t="str">
        <x:f>IF(A30="","",'Project Control'!T30)</x:f>
      </x:c>
      <x:c r="F30" t="str">
        <x:f>IF(A30="","",'Project Control'!C30)</x:f>
      </x:c>
      <x:c r="G30" t="str">
        <x:f>IF(A30="","",'Project Control'!D30)</x:f>
      </x:c>
      <x:c r="H30" t="str">
        <x:f>IF(A30="","",'Project Control'!E30)</x:f>
      </x:c>
      <x:c r="I30" t="str">
        <x:f>IF(A30="","",'Project Control'!F30)</x:f>
      </x:c>
      <x:c r="J30" t="str">
        <x:f>IF(A30="","",'Project Control'!H30)</x:f>
      </x:c>
      <x:c r="K30" t="str">
        <x:f>IF(A30="","",IF(ISNUMBER('Project Control'!I30),'Project Control'!I30,""))</x:f>
      </x:c>
      <x:c r="L30" t="str">
        <x:f>IF(A30="","",'Project Control'!O30)</x:f>
      </x:c>
    </x:row>
    <x:row r="31">
      <x:c r="A31" t="str">
        <x:f>IF('Project Control'!A31="","",'Project Control'!A31)</x:f>
      </x:c>
      <x:c r="B31" t="str">
        <x:f>IF(A31="","",'Project Control'!B31)</x:f>
      </x:c>
      <x:c r="C31" t="str">
        <x:f>IF(A31="","",'Project Control'!R31)</x:f>
      </x:c>
      <x:c r="D31" t="str">
        <x:f>IF(A31="","",'Project Control'!S31)</x:f>
      </x:c>
      <x:c r="E31" t="str">
        <x:f>IF(A31="","",'Project Control'!T31)</x:f>
      </x:c>
      <x:c r="F31" t="str">
        <x:f>IF(A31="","",'Project Control'!C31)</x:f>
      </x:c>
      <x:c r="G31" t="str">
        <x:f>IF(A31="","",'Project Control'!D31)</x:f>
      </x:c>
      <x:c r="H31" t="str">
        <x:f>IF(A31="","",'Project Control'!E31)</x:f>
      </x:c>
      <x:c r="I31" t="str">
        <x:f>IF(A31="","",'Project Control'!F31)</x:f>
      </x:c>
      <x:c r="J31" t="str">
        <x:f>IF(A31="","",'Project Control'!H31)</x:f>
      </x:c>
      <x:c r="K31" t="str">
        <x:f>IF(A31="","",IF(ISNUMBER('Project Control'!I31),'Project Control'!I31,""))</x:f>
      </x:c>
      <x:c r="L31" t="str">
        <x:f>IF(A31="","",'Project Control'!O31)</x:f>
      </x:c>
    </x:row>
    <x:row r="32">
      <x:c r="A32" t="str">
        <x:f>IF('Project Control'!A32="","",'Project Control'!A32)</x:f>
      </x:c>
      <x:c r="B32" t="str">
        <x:f>IF(A32="","",'Project Control'!B32)</x:f>
      </x:c>
      <x:c r="C32" t="str">
        <x:f>IF(A32="","",'Project Control'!R32)</x:f>
      </x:c>
      <x:c r="D32" t="str">
        <x:f>IF(A32="","",'Project Control'!S32)</x:f>
      </x:c>
      <x:c r="E32" t="str">
        <x:f>IF(A32="","",'Project Control'!T32)</x:f>
      </x:c>
      <x:c r="F32" t="str">
        <x:f>IF(A32="","",'Project Control'!C32)</x:f>
      </x:c>
      <x:c r="G32" t="str">
        <x:f>IF(A32="","",'Project Control'!D32)</x:f>
      </x:c>
      <x:c r="H32" t="str">
        <x:f>IF(A32="","",'Project Control'!E32)</x:f>
      </x:c>
      <x:c r="I32" t="str">
        <x:f>IF(A32="","",'Project Control'!F32)</x:f>
      </x:c>
      <x:c r="J32" t="str">
        <x:f>IF(A32="","",'Project Control'!H32)</x:f>
      </x:c>
      <x:c r="K32" t="str">
        <x:f>IF(A32="","",IF(ISNUMBER('Project Control'!I32),'Project Control'!I32,""))</x:f>
      </x:c>
      <x:c r="L32" t="str">
        <x:f>IF(A32="","",'Project Control'!O32)</x:f>
      </x:c>
    </x:row>
    <x:row r="33">
      <x:c r="A33" t="str">
        <x:f>IF('Project Control'!A33="","",'Project Control'!A33)</x:f>
      </x:c>
      <x:c r="B33" t="str">
        <x:f>IF(A33="","",'Project Control'!B33)</x:f>
      </x:c>
      <x:c r="C33" t="str">
        <x:f>IF(A33="","",'Project Control'!R33)</x:f>
      </x:c>
      <x:c r="D33" t="str">
        <x:f>IF(A33="","",'Project Control'!S33)</x:f>
      </x:c>
      <x:c r="E33" t="str">
        <x:f>IF(A33="","",'Project Control'!T33)</x:f>
      </x:c>
      <x:c r="F33" t="str">
        <x:f>IF(A33="","",'Project Control'!C33)</x:f>
      </x:c>
      <x:c r="G33" t="str">
        <x:f>IF(A33="","",'Project Control'!D33)</x:f>
      </x:c>
      <x:c r="H33" t="str">
        <x:f>IF(A33="","",'Project Control'!E33)</x:f>
      </x:c>
      <x:c r="I33" t="str">
        <x:f>IF(A33="","",'Project Control'!F33)</x:f>
      </x:c>
      <x:c r="J33" t="str">
        <x:f>IF(A33="","",'Project Control'!H33)</x:f>
      </x:c>
      <x:c r="K33" t="str">
        <x:f>IF(A33="","",IF(ISNUMBER('Project Control'!I33),'Project Control'!I33,""))</x:f>
      </x:c>
      <x:c r="L33" t="str">
        <x:f>IF(A33="","",'Project Control'!O33)</x:f>
      </x:c>
    </x:row>
    <x:row r="34">
      <x:c r="A34" t="str">
        <x:f>IF('Project Control'!A34="","",'Project Control'!A34)</x:f>
      </x:c>
      <x:c r="B34" t="str">
        <x:f>IF(A34="","",'Project Control'!B34)</x:f>
      </x:c>
      <x:c r="C34" t="str">
        <x:f>IF(A34="","",'Project Control'!R34)</x:f>
      </x:c>
      <x:c r="D34" t="str">
        <x:f>IF(A34="","",'Project Control'!S34)</x:f>
      </x:c>
      <x:c r="E34" t="str">
        <x:f>IF(A34="","",'Project Control'!T34)</x:f>
      </x:c>
      <x:c r="F34" t="str">
        <x:f>IF(A34="","",'Project Control'!C34)</x:f>
      </x:c>
      <x:c r="G34" t="str">
        <x:f>IF(A34="","",'Project Control'!D34)</x:f>
      </x:c>
      <x:c r="H34" t="str">
        <x:f>IF(A34="","",'Project Control'!E34)</x:f>
      </x:c>
      <x:c r="I34" t="str">
        <x:f>IF(A34="","",'Project Control'!F34)</x:f>
      </x:c>
      <x:c r="J34" t="str">
        <x:f>IF(A34="","",'Project Control'!H34)</x:f>
      </x:c>
      <x:c r="K34" t="str">
        <x:f>IF(A34="","",IF(ISNUMBER('Project Control'!I34),'Project Control'!I34,""))</x:f>
      </x:c>
      <x:c r="L34" t="str">
        <x:f>IF(A34="","",'Project Control'!O34)</x:f>
      </x:c>
    </x:row>
    <x:row r="35">
      <x:c r="A35" t="str">
        <x:f>IF('Project Control'!A35="","",'Project Control'!A35)</x:f>
      </x:c>
      <x:c r="B35" t="str">
        <x:f>IF(A35="","",'Project Control'!B35)</x:f>
      </x:c>
      <x:c r="C35" t="str">
        <x:f>IF(A35="","",'Project Control'!R35)</x:f>
      </x:c>
      <x:c r="D35" t="str">
        <x:f>IF(A35="","",'Project Control'!S35)</x:f>
      </x:c>
      <x:c r="E35" t="str">
        <x:f>IF(A35="","",'Project Control'!T35)</x:f>
      </x:c>
      <x:c r="F35" t="str">
        <x:f>IF(A35="","",'Project Control'!C35)</x:f>
      </x:c>
      <x:c r="G35" t="str">
        <x:f>IF(A35="","",'Project Control'!D35)</x:f>
      </x:c>
      <x:c r="H35" t="str">
        <x:f>IF(A35="","",'Project Control'!E35)</x:f>
      </x:c>
      <x:c r="I35" t="str">
        <x:f>IF(A35="","",'Project Control'!F35)</x:f>
      </x:c>
      <x:c r="J35" t="str">
        <x:f>IF(A35="","",'Project Control'!H35)</x:f>
      </x:c>
      <x:c r="K35" t="str">
        <x:f>IF(A35="","",IF(ISNUMBER('Project Control'!I35),'Project Control'!I35,""))</x:f>
      </x:c>
      <x:c r="L35" t="str">
        <x:f>IF(A35="","",'Project Control'!O35)</x:f>
      </x:c>
    </x:row>
    <x:row r="36">
      <x:c r="A36" t="str">
        <x:f>IF('Project Control'!A36="","",'Project Control'!A36)</x:f>
      </x:c>
      <x:c r="B36" t="str">
        <x:f>IF(A36="","",'Project Control'!B36)</x:f>
      </x:c>
      <x:c r="C36" t="str">
        <x:f>IF(A36="","",'Project Control'!R36)</x:f>
      </x:c>
      <x:c r="D36" t="str">
        <x:f>IF(A36="","",'Project Control'!S36)</x:f>
      </x:c>
      <x:c r="E36" t="str">
        <x:f>IF(A36="","",'Project Control'!T36)</x:f>
      </x:c>
      <x:c r="F36" t="str">
        <x:f>IF(A36="","",'Project Control'!C36)</x:f>
      </x:c>
      <x:c r="G36" t="str">
        <x:f>IF(A36="","",'Project Control'!D36)</x:f>
      </x:c>
      <x:c r="H36" t="str">
        <x:f>IF(A36="","",'Project Control'!E36)</x:f>
      </x:c>
      <x:c r="I36" t="str">
        <x:f>IF(A36="","",'Project Control'!F36)</x:f>
      </x:c>
      <x:c r="J36" t="str">
        <x:f>IF(A36="","",'Project Control'!H36)</x:f>
      </x:c>
      <x:c r="K36" t="str">
        <x:f>IF(A36="","",IF(ISNUMBER('Project Control'!I36),'Project Control'!I36,""))</x:f>
      </x:c>
      <x:c r="L36" t="str">
        <x:f>IF(A36="","",'Project Control'!O36)</x:f>
      </x:c>
    </x:row>
    <x:row r="37">
      <x:c r="A37" t="str">
        <x:f>IF('Project Control'!A37="","",'Project Control'!A37)</x:f>
      </x:c>
      <x:c r="B37" t="str">
        <x:f>IF(A37="","",'Project Control'!B37)</x:f>
      </x:c>
      <x:c r="C37" t="str">
        <x:f>IF(A37="","",'Project Control'!R37)</x:f>
      </x:c>
      <x:c r="D37" t="str">
        <x:f>IF(A37="","",'Project Control'!S37)</x:f>
      </x:c>
      <x:c r="E37" t="str">
        <x:f>IF(A37="","",'Project Control'!T37)</x:f>
      </x:c>
      <x:c r="F37" t="str">
        <x:f>IF(A37="","",'Project Control'!C37)</x:f>
      </x:c>
      <x:c r="G37" t="str">
        <x:f>IF(A37="","",'Project Control'!D37)</x:f>
      </x:c>
      <x:c r="H37" t="str">
        <x:f>IF(A37="","",'Project Control'!E37)</x:f>
      </x:c>
      <x:c r="I37" t="str">
        <x:f>IF(A37="","",'Project Control'!F37)</x:f>
      </x:c>
      <x:c r="J37" t="str">
        <x:f>IF(A37="","",'Project Control'!H37)</x:f>
      </x:c>
      <x:c r="K37" t="str">
        <x:f>IF(A37="","",IF(ISNUMBER('Project Control'!I37),'Project Control'!I37,""))</x:f>
      </x:c>
      <x:c r="L37" t="str">
        <x:f>IF(A37="","",'Project Control'!O37)</x:f>
      </x:c>
    </x:row>
    <x:row r="38">
      <x:c r="A38" t="str">
        <x:f>IF('Project Control'!A38="","",'Project Control'!A38)</x:f>
      </x:c>
      <x:c r="B38" t="str">
        <x:f>IF(A38="","",'Project Control'!B38)</x:f>
      </x:c>
      <x:c r="C38" t="str">
        <x:f>IF(A38="","",'Project Control'!R38)</x:f>
      </x:c>
      <x:c r="D38" t="str">
        <x:f>IF(A38="","",'Project Control'!S38)</x:f>
      </x:c>
      <x:c r="E38" t="str">
        <x:f>IF(A38="","",'Project Control'!T38)</x:f>
      </x:c>
      <x:c r="F38" t="str">
        <x:f>IF(A38="","",'Project Control'!C38)</x:f>
      </x:c>
      <x:c r="G38" t="str">
        <x:f>IF(A38="","",'Project Control'!D38)</x:f>
      </x:c>
      <x:c r="H38" t="str">
        <x:f>IF(A38="","",'Project Control'!E38)</x:f>
      </x:c>
      <x:c r="I38" t="str">
        <x:f>IF(A38="","",'Project Control'!F38)</x:f>
      </x:c>
      <x:c r="J38" t="str">
        <x:f>IF(A38="","",'Project Control'!H38)</x:f>
      </x:c>
      <x:c r="K38" t="str">
        <x:f>IF(A38="","",IF(ISNUMBER('Project Control'!I38),'Project Control'!I38,""))</x:f>
      </x:c>
      <x:c r="L38" t="str">
        <x:f>IF(A38="","",'Project Control'!O38)</x:f>
      </x:c>
    </x:row>
    <x:row r="39">
      <x:c r="A39" t="str">
        <x:f>IF('Project Control'!A39="","",'Project Control'!A39)</x:f>
      </x:c>
      <x:c r="B39" t="str">
        <x:f>IF(A39="","",'Project Control'!B39)</x:f>
      </x:c>
      <x:c r="C39" t="str">
        <x:f>IF(A39="","",'Project Control'!R39)</x:f>
      </x:c>
      <x:c r="D39" t="str">
        <x:f>IF(A39="","",'Project Control'!S39)</x:f>
      </x:c>
      <x:c r="E39" t="str">
        <x:f>IF(A39="","",'Project Control'!T39)</x:f>
      </x:c>
      <x:c r="F39" t="str">
        <x:f>IF(A39="","",'Project Control'!C39)</x:f>
      </x:c>
      <x:c r="G39" t="str">
        <x:f>IF(A39="","",'Project Control'!D39)</x:f>
      </x:c>
      <x:c r="H39" t="str">
        <x:f>IF(A39="","",'Project Control'!E39)</x:f>
      </x:c>
      <x:c r="I39" t="str">
        <x:f>IF(A39="","",'Project Control'!F39)</x:f>
      </x:c>
      <x:c r="J39" t="str">
        <x:f>IF(A39="","",'Project Control'!H39)</x:f>
      </x:c>
      <x:c r="K39" t="str">
        <x:f>IF(A39="","",IF(ISNUMBER('Project Control'!I39),'Project Control'!I39,""))</x:f>
      </x:c>
      <x:c r="L39" t="str">
        <x:f>IF(A39="","",'Project Control'!O39)</x:f>
      </x:c>
    </x:row>
    <x:row r="40">
      <x:c r="A40" t="str">
        <x:f>IF('Project Control'!A40="","",'Project Control'!A40)</x:f>
      </x:c>
      <x:c r="B40" t="str">
        <x:f>IF(A40="","",'Project Control'!B40)</x:f>
      </x:c>
      <x:c r="C40" t="str">
        <x:f>IF(A40="","",'Project Control'!R40)</x:f>
      </x:c>
      <x:c r="D40" t="str">
        <x:f>IF(A40="","",'Project Control'!S40)</x:f>
      </x:c>
      <x:c r="E40" t="str">
        <x:f>IF(A40="","",'Project Control'!T40)</x:f>
      </x:c>
      <x:c r="F40" t="str">
        <x:f>IF(A40="","",'Project Control'!C40)</x:f>
      </x:c>
      <x:c r="G40" t="str">
        <x:f>IF(A40="","",'Project Control'!D40)</x:f>
      </x:c>
      <x:c r="H40" t="str">
        <x:f>IF(A40="","",'Project Control'!E40)</x:f>
      </x:c>
      <x:c r="I40" t="str">
        <x:f>IF(A40="","",'Project Control'!F40)</x:f>
      </x:c>
      <x:c r="J40" t="str">
        <x:f>IF(A40="","",'Project Control'!H40)</x:f>
      </x:c>
      <x:c r="K40" t="str">
        <x:f>IF(A40="","",IF(ISNUMBER('Project Control'!I40),'Project Control'!I40,""))</x:f>
      </x:c>
      <x:c r="L40" t="str">
        <x:f>IF(A40="","",'Project Control'!O40)</x:f>
      </x:c>
    </x:row>
    <x:row r="41">
      <x:c r="A41" t="str">
        <x:f>IF('Project Control'!A41="","",'Project Control'!A41)</x:f>
      </x:c>
      <x:c r="B41" t="str">
        <x:f>IF(A41="","",'Project Control'!B41)</x:f>
      </x:c>
      <x:c r="C41" t="str">
        <x:f>IF(A41="","",'Project Control'!R41)</x:f>
      </x:c>
      <x:c r="D41" t="str">
        <x:f>IF(A41="","",'Project Control'!S41)</x:f>
      </x:c>
      <x:c r="E41" t="str">
        <x:f>IF(A41="","",'Project Control'!T41)</x:f>
      </x:c>
      <x:c r="F41" t="str">
        <x:f>IF(A41="","",'Project Control'!C41)</x:f>
      </x:c>
      <x:c r="G41" t="str">
        <x:f>IF(A41="","",'Project Control'!D41)</x:f>
      </x:c>
      <x:c r="H41" t="str">
        <x:f>IF(A41="","",'Project Control'!E41)</x:f>
      </x:c>
      <x:c r="I41" t="str">
        <x:f>IF(A41="","",'Project Control'!F41)</x:f>
      </x:c>
      <x:c r="J41" t="str">
        <x:f>IF(A41="","",'Project Control'!H41)</x:f>
      </x:c>
      <x:c r="K41" t="str">
        <x:f>IF(A41="","",IF(ISNUMBER('Project Control'!I41),'Project Control'!I41,""))</x:f>
      </x:c>
      <x:c r="L41" t="str">
        <x:f>IF(A41="","",'Project Control'!O41)</x:f>
      </x:c>
    </x:row>
    <x:row r="42">
      <x:c r="A42" t="str">
        <x:f>IF('Project Control'!A42="","",'Project Control'!A42)</x:f>
      </x:c>
      <x:c r="B42" t="str">
        <x:f>IF(A42="","",'Project Control'!B42)</x:f>
      </x:c>
      <x:c r="C42" t="str">
        <x:f>IF(A42="","",'Project Control'!R42)</x:f>
      </x:c>
      <x:c r="D42" t="str">
        <x:f>IF(A42="","",'Project Control'!S42)</x:f>
      </x:c>
      <x:c r="E42" t="str">
        <x:f>IF(A42="","",'Project Control'!T42)</x:f>
      </x:c>
      <x:c r="F42" t="str">
        <x:f>IF(A42="","",'Project Control'!C42)</x:f>
      </x:c>
      <x:c r="G42" t="str">
        <x:f>IF(A42="","",'Project Control'!D42)</x:f>
      </x:c>
      <x:c r="H42" t="str">
        <x:f>IF(A42="","",'Project Control'!E42)</x:f>
      </x:c>
      <x:c r="I42" t="str">
        <x:f>IF(A42="","",'Project Control'!F42)</x:f>
      </x:c>
      <x:c r="J42" t="str">
        <x:f>IF(A42="","",'Project Control'!H42)</x:f>
      </x:c>
      <x:c r="K42" t="str">
        <x:f>IF(A42="","",IF(ISNUMBER('Project Control'!I42),'Project Control'!I42,""))</x:f>
      </x:c>
      <x:c r="L42" t="str">
        <x:f>IF(A42="","",'Project Control'!O42)</x:f>
      </x:c>
    </x:row>
    <x:row r="43">
      <x:c r="A43" t="str">
        <x:f>IF('Project Control'!A43="","",'Project Control'!A43)</x:f>
      </x:c>
      <x:c r="B43" t="str">
        <x:f>IF(A43="","",'Project Control'!B43)</x:f>
      </x:c>
      <x:c r="C43" t="str">
        <x:f>IF(A43="","",'Project Control'!R43)</x:f>
      </x:c>
      <x:c r="D43" t="str">
        <x:f>IF(A43="","",'Project Control'!S43)</x:f>
      </x:c>
      <x:c r="E43" t="str">
        <x:f>IF(A43="","",'Project Control'!T43)</x:f>
      </x:c>
      <x:c r="F43" t="str">
        <x:f>IF(A43="","",'Project Control'!C43)</x:f>
      </x:c>
      <x:c r="G43" t="str">
        <x:f>IF(A43="","",'Project Control'!D43)</x:f>
      </x:c>
      <x:c r="H43" t="str">
        <x:f>IF(A43="","",'Project Control'!E43)</x:f>
      </x:c>
      <x:c r="I43" t="str">
        <x:f>IF(A43="","",'Project Control'!F43)</x:f>
      </x:c>
      <x:c r="J43" t="str">
        <x:f>IF(A43="","",'Project Control'!H43)</x:f>
      </x:c>
      <x:c r="K43" t="str">
        <x:f>IF(A43="","",IF(ISNUMBER('Project Control'!I43),'Project Control'!I43,""))</x:f>
      </x:c>
      <x:c r="L43" t="str">
        <x:f>IF(A43="","",'Project Control'!O43)</x:f>
      </x:c>
    </x:row>
    <x:row r="44">
      <x:c r="A44" t="str">
        <x:f>IF('Project Control'!A44="","",'Project Control'!A44)</x:f>
      </x:c>
      <x:c r="B44" t="str">
        <x:f>IF(A44="","",'Project Control'!B44)</x:f>
      </x:c>
      <x:c r="C44" t="str">
        <x:f>IF(A44="","",'Project Control'!R44)</x:f>
      </x:c>
      <x:c r="D44" t="str">
        <x:f>IF(A44="","",'Project Control'!S44)</x:f>
      </x:c>
      <x:c r="E44" t="str">
        <x:f>IF(A44="","",'Project Control'!T44)</x:f>
      </x:c>
      <x:c r="F44" t="str">
        <x:f>IF(A44="","",'Project Control'!C44)</x:f>
      </x:c>
      <x:c r="G44" t="str">
        <x:f>IF(A44="","",'Project Control'!D44)</x:f>
      </x:c>
      <x:c r="H44" t="str">
        <x:f>IF(A44="","",'Project Control'!E44)</x:f>
      </x:c>
      <x:c r="I44" t="str">
        <x:f>IF(A44="","",'Project Control'!F44)</x:f>
      </x:c>
      <x:c r="J44" t="str">
        <x:f>IF(A44="","",'Project Control'!H44)</x:f>
      </x:c>
      <x:c r="K44" t="str">
        <x:f>IF(A44="","",IF(ISNUMBER('Project Control'!I44),'Project Control'!I44,""))</x:f>
      </x:c>
      <x:c r="L44" t="str">
        <x:f>IF(A44="","",'Project Control'!O44)</x:f>
      </x:c>
    </x:row>
    <x:row r="45">
      <x:c r="A45" t="str">
        <x:f>IF('Project Control'!A45="","",'Project Control'!A45)</x:f>
      </x:c>
      <x:c r="B45" t="str">
        <x:f>IF(A45="","",'Project Control'!B45)</x:f>
      </x:c>
      <x:c r="C45" t="str">
        <x:f>IF(A45="","",'Project Control'!R45)</x:f>
      </x:c>
      <x:c r="D45" t="str">
        <x:f>IF(A45="","",'Project Control'!S45)</x:f>
      </x:c>
      <x:c r="E45" t="str">
        <x:f>IF(A45="","",'Project Control'!T45)</x:f>
      </x:c>
      <x:c r="F45" t="str">
        <x:f>IF(A45="","",'Project Control'!C45)</x:f>
      </x:c>
      <x:c r="G45" t="str">
        <x:f>IF(A45="","",'Project Control'!D45)</x:f>
      </x:c>
      <x:c r="H45" t="str">
        <x:f>IF(A45="","",'Project Control'!E45)</x:f>
      </x:c>
      <x:c r="I45" t="str">
        <x:f>IF(A45="","",'Project Control'!F45)</x:f>
      </x:c>
      <x:c r="J45" t="str">
        <x:f>IF(A45="","",'Project Control'!H45)</x:f>
      </x:c>
      <x:c r="K45" t="str">
        <x:f>IF(A45="","",IF(ISNUMBER('Project Control'!I45),'Project Control'!I45,""))</x:f>
      </x:c>
      <x:c r="L45" t="str">
        <x:f>IF(A45="","",'Project Control'!O45)</x:f>
      </x:c>
    </x:row>
    <x:row r="46">
      <x:c r="A46" t="str">
        <x:f>IF('Project Control'!A46="","",'Project Control'!A46)</x:f>
      </x:c>
      <x:c r="B46" t="str">
        <x:f>IF(A46="","",'Project Control'!B46)</x:f>
      </x:c>
      <x:c r="C46" t="str">
        <x:f>IF(A46="","",'Project Control'!R46)</x:f>
      </x:c>
      <x:c r="D46" t="str">
        <x:f>IF(A46="","",'Project Control'!S46)</x:f>
      </x:c>
      <x:c r="E46" t="str">
        <x:f>IF(A46="","",'Project Control'!T46)</x:f>
      </x:c>
      <x:c r="F46" t="str">
        <x:f>IF(A46="","",'Project Control'!C46)</x:f>
      </x:c>
      <x:c r="G46" t="str">
        <x:f>IF(A46="","",'Project Control'!D46)</x:f>
      </x:c>
      <x:c r="H46" t="str">
        <x:f>IF(A46="","",'Project Control'!E46)</x:f>
      </x:c>
      <x:c r="I46" t="str">
        <x:f>IF(A46="","",'Project Control'!F46)</x:f>
      </x:c>
      <x:c r="J46" t="str">
        <x:f>IF(A46="","",'Project Control'!H46)</x:f>
      </x:c>
      <x:c r="K46" t="str">
        <x:f>IF(A46="","",IF(ISNUMBER('Project Control'!I46),'Project Control'!I46,""))</x:f>
      </x:c>
      <x:c r="L46" t="str">
        <x:f>IF(A46="","",'Project Control'!O46)</x:f>
      </x:c>
    </x:row>
    <x:row r="47">
      <x:c r="A47" t="str">
        <x:f>IF('Project Control'!A47="","",'Project Control'!A47)</x:f>
      </x:c>
      <x:c r="B47" t="str">
        <x:f>IF(A47="","",'Project Control'!B47)</x:f>
      </x:c>
      <x:c r="C47" t="str">
        <x:f>IF(A47="","",'Project Control'!R47)</x:f>
      </x:c>
      <x:c r="D47" t="str">
        <x:f>IF(A47="","",'Project Control'!S47)</x:f>
      </x:c>
      <x:c r="E47" t="str">
        <x:f>IF(A47="","",'Project Control'!T47)</x:f>
      </x:c>
      <x:c r="F47" t="str">
        <x:f>IF(A47="","",'Project Control'!C47)</x:f>
      </x:c>
      <x:c r="G47" t="str">
        <x:f>IF(A47="","",'Project Control'!D47)</x:f>
      </x:c>
      <x:c r="H47" t="str">
        <x:f>IF(A47="","",'Project Control'!E47)</x:f>
      </x:c>
      <x:c r="I47" t="str">
        <x:f>IF(A47="","",'Project Control'!F47)</x:f>
      </x:c>
      <x:c r="J47" t="str">
        <x:f>IF(A47="","",'Project Control'!H47)</x:f>
      </x:c>
      <x:c r="K47" t="str">
        <x:f>IF(A47="","",IF(ISNUMBER('Project Control'!I47),'Project Control'!I47,""))</x:f>
      </x:c>
      <x:c r="L47" t="str">
        <x:f>IF(A47="","",'Project Control'!O47)</x:f>
      </x:c>
    </x:row>
    <x:row r="48">
      <x:c r="A48" t="str">
        <x:f>IF('Project Control'!A48="","",'Project Control'!A48)</x:f>
      </x:c>
      <x:c r="B48" t="str">
        <x:f>IF(A48="","",'Project Control'!B48)</x:f>
      </x:c>
      <x:c r="C48" t="str">
        <x:f>IF(A48="","",'Project Control'!R48)</x:f>
      </x:c>
      <x:c r="D48" t="str">
        <x:f>IF(A48="","",'Project Control'!S48)</x:f>
      </x:c>
      <x:c r="E48" t="str">
        <x:f>IF(A48="","",'Project Control'!T48)</x:f>
      </x:c>
      <x:c r="F48" t="str">
        <x:f>IF(A48="","",'Project Control'!C48)</x:f>
      </x:c>
      <x:c r="G48" t="str">
        <x:f>IF(A48="","",'Project Control'!D48)</x:f>
      </x:c>
      <x:c r="H48" t="str">
        <x:f>IF(A48="","",'Project Control'!E48)</x:f>
      </x:c>
      <x:c r="I48" t="str">
        <x:f>IF(A48="","",'Project Control'!F48)</x:f>
      </x:c>
      <x:c r="J48" t="str">
        <x:f>IF(A48="","",'Project Control'!H48)</x:f>
      </x:c>
      <x:c r="K48" t="str">
        <x:f>IF(A48="","",IF(ISNUMBER('Project Control'!I48),'Project Control'!I48,""))</x:f>
      </x:c>
      <x:c r="L48" t="str">
        <x:f>IF(A48="","",'Project Control'!O48)</x:f>
      </x:c>
    </x:row>
    <x:row r="49">
      <x:c r="A49" t="str">
        <x:f>IF('Project Control'!A49="","",'Project Control'!A49)</x:f>
      </x:c>
      <x:c r="B49" t="str">
        <x:f>IF(A49="","",'Project Control'!B49)</x:f>
      </x:c>
      <x:c r="C49" t="str">
        <x:f>IF(A49="","",'Project Control'!R49)</x:f>
      </x:c>
      <x:c r="D49" t="str">
        <x:f>IF(A49="","",'Project Control'!S49)</x:f>
      </x:c>
      <x:c r="E49" t="str">
        <x:f>IF(A49="","",'Project Control'!T49)</x:f>
      </x:c>
      <x:c r="F49" t="str">
        <x:f>IF(A49="","",'Project Control'!C49)</x:f>
      </x:c>
      <x:c r="G49" t="str">
        <x:f>IF(A49="","",'Project Control'!D49)</x:f>
      </x:c>
      <x:c r="H49" t="str">
        <x:f>IF(A49="","",'Project Control'!E49)</x:f>
      </x:c>
      <x:c r="I49" t="str">
        <x:f>IF(A49="","",'Project Control'!F49)</x:f>
      </x:c>
      <x:c r="J49" t="str">
        <x:f>IF(A49="","",'Project Control'!H49)</x:f>
      </x:c>
      <x:c r="K49" t="str">
        <x:f>IF(A49="","",IF(ISNUMBER('Project Control'!I49),'Project Control'!I49,""))</x:f>
      </x:c>
      <x:c r="L49" t="str">
        <x:f>IF(A49="","",'Project Control'!O49)</x:f>
      </x:c>
    </x:row>
    <x:row r="50">
      <x:c r="A50" t="str">
        <x:f>IF('Project Control'!A50="","",'Project Control'!A50)</x:f>
      </x:c>
      <x:c r="B50" t="str">
        <x:f>IF(A50="","",'Project Control'!B50)</x:f>
      </x:c>
      <x:c r="C50" t="str">
        <x:f>IF(A50="","",'Project Control'!R50)</x:f>
      </x:c>
      <x:c r="D50" t="str">
        <x:f>IF(A50="","",'Project Control'!S50)</x:f>
      </x:c>
      <x:c r="E50" t="str">
        <x:f>IF(A50="","",'Project Control'!T50)</x:f>
      </x:c>
      <x:c r="F50" t="str">
        <x:f>IF(A50="","",'Project Control'!C50)</x:f>
      </x:c>
      <x:c r="G50" t="str">
        <x:f>IF(A50="","",'Project Control'!D50)</x:f>
      </x:c>
      <x:c r="H50" t="str">
        <x:f>IF(A50="","",'Project Control'!E50)</x:f>
      </x:c>
      <x:c r="I50" t="str">
        <x:f>IF(A50="","",'Project Control'!F50)</x:f>
      </x:c>
      <x:c r="J50" t="str">
        <x:f>IF(A50="","",'Project Control'!H50)</x:f>
      </x:c>
      <x:c r="K50" t="str">
        <x:f>IF(A50="","",IF(ISNUMBER('Project Control'!I50),'Project Control'!I50,""))</x:f>
      </x:c>
      <x:c r="L50" t="str">
        <x:f>IF(A50="","",'Project Control'!O50)</x:f>
      </x:c>
    </x:row>
    <x:row r="51">
      <x:c r="A51" t="str">
        <x:f>IF('Project Control'!A51="","",'Project Control'!A51)</x:f>
      </x:c>
      <x:c r="B51" t="str">
        <x:f>IF(A51="","",'Project Control'!B51)</x:f>
      </x:c>
      <x:c r="C51" t="str">
        <x:f>IF(A51="","",'Project Control'!R51)</x:f>
      </x:c>
      <x:c r="D51" t="str">
        <x:f>IF(A51="","",'Project Control'!S51)</x:f>
      </x:c>
      <x:c r="E51" t="str">
        <x:f>IF(A51="","",'Project Control'!T51)</x:f>
      </x:c>
      <x:c r="F51" t="str">
        <x:f>IF(A51="","",'Project Control'!C51)</x:f>
      </x:c>
      <x:c r="G51" t="str">
        <x:f>IF(A51="","",'Project Control'!D51)</x:f>
      </x:c>
      <x:c r="H51" t="str">
        <x:f>IF(A51="","",'Project Control'!E51)</x:f>
      </x:c>
      <x:c r="I51" t="str">
        <x:f>IF(A51="","",'Project Control'!F51)</x:f>
      </x:c>
      <x:c r="J51" t="str">
        <x:f>IF(A51="","",'Project Control'!H51)</x:f>
      </x:c>
      <x:c r="K51" t="str">
        <x:f>IF(A51="","",IF(ISNUMBER('Project Control'!I51),'Project Control'!I51,""))</x:f>
      </x:c>
      <x:c r="L51" t="str">
        <x:f>IF(A51="","",'Project Control'!O51)</x:f>
      </x:c>
    </x:row>
    <x:row r="52">
      <x:c r="A52" t="str">
        <x:f>IF('Project Control'!A52="","",'Project Control'!A52)</x:f>
      </x:c>
      <x:c r="B52" t="str">
        <x:f>IF(A52="","",'Project Control'!B52)</x:f>
      </x:c>
      <x:c r="C52" t="str">
        <x:f>IF(A52="","",'Project Control'!R52)</x:f>
      </x:c>
      <x:c r="D52" t="str">
        <x:f>IF(A52="","",'Project Control'!S52)</x:f>
      </x:c>
      <x:c r="E52" t="str">
        <x:f>IF(A52="","",'Project Control'!T52)</x:f>
      </x:c>
      <x:c r="F52" t="str">
        <x:f>IF(A52="","",'Project Control'!C52)</x:f>
      </x:c>
      <x:c r="G52" t="str">
        <x:f>IF(A52="","",'Project Control'!D52)</x:f>
      </x:c>
      <x:c r="H52" t="str">
        <x:f>IF(A52="","",'Project Control'!E52)</x:f>
      </x:c>
      <x:c r="I52" t="str">
        <x:f>IF(A52="","",'Project Control'!F52)</x:f>
      </x:c>
      <x:c r="J52" t="str">
        <x:f>IF(A52="","",'Project Control'!H52)</x:f>
      </x:c>
      <x:c r="K52" t="str">
        <x:f>IF(A52="","",IF(ISNUMBER('Project Control'!I52),'Project Control'!I52,""))</x:f>
      </x:c>
      <x:c r="L52" t="str">
        <x:f>IF(A52="","",'Project Control'!O52)</x:f>
      </x:c>
    </x:row>
    <x:row r="53">
      <x:c r="A53" t="str">
        <x:f>IF('Project Control'!A53="","",'Project Control'!A53)</x:f>
      </x:c>
      <x:c r="B53" t="str">
        <x:f>IF(A53="","",'Project Control'!B53)</x:f>
      </x:c>
      <x:c r="C53" t="str">
        <x:f>IF(A53="","",'Project Control'!R53)</x:f>
      </x:c>
      <x:c r="D53" t="str">
        <x:f>IF(A53="","",'Project Control'!S53)</x:f>
      </x:c>
      <x:c r="E53" t="str">
        <x:f>IF(A53="","",'Project Control'!T53)</x:f>
      </x:c>
      <x:c r="F53" t="str">
        <x:f>IF(A53="","",'Project Control'!C53)</x:f>
      </x:c>
      <x:c r="G53" t="str">
        <x:f>IF(A53="","",'Project Control'!D53)</x:f>
      </x:c>
      <x:c r="H53" t="str">
        <x:f>IF(A53="","",'Project Control'!E53)</x:f>
      </x:c>
      <x:c r="I53" t="str">
        <x:f>IF(A53="","",'Project Control'!F53)</x:f>
      </x:c>
      <x:c r="J53" t="str">
        <x:f>IF(A53="","",'Project Control'!H53)</x:f>
      </x:c>
      <x:c r="K53" t="str">
        <x:f>IF(A53="","",IF(ISNUMBER('Project Control'!I53),'Project Control'!I53,""))</x:f>
      </x:c>
      <x:c r="L53" t="str">
        <x:f>IF(A53="","",'Project Control'!O53)</x:f>
      </x:c>
    </x:row>
    <x:row r="54">
      <x:c r="A54" t="str">
        <x:f>IF('Project Control'!A54="","",'Project Control'!A54)</x:f>
      </x:c>
      <x:c r="B54" t="str">
        <x:f>IF(A54="","",'Project Control'!B54)</x:f>
      </x:c>
      <x:c r="C54" t="str">
        <x:f>IF(A54="","",'Project Control'!R54)</x:f>
      </x:c>
      <x:c r="D54" t="str">
        <x:f>IF(A54="","",'Project Control'!S54)</x:f>
      </x:c>
      <x:c r="E54" t="str">
        <x:f>IF(A54="","",'Project Control'!T54)</x:f>
      </x:c>
      <x:c r="F54" t="str">
        <x:f>IF(A54="","",'Project Control'!C54)</x:f>
      </x:c>
      <x:c r="G54" t="str">
        <x:f>IF(A54="","",'Project Control'!D54)</x:f>
      </x:c>
      <x:c r="H54" t="str">
        <x:f>IF(A54="","",'Project Control'!E54)</x:f>
      </x:c>
      <x:c r="I54" t="str">
        <x:f>IF(A54="","",'Project Control'!F54)</x:f>
      </x:c>
      <x:c r="J54" t="str">
        <x:f>IF(A54="","",'Project Control'!H54)</x:f>
      </x:c>
      <x:c r="K54" t="str">
        <x:f>IF(A54="","",IF(ISNUMBER('Project Control'!I54),'Project Control'!I54,""))</x:f>
      </x:c>
      <x:c r="L54" t="str">
        <x:f>IF(A54="","",'Project Control'!O54)</x:f>
      </x:c>
    </x:row>
    <x:row r="55">
      <x:c r="A55" t="str">
        <x:f>IF('Project Control'!A55="","",'Project Control'!A55)</x:f>
      </x:c>
      <x:c r="B55" t="str">
        <x:f>IF(A55="","",'Project Control'!B55)</x:f>
      </x:c>
      <x:c r="C55" t="str">
        <x:f>IF(A55="","",'Project Control'!R55)</x:f>
      </x:c>
      <x:c r="D55" t="str">
        <x:f>IF(A55="","",'Project Control'!S55)</x:f>
      </x:c>
      <x:c r="E55" t="str">
        <x:f>IF(A55="","",'Project Control'!T55)</x:f>
      </x:c>
      <x:c r="F55" t="str">
        <x:f>IF(A55="","",'Project Control'!C55)</x:f>
      </x:c>
      <x:c r="G55" t="str">
        <x:f>IF(A55="","",'Project Control'!D55)</x:f>
      </x:c>
      <x:c r="H55" t="str">
        <x:f>IF(A55="","",'Project Control'!E55)</x:f>
      </x:c>
      <x:c r="I55" t="str">
        <x:f>IF(A55="","",'Project Control'!F55)</x:f>
      </x:c>
      <x:c r="J55" t="str">
        <x:f>IF(A55="","",'Project Control'!H55)</x:f>
      </x:c>
      <x:c r="K55" t="str">
        <x:f>IF(A55="","",IF(ISNUMBER('Project Control'!I55),'Project Control'!I55,""))</x:f>
      </x:c>
      <x:c r="L55" t="str">
        <x:f>IF(A55="","",'Project Control'!O55)</x:f>
      </x:c>
    </x:row>
    <x:row r="56">
      <x:c r="A56" t="str">
        <x:f>IF('Project Control'!A56="","",'Project Control'!A56)</x:f>
      </x:c>
      <x:c r="B56" t="str">
        <x:f>IF(A56="","",'Project Control'!B56)</x:f>
      </x:c>
      <x:c r="C56" t="str">
        <x:f>IF(A56="","",'Project Control'!R56)</x:f>
      </x:c>
      <x:c r="D56" t="str">
        <x:f>IF(A56="","",'Project Control'!S56)</x:f>
      </x:c>
      <x:c r="E56" t="str">
        <x:f>IF(A56="","",'Project Control'!T56)</x:f>
      </x:c>
      <x:c r="F56" t="str">
        <x:f>IF(A56="","",'Project Control'!C56)</x:f>
      </x:c>
      <x:c r="G56" t="str">
        <x:f>IF(A56="","",'Project Control'!D56)</x:f>
      </x:c>
      <x:c r="H56" t="str">
        <x:f>IF(A56="","",'Project Control'!E56)</x:f>
      </x:c>
      <x:c r="I56" t="str">
        <x:f>IF(A56="","",'Project Control'!F56)</x:f>
      </x:c>
      <x:c r="J56" t="str">
        <x:f>IF(A56="","",'Project Control'!H56)</x:f>
      </x:c>
      <x:c r="K56" t="str">
        <x:f>IF(A56="","",IF(ISNUMBER('Project Control'!I56),'Project Control'!I56,""))</x:f>
      </x:c>
      <x:c r="L56" t="str">
        <x:f>IF(A56="","",'Project Control'!O56)</x:f>
      </x:c>
    </x:row>
    <x:row r="57">
      <x:c r="A57" t="str">
        <x:f>IF('Project Control'!A57="","",'Project Control'!A57)</x:f>
      </x:c>
      <x:c r="B57" t="str">
        <x:f>IF(A57="","",'Project Control'!B57)</x:f>
      </x:c>
      <x:c r="C57" t="str">
        <x:f>IF(A57="","",'Project Control'!R57)</x:f>
      </x:c>
      <x:c r="D57" t="str">
        <x:f>IF(A57="","",'Project Control'!S57)</x:f>
      </x:c>
      <x:c r="E57" t="str">
        <x:f>IF(A57="","",'Project Control'!T57)</x:f>
      </x:c>
      <x:c r="F57" t="str">
        <x:f>IF(A57="","",'Project Control'!C57)</x:f>
      </x:c>
      <x:c r="G57" t="str">
        <x:f>IF(A57="","",'Project Control'!D57)</x:f>
      </x:c>
      <x:c r="H57" t="str">
        <x:f>IF(A57="","",'Project Control'!E57)</x:f>
      </x:c>
      <x:c r="I57" t="str">
        <x:f>IF(A57="","",'Project Control'!F57)</x:f>
      </x:c>
      <x:c r="J57" t="str">
        <x:f>IF(A57="","",'Project Control'!H57)</x:f>
      </x:c>
      <x:c r="K57" t="str">
        <x:f>IF(A57="","",IF(ISNUMBER('Project Control'!I57),'Project Control'!I57,""))</x:f>
      </x:c>
      <x:c r="L57" t="str">
        <x:f>IF(A57="","",'Project Control'!O57)</x:f>
      </x:c>
    </x:row>
    <x:row r="58">
      <x:c r="A58" t="str">
        <x:f>IF('Project Control'!A58="","",'Project Control'!A58)</x:f>
      </x:c>
      <x:c r="B58" t="str">
        <x:f>IF(A58="","",'Project Control'!B58)</x:f>
      </x:c>
      <x:c r="C58" t="str">
        <x:f>IF(A58="","",'Project Control'!R58)</x:f>
      </x:c>
      <x:c r="D58" t="str">
        <x:f>IF(A58="","",'Project Control'!S58)</x:f>
      </x:c>
      <x:c r="E58" t="str">
        <x:f>IF(A58="","",'Project Control'!T58)</x:f>
      </x:c>
      <x:c r="F58" t="str">
        <x:f>IF(A58="","",'Project Control'!C58)</x:f>
      </x:c>
      <x:c r="G58" t="str">
        <x:f>IF(A58="","",'Project Control'!D58)</x:f>
      </x:c>
      <x:c r="H58" t="str">
        <x:f>IF(A58="","",'Project Control'!E58)</x:f>
      </x:c>
      <x:c r="I58" t="str">
        <x:f>IF(A58="","",'Project Control'!F58)</x:f>
      </x:c>
      <x:c r="J58" t="str">
        <x:f>IF(A58="","",'Project Control'!H58)</x:f>
      </x:c>
      <x:c r="K58" t="str">
        <x:f>IF(A58="","",IF(ISNUMBER('Project Control'!I58),'Project Control'!I58,""))</x:f>
      </x:c>
      <x:c r="L58" t="str">
        <x:f>IF(A58="","",'Project Control'!O58)</x:f>
      </x:c>
    </x:row>
    <x:row r="59">
      <x:c r="A59" t="str">
        <x:f>IF('Project Control'!A59="","",'Project Control'!A59)</x:f>
      </x:c>
      <x:c r="B59" t="str">
        <x:f>IF(A59="","",'Project Control'!B59)</x:f>
      </x:c>
      <x:c r="C59" t="str">
        <x:f>IF(A59="","",'Project Control'!R59)</x:f>
      </x:c>
      <x:c r="D59" t="str">
        <x:f>IF(A59="","",'Project Control'!S59)</x:f>
      </x:c>
      <x:c r="E59" t="str">
        <x:f>IF(A59="","",'Project Control'!T59)</x:f>
      </x:c>
      <x:c r="F59" t="str">
        <x:f>IF(A59="","",'Project Control'!C59)</x:f>
      </x:c>
      <x:c r="G59" t="str">
        <x:f>IF(A59="","",'Project Control'!D59)</x:f>
      </x:c>
      <x:c r="H59" t="str">
        <x:f>IF(A59="","",'Project Control'!E59)</x:f>
      </x:c>
      <x:c r="I59" t="str">
        <x:f>IF(A59="","",'Project Control'!F59)</x:f>
      </x:c>
      <x:c r="J59" t="str">
        <x:f>IF(A59="","",'Project Control'!H59)</x:f>
      </x:c>
      <x:c r="K59" t="str">
        <x:f>IF(A59="","",IF(ISNUMBER('Project Control'!I59),'Project Control'!I59,""))</x:f>
      </x:c>
      <x:c r="L59" t="str">
        <x:f>IF(A59="","",'Project Control'!O59)</x:f>
      </x:c>
    </x:row>
    <x:row r="60">
      <x:c r="A60" t="str">
        <x:f>IF('Project Control'!A60="","",'Project Control'!A60)</x:f>
      </x:c>
      <x:c r="B60" t="str">
        <x:f>IF(A60="","",'Project Control'!B60)</x:f>
      </x:c>
      <x:c r="C60" t="str">
        <x:f>IF(A60="","",'Project Control'!R60)</x:f>
      </x:c>
      <x:c r="D60" t="str">
        <x:f>IF(A60="","",'Project Control'!S60)</x:f>
      </x:c>
      <x:c r="E60" t="str">
        <x:f>IF(A60="","",'Project Control'!T60)</x:f>
      </x:c>
      <x:c r="F60" t="str">
        <x:f>IF(A60="","",'Project Control'!C60)</x:f>
      </x:c>
      <x:c r="G60" t="str">
        <x:f>IF(A60="","",'Project Control'!D60)</x:f>
      </x:c>
      <x:c r="H60" t="str">
        <x:f>IF(A60="","",'Project Control'!E60)</x:f>
      </x:c>
      <x:c r="I60" t="str">
        <x:f>IF(A60="","",'Project Control'!F60)</x:f>
      </x:c>
      <x:c r="J60" t="str">
        <x:f>IF(A60="","",'Project Control'!H60)</x:f>
      </x:c>
      <x:c r="K60" t="str">
        <x:f>IF(A60="","",IF(ISNUMBER('Project Control'!I60),'Project Control'!I60,""))</x:f>
      </x:c>
      <x:c r="L60" t="str">
        <x:f>IF(A60="","",'Project Control'!O60)</x:f>
      </x:c>
    </x:row>
    <x:row r="61">
      <x:c r="A61" t="str">
        <x:f>IF('Project Control'!A61="","",'Project Control'!A61)</x:f>
      </x:c>
      <x:c r="B61" t="str">
        <x:f>IF(A61="","",'Project Control'!B61)</x:f>
      </x:c>
      <x:c r="C61" t="str">
        <x:f>IF(A61="","",'Project Control'!R61)</x:f>
      </x:c>
      <x:c r="D61" t="str">
        <x:f>IF(A61="","",'Project Control'!S61)</x:f>
      </x:c>
      <x:c r="E61" t="str">
        <x:f>IF(A61="","",'Project Control'!T61)</x:f>
      </x:c>
      <x:c r="F61" t="str">
        <x:f>IF(A61="","",'Project Control'!C61)</x:f>
      </x:c>
      <x:c r="G61" t="str">
        <x:f>IF(A61="","",'Project Control'!D61)</x:f>
      </x:c>
      <x:c r="H61" t="str">
        <x:f>IF(A61="","",'Project Control'!E61)</x:f>
      </x:c>
      <x:c r="I61" t="str">
        <x:f>IF(A61="","",'Project Control'!F61)</x:f>
      </x:c>
      <x:c r="J61" t="str">
        <x:f>IF(A61="","",'Project Control'!H61)</x:f>
      </x:c>
      <x:c r="K61" t="str">
        <x:f>IF(A61="","",IF(ISNUMBER('Project Control'!I61),'Project Control'!I61,""))</x:f>
      </x:c>
      <x:c r="L61" t="str">
        <x:f>IF(A61="","",'Project Control'!O61)</x:f>
      </x:c>
    </x:row>
    <x:row r="62">
      <x:c r="A62" t="str">
        <x:f>IF('Project Control'!A62="","",'Project Control'!A62)</x:f>
      </x:c>
      <x:c r="B62" t="str">
        <x:f>IF(A62="","",'Project Control'!B62)</x:f>
      </x:c>
      <x:c r="C62" t="str">
        <x:f>IF(A62="","",'Project Control'!R62)</x:f>
      </x:c>
      <x:c r="D62" t="str">
        <x:f>IF(A62="","",'Project Control'!S62)</x:f>
      </x:c>
      <x:c r="E62" t="str">
        <x:f>IF(A62="","",'Project Control'!T62)</x:f>
      </x:c>
      <x:c r="F62" t="str">
        <x:f>IF(A62="","",'Project Control'!C62)</x:f>
      </x:c>
      <x:c r="G62" t="str">
        <x:f>IF(A62="","",'Project Control'!D62)</x:f>
      </x:c>
      <x:c r="H62" t="str">
        <x:f>IF(A62="","",'Project Control'!E62)</x:f>
      </x:c>
      <x:c r="I62" t="str">
        <x:f>IF(A62="","",'Project Control'!F62)</x:f>
      </x:c>
      <x:c r="J62" t="str">
        <x:f>IF(A62="","",'Project Control'!H62)</x:f>
      </x:c>
      <x:c r="K62" t="str">
        <x:f>IF(A62="","",IF(ISNUMBER('Project Control'!I62),'Project Control'!I62,""))</x:f>
      </x:c>
      <x:c r="L62" t="str">
        <x:f>IF(A62="","",'Project Control'!O62)</x:f>
      </x:c>
    </x:row>
    <x:row r="63">
      <x:c r="A63" t="str">
        <x:f>IF('Project Control'!A63="","",'Project Control'!A63)</x:f>
      </x:c>
      <x:c r="B63" t="str">
        <x:f>IF(A63="","",'Project Control'!B63)</x:f>
      </x:c>
      <x:c r="C63" t="str">
        <x:f>IF(A63="","",'Project Control'!R63)</x:f>
      </x:c>
      <x:c r="D63" t="str">
        <x:f>IF(A63="","",'Project Control'!S63)</x:f>
      </x:c>
      <x:c r="E63" t="str">
        <x:f>IF(A63="","",'Project Control'!T63)</x:f>
      </x:c>
      <x:c r="F63" t="str">
        <x:f>IF(A63="","",'Project Control'!C63)</x:f>
      </x:c>
      <x:c r="G63" t="str">
        <x:f>IF(A63="","",'Project Control'!D63)</x:f>
      </x:c>
      <x:c r="H63" t="str">
        <x:f>IF(A63="","",'Project Control'!E63)</x:f>
      </x:c>
      <x:c r="I63" t="str">
        <x:f>IF(A63="","",'Project Control'!F63)</x:f>
      </x:c>
      <x:c r="J63" t="str">
        <x:f>IF(A63="","",'Project Control'!H63)</x:f>
      </x:c>
      <x:c r="K63" t="str">
        <x:f>IF(A63="","",IF(ISNUMBER('Project Control'!I63),'Project Control'!I63,""))</x:f>
      </x:c>
      <x:c r="L63" t="str">
        <x:f>IF(A63="","",'Project Control'!O63)</x:f>
      </x:c>
    </x:row>
    <x:row r="64">
      <x:c r="A64" t="str">
        <x:f>IF('Project Control'!A64="","",'Project Control'!A64)</x:f>
      </x:c>
      <x:c r="B64" t="str">
        <x:f>IF(A64="","",'Project Control'!B64)</x:f>
      </x:c>
      <x:c r="C64" t="str">
        <x:f>IF(A64="","",'Project Control'!R64)</x:f>
      </x:c>
      <x:c r="D64" t="str">
        <x:f>IF(A64="","",'Project Control'!S64)</x:f>
      </x:c>
      <x:c r="E64" t="str">
        <x:f>IF(A64="","",'Project Control'!T64)</x:f>
      </x:c>
      <x:c r="F64" t="str">
        <x:f>IF(A64="","",'Project Control'!C64)</x:f>
      </x:c>
      <x:c r="G64" t="str">
        <x:f>IF(A64="","",'Project Control'!D64)</x:f>
      </x:c>
      <x:c r="H64" t="str">
        <x:f>IF(A64="","",'Project Control'!E64)</x:f>
      </x:c>
      <x:c r="I64" t="str">
        <x:f>IF(A64="","",'Project Control'!F64)</x:f>
      </x:c>
      <x:c r="J64" t="str">
        <x:f>IF(A64="","",'Project Control'!H64)</x:f>
      </x:c>
      <x:c r="K64" t="str">
        <x:f>IF(A64="","",IF(ISNUMBER('Project Control'!I64),'Project Control'!I64,""))</x:f>
      </x:c>
      <x:c r="L64" t="str">
        <x:f>IF(A64="","",'Project Control'!O64)</x:f>
      </x:c>
    </x:row>
    <x:row r="65">
      <x:c r="A65" t="str">
        <x:f>IF('Project Control'!A65="","",'Project Control'!A65)</x:f>
      </x:c>
      <x:c r="B65" t="str">
        <x:f>IF(A65="","",'Project Control'!B65)</x:f>
      </x:c>
      <x:c r="C65" t="str">
        <x:f>IF(A65="","",'Project Control'!R65)</x:f>
      </x:c>
      <x:c r="D65" t="str">
        <x:f>IF(A65="","",'Project Control'!S65)</x:f>
      </x:c>
      <x:c r="E65" t="str">
        <x:f>IF(A65="","",'Project Control'!T65)</x:f>
      </x:c>
      <x:c r="F65" t="str">
        <x:f>IF(A65="","",'Project Control'!C65)</x:f>
      </x:c>
      <x:c r="G65" t="str">
        <x:f>IF(A65="","",'Project Control'!D65)</x:f>
      </x:c>
      <x:c r="H65" t="str">
        <x:f>IF(A65="","",'Project Control'!E65)</x:f>
      </x:c>
      <x:c r="I65" t="str">
        <x:f>IF(A65="","",'Project Control'!F65)</x:f>
      </x:c>
      <x:c r="J65" t="str">
        <x:f>IF(A65="","",'Project Control'!H65)</x:f>
      </x:c>
      <x:c r="K65" t="str">
        <x:f>IF(A65="","",IF(ISNUMBER('Project Control'!I65),'Project Control'!I65,""))</x:f>
      </x:c>
      <x:c r="L65" t="str">
        <x:f>IF(A65="","",'Project Control'!O65)</x:f>
      </x:c>
    </x:row>
    <x:row r="66">
      <x:c r="A66" t="str">
        <x:f>IF('Project Control'!A66="","",'Project Control'!A66)</x:f>
      </x:c>
      <x:c r="B66" t="str">
        <x:f>IF(A66="","",'Project Control'!B66)</x:f>
      </x:c>
      <x:c r="C66" t="str">
        <x:f>IF(A66="","",'Project Control'!R66)</x:f>
      </x:c>
      <x:c r="D66" t="str">
        <x:f>IF(A66="","",'Project Control'!S66)</x:f>
      </x:c>
      <x:c r="E66" t="str">
        <x:f>IF(A66="","",'Project Control'!T66)</x:f>
      </x:c>
      <x:c r="F66" t="str">
        <x:f>IF(A66="","",'Project Control'!C66)</x:f>
      </x:c>
      <x:c r="G66" t="str">
        <x:f>IF(A66="","",'Project Control'!D66)</x:f>
      </x:c>
      <x:c r="H66" t="str">
        <x:f>IF(A66="","",'Project Control'!E66)</x:f>
      </x:c>
      <x:c r="I66" t="str">
        <x:f>IF(A66="","",'Project Control'!F66)</x:f>
      </x:c>
      <x:c r="J66" t="str">
        <x:f>IF(A66="","",'Project Control'!H66)</x:f>
      </x:c>
      <x:c r="K66" t="str">
        <x:f>IF(A66="","",IF(ISNUMBER('Project Control'!I66),'Project Control'!I66,""))</x:f>
      </x:c>
      <x:c r="L66" t="str">
        <x:f>IF(A66="","",'Project Control'!O66)</x:f>
      </x:c>
    </x:row>
    <x:row r="67">
      <x:c r="A67" t="str">
        <x:f>IF('Project Control'!A67="","",'Project Control'!A67)</x:f>
      </x:c>
      <x:c r="B67" t="str">
        <x:f>IF(A67="","",'Project Control'!B67)</x:f>
      </x:c>
      <x:c r="C67" t="str">
        <x:f>IF(A67="","",'Project Control'!R67)</x:f>
      </x:c>
      <x:c r="D67" t="str">
        <x:f>IF(A67="","",'Project Control'!S67)</x:f>
      </x:c>
      <x:c r="E67" t="str">
        <x:f>IF(A67="","",'Project Control'!T67)</x:f>
      </x:c>
      <x:c r="F67" t="str">
        <x:f>IF(A67="","",'Project Control'!C67)</x:f>
      </x:c>
      <x:c r="G67" t="str">
        <x:f>IF(A67="","",'Project Control'!D67)</x:f>
      </x:c>
      <x:c r="H67" t="str">
        <x:f>IF(A67="","",'Project Control'!E67)</x:f>
      </x:c>
      <x:c r="I67" t="str">
        <x:f>IF(A67="","",'Project Control'!F67)</x:f>
      </x:c>
      <x:c r="J67" t="str">
        <x:f>IF(A67="","",'Project Control'!H67)</x:f>
      </x:c>
      <x:c r="K67" t="str">
        <x:f>IF(A67="","",IF(ISNUMBER('Project Control'!I67),'Project Control'!I67,""))</x:f>
      </x:c>
      <x:c r="L67" t="str">
        <x:f>IF(A67="","",'Project Control'!O67)</x:f>
      </x:c>
    </x:row>
    <x:row r="68">
      <x:c r="A68" t="str">
        <x:f>IF('Project Control'!A68="","",'Project Control'!A68)</x:f>
      </x:c>
      <x:c r="B68" t="str">
        <x:f>IF(A68="","",'Project Control'!B68)</x:f>
      </x:c>
      <x:c r="C68" t="str">
        <x:f>IF(A68="","",'Project Control'!R68)</x:f>
      </x:c>
      <x:c r="D68" t="str">
        <x:f>IF(A68="","",'Project Control'!S68)</x:f>
      </x:c>
      <x:c r="E68" t="str">
        <x:f>IF(A68="","",'Project Control'!T68)</x:f>
      </x:c>
      <x:c r="F68" t="str">
        <x:f>IF(A68="","",'Project Control'!C68)</x:f>
      </x:c>
      <x:c r="G68" t="str">
        <x:f>IF(A68="","",'Project Control'!D68)</x:f>
      </x:c>
      <x:c r="H68" t="str">
        <x:f>IF(A68="","",'Project Control'!E68)</x:f>
      </x:c>
      <x:c r="I68" t="str">
        <x:f>IF(A68="","",'Project Control'!F68)</x:f>
      </x:c>
      <x:c r="J68" t="str">
        <x:f>IF(A68="","",'Project Control'!H68)</x:f>
      </x:c>
      <x:c r="K68" t="str">
        <x:f>IF(A68="","",IF(ISNUMBER('Project Control'!I68),'Project Control'!I68,""))</x:f>
      </x:c>
      <x:c r="L68" t="str">
        <x:f>IF(A68="","",'Project Control'!O68)</x:f>
      </x:c>
    </x:row>
    <x:row r="69">
      <x:c r="A69" t="str">
        <x:f>IF('Project Control'!A69="","",'Project Control'!A69)</x:f>
      </x:c>
      <x:c r="B69" t="str">
        <x:f>IF(A69="","",'Project Control'!B69)</x:f>
      </x:c>
      <x:c r="C69" t="str">
        <x:f>IF(A69="","",'Project Control'!R69)</x:f>
      </x:c>
      <x:c r="D69" t="str">
        <x:f>IF(A69="","",'Project Control'!S69)</x:f>
      </x:c>
      <x:c r="E69" t="str">
        <x:f>IF(A69="","",'Project Control'!T69)</x:f>
      </x:c>
      <x:c r="F69" t="str">
        <x:f>IF(A69="","",'Project Control'!C69)</x:f>
      </x:c>
      <x:c r="G69" t="str">
        <x:f>IF(A69="","",'Project Control'!D69)</x:f>
      </x:c>
      <x:c r="H69" t="str">
        <x:f>IF(A69="","",'Project Control'!E69)</x:f>
      </x:c>
      <x:c r="I69" t="str">
        <x:f>IF(A69="","",'Project Control'!F69)</x:f>
      </x:c>
      <x:c r="J69" t="str">
        <x:f>IF(A69="","",'Project Control'!H69)</x:f>
      </x:c>
      <x:c r="K69" t="str">
        <x:f>IF(A69="","",IF(ISNUMBER('Project Control'!I69),'Project Control'!I69,""))</x:f>
      </x:c>
      <x:c r="L69" t="str">
        <x:f>IF(A69="","",'Project Control'!O69)</x:f>
      </x:c>
    </x:row>
    <x:row r="70">
      <x:c r="A70" t="str">
        <x:f>IF('Project Control'!A70="","",'Project Control'!A70)</x:f>
      </x:c>
      <x:c r="B70" t="str">
        <x:f>IF(A70="","",'Project Control'!B70)</x:f>
      </x:c>
      <x:c r="C70" t="str">
        <x:f>IF(A70="","",'Project Control'!R70)</x:f>
      </x:c>
      <x:c r="D70" t="str">
        <x:f>IF(A70="","",'Project Control'!S70)</x:f>
      </x:c>
      <x:c r="E70" t="str">
        <x:f>IF(A70="","",'Project Control'!T70)</x:f>
      </x:c>
      <x:c r="F70" t="str">
        <x:f>IF(A70="","",'Project Control'!C70)</x:f>
      </x:c>
      <x:c r="G70" t="str">
        <x:f>IF(A70="","",'Project Control'!D70)</x:f>
      </x:c>
      <x:c r="H70" t="str">
        <x:f>IF(A70="","",'Project Control'!E70)</x:f>
      </x:c>
      <x:c r="I70" t="str">
        <x:f>IF(A70="","",'Project Control'!F70)</x:f>
      </x:c>
      <x:c r="J70" t="str">
        <x:f>IF(A70="","",'Project Control'!H70)</x:f>
      </x:c>
      <x:c r="K70" t="str">
        <x:f>IF(A70="","",IF(ISNUMBER('Project Control'!I70),'Project Control'!I70,""))</x:f>
      </x:c>
      <x:c r="L70" t="str">
        <x:f>IF(A70="","",'Project Control'!O70)</x:f>
      </x:c>
    </x:row>
    <x:row r="71">
      <x:c r="A71" t="str">
        <x:f>IF('Project Control'!A71="","",'Project Control'!A71)</x:f>
      </x:c>
      <x:c r="B71" t="str">
        <x:f>IF(A71="","",'Project Control'!B71)</x:f>
      </x:c>
      <x:c r="C71" t="str">
        <x:f>IF(A71="","",'Project Control'!R71)</x:f>
      </x:c>
      <x:c r="D71" t="str">
        <x:f>IF(A71="","",'Project Control'!S71)</x:f>
      </x:c>
      <x:c r="E71" t="str">
        <x:f>IF(A71="","",'Project Control'!T71)</x:f>
      </x:c>
      <x:c r="F71" t="str">
        <x:f>IF(A71="","",'Project Control'!C71)</x:f>
      </x:c>
      <x:c r="G71" t="str">
        <x:f>IF(A71="","",'Project Control'!D71)</x:f>
      </x:c>
      <x:c r="H71" t="str">
        <x:f>IF(A71="","",'Project Control'!E71)</x:f>
      </x:c>
      <x:c r="I71" t="str">
        <x:f>IF(A71="","",'Project Control'!F71)</x:f>
      </x:c>
      <x:c r="J71" t="str">
        <x:f>IF(A71="","",'Project Control'!H71)</x:f>
      </x:c>
      <x:c r="K71" t="str">
        <x:f>IF(A71="","",IF(ISNUMBER('Project Control'!I71),'Project Control'!I71,""))</x:f>
      </x:c>
      <x:c r="L71" t="str">
        <x:f>IF(A71="","",'Project Control'!O71)</x:f>
      </x:c>
    </x:row>
    <x:row r="72">
      <x:c r="A72" t="str">
        <x:f>IF('Project Control'!A72="","",'Project Control'!A72)</x:f>
      </x:c>
      <x:c r="B72" t="str">
        <x:f>IF(A72="","",'Project Control'!B72)</x:f>
      </x:c>
      <x:c r="C72" t="str">
        <x:f>IF(A72="","",'Project Control'!R72)</x:f>
      </x:c>
      <x:c r="D72" t="str">
        <x:f>IF(A72="","",'Project Control'!S72)</x:f>
      </x:c>
      <x:c r="E72" t="str">
        <x:f>IF(A72="","",'Project Control'!T72)</x:f>
      </x:c>
      <x:c r="F72" t="str">
        <x:f>IF(A72="","",'Project Control'!C72)</x:f>
      </x:c>
      <x:c r="G72" t="str">
        <x:f>IF(A72="","",'Project Control'!D72)</x:f>
      </x:c>
      <x:c r="H72" t="str">
        <x:f>IF(A72="","",'Project Control'!E72)</x:f>
      </x:c>
      <x:c r="I72" t="str">
        <x:f>IF(A72="","",'Project Control'!F72)</x:f>
      </x:c>
      <x:c r="J72" t="str">
        <x:f>IF(A72="","",'Project Control'!H72)</x:f>
      </x:c>
      <x:c r="K72" t="str">
        <x:f>IF(A72="","",IF(ISNUMBER('Project Control'!I72),'Project Control'!I72,""))</x:f>
      </x:c>
      <x:c r="L72" t="str">
        <x:f>IF(A72="","",'Project Control'!O72)</x:f>
      </x:c>
    </x:row>
    <x:row r="73">
      <x:c r="A73" t="str">
        <x:f>IF('Project Control'!A73="","",'Project Control'!A73)</x:f>
      </x:c>
      <x:c r="B73" t="str">
        <x:f>IF(A73="","",'Project Control'!B73)</x:f>
      </x:c>
      <x:c r="C73" t="str">
        <x:f>IF(A73="","",'Project Control'!R73)</x:f>
      </x:c>
      <x:c r="D73" t="str">
        <x:f>IF(A73="","",'Project Control'!S73)</x:f>
      </x:c>
      <x:c r="E73" t="str">
        <x:f>IF(A73="","",'Project Control'!T73)</x:f>
      </x:c>
      <x:c r="F73" t="str">
        <x:f>IF(A73="","",'Project Control'!C73)</x:f>
      </x:c>
      <x:c r="G73" t="str">
        <x:f>IF(A73="","",'Project Control'!D73)</x:f>
      </x:c>
      <x:c r="H73" t="str">
        <x:f>IF(A73="","",'Project Control'!E73)</x:f>
      </x:c>
      <x:c r="I73" t="str">
        <x:f>IF(A73="","",'Project Control'!F73)</x:f>
      </x:c>
      <x:c r="J73" t="str">
        <x:f>IF(A73="","",'Project Control'!H73)</x:f>
      </x:c>
      <x:c r="K73" t="str">
        <x:f>IF(A73="","",IF(ISNUMBER('Project Control'!I73),'Project Control'!I73,""))</x:f>
      </x:c>
      <x:c r="L73" t="str">
        <x:f>IF(A73="","",'Project Control'!O73)</x:f>
      </x:c>
    </x:row>
    <x:row r="74">
      <x:c r="A74" t="str">
        <x:f>IF('Project Control'!A74="","",'Project Control'!A74)</x:f>
      </x:c>
      <x:c r="B74" t="str">
        <x:f>IF(A74="","",'Project Control'!B74)</x:f>
      </x:c>
      <x:c r="C74" t="str">
        <x:f>IF(A74="","",'Project Control'!R74)</x:f>
      </x:c>
      <x:c r="D74" t="str">
        <x:f>IF(A74="","",'Project Control'!S74)</x:f>
      </x:c>
      <x:c r="E74" t="str">
        <x:f>IF(A74="","",'Project Control'!T74)</x:f>
      </x:c>
      <x:c r="F74" t="str">
        <x:f>IF(A74="","",'Project Control'!C74)</x:f>
      </x:c>
      <x:c r="G74" t="str">
        <x:f>IF(A74="","",'Project Control'!D74)</x:f>
      </x:c>
      <x:c r="H74" t="str">
        <x:f>IF(A74="","",'Project Control'!E74)</x:f>
      </x:c>
      <x:c r="I74" t="str">
        <x:f>IF(A74="","",'Project Control'!F74)</x:f>
      </x:c>
      <x:c r="J74" t="str">
        <x:f>IF(A74="","",'Project Control'!H74)</x:f>
      </x:c>
      <x:c r="K74" t="str">
        <x:f>IF(A74="","",IF(ISNUMBER('Project Control'!I74),'Project Control'!I74,""))</x:f>
      </x:c>
      <x:c r="L74" t="str">
        <x:f>IF(A74="","",'Project Control'!O74)</x:f>
      </x:c>
    </x:row>
    <x:row r="75">
      <x:c r="A75" t="str">
        <x:f>IF('Project Control'!A75="","",'Project Control'!A75)</x:f>
      </x:c>
      <x:c r="B75" t="str">
        <x:f>IF(A75="","",'Project Control'!B75)</x:f>
      </x:c>
      <x:c r="C75" t="str">
        <x:f>IF(A75="","",'Project Control'!R75)</x:f>
      </x:c>
      <x:c r="D75" t="str">
        <x:f>IF(A75="","",'Project Control'!S75)</x:f>
      </x:c>
      <x:c r="E75" t="str">
        <x:f>IF(A75="","",'Project Control'!T75)</x:f>
      </x:c>
      <x:c r="F75" t="str">
        <x:f>IF(A75="","",'Project Control'!C75)</x:f>
      </x:c>
      <x:c r="G75" t="str">
        <x:f>IF(A75="","",'Project Control'!D75)</x:f>
      </x:c>
      <x:c r="H75" t="str">
        <x:f>IF(A75="","",'Project Control'!E75)</x:f>
      </x:c>
      <x:c r="I75" t="str">
        <x:f>IF(A75="","",'Project Control'!F75)</x:f>
      </x:c>
      <x:c r="J75" t="str">
        <x:f>IF(A75="","",'Project Control'!H75)</x:f>
      </x:c>
      <x:c r="K75" t="str">
        <x:f>IF(A75="","",IF(ISNUMBER('Project Control'!I75),'Project Control'!I75,""))</x:f>
      </x:c>
      <x:c r="L75" t="str">
        <x:f>IF(A75="","",'Project Control'!O75)</x:f>
      </x:c>
    </x:row>
    <x:row r="76">
      <x:c r="A76" t="str">
        <x:f>IF('Project Control'!A76="","",'Project Control'!A76)</x:f>
      </x:c>
      <x:c r="B76" t="str">
        <x:f>IF(A76="","",'Project Control'!B76)</x:f>
      </x:c>
      <x:c r="C76" t="str">
        <x:f>IF(A76="","",'Project Control'!R76)</x:f>
      </x:c>
      <x:c r="D76" t="str">
        <x:f>IF(A76="","",'Project Control'!S76)</x:f>
      </x:c>
      <x:c r="E76" t="str">
        <x:f>IF(A76="","",'Project Control'!T76)</x:f>
      </x:c>
      <x:c r="F76" t="str">
        <x:f>IF(A76="","",'Project Control'!C76)</x:f>
      </x:c>
      <x:c r="G76" t="str">
        <x:f>IF(A76="","",'Project Control'!D76)</x:f>
      </x:c>
      <x:c r="H76" t="str">
        <x:f>IF(A76="","",'Project Control'!E76)</x:f>
      </x:c>
      <x:c r="I76" t="str">
        <x:f>IF(A76="","",'Project Control'!F76)</x:f>
      </x:c>
      <x:c r="J76" t="str">
        <x:f>IF(A76="","",'Project Control'!H76)</x:f>
      </x:c>
      <x:c r="K76" t="str">
        <x:f>IF(A76="","",IF(ISNUMBER('Project Control'!I76),'Project Control'!I76,""))</x:f>
      </x:c>
      <x:c r="L76" t="str">
        <x:f>IF(A76="","",'Project Control'!O76)</x:f>
      </x:c>
    </x:row>
    <x:row r="77">
      <x:c r="A77" t="str">
        <x:f>IF('Project Control'!A77="","",'Project Control'!A77)</x:f>
      </x:c>
      <x:c r="B77" t="str">
        <x:f>IF(A77="","",'Project Control'!B77)</x:f>
      </x:c>
      <x:c r="C77" t="str">
        <x:f>IF(A77="","",'Project Control'!R77)</x:f>
      </x:c>
      <x:c r="D77" t="str">
        <x:f>IF(A77="","",'Project Control'!S77)</x:f>
      </x:c>
      <x:c r="E77" t="str">
        <x:f>IF(A77="","",'Project Control'!T77)</x:f>
      </x:c>
      <x:c r="F77" t="str">
        <x:f>IF(A77="","",'Project Control'!C77)</x:f>
      </x:c>
      <x:c r="G77" t="str">
        <x:f>IF(A77="","",'Project Control'!D77)</x:f>
      </x:c>
      <x:c r="H77" t="str">
        <x:f>IF(A77="","",'Project Control'!E77)</x:f>
      </x:c>
      <x:c r="I77" t="str">
        <x:f>IF(A77="","",'Project Control'!F77)</x:f>
      </x:c>
      <x:c r="J77" t="str">
        <x:f>IF(A77="","",'Project Control'!H77)</x:f>
      </x:c>
      <x:c r="K77" t="str">
        <x:f>IF(A77="","",IF(ISNUMBER('Project Control'!I77),'Project Control'!I77,""))</x:f>
      </x:c>
      <x:c r="L77" t="str">
        <x:f>IF(A77="","",'Project Control'!O77)</x:f>
      </x:c>
    </x:row>
    <x:row r="78">
      <x:c r="A78" t="str">
        <x:f>IF('Project Control'!A78="","",'Project Control'!A78)</x:f>
      </x:c>
      <x:c r="B78" t="str">
        <x:f>IF(A78="","",'Project Control'!B78)</x:f>
      </x:c>
      <x:c r="C78" t="str">
        <x:f>IF(A78="","",'Project Control'!R78)</x:f>
      </x:c>
      <x:c r="D78" t="str">
        <x:f>IF(A78="","",'Project Control'!S78)</x:f>
      </x:c>
      <x:c r="E78" t="str">
        <x:f>IF(A78="","",'Project Control'!T78)</x:f>
      </x:c>
      <x:c r="F78" t="str">
        <x:f>IF(A78="","",'Project Control'!C78)</x:f>
      </x:c>
      <x:c r="G78" t="str">
        <x:f>IF(A78="","",'Project Control'!D78)</x:f>
      </x:c>
      <x:c r="H78" t="str">
        <x:f>IF(A78="","",'Project Control'!E78)</x:f>
      </x:c>
      <x:c r="I78" t="str">
        <x:f>IF(A78="","",'Project Control'!F78)</x:f>
      </x:c>
      <x:c r="J78" t="str">
        <x:f>IF(A78="","",'Project Control'!H78)</x:f>
      </x:c>
      <x:c r="K78" t="str">
        <x:f>IF(A78="","",IF(ISNUMBER('Project Control'!I78),'Project Control'!I78,""))</x:f>
      </x:c>
      <x:c r="L78" t="str">
        <x:f>IF(A78="","",'Project Control'!O78)</x:f>
      </x:c>
    </x:row>
    <x:row r="79">
      <x:c r="A79" t="str">
        <x:f>IF('Project Control'!A79="","",'Project Control'!A79)</x:f>
      </x:c>
      <x:c r="B79" t="str">
        <x:f>IF(A79="","",'Project Control'!B79)</x:f>
      </x:c>
      <x:c r="C79" t="str">
        <x:f>IF(A79="","",'Project Control'!R79)</x:f>
      </x:c>
      <x:c r="D79" t="str">
        <x:f>IF(A79="","",'Project Control'!S79)</x:f>
      </x:c>
      <x:c r="E79" t="str">
        <x:f>IF(A79="","",'Project Control'!T79)</x:f>
      </x:c>
      <x:c r="F79" t="str">
        <x:f>IF(A79="","",'Project Control'!C79)</x:f>
      </x:c>
      <x:c r="G79" t="str">
        <x:f>IF(A79="","",'Project Control'!D79)</x:f>
      </x:c>
      <x:c r="H79" t="str">
        <x:f>IF(A79="","",'Project Control'!E79)</x:f>
      </x:c>
      <x:c r="I79" t="str">
        <x:f>IF(A79="","",'Project Control'!F79)</x:f>
      </x:c>
      <x:c r="J79" t="str">
        <x:f>IF(A79="","",'Project Control'!H79)</x:f>
      </x:c>
      <x:c r="K79" t="str">
        <x:f>IF(A79="","",IF(ISNUMBER('Project Control'!I79),'Project Control'!I79,""))</x:f>
      </x:c>
      <x:c r="L79" t="str">
        <x:f>IF(A79="","",'Project Control'!O79)</x:f>
      </x:c>
    </x:row>
    <x:row r="80">
      <x:c r="A80" t="str">
        <x:f>IF('Project Control'!A80="","",'Project Control'!A80)</x:f>
      </x:c>
      <x:c r="B80" t="str">
        <x:f>IF(A80="","",'Project Control'!B80)</x:f>
      </x:c>
      <x:c r="C80" t="str">
        <x:f>IF(A80="","",'Project Control'!R80)</x:f>
      </x:c>
      <x:c r="D80" t="str">
        <x:f>IF(A80="","",'Project Control'!S80)</x:f>
      </x:c>
      <x:c r="E80" t="str">
        <x:f>IF(A80="","",'Project Control'!T80)</x:f>
      </x:c>
      <x:c r="F80" t="str">
        <x:f>IF(A80="","",'Project Control'!C80)</x:f>
      </x:c>
      <x:c r="G80" t="str">
        <x:f>IF(A80="","",'Project Control'!D80)</x:f>
      </x:c>
      <x:c r="H80" t="str">
        <x:f>IF(A80="","",'Project Control'!E80)</x:f>
      </x:c>
      <x:c r="I80" t="str">
        <x:f>IF(A80="","",'Project Control'!F80)</x:f>
      </x:c>
      <x:c r="J80" t="str">
        <x:f>IF(A80="","",'Project Control'!H80)</x:f>
      </x:c>
      <x:c r="K80" t="str">
        <x:f>IF(A80="","",IF(ISNUMBER('Project Control'!I80),'Project Control'!I80,""))</x:f>
      </x:c>
      <x:c r="L80" t="str">
        <x:f>IF(A80="","",'Project Control'!O80)</x:f>
      </x:c>
    </x:row>
    <x:row r="81">
      <x:c r="A81" t="str">
        <x:f>IF('Project Control'!A81="","",'Project Control'!A81)</x:f>
      </x:c>
      <x:c r="B81" t="str">
        <x:f>IF(A81="","",'Project Control'!B81)</x:f>
      </x:c>
      <x:c r="C81" t="str">
        <x:f>IF(A81="","",'Project Control'!R81)</x:f>
      </x:c>
      <x:c r="D81" t="str">
        <x:f>IF(A81="","",'Project Control'!S81)</x:f>
      </x:c>
      <x:c r="E81" t="str">
        <x:f>IF(A81="","",'Project Control'!T81)</x:f>
      </x:c>
      <x:c r="F81" t="str">
        <x:f>IF(A81="","",'Project Control'!C81)</x:f>
      </x:c>
      <x:c r="G81" t="str">
        <x:f>IF(A81="","",'Project Control'!D81)</x:f>
      </x:c>
      <x:c r="H81" t="str">
        <x:f>IF(A81="","",'Project Control'!E81)</x:f>
      </x:c>
      <x:c r="I81" t="str">
        <x:f>IF(A81="","",'Project Control'!F81)</x:f>
      </x:c>
      <x:c r="J81" t="str">
        <x:f>IF(A81="","",'Project Control'!H81)</x:f>
      </x:c>
      <x:c r="K81" t="str">
        <x:f>IF(A81="","",IF(ISNUMBER('Project Control'!I81),'Project Control'!I81,""))</x:f>
      </x:c>
      <x:c r="L81" t="str">
        <x:f>IF(A81="","",'Project Control'!O81)</x:f>
      </x:c>
    </x:row>
    <x:row r="82">
      <x:c r="A82" t="str">
        <x:f>IF('Project Control'!A82="","",'Project Control'!A82)</x:f>
      </x:c>
      <x:c r="B82" t="str">
        <x:f>IF(A82="","",'Project Control'!B82)</x:f>
      </x:c>
      <x:c r="C82" t="str">
        <x:f>IF(A82="","",'Project Control'!R82)</x:f>
      </x:c>
      <x:c r="D82" t="str">
        <x:f>IF(A82="","",'Project Control'!S82)</x:f>
      </x:c>
      <x:c r="E82" t="str">
        <x:f>IF(A82="","",'Project Control'!T82)</x:f>
      </x:c>
      <x:c r="F82" t="str">
        <x:f>IF(A82="","",'Project Control'!C82)</x:f>
      </x:c>
      <x:c r="G82" t="str">
        <x:f>IF(A82="","",'Project Control'!D82)</x:f>
      </x:c>
      <x:c r="H82" t="str">
        <x:f>IF(A82="","",'Project Control'!E82)</x:f>
      </x:c>
      <x:c r="I82" t="str">
        <x:f>IF(A82="","",'Project Control'!F82)</x:f>
      </x:c>
      <x:c r="J82" t="str">
        <x:f>IF(A82="","",'Project Control'!H82)</x:f>
      </x:c>
      <x:c r="K82" t="str">
        <x:f>IF(A82="","",IF(ISNUMBER('Project Control'!I82),'Project Control'!I82,""))</x:f>
      </x:c>
      <x:c r="L82" t="str">
        <x:f>IF(A82="","",'Project Control'!O82)</x:f>
      </x:c>
    </x:row>
    <x:row r="83">
      <x:c r="A83" t="str">
        <x:f>IF('Project Control'!A83="","",'Project Control'!A83)</x:f>
      </x:c>
      <x:c r="B83" t="str">
        <x:f>IF(A83="","",'Project Control'!B83)</x:f>
      </x:c>
      <x:c r="C83" t="str">
        <x:f>IF(A83="","",'Project Control'!R83)</x:f>
      </x:c>
      <x:c r="D83" t="str">
        <x:f>IF(A83="","",'Project Control'!S83)</x:f>
      </x:c>
      <x:c r="E83" t="str">
        <x:f>IF(A83="","",'Project Control'!T83)</x:f>
      </x:c>
      <x:c r="F83" t="str">
        <x:f>IF(A83="","",'Project Control'!C83)</x:f>
      </x:c>
      <x:c r="G83" t="str">
        <x:f>IF(A83="","",'Project Control'!D83)</x:f>
      </x:c>
      <x:c r="H83" t="str">
        <x:f>IF(A83="","",'Project Control'!E83)</x:f>
      </x:c>
      <x:c r="I83" t="str">
        <x:f>IF(A83="","",'Project Control'!F83)</x:f>
      </x:c>
      <x:c r="J83" t="str">
        <x:f>IF(A83="","",'Project Control'!H83)</x:f>
      </x:c>
      <x:c r="K83" t="str">
        <x:f>IF(A83="","",IF(ISNUMBER('Project Control'!I83),'Project Control'!I83,""))</x:f>
      </x:c>
      <x:c r="L83" t="str">
        <x:f>IF(A83="","",'Project Control'!O83)</x:f>
      </x:c>
    </x:row>
    <x:row r="84">
      <x:c r="A84" t="str">
        <x:f>IF('Project Control'!A84="","",'Project Control'!A84)</x:f>
      </x:c>
      <x:c r="B84" t="str">
        <x:f>IF(A84="","",'Project Control'!B84)</x:f>
      </x:c>
      <x:c r="C84" t="str">
        <x:f>IF(A84="","",'Project Control'!R84)</x:f>
      </x:c>
      <x:c r="D84" t="str">
        <x:f>IF(A84="","",'Project Control'!S84)</x:f>
      </x:c>
      <x:c r="E84" t="str">
        <x:f>IF(A84="","",'Project Control'!T84)</x:f>
      </x:c>
      <x:c r="F84" t="str">
        <x:f>IF(A84="","",'Project Control'!C84)</x:f>
      </x:c>
      <x:c r="G84" t="str">
        <x:f>IF(A84="","",'Project Control'!D84)</x:f>
      </x:c>
      <x:c r="H84" t="str">
        <x:f>IF(A84="","",'Project Control'!E84)</x:f>
      </x:c>
      <x:c r="I84" t="str">
        <x:f>IF(A84="","",'Project Control'!F84)</x:f>
      </x:c>
      <x:c r="J84" t="str">
        <x:f>IF(A84="","",'Project Control'!H84)</x:f>
      </x:c>
      <x:c r="K84" t="str">
        <x:f>IF(A84="","",IF(ISNUMBER('Project Control'!I84),'Project Control'!I84,""))</x:f>
      </x:c>
      <x:c r="L84" t="str">
        <x:f>IF(A84="","",'Project Control'!O84)</x:f>
      </x:c>
    </x:row>
    <x:row r="85">
      <x:c r="A85" t="str">
        <x:f>IF('Project Control'!A85="","",'Project Control'!A85)</x:f>
      </x:c>
      <x:c r="B85" t="str">
        <x:f>IF(A85="","",'Project Control'!B85)</x:f>
      </x:c>
      <x:c r="C85" t="str">
        <x:f>IF(A85="","",'Project Control'!R85)</x:f>
      </x:c>
      <x:c r="D85" t="str">
        <x:f>IF(A85="","",'Project Control'!S85)</x:f>
      </x:c>
      <x:c r="E85" t="str">
        <x:f>IF(A85="","",'Project Control'!T85)</x:f>
      </x:c>
      <x:c r="F85" t="str">
        <x:f>IF(A85="","",'Project Control'!C85)</x:f>
      </x:c>
      <x:c r="G85" t="str">
        <x:f>IF(A85="","",'Project Control'!D85)</x:f>
      </x:c>
      <x:c r="H85" t="str">
        <x:f>IF(A85="","",'Project Control'!E85)</x:f>
      </x:c>
      <x:c r="I85" t="str">
        <x:f>IF(A85="","",'Project Control'!F85)</x:f>
      </x:c>
      <x:c r="J85" t="str">
        <x:f>IF(A85="","",'Project Control'!H85)</x:f>
      </x:c>
      <x:c r="K85" t="str">
        <x:f>IF(A85="","",IF(ISNUMBER('Project Control'!I85),'Project Control'!I85,""))</x:f>
      </x:c>
      <x:c r="L85" t="str">
        <x:f>IF(A85="","",'Project Control'!O85)</x:f>
      </x:c>
    </x:row>
    <x:row r="86">
      <x:c r="A86" t="str">
        <x:f>IF('Project Control'!A86="","",'Project Control'!A86)</x:f>
      </x:c>
      <x:c r="B86" t="str">
        <x:f>IF(A86="","",'Project Control'!B86)</x:f>
      </x:c>
      <x:c r="C86" t="str">
        <x:f>IF(A86="","",'Project Control'!R86)</x:f>
      </x:c>
      <x:c r="D86" t="str">
        <x:f>IF(A86="","",'Project Control'!S86)</x:f>
      </x:c>
      <x:c r="E86" t="str">
        <x:f>IF(A86="","",'Project Control'!T86)</x:f>
      </x:c>
      <x:c r="F86" t="str">
        <x:f>IF(A86="","",'Project Control'!C86)</x:f>
      </x:c>
      <x:c r="G86" t="str">
        <x:f>IF(A86="","",'Project Control'!D86)</x:f>
      </x:c>
      <x:c r="H86" t="str">
        <x:f>IF(A86="","",'Project Control'!E86)</x:f>
      </x:c>
      <x:c r="I86" t="str">
        <x:f>IF(A86="","",'Project Control'!F86)</x:f>
      </x:c>
      <x:c r="J86" t="str">
        <x:f>IF(A86="","",'Project Control'!H86)</x:f>
      </x:c>
      <x:c r="K86" t="str">
        <x:f>IF(A86="","",IF(ISNUMBER('Project Control'!I86),'Project Control'!I86,""))</x:f>
      </x:c>
      <x:c r="L86" t="str">
        <x:f>IF(A86="","",'Project Control'!O86)</x:f>
      </x:c>
    </x:row>
    <x:row r="87">
      <x:c r="A87" t="str">
        <x:f>IF('Project Control'!A87="","",'Project Control'!A87)</x:f>
      </x:c>
      <x:c r="B87" t="str">
        <x:f>IF(A87="","",'Project Control'!B87)</x:f>
      </x:c>
      <x:c r="C87" t="str">
        <x:f>IF(A87="","",'Project Control'!R87)</x:f>
      </x:c>
      <x:c r="D87" t="str">
        <x:f>IF(A87="","",'Project Control'!S87)</x:f>
      </x:c>
      <x:c r="E87" t="str">
        <x:f>IF(A87="","",'Project Control'!T87)</x:f>
      </x:c>
      <x:c r="F87" t="str">
        <x:f>IF(A87="","",'Project Control'!C87)</x:f>
      </x:c>
      <x:c r="G87" t="str">
        <x:f>IF(A87="","",'Project Control'!D87)</x:f>
      </x:c>
      <x:c r="H87" t="str">
        <x:f>IF(A87="","",'Project Control'!E87)</x:f>
      </x:c>
      <x:c r="I87" t="str">
        <x:f>IF(A87="","",'Project Control'!F87)</x:f>
      </x:c>
      <x:c r="J87" t="str">
        <x:f>IF(A87="","",'Project Control'!H87)</x:f>
      </x:c>
      <x:c r="K87" t="str">
        <x:f>IF(A87="","",IF(ISNUMBER('Project Control'!I87),'Project Control'!I87,""))</x:f>
      </x:c>
      <x:c r="L87" t="str">
        <x:f>IF(A87="","",'Project Control'!O87)</x:f>
      </x:c>
    </x:row>
    <x:row r="88">
      <x:c r="A88" t="str">
        <x:f>IF('Project Control'!A88="","",'Project Control'!A88)</x:f>
      </x:c>
      <x:c r="B88" t="str">
        <x:f>IF(A88="","",'Project Control'!B88)</x:f>
      </x:c>
      <x:c r="C88" t="str">
        <x:f>IF(A88="","",'Project Control'!R88)</x:f>
      </x:c>
      <x:c r="D88" t="str">
        <x:f>IF(A88="","",'Project Control'!S88)</x:f>
      </x:c>
      <x:c r="E88" t="str">
        <x:f>IF(A88="","",'Project Control'!T88)</x:f>
      </x:c>
      <x:c r="F88" t="str">
        <x:f>IF(A88="","",'Project Control'!C88)</x:f>
      </x:c>
      <x:c r="G88" t="str">
        <x:f>IF(A88="","",'Project Control'!D88)</x:f>
      </x:c>
      <x:c r="H88" t="str">
        <x:f>IF(A88="","",'Project Control'!E88)</x:f>
      </x:c>
      <x:c r="I88" t="str">
        <x:f>IF(A88="","",'Project Control'!F88)</x:f>
      </x:c>
      <x:c r="J88" t="str">
        <x:f>IF(A88="","",'Project Control'!H88)</x:f>
      </x:c>
      <x:c r="K88" t="str">
        <x:f>IF(A88="","",IF(ISNUMBER('Project Control'!I88),'Project Control'!I88,""))</x:f>
      </x:c>
      <x:c r="L88" t="str">
        <x:f>IF(A88="","",'Project Control'!O88)</x:f>
      </x:c>
    </x:row>
    <x:row r="89">
      <x:c r="A89" t="str">
        <x:f>IF('Project Control'!A89="","",'Project Control'!A89)</x:f>
      </x:c>
      <x:c r="B89" t="str">
        <x:f>IF(A89="","",'Project Control'!B89)</x:f>
      </x:c>
      <x:c r="C89" t="str">
        <x:f>IF(A89="","",'Project Control'!R89)</x:f>
      </x:c>
      <x:c r="D89" t="str">
        <x:f>IF(A89="","",'Project Control'!S89)</x:f>
      </x:c>
      <x:c r="E89" t="str">
        <x:f>IF(A89="","",'Project Control'!T89)</x:f>
      </x:c>
      <x:c r="F89" t="str">
        <x:f>IF(A89="","",'Project Control'!C89)</x:f>
      </x:c>
      <x:c r="G89" t="str">
        <x:f>IF(A89="","",'Project Control'!D89)</x:f>
      </x:c>
      <x:c r="H89" t="str">
        <x:f>IF(A89="","",'Project Control'!E89)</x:f>
      </x:c>
      <x:c r="I89" t="str">
        <x:f>IF(A89="","",'Project Control'!F89)</x:f>
      </x:c>
      <x:c r="J89" t="str">
        <x:f>IF(A89="","",'Project Control'!H89)</x:f>
      </x:c>
      <x:c r="K89" t="str">
        <x:f>IF(A89="","",IF(ISNUMBER('Project Control'!I89),'Project Control'!I89,""))</x:f>
      </x:c>
      <x:c r="L89" t="str">
        <x:f>IF(A89="","",'Project Control'!O89)</x:f>
      </x:c>
    </x:row>
    <x:row r="90">
      <x:c r="A90" t="str">
        <x:f>IF('Project Control'!A90="","",'Project Control'!A90)</x:f>
      </x:c>
      <x:c r="B90" t="str">
        <x:f>IF(A90="","",'Project Control'!B90)</x:f>
      </x:c>
      <x:c r="C90" t="str">
        <x:f>IF(A90="","",'Project Control'!R90)</x:f>
      </x:c>
      <x:c r="D90" t="str">
        <x:f>IF(A90="","",'Project Control'!S90)</x:f>
      </x:c>
      <x:c r="E90" t="str">
        <x:f>IF(A90="","",'Project Control'!T90)</x:f>
      </x:c>
      <x:c r="F90" t="str">
        <x:f>IF(A90="","",'Project Control'!C90)</x:f>
      </x:c>
      <x:c r="G90" t="str">
        <x:f>IF(A90="","",'Project Control'!D90)</x:f>
      </x:c>
      <x:c r="H90" t="str">
        <x:f>IF(A90="","",'Project Control'!E90)</x:f>
      </x:c>
      <x:c r="I90" t="str">
        <x:f>IF(A90="","",'Project Control'!F90)</x:f>
      </x:c>
      <x:c r="J90" t="str">
        <x:f>IF(A90="","",'Project Control'!H90)</x:f>
      </x:c>
      <x:c r="K90" t="str">
        <x:f>IF(A90="","",IF(ISNUMBER('Project Control'!I90),'Project Control'!I90,""))</x:f>
      </x:c>
      <x:c r="L90" t="str">
        <x:f>IF(A90="","",'Project Control'!O90)</x:f>
      </x:c>
    </x:row>
    <x:row r="91">
      <x:c r="A91" t="str">
        <x:f>IF('Project Control'!A91="","",'Project Control'!A91)</x:f>
      </x:c>
      <x:c r="B91" t="str">
        <x:f>IF(A91="","",'Project Control'!B91)</x:f>
      </x:c>
      <x:c r="C91" t="str">
        <x:f>IF(A91="","",'Project Control'!R91)</x:f>
      </x:c>
      <x:c r="D91" t="str">
        <x:f>IF(A91="","",'Project Control'!S91)</x:f>
      </x:c>
      <x:c r="E91" t="str">
        <x:f>IF(A91="","",'Project Control'!T91)</x:f>
      </x:c>
      <x:c r="F91" t="str">
        <x:f>IF(A91="","",'Project Control'!C91)</x:f>
      </x:c>
      <x:c r="G91" t="str">
        <x:f>IF(A91="","",'Project Control'!D91)</x:f>
      </x:c>
      <x:c r="H91" t="str">
        <x:f>IF(A91="","",'Project Control'!E91)</x:f>
      </x:c>
      <x:c r="I91" t="str">
        <x:f>IF(A91="","",'Project Control'!F91)</x:f>
      </x:c>
      <x:c r="J91" t="str">
        <x:f>IF(A91="","",'Project Control'!H91)</x:f>
      </x:c>
      <x:c r="K91" t="str">
        <x:f>IF(A91="","",IF(ISNUMBER('Project Control'!I91),'Project Control'!I91,""))</x:f>
      </x:c>
      <x:c r="L91" t="str">
        <x:f>IF(A91="","",'Project Control'!O91)</x:f>
      </x:c>
    </x:row>
    <x:row r="92">
      <x:c r="A92" t="str">
        <x:f>IF('Project Control'!A92="","",'Project Control'!A92)</x:f>
      </x:c>
      <x:c r="B92" t="str">
        <x:f>IF(A92="","",'Project Control'!B92)</x:f>
      </x:c>
      <x:c r="C92" t="str">
        <x:f>IF(A92="","",'Project Control'!R92)</x:f>
      </x:c>
      <x:c r="D92" t="str">
        <x:f>IF(A92="","",'Project Control'!S92)</x:f>
      </x:c>
      <x:c r="E92" t="str">
        <x:f>IF(A92="","",'Project Control'!T92)</x:f>
      </x:c>
      <x:c r="F92" t="str">
        <x:f>IF(A92="","",'Project Control'!C92)</x:f>
      </x:c>
      <x:c r="G92" t="str">
        <x:f>IF(A92="","",'Project Control'!D92)</x:f>
      </x:c>
      <x:c r="H92" t="str">
        <x:f>IF(A92="","",'Project Control'!E92)</x:f>
      </x:c>
      <x:c r="I92" t="str">
        <x:f>IF(A92="","",'Project Control'!F92)</x:f>
      </x:c>
      <x:c r="J92" t="str">
        <x:f>IF(A92="","",'Project Control'!H92)</x:f>
      </x:c>
      <x:c r="K92" t="str">
        <x:f>IF(A92="","",IF(ISNUMBER('Project Control'!I92),'Project Control'!I92,""))</x:f>
      </x:c>
      <x:c r="L92" t="str">
        <x:f>IF(A92="","",'Project Control'!O92)</x:f>
      </x:c>
    </x:row>
    <x:row r="93">
      <x:c r="A93" t="str">
        <x:f>IF('Project Control'!A93="","",'Project Control'!A93)</x:f>
      </x:c>
      <x:c r="B93" t="str">
        <x:f>IF(A93="","",'Project Control'!B93)</x:f>
      </x:c>
      <x:c r="C93" t="str">
        <x:f>IF(A93="","",'Project Control'!R93)</x:f>
      </x:c>
      <x:c r="D93" t="str">
        <x:f>IF(A93="","",'Project Control'!S93)</x:f>
      </x:c>
      <x:c r="E93" t="str">
        <x:f>IF(A93="","",'Project Control'!T93)</x:f>
      </x:c>
      <x:c r="F93" t="str">
        <x:f>IF(A93="","",'Project Control'!C93)</x:f>
      </x:c>
      <x:c r="G93" t="str">
        <x:f>IF(A93="","",'Project Control'!D93)</x:f>
      </x:c>
      <x:c r="H93" t="str">
        <x:f>IF(A93="","",'Project Control'!E93)</x:f>
      </x:c>
      <x:c r="I93" t="str">
        <x:f>IF(A93="","",'Project Control'!F93)</x:f>
      </x:c>
      <x:c r="J93" t="str">
        <x:f>IF(A93="","",'Project Control'!H93)</x:f>
      </x:c>
      <x:c r="K93" t="str">
        <x:f>IF(A93="","",IF(ISNUMBER('Project Control'!I93),'Project Control'!I93,""))</x:f>
      </x:c>
      <x:c r="L93" t="str">
        <x:f>IF(A93="","",'Project Control'!O93)</x:f>
      </x:c>
    </x:row>
    <x:row r="94">
      <x:c r="A94" t="str">
        <x:f>IF('Project Control'!A94="","",'Project Control'!A94)</x:f>
      </x:c>
      <x:c r="B94" t="str">
        <x:f>IF(A94="","",'Project Control'!B94)</x:f>
      </x:c>
      <x:c r="C94" t="str">
        <x:f>IF(A94="","",'Project Control'!R94)</x:f>
      </x:c>
      <x:c r="D94" t="str">
        <x:f>IF(A94="","",'Project Control'!S94)</x:f>
      </x:c>
      <x:c r="E94" t="str">
        <x:f>IF(A94="","",'Project Control'!T94)</x:f>
      </x:c>
      <x:c r="F94" t="str">
        <x:f>IF(A94="","",'Project Control'!C94)</x:f>
      </x:c>
      <x:c r="G94" t="str">
        <x:f>IF(A94="","",'Project Control'!D94)</x:f>
      </x:c>
      <x:c r="H94" t="str">
        <x:f>IF(A94="","",'Project Control'!E94)</x:f>
      </x:c>
      <x:c r="I94" t="str">
        <x:f>IF(A94="","",'Project Control'!F94)</x:f>
      </x:c>
      <x:c r="J94" t="str">
        <x:f>IF(A94="","",'Project Control'!H94)</x:f>
      </x:c>
      <x:c r="K94" t="str">
        <x:f>IF(A94="","",IF(ISNUMBER('Project Control'!I94),'Project Control'!I94,""))</x:f>
      </x:c>
      <x:c r="L94" t="str">
        <x:f>IF(A94="","",'Project Control'!O94)</x:f>
      </x:c>
    </x:row>
    <x:row r="95">
      <x:c r="A95" t="str">
        <x:f>IF('Project Control'!A95="","",'Project Control'!A95)</x:f>
      </x:c>
      <x:c r="B95" t="str">
        <x:f>IF(A95="","",'Project Control'!B95)</x:f>
      </x:c>
      <x:c r="C95" t="str">
        <x:f>IF(A95="","",'Project Control'!R95)</x:f>
      </x:c>
      <x:c r="D95" t="str">
        <x:f>IF(A95="","",'Project Control'!S95)</x:f>
      </x:c>
      <x:c r="E95" t="str">
        <x:f>IF(A95="","",'Project Control'!T95)</x:f>
      </x:c>
      <x:c r="F95" t="str">
        <x:f>IF(A95="","",'Project Control'!C95)</x:f>
      </x:c>
      <x:c r="G95" t="str">
        <x:f>IF(A95="","",'Project Control'!D95)</x:f>
      </x:c>
      <x:c r="H95" t="str">
        <x:f>IF(A95="","",'Project Control'!E95)</x:f>
      </x:c>
      <x:c r="I95" t="str">
        <x:f>IF(A95="","",'Project Control'!F95)</x:f>
      </x:c>
      <x:c r="J95" t="str">
        <x:f>IF(A95="","",'Project Control'!H95)</x:f>
      </x:c>
      <x:c r="K95" t="str">
        <x:f>IF(A95="","",IF(ISNUMBER('Project Control'!I95),'Project Control'!I95,""))</x:f>
      </x:c>
      <x:c r="L95" t="str">
        <x:f>IF(A95="","",'Project Control'!O95)</x:f>
      </x:c>
    </x:row>
    <x:row r="96">
      <x:c r="A96" t="str">
        <x:f>IF('Project Control'!A96="","",'Project Control'!A96)</x:f>
      </x:c>
      <x:c r="B96" t="str">
        <x:f>IF(A96="","",'Project Control'!B96)</x:f>
      </x:c>
      <x:c r="C96" t="str">
        <x:f>IF(A96="","",'Project Control'!R96)</x:f>
      </x:c>
      <x:c r="D96" t="str">
        <x:f>IF(A96="","",'Project Control'!S96)</x:f>
      </x:c>
      <x:c r="E96" t="str">
        <x:f>IF(A96="","",'Project Control'!T96)</x:f>
      </x:c>
      <x:c r="F96" t="str">
        <x:f>IF(A96="","",'Project Control'!C96)</x:f>
      </x:c>
      <x:c r="G96" t="str">
        <x:f>IF(A96="","",'Project Control'!D96)</x:f>
      </x:c>
      <x:c r="H96" t="str">
        <x:f>IF(A96="","",'Project Control'!E96)</x:f>
      </x:c>
      <x:c r="I96" t="str">
        <x:f>IF(A96="","",'Project Control'!F96)</x:f>
      </x:c>
      <x:c r="J96" t="str">
        <x:f>IF(A96="","",'Project Control'!H96)</x:f>
      </x:c>
      <x:c r="K96" t="str">
        <x:f>IF(A96="","",IF(ISNUMBER('Project Control'!I96),'Project Control'!I96,""))</x:f>
      </x:c>
      <x:c r="L96" t="str">
        <x:f>IF(A96="","",'Project Control'!O96)</x:f>
      </x:c>
    </x:row>
    <x:row r="97">
      <x:c r="A97" t="str">
        <x:f>IF('Project Control'!A97="","",'Project Control'!A97)</x:f>
      </x:c>
      <x:c r="B97" t="str">
        <x:f>IF(A97="","",'Project Control'!B97)</x:f>
      </x:c>
      <x:c r="C97" t="str">
        <x:f>IF(A97="","",'Project Control'!R97)</x:f>
      </x:c>
      <x:c r="D97" t="str">
        <x:f>IF(A97="","",'Project Control'!S97)</x:f>
      </x:c>
      <x:c r="E97" t="str">
        <x:f>IF(A97="","",'Project Control'!T97)</x:f>
      </x:c>
      <x:c r="F97" t="str">
        <x:f>IF(A97="","",'Project Control'!C97)</x:f>
      </x:c>
      <x:c r="G97" t="str">
        <x:f>IF(A97="","",'Project Control'!D97)</x:f>
      </x:c>
      <x:c r="H97" t="str">
        <x:f>IF(A97="","",'Project Control'!E97)</x:f>
      </x:c>
      <x:c r="I97" t="str">
        <x:f>IF(A97="","",'Project Control'!F97)</x:f>
      </x:c>
      <x:c r="J97" t="str">
        <x:f>IF(A97="","",'Project Control'!H97)</x:f>
      </x:c>
      <x:c r="K97" t="str">
        <x:f>IF(A97="","",IF(ISNUMBER('Project Control'!I97),'Project Control'!I97,""))</x:f>
      </x:c>
      <x:c r="L97" t="str">
        <x:f>IF(A97="","",'Project Control'!O97)</x:f>
      </x:c>
    </x:row>
    <x:row r="98">
      <x:c r="A98" t="str">
        <x:f>IF('Project Control'!A98="","",'Project Control'!A98)</x:f>
      </x:c>
      <x:c r="B98" t="str">
        <x:f>IF(A98="","",'Project Control'!B98)</x:f>
      </x:c>
      <x:c r="C98" t="str">
        <x:f>IF(A98="","",'Project Control'!R98)</x:f>
      </x:c>
      <x:c r="D98" t="str">
        <x:f>IF(A98="","",'Project Control'!S98)</x:f>
      </x:c>
      <x:c r="E98" t="str">
        <x:f>IF(A98="","",'Project Control'!T98)</x:f>
      </x:c>
      <x:c r="F98" t="str">
        <x:f>IF(A98="","",'Project Control'!C98)</x:f>
      </x:c>
      <x:c r="G98" t="str">
        <x:f>IF(A98="","",'Project Control'!D98)</x:f>
      </x:c>
      <x:c r="H98" t="str">
        <x:f>IF(A98="","",'Project Control'!E98)</x:f>
      </x:c>
      <x:c r="I98" t="str">
        <x:f>IF(A98="","",'Project Control'!F98)</x:f>
      </x:c>
      <x:c r="J98" t="str">
        <x:f>IF(A98="","",'Project Control'!H98)</x:f>
      </x:c>
      <x:c r="K98" t="str">
        <x:f>IF(A98="","",IF(ISNUMBER('Project Control'!I98),'Project Control'!I98,""))</x:f>
      </x:c>
      <x:c r="L98" t="str">
        <x:f>IF(A98="","",'Project Control'!O98)</x:f>
      </x:c>
    </x:row>
    <x:row r="99">
      <x:c r="A99" t="str">
        <x:f>IF('Project Control'!A99="","",'Project Control'!A99)</x:f>
      </x:c>
      <x:c r="B99" t="str">
        <x:f>IF(A99="","",'Project Control'!B99)</x:f>
      </x:c>
      <x:c r="C99" t="str">
        <x:f>IF(A99="","",'Project Control'!R99)</x:f>
      </x:c>
      <x:c r="D99" t="str">
        <x:f>IF(A99="","",'Project Control'!S99)</x:f>
      </x:c>
      <x:c r="E99" t="str">
        <x:f>IF(A99="","",'Project Control'!T99)</x:f>
      </x:c>
      <x:c r="F99" t="str">
        <x:f>IF(A99="","",'Project Control'!C99)</x:f>
      </x:c>
      <x:c r="G99" t="str">
        <x:f>IF(A99="","",'Project Control'!D99)</x:f>
      </x:c>
      <x:c r="H99" t="str">
        <x:f>IF(A99="","",'Project Control'!E99)</x:f>
      </x:c>
      <x:c r="I99" t="str">
        <x:f>IF(A99="","",'Project Control'!F99)</x:f>
      </x:c>
      <x:c r="J99" t="str">
        <x:f>IF(A99="","",'Project Control'!H99)</x:f>
      </x:c>
      <x:c r="K99" t="str">
        <x:f>IF(A99="","",IF(ISNUMBER('Project Control'!I99),'Project Control'!I99,""))</x:f>
      </x:c>
      <x:c r="L99" t="str">
        <x:f>IF(A99="","",'Project Control'!O99)</x:f>
      </x:c>
    </x:row>
    <x:row r="100">
      <x:c r="A100" t="str">
        <x:f>IF('Project Control'!A100="","",'Project Control'!A100)</x:f>
      </x:c>
      <x:c r="B100" t="str">
        <x:f>IF(A100="","",'Project Control'!B100)</x:f>
      </x:c>
      <x:c r="C100" t="str">
        <x:f>IF(A100="","",'Project Control'!R100)</x:f>
      </x:c>
      <x:c r="D100" t="str">
        <x:f>IF(A100="","",'Project Control'!S100)</x:f>
      </x:c>
      <x:c r="E100" t="str">
        <x:f>IF(A100="","",'Project Control'!T100)</x:f>
      </x:c>
      <x:c r="F100" t="str">
        <x:f>IF(A100="","",'Project Control'!C100)</x:f>
      </x:c>
      <x:c r="G100" t="str">
        <x:f>IF(A100="","",'Project Control'!D100)</x:f>
      </x:c>
      <x:c r="H100" t="str">
        <x:f>IF(A100="","",'Project Control'!E100)</x:f>
      </x:c>
      <x:c r="I100" t="str">
        <x:f>IF(A100="","",'Project Control'!F100)</x:f>
      </x:c>
      <x:c r="J100" t="str">
        <x:f>IF(A100="","",'Project Control'!H100)</x:f>
      </x:c>
      <x:c r="K100" t="str">
        <x:f>IF(A100="","",IF(ISNUMBER('Project Control'!I100),'Project Control'!I100,""))</x:f>
      </x:c>
      <x:c r="L100" t="str">
        <x:f>IF(A100="","",'Project Control'!O100)</x:f>
      </x:c>
    </x:row>
    <x:row r="101">
      <x:c r="A101" t="str">
        <x:f>IF('Project Control'!A101="","",'Project Control'!A101)</x:f>
      </x:c>
      <x:c r="B101" t="str">
        <x:f>IF(A101="","",'Project Control'!B101)</x:f>
      </x:c>
      <x:c r="C101" t="str">
        <x:f>IF(A101="","",'Project Control'!R101)</x:f>
      </x:c>
      <x:c r="D101" t="str">
        <x:f>IF(A101="","",'Project Control'!S101)</x:f>
      </x:c>
      <x:c r="E101" t="str">
        <x:f>IF(A101="","",'Project Control'!T101)</x:f>
      </x:c>
      <x:c r="F101" t="str">
        <x:f>IF(A101="","",'Project Control'!C101)</x:f>
      </x:c>
      <x:c r="G101" t="str">
        <x:f>IF(A101="","",'Project Control'!D101)</x:f>
      </x:c>
      <x:c r="H101" t="str">
        <x:f>IF(A101="","",'Project Control'!E101)</x:f>
      </x:c>
      <x:c r="I101" t="str">
        <x:f>IF(A101="","",'Project Control'!F101)</x:f>
      </x:c>
      <x:c r="J101" t="str">
        <x:f>IF(A101="","",'Project Control'!H101)</x:f>
      </x:c>
      <x:c r="K101" t="str">
        <x:f>IF(A101="","",IF(ISNUMBER('Project Control'!I101),'Project Control'!I101,""))</x:f>
      </x:c>
      <x:c r="L101" t="str">
        <x:f>IF(A101="","",'Project Control'!O101)</x:f>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47" hidden="0" customWidth="1"/>
    <x:col min="14" max="14" width="24" hidden="0" customWidth="1"/>
    <x:col min="15" max="15" width="23" hidden="0" customWidth="1"/>
    <x:col min="16" max="16" width="65" hidden="0" customWidth="1"/>
    <x:col min="20" max="20" width="30" hidden="0" customWidth="1"/>
    <x:col min="21" max="21" width="31" hidden="0" customWidth="1"/>
    <x:col min="22" max="22" width="27" hidden="0" customWidth="1"/>
    <x:col min="23" max="23" width="27" hidden="0" customWidth="1"/>
  </x:cols>
  <x:sheetData>
    <x:row r="1" ht="42" customHeight="1">
      <x:c r="A1" s="13" t="str">
        <x:v>Month YYYY-MM</x:v>
      </x:c>
      <x:c r="B1" s="13" t="str">
        <x:v>Project ID (ERP)</x:v>
      </x:c>
      <x:c r="C1" s="13" t="str">
        <x:v>Customer</x:v>
      </x:c>
      <x:c r="D1" s="13" t="str">
        <x:v>Business Unit</x:v>
      </x:c>
      <x:c r="E1" s="13" t="str">
        <x:v>Brand</x:v>
      </x:c>
      <x:c r="F1" s="13" t="str">
        <x:v>Selling Entity</x:v>
      </x:c>
      <x:c r="G1" s="13" t="str">
        <x:v>Customer PO intake USD</x:v>
      </x:c>
      <x:c r="H1" s="13" t="str">
        <x:v>Invoiced USD - derived from Invoice date</x:v>
      </x:c>
      <x:c r="I1" s="13" t="str">
        <x:v>ARCHIVED - former payments USD (not reported)</x:v>
      </x:c>
      <x:c r="J1" s="13" t="str">
        <x:v>ARCHIVED - former open balance USD (not reported)</x:v>
      </x:c>
      <x:c r="K1" s="13" t="str">
        <x:v>ERP cost recognized this month USD</x:v>
      </x:c>
      <x:c r="L1" s="13" t="str">
        <x:v>Source ERP export</x:v>
      </x:c>
      <x:c r="M1" s="13" t="str">
        <x:v>Validation / notes</x:v>
      </x:c>
      <x:c r="N1" s="29" t="str">
        <x:v>Source currency (ERP)</x:v>
      </x:c>
      <x:c r="O1" s="29" t="str">
        <x:v>FX evidence status</x:v>
      </x:c>
      <x:c r="P1" s="29" t="str">
        <x:v>FX exception detail</x:v>
      </x:c>
      <x:c r="T1" s="25" t="str">
        <x:v>Prior monthly invoiced USD - date unverified</x:v>
      </x:c>
      <x:c r="U1" s="25" t="str">
        <x:v>Invoice date source status</x:v>
      </x:c>
      <x:c r="V1" s="25" t="str">
        <x:v>Invoiced original USD - dated</x:v>
      </x:c>
      <x:c r="W1" s="25" t="str">
        <x:v>Invoiced original MXN - dated</x:v>
      </x:c>
    </x:row>
    <x:row r="2">
      <x:c r="A2" t="str">
        <x:v>2026-09</x:v>
      </x:c>
      <x:c r="B2" t="str">
        <x:v>100245</x:v>
      </x:c>
      <x:c r="C2" t="str">
        <x:v>Customer A</x:v>
      </x:c>
      <x:c r="D2" t="str">
        <x:v>Strategic Services</x:v>
      </x:c>
      <x:c r="E2" t="str">
        <x:v>N/A</x:v>
      </x:c>
      <x:c r="F2" t="str">
        <x:v>MX</x:v>
      </x:c>
      <x:c r="G2" t="n">
        <x:v>50000</x:v>
      </x:c>
      <x:c r="H2" t="str">
        <x:f>IF(B2="","",IF((COUNTIFS('Invoice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Register'!$M$2:$M$501,A2)+COUNTIFS('Invoice Register'!$L$2:$L$501,"CANCELLED",'Invoice Register'!$M$2:$M$501,A2)=0,"INVOICE DATA REQUIRED",SUMIFS('Invoice Register'!$N$2:$N$501,'Invoice Register'!$M$2:$M$501,A2,'Invoice Register'!$B$2:$B$501,B2))))</x:f>
        <x:v>INVOICE DATA REQUIRED</x:v>
      </x:c>
      <x:c r="I2" t="n">
        <x:v>14000</x:v>
      </x:c>
      <x:c r="J2" t="n">
        <x:v>10000</x:v>
      </x:c>
      <x:c r="K2" t="n">
        <x:v>16000</x:v>
      </x:c>
      <x:c r="L2" t="str">
        <x:v>ERP-SEP-001</x:v>
      </x:c>
      <x:c r="M2" t="str">
        <x:v>Simulated; PO received September</x:v>
      </x:c>
      <x:c r="N2" t="str">
        <x:f>IF(B2="","",IF(COUNTIF('ERP Snapshot'!$A$2:$A$101,B2)=0,"UNKNOWN",IF(COUNTIFS('ERP Snapshot'!$A$2:$A$101,B2,'ERP Snapshot'!$D$2:$D$101,"MXN")&gt;0,"MXN","USD")))</x:f>
        <x:v>USD</x:v>
      </x:c>
      <x:c r="O2" t="str">
        <x:f>IF(B2="","",IF(N2="UNKNOWN","SOURCE REVIEW",IF(N2="USD","NOT REQUIRED",IF(AND(Settings!$B$8="APPROVED",Settings!$B$9&lt;&gt;"",Settings!$B$10&lt;&gt;"",Settings!$B$2&gt;0),"APPROVED","FX HOLD"))))</x:f>
        <x:v>NOT REQUIRED</x:v>
      </x:c>
      <x:c r="P2" t="str">
        <x:f>IF(B2="","",IF(O2="FX HOLD","USD normalized input is provisional; FX approval missing",IF(O2="SOURCE REVIEW","Missing source currency mapping",IF(O2="APPROVED","Approval metadata supplied; source rates not independently audited",""))))</x:f>
      </x:c>
      <x:c r="T2" s="50" t="n">
        <x:v>18000</x:v>
      </x:c>
      <x:c r="U2" t="str">
        <x:f>IF(B2="","",IF(ISNUMBER(H2),"DATED ERP INVOICES",IF(ISNUMBER(T2),"HISTORICAL DATES REQUIRED",H2)))</x:f>
        <x:v>HISTORICAL DATES REQUIRED</x:v>
      </x:c>
      <x:c r="V2" s="49" t="str">
        <x:f>IF(B2="","",IF((COUNTIFS('Invoice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Register'!$M$2:$M$501,A2,'Invoice Register'!$L$2:$L$501,"VALID")+COUNTIFS('Invoice Register'!$M$2:$M$501,A2,'Invoice Register'!$L$2:$L$501,"FX HOLD")+COUNTIFS('Invoice Register'!$M$2:$M$501,A2,'Invoice Register'!$L$2:$L$501,"CANCELLED")=0,"INVOICE DATA REQUIRED",SUMIFS('Invoice Register'!$H$2:$H$501,'Invoice Register'!$M$2:$M$501,A2,'Invoice Register'!$G$2:$G$501,"USD",'Invoice Register'!$B$2:$B$501,B2,'Invoice Register'!$L$2:$L$501,"VALID")+SUMIFS('Invoice Register'!$H$2:$H$501,'Invoice Register'!$M$2:$M$501,A2,'Invoice Register'!$G$2:$G$501,"USD",'Invoice Register'!$B$2:$B$501,B2,'Invoice Register'!$L$2:$L$501,"FX HOLD"))))</x:f>
        <x:v>INVOICE DATA REQUIRED</x:v>
      </x:c>
      <x:c r="W2" s="49" t="str">
        <x:f>IF(B2="","",IF((COUNTIFS('Invoice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Register'!$M$2:$M$501,A2,'Invoice Register'!$L$2:$L$501,"VALID")+COUNTIFS('Invoice Register'!$M$2:$M$501,A2,'Invoice Register'!$L$2:$L$501,"FX HOLD")+COUNTIFS('Invoice Register'!$M$2:$M$501,A2,'Invoice Register'!$L$2:$L$501,"CANCELLED")=0,"INVOICE DATA REQUIRED",SUMIFS('Invoice Register'!$H$2:$H$501,'Invoice Register'!$M$2:$M$501,A2,'Invoice Register'!$G$2:$G$501,"MXN",'Invoice Register'!$B$2:$B$501,B2,'Invoice Register'!$L$2:$L$501,"VALID")+SUMIFS('Invoice Register'!$H$2:$H$501,'Invoice Register'!$M$2:$M$501,A2,'Invoice Register'!$G$2:$G$501,"MXN",'Invoice Register'!$B$2:$B$501,B2,'Invoice Register'!$L$2:$L$501,"FX HOLD"))))</x:f>
        <x:v>INVOICE DATA REQUIRED</x:v>
      </x:c>
    </x:row>
    <x:row r="3">
      <x:c r="A3" t="str">
        <x:v>2026-09</x:v>
      </x:c>
      <x:c r="B3" t="str">
        <x:v>100246</x:v>
      </x:c>
      <x:c r="C3" t="str">
        <x:v>Customer B</x:v>
      </x:c>
      <x:c r="D3" t="str">
        <x:v>Brands</x:v>
      </x:c>
      <x:c r="E3" t="str">
        <x:v>Desoutter</x:v>
      </x:c>
      <x:c r="F3" t="str">
        <x:v>MX</x:v>
      </x:c>
      <x:c r="G3" t="n">
        <x:v>41000</x:v>
      </x:c>
      <x:c r="H3" t="str">
        <x:f>IF(B3="","",IF((COUNTIFS('Invoice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Register'!$M$2:$M$501,A3)+COUNTIFS('Invoice Register'!$L$2:$L$501,"CANCELLED",'Invoice Register'!$M$2:$M$501,A3)=0,"INVOICE DATA REQUIRED",SUMIFS('Invoice Register'!$N$2:$N$501,'Invoice Register'!$M$2:$M$501,A3,'Invoice Register'!$B$2:$B$501,B3))))</x:f>
        <x:v>INVOICE DATA REQUIRED</x:v>
      </x:c>
      <x:c r="I3" t="n">
        <x:v>16000</x:v>
      </x:c>
      <x:c r="J3" t="n">
        <x:v>4000</x:v>
      </x:c>
      <x:c r="K3" t="n">
        <x:v>18000</x:v>
      </x:c>
      <x:c r="L3" t="str">
        <x:v>ERP-SEP-001</x:v>
      </x:c>
      <x:c r="M3" t="str">
        <x:v>Simulated; USD normalized</x:v>
      </x:c>
      <x:c r="N3" t="str">
        <x:f>IF(B3="","",IF(COUNTIF('ERP Snapshot'!$A$2:$A$101,B3)=0,"UNKNOWN",IF(COUNTIFS('ERP Snapshot'!$A$2:$A$101,B3,'ERP Snapshot'!$D$2:$D$101,"MXN")&gt;0,"MXN","USD")))</x:f>
        <x:v>MXN</x:v>
      </x:c>
      <x:c r="O3" t="str">
        <x:f>IF(B3="","",IF(N3="UNKNOWN","SOURCE REVIEW",IF(N3="USD","NOT REQUIRED",IF(AND(Settings!$B$8="APPROVED",Settings!$B$9&lt;&gt;"",Settings!$B$10&lt;&gt;"",Settings!$B$2&gt;0),"APPROVED","FX HOLD"))))</x:f>
        <x:v>FX HOLD</x:v>
      </x:c>
      <x:c r="P3" t="str">
        <x:f>IF(B3="","",IF(O3="FX HOLD","USD normalized input is provisional; FX approval missing",IF(O3="SOURCE REVIEW","Missing source currency mapping",IF(O3="APPROVED","Approval metadata supplied; source rates not independently audited",""))))</x:f>
        <x:v>USD normalized input is provisional; FX approval missing</x:v>
      </x:c>
      <x:c r="T3" s="50" t="n">
        <x:v>20500</x:v>
      </x:c>
      <x:c r="U3" t="str">
        <x:f>IF(B3="","",IF(ISNUMBER(H3),"DATED ERP INVOICES",IF(ISNUMBER(T3),"HISTORICAL DATES REQUIRED",H3)))</x:f>
        <x:v>HISTORICAL DATES REQUIRED</x:v>
      </x:c>
      <x:c r="V3" s="49" t="str">
        <x:f>IF(B3="","",IF((COUNTIFS('Invoice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Register'!$M$2:$M$501,A3,'Invoice Register'!$L$2:$L$501,"VALID")+COUNTIFS('Invoice Register'!$M$2:$M$501,A3,'Invoice Register'!$L$2:$L$501,"FX HOLD")+COUNTIFS('Invoice Register'!$M$2:$M$501,A3,'Invoice Register'!$L$2:$L$501,"CANCELLED")=0,"INVOICE DATA REQUIRED",SUMIFS('Invoice Register'!$H$2:$H$501,'Invoice Register'!$M$2:$M$501,A3,'Invoice Register'!$G$2:$G$501,"USD",'Invoice Register'!$B$2:$B$501,B3,'Invoice Register'!$L$2:$L$501,"VALID")+SUMIFS('Invoice Register'!$H$2:$H$501,'Invoice Register'!$M$2:$M$501,A3,'Invoice Register'!$G$2:$G$501,"USD",'Invoice Register'!$B$2:$B$501,B3,'Invoice Register'!$L$2:$L$501,"FX HOLD"))))</x:f>
        <x:v>INVOICE DATA REQUIRED</x:v>
      </x:c>
      <x:c r="W3" s="49" t="str">
        <x:f>IF(B3="","",IF((COUNTIFS('Invoice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Register'!$M$2:$M$501,A3,'Invoice Register'!$L$2:$L$501,"VALID")+COUNTIFS('Invoice Register'!$M$2:$M$501,A3,'Invoice Register'!$L$2:$L$501,"FX HOLD")+COUNTIFS('Invoice Register'!$M$2:$M$501,A3,'Invoice Register'!$L$2:$L$501,"CANCELLED")=0,"INVOICE DATA REQUIRED",SUMIFS('Invoice Register'!$H$2:$H$501,'Invoice Register'!$M$2:$M$501,A3,'Invoice Register'!$G$2:$G$501,"MXN",'Invoice Register'!$B$2:$B$501,B3,'Invoice Register'!$L$2:$L$501,"VALID")+SUMIFS('Invoice Register'!$H$2:$H$501,'Invoice Register'!$M$2:$M$501,A3,'Invoice Register'!$G$2:$G$501,"MXN",'Invoice Register'!$B$2:$B$501,B3,'Invoice Register'!$L$2:$L$501,"FX HOLD"))))</x:f>
        <x:v>INVOICE DATA REQUIRED</x:v>
      </x:c>
    </x:row>
    <x:row r="4">
      <x:c r="A4" t="str">
        <x:v>2026-09</x:v>
      </x:c>
      <x:c r="B4" t="str">
        <x:v>100247</x:v>
      </x:c>
      <x:c r="C4" t="str">
        <x:v>Customer C</x:v>
      </x:c>
      <x:c r="D4" t="str">
        <x:v>Brands</x:v>
      </x:c>
      <x:c r="E4" t="str">
        <x:v>Datalogic</x:v>
      </x:c>
      <x:c r="F4" t="str">
        <x:v>US</x:v>
      </x:c>
      <x:c r="G4" t="n">
        <x:v>34000</x:v>
      </x:c>
      <x:c r="H4" t="str">
        <x:f>IF(B4="","",IF((COUNTIFS('Invoice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Register'!$M$2:$M$501,A4)+COUNTIFS('Invoice Register'!$L$2:$L$501,"CANCELLED",'Invoice Register'!$M$2:$M$501,A4)=0,"INVOICE DATA REQUIRED",SUMIFS('Invoice Register'!$N$2:$N$501,'Invoice Register'!$M$2:$M$501,A4,'Invoice Register'!$B$2:$B$501,B4))))</x:f>
        <x:v>INVOICE DATA REQUIRED</x:v>
      </x:c>
      <x:c r="I4" t="n">
        <x:v>6000</x:v>
      </x:c>
      <x:c r="J4" t="n">
        <x:v>9000</x:v>
      </x:c>
      <x:c r="K4" t="n">
        <x:v>9000</x:v>
      </x:c>
      <x:c r="L4" t="str">
        <x:v>ERP-SEP-001</x:v>
      </x:c>
      <x:c r="M4" t="str">
        <x:v>Simulated</x:v>
      </x:c>
      <x:c r="N4" t="str">
        <x:f>IF(B4="","",IF(COUNTIF('ERP Snapshot'!$A$2:$A$101,B4)=0,"UNKNOWN",IF(COUNTIFS('ERP Snapshot'!$A$2:$A$101,B4,'ERP Snapshot'!$D$2:$D$101,"MXN")&gt;0,"MXN","USD")))</x:f>
        <x:v>USD</x:v>
      </x:c>
      <x:c r="O4" t="str">
        <x:f>IF(B4="","",IF(N4="UNKNOWN","SOURCE REVIEW",IF(N4="USD","NOT REQUIRED",IF(AND(Settings!$B$8="APPROVED",Settings!$B$9&lt;&gt;"",Settings!$B$10&lt;&gt;"",Settings!$B$2&gt;0),"APPROVED","FX HOLD"))))</x:f>
        <x:v>NOT REQUIRED</x:v>
      </x:c>
      <x:c r="P4" t="str">
        <x:f>IF(B4="","",IF(O4="FX HOLD","USD normalized input is provisional; FX approval missing",IF(O4="SOURCE REVIEW","Missing source currency mapping",IF(O4="APPROVED","Approval metadata supplied; source rates not independently audited",""))))</x:f>
      </x:c>
      <x:c r="T4" s="50" t="n">
        <x:v>8000</x:v>
      </x:c>
      <x:c r="U4" t="str">
        <x:f>IF(B4="","",IF(ISNUMBER(H4),"DATED ERP INVOICES",IF(ISNUMBER(T4),"HISTORICAL DATES REQUIRED",H4)))</x:f>
        <x:v>HISTORICAL DATES REQUIRED</x:v>
      </x:c>
      <x:c r="V4" s="49" t="str">
        <x:f>IF(B4="","",IF((COUNTIFS('Invoice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Register'!$M$2:$M$501,A4,'Invoice Register'!$L$2:$L$501,"VALID")+COUNTIFS('Invoice Register'!$M$2:$M$501,A4,'Invoice Register'!$L$2:$L$501,"FX HOLD")+COUNTIFS('Invoice Register'!$M$2:$M$501,A4,'Invoice Register'!$L$2:$L$501,"CANCELLED")=0,"INVOICE DATA REQUIRED",SUMIFS('Invoice Register'!$H$2:$H$501,'Invoice Register'!$M$2:$M$501,A4,'Invoice Register'!$G$2:$G$501,"USD",'Invoice Register'!$B$2:$B$501,B4,'Invoice Register'!$L$2:$L$501,"VALID")+SUMIFS('Invoice Register'!$H$2:$H$501,'Invoice Register'!$M$2:$M$501,A4,'Invoice Register'!$G$2:$G$501,"USD",'Invoice Register'!$B$2:$B$501,B4,'Invoice Register'!$L$2:$L$501,"FX HOLD"))))</x:f>
        <x:v>INVOICE DATA REQUIRED</x:v>
      </x:c>
      <x:c r="W4" s="49" t="str">
        <x:f>IF(B4="","",IF((COUNTIFS('Invoice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Register'!$M$2:$M$501,A4,'Invoice Register'!$L$2:$L$501,"VALID")+COUNTIFS('Invoice Register'!$M$2:$M$501,A4,'Invoice Register'!$L$2:$L$501,"FX HOLD")+COUNTIFS('Invoice Register'!$M$2:$M$501,A4,'Invoice Register'!$L$2:$L$501,"CANCELLED")=0,"INVOICE DATA REQUIRED",SUMIFS('Invoice Register'!$H$2:$H$501,'Invoice Register'!$M$2:$M$501,A4,'Invoice Register'!$G$2:$G$501,"MXN",'Invoice Register'!$B$2:$B$501,B4,'Invoice Register'!$L$2:$L$501,"VALID")+SUMIFS('Invoice Register'!$H$2:$H$501,'Invoice Register'!$M$2:$M$501,A4,'Invoice Register'!$G$2:$G$501,"MXN",'Invoice Register'!$B$2:$B$501,B4,'Invoice Register'!$L$2:$L$501,"FX HOLD"))))</x:f>
        <x:v>INVOICE DATA REQUIRED</x:v>
      </x:c>
    </x:row>
    <x:row r="5">
      <x:c r="A5" t="str">
        <x:v>2026-10</x:v>
      </x:c>
      <x:c r="B5" t="str">
        <x:v>100245</x:v>
      </x:c>
      <x:c r="C5" t="str">
        <x:v>Customer A</x:v>
      </x:c>
      <x:c r="D5" t="str">
        <x:v>Strategic Services</x:v>
      </x:c>
      <x:c r="E5" t="str">
        <x:v>N/A</x:v>
      </x:c>
      <x:c r="F5" t="str">
        <x:v>MX</x:v>
      </x:c>
      <x:c r="G5" t="n">
        <x:v>0</x:v>
      </x:c>
      <x:c r="H5" t="str">
        <x:f>IF(B5="","",IF((COUNTIFS('Invoice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Register'!$M$2:$M$501,A5)+COUNTIFS('Invoice Register'!$L$2:$L$501,"CANCELLED",'Invoice Register'!$M$2:$M$501,A5)=0,"INVOICE DATA REQUIRED",SUMIFS('Invoice Register'!$N$2:$N$501,'Invoice Register'!$M$2:$M$501,A5,'Invoice Register'!$B$2:$B$501,B5))))</x:f>
        <x:v>INVOICE DATA REQUIRED</x:v>
      </x:c>
      <x:c r="I5" t="n">
        <x:v>11000</x:v>
      </x:c>
      <x:c r="J5" t="n">
        <x:v>11000</x:v>
      </x:c>
      <x:c r="K5" t="n">
        <x:v>8000</x:v>
      </x:c>
      <x:c r="L5" t="str">
        <x:v>ERP-OCT-001</x:v>
      </x:c>
      <x:c r="M5" t="str">
        <x:v>Simulated; not new PO intake</x:v>
      </x:c>
      <x:c r="N5" t="str">
        <x:f>IF(B5="","",IF(COUNTIF('ERP Snapshot'!$A$2:$A$101,B5)=0,"UNKNOWN",IF(COUNTIFS('ERP Snapshot'!$A$2:$A$101,B5,'ERP Snapshot'!$D$2:$D$101,"MXN")&gt;0,"MXN","USD")))</x:f>
        <x:v>USD</x:v>
      </x:c>
      <x:c r="O5" t="str">
        <x:f>IF(B5="","",IF(N5="UNKNOWN","SOURCE REVIEW",IF(N5="USD","NOT REQUIRED",IF(AND(Settings!$B$8="APPROVED",Settings!$B$9&lt;&gt;"",Settings!$B$10&lt;&gt;"",Settings!$B$2&gt;0),"APPROVED","FX HOLD"))))</x:f>
        <x:v>NOT REQUIRED</x:v>
      </x:c>
      <x:c r="P5" t="str">
        <x:f>IF(B5="","",IF(O5="FX HOLD","USD normalized input is provisional; FX approval missing",IF(O5="SOURCE REVIEW","Missing source currency mapping",IF(O5="APPROVED","Approval metadata supplied; source rates not independently audited",""))))</x:f>
      </x:c>
      <x:c r="T5" s="50" t="n">
        <x:v>10000</x:v>
      </x:c>
      <x:c r="U5" t="str">
        <x:f>IF(B5="","",IF(ISNUMBER(H5),"DATED ERP INVOICES",IF(ISNUMBER(T5),"HISTORICAL DATES REQUIRED",H5)))</x:f>
        <x:v>HISTORICAL DATES REQUIRED</x:v>
      </x:c>
      <x:c r="V5" s="49" t="str">
        <x:f>IF(B5="","",IF((COUNTIFS('Invoice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Register'!$M$2:$M$501,A5,'Invoice Register'!$L$2:$L$501,"VALID")+COUNTIFS('Invoice Register'!$M$2:$M$501,A5,'Invoice Register'!$L$2:$L$501,"FX HOLD")+COUNTIFS('Invoice Register'!$M$2:$M$501,A5,'Invoice Register'!$L$2:$L$501,"CANCELLED")=0,"INVOICE DATA REQUIRED",SUMIFS('Invoice Register'!$H$2:$H$501,'Invoice Register'!$M$2:$M$501,A5,'Invoice Register'!$G$2:$G$501,"USD",'Invoice Register'!$B$2:$B$501,B5,'Invoice Register'!$L$2:$L$501,"VALID")+SUMIFS('Invoice Register'!$H$2:$H$501,'Invoice Register'!$M$2:$M$501,A5,'Invoice Register'!$G$2:$G$501,"USD",'Invoice Register'!$B$2:$B$501,B5,'Invoice Register'!$L$2:$L$501,"FX HOLD"))))</x:f>
        <x:v>INVOICE DATA REQUIRED</x:v>
      </x:c>
      <x:c r="W5" s="49" t="str">
        <x:f>IF(B5="","",IF((COUNTIFS('Invoice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Register'!$M$2:$M$501,A5,'Invoice Register'!$L$2:$L$501,"VALID")+COUNTIFS('Invoice Register'!$M$2:$M$501,A5,'Invoice Register'!$L$2:$L$501,"FX HOLD")+COUNTIFS('Invoice Register'!$M$2:$M$501,A5,'Invoice Register'!$L$2:$L$501,"CANCELLED")=0,"INVOICE DATA REQUIRED",SUMIFS('Invoice Register'!$H$2:$H$501,'Invoice Register'!$M$2:$M$501,A5,'Invoice Register'!$G$2:$G$501,"MXN",'Invoice Register'!$B$2:$B$501,B5,'Invoice Register'!$L$2:$L$501,"VALID")+SUMIFS('Invoice Register'!$H$2:$H$501,'Invoice Register'!$M$2:$M$501,A5,'Invoice Register'!$G$2:$G$501,"MXN",'Invoice Register'!$B$2:$B$501,B5,'Invoice Register'!$L$2:$L$501,"FX HOLD"))))</x:f>
        <x:v>INVOICE DATA REQUIRED</x:v>
      </x:c>
    </x:row>
    <x:row r="6">
      <x:c r="A6" t="str">
        <x:v>2026-10</x:v>
      </x:c>
      <x:c r="B6" t="str">
        <x:v>100246</x:v>
      </x:c>
      <x:c r="C6" t="str">
        <x:v>Customer B</x:v>
      </x:c>
      <x:c r="D6" t="str">
        <x:v>Brands</x:v>
      </x:c>
      <x:c r="E6" t="str">
        <x:v>Desoutter</x:v>
      </x:c>
      <x:c r="F6" t="str">
        <x:v>MX</x:v>
      </x:c>
      <x:c r="G6" t="n">
        <x:v>0</x:v>
      </x:c>
      <x:c r="H6" t="str">
        <x:f>IF(B6="","",IF((COUNTIFS('Invoice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Register'!$M$2:$M$501,A6)+COUNTIFS('Invoice Register'!$L$2:$L$501,"CANCELLED",'Invoice Register'!$M$2:$M$501,A6)=0,"INVOICE DATA REQUIRED",SUMIFS('Invoice Register'!$N$2:$N$501,'Invoice Register'!$M$2:$M$501,A6,'Invoice Register'!$B$2:$B$501,B6))))</x:f>
        <x:v>INVOICE DATA REQUIRED</x:v>
      </x:c>
      <x:c r="I6" t="n">
        <x:v>14000</x:v>
      </x:c>
      <x:c r="J6" t="n">
        <x:v>2000</x:v>
      </x:c>
      <x:c r="K6" t="n">
        <x:v>11000</x:v>
      </x:c>
      <x:c r="L6" t="str">
        <x:v>ERP-OCT-001</x:v>
      </x:c>
      <x:c r="M6" t="str">
        <x:v>Simulated</x:v>
      </x:c>
      <x:c r="N6" t="str">
        <x:f>IF(B6="","",IF(COUNTIF('ERP Snapshot'!$A$2:$A$101,B6)=0,"UNKNOWN",IF(COUNTIFS('ERP Snapshot'!$A$2:$A$101,B6,'ERP Snapshot'!$D$2:$D$101,"MXN")&gt;0,"MXN","USD")))</x:f>
        <x:v>MXN</x:v>
      </x:c>
      <x:c r="O6" t="str">
        <x:f>IF(B6="","",IF(N6="UNKNOWN","SOURCE REVIEW",IF(N6="USD","NOT REQUIRED",IF(AND(Settings!$B$8="APPROVED",Settings!$B$9&lt;&gt;"",Settings!$B$10&lt;&gt;"",Settings!$B$2&gt;0),"APPROVED","FX HOLD"))))</x:f>
        <x:v>FX HOLD</x:v>
      </x:c>
      <x:c r="P6" t="str">
        <x:f>IF(B6="","",IF(O6="FX HOLD","USD normalized input is provisional; FX approval missing",IF(O6="SOURCE REVIEW","Missing source currency mapping",IF(O6="APPROVED","Approval metadata supplied; source rates not independently audited",""))))</x:f>
        <x:v>USD normalized input is provisional; FX approval missing</x:v>
      </x:c>
      <x:c r="T6" s="50" t="n">
        <x:v>20500</x:v>
      </x:c>
      <x:c r="U6" t="str">
        <x:f>IF(B6="","",IF(ISNUMBER(H6),"DATED ERP INVOICES",IF(ISNUMBER(T6),"HISTORICAL DATES REQUIRED",H6)))</x:f>
        <x:v>HISTORICAL DATES REQUIRED</x:v>
      </x:c>
      <x:c r="V6" s="49" t="str">
        <x:f>IF(B6="","",IF((COUNTIFS('Invoice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Register'!$M$2:$M$501,A6,'Invoice Register'!$L$2:$L$501,"VALID")+COUNTIFS('Invoice Register'!$M$2:$M$501,A6,'Invoice Register'!$L$2:$L$501,"FX HOLD")+COUNTIFS('Invoice Register'!$M$2:$M$501,A6,'Invoice Register'!$L$2:$L$501,"CANCELLED")=0,"INVOICE DATA REQUIRED",SUMIFS('Invoice Register'!$H$2:$H$501,'Invoice Register'!$M$2:$M$501,A6,'Invoice Register'!$G$2:$G$501,"USD",'Invoice Register'!$B$2:$B$501,B6,'Invoice Register'!$L$2:$L$501,"VALID")+SUMIFS('Invoice Register'!$H$2:$H$501,'Invoice Register'!$M$2:$M$501,A6,'Invoice Register'!$G$2:$G$501,"USD",'Invoice Register'!$B$2:$B$501,B6,'Invoice Register'!$L$2:$L$501,"FX HOLD"))))</x:f>
        <x:v>INVOICE DATA REQUIRED</x:v>
      </x:c>
      <x:c r="W6" s="49" t="str">
        <x:f>IF(B6="","",IF((COUNTIFS('Invoice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Register'!$M$2:$M$501,A6,'Invoice Register'!$L$2:$L$501,"VALID")+COUNTIFS('Invoice Register'!$M$2:$M$501,A6,'Invoice Register'!$L$2:$L$501,"FX HOLD")+COUNTIFS('Invoice Register'!$M$2:$M$501,A6,'Invoice Register'!$L$2:$L$501,"CANCELLED")=0,"INVOICE DATA REQUIRED",SUMIFS('Invoice Register'!$H$2:$H$501,'Invoice Register'!$M$2:$M$501,A6,'Invoice Register'!$G$2:$G$501,"MXN",'Invoice Register'!$B$2:$B$501,B6,'Invoice Register'!$L$2:$L$501,"VALID")+SUMIFS('Invoice Register'!$H$2:$H$501,'Invoice Register'!$M$2:$M$501,A6,'Invoice Register'!$G$2:$G$501,"MXN",'Invoice Register'!$B$2:$B$501,B6,'Invoice Register'!$L$2:$L$501,"FX HOLD"))))</x:f>
        <x:v>INVOICE DATA REQUIRED</x:v>
      </x:c>
    </x:row>
    <x:row r="7">
      <x:c r="A7" t="str">
        <x:v>2026-10</x:v>
      </x:c>
      <x:c r="B7" t="str">
        <x:v>100247</x:v>
      </x:c>
      <x:c r="C7" t="str">
        <x:v>Customer C</x:v>
      </x:c>
      <x:c r="D7" t="str">
        <x:v>Brands</x:v>
      </x:c>
      <x:c r="E7" t="str">
        <x:v>Datalogic</x:v>
      </x:c>
      <x:c r="F7" t="str">
        <x:v>US</x:v>
      </x:c>
      <x:c r="G7" t="n">
        <x:v>0</x:v>
      </x:c>
      <x:c r="H7" t="str">
        <x:f>IF(B7="","",IF((COUNTIFS('Invoice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Register'!$M$2:$M$501,A7)+COUNTIFS('Invoice Register'!$L$2:$L$501,"CANCELLED",'Invoice Register'!$M$2:$M$501,A7)=0,"INVOICE DATA REQUIRED",SUMIFS('Invoice Register'!$N$2:$N$501,'Invoice Register'!$M$2:$M$501,A7,'Invoice Register'!$B$2:$B$501,B7))))</x:f>
        <x:v>INVOICE DATA REQUIRED</x:v>
      </x:c>
      <x:c r="I7" t="n">
        <x:v>10000</x:v>
      </x:c>
      <x:c r="J7" t="n">
        <x:v>7000</x:v>
      </x:c>
      <x:c r="K7" t="n">
        <x:v>12000</x:v>
      </x:c>
      <x:c r="L7" t="str">
        <x:v>ERP-OCT-001</x:v>
      </x:c>
      <x:c r="M7" t="str">
        <x:v>Simulated</x:v>
      </x:c>
      <x:c r="N7" t="str">
        <x:f>IF(B7="","",IF(COUNTIF('ERP Snapshot'!$A$2:$A$101,B7)=0,"UNKNOWN",IF(COUNTIFS('ERP Snapshot'!$A$2:$A$101,B7,'ERP Snapshot'!$D$2:$D$101,"MXN")&gt;0,"MXN","USD")))</x:f>
        <x:v>USD</x:v>
      </x:c>
      <x:c r="O7" t="str">
        <x:f>IF(B7="","",IF(N7="UNKNOWN","SOURCE REVIEW",IF(N7="USD","NOT REQUIRED",IF(AND(Settings!$B$8="APPROVED",Settings!$B$9&lt;&gt;"",Settings!$B$10&lt;&gt;"",Settings!$B$2&gt;0),"APPROVED","FX HOLD"))))</x:f>
        <x:v>NOT REQUIRED</x:v>
      </x:c>
      <x:c r="P7" t="str">
        <x:f>IF(B7="","",IF(O7="FX HOLD","USD normalized input is provisional; FX approval missing",IF(O7="SOURCE REVIEW","Missing source currency mapping",IF(O7="APPROVED","Approval metadata supplied; source rates not independently audited",""))))</x:f>
      </x:c>
      <x:c r="T7" s="50" t="n">
        <x:v>4000</x:v>
      </x:c>
      <x:c r="U7" t="str">
        <x:f>IF(B7="","",IF(ISNUMBER(H7),"DATED ERP INVOICES",IF(ISNUMBER(T7),"HISTORICAL DATES REQUIRED",H7)))</x:f>
        <x:v>HISTORICAL DATES REQUIRED</x:v>
      </x:c>
      <x:c r="V7" s="49" t="str">
        <x:f>IF(B7="","",IF((COUNTIFS('Invoice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Register'!$M$2:$M$501,A7,'Invoice Register'!$L$2:$L$501,"VALID")+COUNTIFS('Invoice Register'!$M$2:$M$501,A7,'Invoice Register'!$L$2:$L$501,"FX HOLD")+COUNTIFS('Invoice Register'!$M$2:$M$501,A7,'Invoice Register'!$L$2:$L$501,"CANCELLED")=0,"INVOICE DATA REQUIRED",SUMIFS('Invoice Register'!$H$2:$H$501,'Invoice Register'!$M$2:$M$501,A7,'Invoice Register'!$G$2:$G$501,"USD",'Invoice Register'!$B$2:$B$501,B7,'Invoice Register'!$L$2:$L$501,"VALID")+SUMIFS('Invoice Register'!$H$2:$H$501,'Invoice Register'!$M$2:$M$501,A7,'Invoice Register'!$G$2:$G$501,"USD",'Invoice Register'!$B$2:$B$501,B7,'Invoice Register'!$L$2:$L$501,"FX HOLD"))))</x:f>
        <x:v>INVOICE DATA REQUIRED</x:v>
      </x:c>
      <x:c r="W7" s="49" t="str">
        <x:f>IF(B7="","",IF((COUNTIFS('Invoice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Register'!$M$2:$M$501,A7,'Invoice Register'!$L$2:$L$501,"VALID")+COUNTIFS('Invoice Register'!$M$2:$M$501,A7,'Invoice Register'!$L$2:$L$501,"FX HOLD")+COUNTIFS('Invoice Register'!$M$2:$M$501,A7,'Invoice Register'!$L$2:$L$501,"CANCELLED")=0,"INVOICE DATA REQUIRED",SUMIFS('Invoice Register'!$H$2:$H$501,'Invoice Register'!$M$2:$M$501,A7,'Invoice Register'!$G$2:$G$501,"MXN",'Invoice Register'!$B$2:$B$501,B7,'Invoice Register'!$L$2:$L$501,"VALID")+SUMIFS('Invoice Register'!$H$2:$H$501,'Invoice Register'!$M$2:$M$501,A7,'Invoice Register'!$G$2:$G$501,"MXN",'Invoice Register'!$B$2:$B$501,B7,'Invoice Register'!$L$2:$L$501,"FX HOLD"))))</x:f>
        <x:v>INVOICE DATA REQUIRED</x:v>
      </x:c>
    </x:row>
    <x:row r="8">
      <x:c r="A8" t="str">
        <x:v>2026-10</x:v>
      </x:c>
      <x:c r="B8" t="str">
        <x:v>100248</x:v>
      </x:c>
      <x:c r="C8" t="str">
        <x:v>Customer D</x:v>
      </x:c>
      <x:c r="D8" t="str">
        <x:v>Strategic Services</x:v>
      </x:c>
      <x:c r="E8" t="str">
        <x:v>N/A</x:v>
      </x:c>
      <x:c r="F8" t="str">
        <x:v>MX</x:v>
      </x:c>
      <x:c r="G8" t="n">
        <x:v>24000</x:v>
      </x:c>
      <x:c r="H8" t="str">
        <x:f>IF(B8="","",IF((COUNTIFS('Invoice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Register'!$M$2:$M$501,A8)+COUNTIFS('Invoice Register'!$L$2:$L$501,"CANCELLED",'Invoice Register'!$M$2:$M$501,A8)=0,"INVOICE DATA REQUIRED",SUMIFS('Invoice Register'!$N$2:$N$501,'Invoice Register'!$M$2:$M$501,A8,'Invoice Register'!$B$2:$B$501,B8))))</x:f>
        <x:v>INVOICE DATA REQUIRED</x:v>
      </x:c>
      <x:c r="I8" t="n">
        <x:v>8000</x:v>
      </x:c>
      <x:c r="J8" t="n">
        <x:v>0</x:v>
      </x:c>
      <x:c r="K8" t="n">
        <x:v>12000</x:v>
      </x:c>
      <x:c r="L8" t="str">
        <x:v>ERP-OCT-001</x:v>
      </x:c>
      <x:c r="M8" t="str">
        <x:v>Simulated; open PO</x:v>
      </x:c>
      <x:c r="N8" t="str">
        <x:f>IF(B8="","",IF(COUNTIF('ERP Snapshot'!$A$2:$A$101,B8)=0,"UNKNOWN",IF(COUNTIFS('ERP Snapshot'!$A$2:$A$101,B8,'ERP Snapshot'!$D$2:$D$101,"MXN")&gt;0,"MXN","USD")))</x:f>
        <x:v>USD</x:v>
      </x:c>
      <x:c r="O8" t="str">
        <x:f>IF(B8="","",IF(N8="UNKNOWN","SOURCE REVIEW",IF(N8="USD","NOT REQUIRED",IF(AND(Settings!$B$8="APPROVED",Settings!$B$9&lt;&gt;"",Settings!$B$10&lt;&gt;"",Settings!$B$2&gt;0),"APPROVED","FX HOLD"))))</x:f>
        <x:v>NOT REQUIRED</x:v>
      </x:c>
      <x:c r="P8" t="str">
        <x:f>IF(B8="","",IF(O8="FX HOLD","USD normalized input is provisional; FX approval missing",IF(O8="SOURCE REVIEW","Missing source currency mapping",IF(O8="APPROVED","Approval metadata supplied; source rates not independently audited",""))))</x:f>
      </x:c>
      <x:c r="T8" s="50" t="n">
        <x:v>0</x:v>
      </x:c>
      <x:c r="U8" t="str">
        <x:f>IF(B8="","",IF(ISNUMBER(H8),"DATED ERP INVOICES",IF(ISNUMBER(T8),"HISTORICAL DATES REQUIRED",H8)))</x:f>
        <x:v>HISTORICAL DATES REQUIRED</x:v>
      </x:c>
      <x:c r="V8" s="49" t="str">
        <x:f>IF(B8="","",IF((COUNTIFS('Invoice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Register'!$M$2:$M$501,A8,'Invoice Register'!$L$2:$L$501,"VALID")+COUNTIFS('Invoice Register'!$M$2:$M$501,A8,'Invoice Register'!$L$2:$L$501,"FX HOLD")+COUNTIFS('Invoice Register'!$M$2:$M$501,A8,'Invoice Register'!$L$2:$L$501,"CANCELLED")=0,"INVOICE DATA REQUIRED",SUMIFS('Invoice Register'!$H$2:$H$501,'Invoice Register'!$M$2:$M$501,A8,'Invoice Register'!$G$2:$G$501,"USD",'Invoice Register'!$B$2:$B$501,B8,'Invoice Register'!$L$2:$L$501,"VALID")+SUMIFS('Invoice Register'!$H$2:$H$501,'Invoice Register'!$M$2:$M$501,A8,'Invoice Register'!$G$2:$G$501,"USD",'Invoice Register'!$B$2:$B$501,B8,'Invoice Register'!$L$2:$L$501,"FX HOLD"))))</x:f>
        <x:v>INVOICE DATA REQUIRED</x:v>
      </x:c>
      <x:c r="W8" s="49" t="str">
        <x:f>IF(B8="","",IF((COUNTIFS('Invoice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Register'!$M$2:$M$501,A8,'Invoice Register'!$L$2:$L$501,"VALID")+COUNTIFS('Invoice Register'!$M$2:$M$501,A8,'Invoice Register'!$L$2:$L$501,"FX HOLD")+COUNTIFS('Invoice Register'!$M$2:$M$501,A8,'Invoice Register'!$L$2:$L$501,"CANCELLED")=0,"INVOICE DATA REQUIRED",SUMIFS('Invoice Register'!$H$2:$H$501,'Invoice Register'!$M$2:$M$501,A8,'Invoice Register'!$G$2:$G$501,"MXN",'Invoice Register'!$B$2:$B$501,B8,'Invoice Register'!$L$2:$L$501,"VALID")+SUMIFS('Invoice Register'!$H$2:$H$501,'Invoice Register'!$M$2:$M$501,A8,'Invoice Register'!$G$2:$G$501,"MXN",'Invoice Register'!$B$2:$B$501,B8,'Invoice Register'!$L$2:$L$501,"FX HOLD"))))</x:f>
        <x:v>INVOICE DATA REQUIRED</x:v>
      </x:c>
    </x:row>
    <x:row r="9">
      <x:c r="H9" t="str">
        <x:f>IF(B9="","",IF((COUNTIFS('Invoice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Register'!$M$2:$M$501,A9)+COUNTIFS('Invoice Register'!$L$2:$L$501,"CANCELLED",'Invoice Register'!$M$2:$M$501,A9)=0,"INVOICE DATA REQUIRED",SUMIFS('Invoice Register'!$N$2:$N$501,'Invoice Register'!$M$2:$M$501,A9,'Invoice Register'!$B$2:$B$501,B9))))</x:f>
      </x:c>
      <x:c r="N9" t="str">
        <x:f>IF(B9="","",IF(COUNTIF('ERP Snapshot'!$A$2:$A$101,B9)=0,"UNKNOWN",IF(COUNTIFS('ERP Snapshot'!$A$2:$A$101,B9,'ERP Snapshot'!$D$2:$D$101,"MXN")&gt;0,"MXN","USD")))</x:f>
      </x:c>
      <x:c r="O9" t="str">
        <x:f>IF(B9="","",IF(N9="UNKNOWN","SOURCE REVIEW",IF(N9="USD","NOT REQUIRED",IF(AND(Settings!$B$8="APPROVED",Settings!$B$9&lt;&gt;"",Settings!$B$10&lt;&gt;"",Settings!$B$2&gt;0),"APPROVED","FX HOLD"))))</x:f>
      </x:c>
      <x:c r="P9" t="str">
        <x:f>IF(B9="","",IF(O9="FX HOLD","USD normalized input is provisional; FX approval missing",IF(O9="SOURCE REVIEW","Missing source currency mapping",IF(O9="APPROVED","Approval metadata supplied; source rates not independently audited",""))))</x:f>
      </x:c>
      <x:c r="T9" s="50"/>
      <x:c r="U9" t="str">
        <x:f>IF(B9="","",IF(ISNUMBER(H9),"DATED ERP INVOICES",IF(ISNUMBER(T9),"HISTORICAL DATES REQUIRED",H9)))</x:f>
      </x:c>
      <x:c r="V9" s="49" t="str">
        <x:f>IF(B9="","",IF((COUNTIFS('Invoice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Register'!$M$2:$M$501,A9,'Invoice Register'!$L$2:$L$501,"VALID")+COUNTIFS('Invoice Register'!$M$2:$M$501,A9,'Invoice Register'!$L$2:$L$501,"FX HOLD")+COUNTIFS('Invoice Register'!$M$2:$M$501,A9,'Invoice Register'!$L$2:$L$501,"CANCELLED")=0,"INVOICE DATA REQUIRED",SUMIFS('Invoice Register'!$H$2:$H$501,'Invoice Register'!$M$2:$M$501,A9,'Invoice Register'!$G$2:$G$501,"USD",'Invoice Register'!$B$2:$B$501,B9,'Invoice Register'!$L$2:$L$501,"VALID")+SUMIFS('Invoice Register'!$H$2:$H$501,'Invoice Register'!$M$2:$M$501,A9,'Invoice Register'!$G$2:$G$501,"USD",'Invoice Register'!$B$2:$B$501,B9,'Invoice Register'!$L$2:$L$501,"FX HOLD"))))</x:f>
      </x:c>
      <x:c r="W9" s="49" t="str">
        <x:f>IF(B9="","",IF((COUNTIFS('Invoice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Register'!$M$2:$M$501,A9,'Invoice Register'!$L$2:$L$501,"VALID")+COUNTIFS('Invoice Register'!$M$2:$M$501,A9,'Invoice Register'!$L$2:$L$501,"FX HOLD")+COUNTIFS('Invoice Register'!$M$2:$M$501,A9,'Invoice Register'!$L$2:$L$501,"CANCELLED")=0,"INVOICE DATA REQUIRED",SUMIFS('Invoice Register'!$H$2:$H$501,'Invoice Register'!$M$2:$M$501,A9,'Invoice Register'!$G$2:$G$501,"MXN",'Invoice Register'!$B$2:$B$501,B9,'Invoice Register'!$L$2:$L$501,"VALID")+SUMIFS('Invoice Register'!$H$2:$H$501,'Invoice Register'!$M$2:$M$501,A9,'Invoice Register'!$G$2:$G$501,"MXN",'Invoice Register'!$B$2:$B$501,B9,'Invoice Register'!$L$2:$L$501,"FX HOLD"))))</x:f>
      </x:c>
    </x:row>
    <x:row r="10">
      <x:c r="H10" t="str">
        <x:f>IF(B10="","",IF((COUNTIFS('Invoice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Register'!$M$2:$M$501,A10)+COUNTIFS('Invoice Register'!$L$2:$L$501,"CANCELLED",'Invoice Register'!$M$2:$M$501,A10)=0,"INVOICE DATA REQUIRED",SUMIFS('Invoice Register'!$N$2:$N$501,'Invoice Register'!$M$2:$M$501,A10,'Invoice Register'!$B$2:$B$501,B10))))</x:f>
      </x:c>
      <x:c r="N10" t="str">
        <x:f>IF(B10="","",IF(COUNTIF('ERP Snapshot'!$A$2:$A$101,B10)=0,"UNKNOWN",IF(COUNTIFS('ERP Snapshot'!$A$2:$A$101,B10,'ERP Snapshot'!$D$2:$D$101,"MXN")&gt;0,"MXN","USD")))</x:f>
      </x:c>
      <x:c r="O10" t="str">
        <x:f>IF(B10="","",IF(N10="UNKNOWN","SOURCE REVIEW",IF(N10="USD","NOT REQUIRED",IF(AND(Settings!$B$8="APPROVED",Settings!$B$9&lt;&gt;"",Settings!$B$10&lt;&gt;"",Settings!$B$2&gt;0),"APPROVED","FX HOLD"))))</x:f>
      </x:c>
      <x:c r="P10" t="str">
        <x:f>IF(B10="","",IF(O10="FX HOLD","USD normalized input is provisional; FX approval missing",IF(O10="SOURCE REVIEW","Missing source currency mapping",IF(O10="APPROVED","Approval metadata supplied; source rates not independently audited",""))))</x:f>
      </x:c>
      <x:c r="T10" s="50"/>
      <x:c r="U10" t="str">
        <x:f>IF(B10="","",IF(ISNUMBER(H10),"DATED ERP INVOICES",IF(ISNUMBER(T10),"HISTORICAL DATES REQUIRED",H10)))</x:f>
      </x:c>
      <x:c r="V10" s="49" t="str">
        <x:f>IF(B10="","",IF((COUNTIFS('Invoice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Register'!$M$2:$M$501,A10,'Invoice Register'!$L$2:$L$501,"VALID")+COUNTIFS('Invoice Register'!$M$2:$M$501,A10,'Invoice Register'!$L$2:$L$501,"FX HOLD")+COUNTIFS('Invoice Register'!$M$2:$M$501,A10,'Invoice Register'!$L$2:$L$501,"CANCELLED")=0,"INVOICE DATA REQUIRED",SUMIFS('Invoice Register'!$H$2:$H$501,'Invoice Register'!$M$2:$M$501,A10,'Invoice Register'!$G$2:$G$501,"USD",'Invoice Register'!$B$2:$B$501,B10,'Invoice Register'!$L$2:$L$501,"VALID")+SUMIFS('Invoice Register'!$H$2:$H$501,'Invoice Register'!$M$2:$M$501,A10,'Invoice Register'!$G$2:$G$501,"USD",'Invoice Register'!$B$2:$B$501,B10,'Invoice Register'!$L$2:$L$501,"FX HOLD"))))</x:f>
      </x:c>
      <x:c r="W10" s="49" t="str">
        <x:f>IF(B10="","",IF((COUNTIFS('Invoice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Register'!$M$2:$M$501,A10,'Invoice Register'!$L$2:$L$501,"VALID")+COUNTIFS('Invoice Register'!$M$2:$M$501,A10,'Invoice Register'!$L$2:$L$501,"FX HOLD")+COUNTIFS('Invoice Register'!$M$2:$M$501,A10,'Invoice Register'!$L$2:$L$501,"CANCELLED")=0,"INVOICE DATA REQUIRED",SUMIFS('Invoice Register'!$H$2:$H$501,'Invoice Register'!$M$2:$M$501,A10,'Invoice Register'!$G$2:$G$501,"MXN",'Invoice Register'!$B$2:$B$501,B10,'Invoice Register'!$L$2:$L$501,"VALID")+SUMIFS('Invoice Register'!$H$2:$H$501,'Invoice Register'!$M$2:$M$501,A10,'Invoice Register'!$G$2:$G$501,"MXN",'Invoice Register'!$B$2:$B$501,B10,'Invoice Register'!$L$2:$L$501,"FX HOLD"))))</x:f>
      </x:c>
    </x:row>
    <x:row r="11">
      <x:c r="H11" t="str">
        <x:f>IF(B11="","",IF((COUNTIFS('Invoice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Register'!$M$2:$M$501,A11)+COUNTIFS('Invoice Register'!$L$2:$L$501,"CANCELLED",'Invoice Register'!$M$2:$M$501,A11)=0,"INVOICE DATA REQUIRED",SUMIFS('Invoice Register'!$N$2:$N$501,'Invoice Register'!$M$2:$M$501,A11,'Invoice Register'!$B$2:$B$501,B11))))</x:f>
      </x:c>
      <x:c r="N11" t="str">
        <x:f>IF(B11="","",IF(COUNTIF('ERP Snapshot'!$A$2:$A$101,B11)=0,"UNKNOWN",IF(COUNTIFS('ERP Snapshot'!$A$2:$A$101,B11,'ERP Snapshot'!$D$2:$D$101,"MXN")&gt;0,"MXN","USD")))</x:f>
      </x:c>
      <x:c r="O11" t="str">
        <x:f>IF(B11="","",IF(N11="UNKNOWN","SOURCE REVIEW",IF(N11="USD","NOT REQUIRED",IF(AND(Settings!$B$8="APPROVED",Settings!$B$9&lt;&gt;"",Settings!$B$10&lt;&gt;"",Settings!$B$2&gt;0),"APPROVED","FX HOLD"))))</x:f>
      </x:c>
      <x:c r="P11" t="str">
        <x:f>IF(B11="","",IF(O11="FX HOLD","USD normalized input is provisional; FX approval missing",IF(O11="SOURCE REVIEW","Missing source currency mapping",IF(O11="APPROVED","Approval metadata supplied; source rates not independently audited",""))))</x:f>
      </x:c>
      <x:c r="T11" s="50"/>
      <x:c r="U11" t="str">
        <x:f>IF(B11="","",IF(ISNUMBER(H11),"DATED ERP INVOICES",IF(ISNUMBER(T11),"HISTORICAL DATES REQUIRED",H11)))</x:f>
      </x:c>
      <x:c r="V11" s="49" t="str">
        <x:f>IF(B11="","",IF((COUNTIFS('Invoice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Register'!$M$2:$M$501,A11,'Invoice Register'!$L$2:$L$501,"VALID")+COUNTIFS('Invoice Register'!$M$2:$M$501,A11,'Invoice Register'!$L$2:$L$501,"FX HOLD")+COUNTIFS('Invoice Register'!$M$2:$M$501,A11,'Invoice Register'!$L$2:$L$501,"CANCELLED")=0,"INVOICE DATA REQUIRED",SUMIFS('Invoice Register'!$H$2:$H$501,'Invoice Register'!$M$2:$M$501,A11,'Invoice Register'!$G$2:$G$501,"USD",'Invoice Register'!$B$2:$B$501,B11,'Invoice Register'!$L$2:$L$501,"VALID")+SUMIFS('Invoice Register'!$H$2:$H$501,'Invoice Register'!$M$2:$M$501,A11,'Invoice Register'!$G$2:$G$501,"USD",'Invoice Register'!$B$2:$B$501,B11,'Invoice Register'!$L$2:$L$501,"FX HOLD"))))</x:f>
      </x:c>
      <x:c r="W11" s="49" t="str">
        <x:f>IF(B11="","",IF((COUNTIFS('Invoice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Register'!$M$2:$M$501,A11,'Invoice Register'!$L$2:$L$501,"VALID")+COUNTIFS('Invoice Register'!$M$2:$M$501,A11,'Invoice Register'!$L$2:$L$501,"FX HOLD")+COUNTIFS('Invoice Register'!$M$2:$M$501,A11,'Invoice Register'!$L$2:$L$501,"CANCELLED")=0,"INVOICE DATA REQUIRED",SUMIFS('Invoice Register'!$H$2:$H$501,'Invoice Register'!$M$2:$M$501,A11,'Invoice Register'!$G$2:$G$501,"MXN",'Invoice Register'!$B$2:$B$501,B11,'Invoice Register'!$L$2:$L$501,"VALID")+SUMIFS('Invoice Register'!$H$2:$H$501,'Invoice Register'!$M$2:$M$501,A11,'Invoice Register'!$G$2:$G$501,"MXN",'Invoice Register'!$B$2:$B$501,B11,'Invoice Register'!$L$2:$L$501,"FX HOLD"))))</x:f>
      </x:c>
    </x:row>
    <x:row r="12">
      <x:c r="H12" t="str">
        <x:f>IF(B12="","",IF((COUNTIFS('Invoice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Register'!$M$2:$M$501,A12)+COUNTIFS('Invoice Register'!$L$2:$L$501,"CANCELLED",'Invoice Register'!$M$2:$M$501,A12)=0,"INVOICE DATA REQUIRED",SUMIFS('Invoice Register'!$N$2:$N$501,'Invoice Register'!$M$2:$M$501,A12,'Invoice Register'!$B$2:$B$501,B12))))</x:f>
      </x:c>
      <x:c r="N12" t="str">
        <x:f>IF(B12="","",IF(COUNTIF('ERP Snapshot'!$A$2:$A$101,B12)=0,"UNKNOWN",IF(COUNTIFS('ERP Snapshot'!$A$2:$A$101,B12,'ERP Snapshot'!$D$2:$D$101,"MXN")&gt;0,"MXN","USD")))</x:f>
      </x:c>
      <x:c r="O12" t="str">
        <x:f>IF(B12="","",IF(N12="UNKNOWN","SOURCE REVIEW",IF(N12="USD","NOT REQUIRED",IF(AND(Settings!$B$8="APPROVED",Settings!$B$9&lt;&gt;"",Settings!$B$10&lt;&gt;"",Settings!$B$2&gt;0),"APPROVED","FX HOLD"))))</x:f>
      </x:c>
      <x:c r="P12" t="str">
        <x:f>IF(B12="","",IF(O12="FX HOLD","USD normalized input is provisional; FX approval missing",IF(O12="SOURCE REVIEW","Missing source currency mapping",IF(O12="APPROVED","Approval metadata supplied; source rates not independently audited",""))))</x:f>
      </x:c>
      <x:c r="T12" s="50"/>
      <x:c r="U12" t="str">
        <x:f>IF(B12="","",IF(ISNUMBER(H12),"DATED ERP INVOICES",IF(ISNUMBER(T12),"HISTORICAL DATES REQUIRED",H12)))</x:f>
      </x:c>
      <x:c r="V12" s="49" t="str">
        <x:f>IF(B12="","",IF((COUNTIFS('Invoice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Register'!$M$2:$M$501,A12,'Invoice Register'!$L$2:$L$501,"VALID")+COUNTIFS('Invoice Register'!$M$2:$M$501,A12,'Invoice Register'!$L$2:$L$501,"FX HOLD")+COUNTIFS('Invoice Register'!$M$2:$M$501,A12,'Invoice Register'!$L$2:$L$501,"CANCELLED")=0,"INVOICE DATA REQUIRED",SUMIFS('Invoice Register'!$H$2:$H$501,'Invoice Register'!$M$2:$M$501,A12,'Invoice Register'!$G$2:$G$501,"USD",'Invoice Register'!$B$2:$B$501,B12,'Invoice Register'!$L$2:$L$501,"VALID")+SUMIFS('Invoice Register'!$H$2:$H$501,'Invoice Register'!$M$2:$M$501,A12,'Invoice Register'!$G$2:$G$501,"USD",'Invoice Register'!$B$2:$B$501,B12,'Invoice Register'!$L$2:$L$501,"FX HOLD"))))</x:f>
      </x:c>
      <x:c r="W12" s="49" t="str">
        <x:f>IF(B12="","",IF((COUNTIFS('Invoice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Register'!$M$2:$M$501,A12,'Invoice Register'!$L$2:$L$501,"VALID")+COUNTIFS('Invoice Register'!$M$2:$M$501,A12,'Invoice Register'!$L$2:$L$501,"FX HOLD")+COUNTIFS('Invoice Register'!$M$2:$M$501,A12,'Invoice Register'!$L$2:$L$501,"CANCELLED")=0,"INVOICE DATA REQUIRED",SUMIFS('Invoice Register'!$H$2:$H$501,'Invoice Register'!$M$2:$M$501,A12,'Invoice Register'!$G$2:$G$501,"MXN",'Invoice Register'!$B$2:$B$501,B12,'Invoice Register'!$L$2:$L$501,"VALID")+SUMIFS('Invoice Register'!$H$2:$H$501,'Invoice Register'!$M$2:$M$501,A12,'Invoice Register'!$G$2:$G$501,"MXN",'Invoice Register'!$B$2:$B$501,B12,'Invoice Register'!$L$2:$L$501,"FX HOLD"))))</x:f>
      </x:c>
    </x:row>
    <x:row r="13">
      <x:c r="H13" t="str">
        <x:f>IF(B13="","",IF((COUNTIFS('Invoice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Register'!$M$2:$M$501,A13)+COUNTIFS('Invoice Register'!$L$2:$L$501,"CANCELLED",'Invoice Register'!$M$2:$M$501,A13)=0,"INVOICE DATA REQUIRED",SUMIFS('Invoice Register'!$N$2:$N$501,'Invoice Register'!$M$2:$M$501,A13,'Invoice Register'!$B$2:$B$501,B13))))</x:f>
      </x:c>
      <x:c r="N13" t="str">
        <x:f>IF(B13="","",IF(COUNTIF('ERP Snapshot'!$A$2:$A$101,B13)=0,"UNKNOWN",IF(COUNTIFS('ERP Snapshot'!$A$2:$A$101,B13,'ERP Snapshot'!$D$2:$D$101,"MXN")&gt;0,"MXN","USD")))</x:f>
      </x:c>
      <x:c r="O13" t="str">
        <x:f>IF(B13="","",IF(N13="UNKNOWN","SOURCE REVIEW",IF(N13="USD","NOT REQUIRED",IF(AND(Settings!$B$8="APPROVED",Settings!$B$9&lt;&gt;"",Settings!$B$10&lt;&gt;"",Settings!$B$2&gt;0),"APPROVED","FX HOLD"))))</x:f>
      </x:c>
      <x:c r="P13" t="str">
        <x:f>IF(B13="","",IF(O13="FX HOLD","USD normalized input is provisional; FX approval missing",IF(O13="SOURCE REVIEW","Missing source currency mapping",IF(O13="APPROVED","Approval metadata supplied; source rates not independently audited",""))))</x:f>
      </x:c>
      <x:c r="T13" s="50"/>
      <x:c r="U13" t="str">
        <x:f>IF(B13="","",IF(ISNUMBER(H13),"DATED ERP INVOICES",IF(ISNUMBER(T13),"HISTORICAL DATES REQUIRED",H13)))</x:f>
      </x:c>
      <x:c r="V13" s="49" t="str">
        <x:f>IF(B13="","",IF((COUNTIFS('Invoice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Register'!$M$2:$M$501,A13,'Invoice Register'!$L$2:$L$501,"VALID")+COUNTIFS('Invoice Register'!$M$2:$M$501,A13,'Invoice Register'!$L$2:$L$501,"FX HOLD")+COUNTIFS('Invoice Register'!$M$2:$M$501,A13,'Invoice Register'!$L$2:$L$501,"CANCELLED")=0,"INVOICE DATA REQUIRED",SUMIFS('Invoice Register'!$H$2:$H$501,'Invoice Register'!$M$2:$M$501,A13,'Invoice Register'!$G$2:$G$501,"USD",'Invoice Register'!$B$2:$B$501,B13,'Invoice Register'!$L$2:$L$501,"VALID")+SUMIFS('Invoice Register'!$H$2:$H$501,'Invoice Register'!$M$2:$M$501,A13,'Invoice Register'!$G$2:$G$501,"USD",'Invoice Register'!$B$2:$B$501,B13,'Invoice Register'!$L$2:$L$501,"FX HOLD"))))</x:f>
      </x:c>
      <x:c r="W13" s="49" t="str">
        <x:f>IF(B13="","",IF((COUNTIFS('Invoice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Register'!$M$2:$M$501,A13,'Invoice Register'!$L$2:$L$501,"VALID")+COUNTIFS('Invoice Register'!$M$2:$M$501,A13,'Invoice Register'!$L$2:$L$501,"FX HOLD")+COUNTIFS('Invoice Register'!$M$2:$M$501,A13,'Invoice Register'!$L$2:$L$501,"CANCELLED")=0,"INVOICE DATA REQUIRED",SUMIFS('Invoice Register'!$H$2:$H$501,'Invoice Register'!$M$2:$M$501,A13,'Invoice Register'!$G$2:$G$501,"MXN",'Invoice Register'!$B$2:$B$501,B13,'Invoice Register'!$L$2:$L$501,"VALID")+SUMIFS('Invoice Register'!$H$2:$H$501,'Invoice Register'!$M$2:$M$501,A13,'Invoice Register'!$G$2:$G$501,"MXN",'Invoice Register'!$B$2:$B$501,B13,'Invoice Register'!$L$2:$L$501,"FX HOLD"))))</x:f>
      </x:c>
    </x:row>
    <x:row r="14">
      <x:c r="H14" t="str">
        <x:f>IF(B14="","",IF((COUNTIFS('Invoice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Register'!$M$2:$M$501,A14)+COUNTIFS('Invoice Register'!$L$2:$L$501,"CANCELLED",'Invoice Register'!$M$2:$M$501,A14)=0,"INVOICE DATA REQUIRED",SUMIFS('Invoice Register'!$N$2:$N$501,'Invoice Register'!$M$2:$M$501,A14,'Invoice Register'!$B$2:$B$501,B14))))</x:f>
      </x:c>
      <x:c r="N14" t="str">
        <x:f>IF(B14="","",IF(COUNTIF('ERP Snapshot'!$A$2:$A$101,B14)=0,"UNKNOWN",IF(COUNTIFS('ERP Snapshot'!$A$2:$A$101,B14,'ERP Snapshot'!$D$2:$D$101,"MXN")&gt;0,"MXN","USD")))</x:f>
      </x:c>
      <x:c r="O14" t="str">
        <x:f>IF(B14="","",IF(N14="UNKNOWN","SOURCE REVIEW",IF(N14="USD","NOT REQUIRED",IF(AND(Settings!$B$8="APPROVED",Settings!$B$9&lt;&gt;"",Settings!$B$10&lt;&gt;"",Settings!$B$2&gt;0),"APPROVED","FX HOLD"))))</x:f>
      </x:c>
      <x:c r="P14" t="str">
        <x:f>IF(B14="","",IF(O14="FX HOLD","USD normalized input is provisional; FX approval missing",IF(O14="SOURCE REVIEW","Missing source currency mapping",IF(O14="APPROVED","Approval metadata supplied; source rates not independently audited",""))))</x:f>
      </x:c>
      <x:c r="T14" s="50"/>
      <x:c r="U14" t="str">
        <x:f>IF(B14="","",IF(ISNUMBER(H14),"DATED ERP INVOICES",IF(ISNUMBER(T14),"HISTORICAL DATES REQUIRED",H14)))</x:f>
      </x:c>
      <x:c r="V14" s="49" t="str">
        <x:f>IF(B14="","",IF((COUNTIFS('Invoice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Register'!$M$2:$M$501,A14,'Invoice Register'!$L$2:$L$501,"VALID")+COUNTIFS('Invoice Register'!$M$2:$M$501,A14,'Invoice Register'!$L$2:$L$501,"FX HOLD")+COUNTIFS('Invoice Register'!$M$2:$M$501,A14,'Invoice Register'!$L$2:$L$501,"CANCELLED")=0,"INVOICE DATA REQUIRED",SUMIFS('Invoice Register'!$H$2:$H$501,'Invoice Register'!$M$2:$M$501,A14,'Invoice Register'!$G$2:$G$501,"USD",'Invoice Register'!$B$2:$B$501,B14,'Invoice Register'!$L$2:$L$501,"VALID")+SUMIFS('Invoice Register'!$H$2:$H$501,'Invoice Register'!$M$2:$M$501,A14,'Invoice Register'!$G$2:$G$501,"USD",'Invoice Register'!$B$2:$B$501,B14,'Invoice Register'!$L$2:$L$501,"FX HOLD"))))</x:f>
      </x:c>
      <x:c r="W14" s="49" t="str">
        <x:f>IF(B14="","",IF((COUNTIFS('Invoice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Register'!$M$2:$M$501,A14,'Invoice Register'!$L$2:$L$501,"VALID")+COUNTIFS('Invoice Register'!$M$2:$M$501,A14,'Invoice Register'!$L$2:$L$501,"FX HOLD")+COUNTIFS('Invoice Register'!$M$2:$M$501,A14,'Invoice Register'!$L$2:$L$501,"CANCELLED")=0,"INVOICE DATA REQUIRED",SUMIFS('Invoice Register'!$H$2:$H$501,'Invoice Register'!$M$2:$M$501,A14,'Invoice Register'!$G$2:$G$501,"MXN",'Invoice Register'!$B$2:$B$501,B14,'Invoice Register'!$L$2:$L$501,"VALID")+SUMIFS('Invoice Register'!$H$2:$H$501,'Invoice Register'!$M$2:$M$501,A14,'Invoice Register'!$G$2:$G$501,"MXN",'Invoice Register'!$B$2:$B$501,B14,'Invoice Register'!$L$2:$L$501,"FX HOLD"))))</x:f>
      </x:c>
    </x:row>
    <x:row r="15">
      <x:c r="H15" t="str">
        <x:f>IF(B15="","",IF((COUNTIFS('Invoice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Register'!$M$2:$M$501,A15)+COUNTIFS('Invoice Register'!$L$2:$L$501,"CANCELLED",'Invoice Register'!$M$2:$M$501,A15)=0,"INVOICE DATA REQUIRED",SUMIFS('Invoice Register'!$N$2:$N$501,'Invoice Register'!$M$2:$M$501,A15,'Invoice Register'!$B$2:$B$501,B15))))</x:f>
      </x:c>
      <x:c r="N15" t="str">
        <x:f>IF(B15="","",IF(COUNTIF('ERP Snapshot'!$A$2:$A$101,B15)=0,"UNKNOWN",IF(COUNTIFS('ERP Snapshot'!$A$2:$A$101,B15,'ERP Snapshot'!$D$2:$D$101,"MXN")&gt;0,"MXN","USD")))</x:f>
      </x:c>
      <x:c r="O15" t="str">
        <x:f>IF(B15="","",IF(N15="UNKNOWN","SOURCE REVIEW",IF(N15="USD","NOT REQUIRED",IF(AND(Settings!$B$8="APPROVED",Settings!$B$9&lt;&gt;"",Settings!$B$10&lt;&gt;"",Settings!$B$2&gt;0),"APPROVED","FX HOLD"))))</x:f>
      </x:c>
      <x:c r="P15" t="str">
        <x:f>IF(B15="","",IF(O15="FX HOLD","USD normalized input is provisional; FX approval missing",IF(O15="SOURCE REVIEW","Missing source currency mapping",IF(O15="APPROVED","Approval metadata supplied; source rates not independently audited",""))))</x:f>
      </x:c>
      <x:c r="T15" s="50"/>
      <x:c r="U15" t="str">
        <x:f>IF(B15="","",IF(ISNUMBER(H15),"DATED ERP INVOICES",IF(ISNUMBER(T15),"HISTORICAL DATES REQUIRED",H15)))</x:f>
      </x:c>
      <x:c r="V15" s="49" t="str">
        <x:f>IF(B15="","",IF((COUNTIFS('Invoice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Register'!$M$2:$M$501,A15,'Invoice Register'!$L$2:$L$501,"VALID")+COUNTIFS('Invoice Register'!$M$2:$M$501,A15,'Invoice Register'!$L$2:$L$501,"FX HOLD")+COUNTIFS('Invoice Register'!$M$2:$M$501,A15,'Invoice Register'!$L$2:$L$501,"CANCELLED")=0,"INVOICE DATA REQUIRED",SUMIFS('Invoice Register'!$H$2:$H$501,'Invoice Register'!$M$2:$M$501,A15,'Invoice Register'!$G$2:$G$501,"USD",'Invoice Register'!$B$2:$B$501,B15,'Invoice Register'!$L$2:$L$501,"VALID")+SUMIFS('Invoice Register'!$H$2:$H$501,'Invoice Register'!$M$2:$M$501,A15,'Invoice Register'!$G$2:$G$501,"USD",'Invoice Register'!$B$2:$B$501,B15,'Invoice Register'!$L$2:$L$501,"FX HOLD"))))</x:f>
      </x:c>
      <x:c r="W15" s="49" t="str">
        <x:f>IF(B15="","",IF((COUNTIFS('Invoice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Register'!$M$2:$M$501,A15,'Invoice Register'!$L$2:$L$501,"VALID")+COUNTIFS('Invoice Register'!$M$2:$M$501,A15,'Invoice Register'!$L$2:$L$501,"FX HOLD")+COUNTIFS('Invoice Register'!$M$2:$M$501,A15,'Invoice Register'!$L$2:$L$501,"CANCELLED")=0,"INVOICE DATA REQUIRED",SUMIFS('Invoice Register'!$H$2:$H$501,'Invoice Register'!$M$2:$M$501,A15,'Invoice Register'!$G$2:$G$501,"MXN",'Invoice Register'!$B$2:$B$501,B15,'Invoice Register'!$L$2:$L$501,"VALID")+SUMIFS('Invoice Register'!$H$2:$H$501,'Invoice Register'!$M$2:$M$501,A15,'Invoice Register'!$G$2:$G$501,"MXN",'Invoice Register'!$B$2:$B$501,B15,'Invoice Register'!$L$2:$L$501,"FX HOLD"))))</x:f>
      </x:c>
    </x:row>
    <x:row r="16">
      <x:c r="H16" t="str">
        <x:f>IF(B16="","",IF((COUNTIFS('Invoice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Register'!$M$2:$M$501,A16)+COUNTIFS('Invoice Register'!$L$2:$L$501,"CANCELLED",'Invoice Register'!$M$2:$M$501,A16)=0,"INVOICE DATA REQUIRED",SUMIFS('Invoice Register'!$N$2:$N$501,'Invoice Register'!$M$2:$M$501,A16,'Invoice Register'!$B$2:$B$501,B16))))</x:f>
      </x:c>
      <x:c r="N16" t="str">
        <x:f>IF(B16="","",IF(COUNTIF('ERP Snapshot'!$A$2:$A$101,B16)=0,"UNKNOWN",IF(COUNTIFS('ERP Snapshot'!$A$2:$A$101,B16,'ERP Snapshot'!$D$2:$D$101,"MXN")&gt;0,"MXN","USD")))</x:f>
      </x:c>
      <x:c r="O16" t="str">
        <x:f>IF(B16="","",IF(N16="UNKNOWN","SOURCE REVIEW",IF(N16="USD","NOT REQUIRED",IF(AND(Settings!$B$8="APPROVED",Settings!$B$9&lt;&gt;"",Settings!$B$10&lt;&gt;"",Settings!$B$2&gt;0),"APPROVED","FX HOLD"))))</x:f>
      </x:c>
      <x:c r="P16" t="str">
        <x:f>IF(B16="","",IF(O16="FX HOLD","USD normalized input is provisional; FX approval missing",IF(O16="SOURCE REVIEW","Missing source currency mapping",IF(O16="APPROVED","Approval metadata supplied; source rates not independently audited",""))))</x:f>
      </x:c>
      <x:c r="T16" s="50"/>
      <x:c r="U16" t="str">
        <x:f>IF(B16="","",IF(ISNUMBER(H16),"DATED ERP INVOICES",IF(ISNUMBER(T16),"HISTORICAL DATES REQUIRED",H16)))</x:f>
      </x:c>
      <x:c r="V16" s="49" t="str">
        <x:f>IF(B16="","",IF((COUNTIFS('Invoice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Register'!$M$2:$M$501,A16,'Invoice Register'!$L$2:$L$501,"VALID")+COUNTIFS('Invoice Register'!$M$2:$M$501,A16,'Invoice Register'!$L$2:$L$501,"FX HOLD")+COUNTIFS('Invoice Register'!$M$2:$M$501,A16,'Invoice Register'!$L$2:$L$501,"CANCELLED")=0,"INVOICE DATA REQUIRED",SUMIFS('Invoice Register'!$H$2:$H$501,'Invoice Register'!$M$2:$M$501,A16,'Invoice Register'!$G$2:$G$501,"USD",'Invoice Register'!$B$2:$B$501,B16,'Invoice Register'!$L$2:$L$501,"VALID")+SUMIFS('Invoice Register'!$H$2:$H$501,'Invoice Register'!$M$2:$M$501,A16,'Invoice Register'!$G$2:$G$501,"USD",'Invoice Register'!$B$2:$B$501,B16,'Invoice Register'!$L$2:$L$501,"FX HOLD"))))</x:f>
      </x:c>
      <x:c r="W16" s="49" t="str">
        <x:f>IF(B16="","",IF((COUNTIFS('Invoice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Register'!$M$2:$M$501,A16,'Invoice Register'!$L$2:$L$501,"VALID")+COUNTIFS('Invoice Register'!$M$2:$M$501,A16,'Invoice Register'!$L$2:$L$501,"FX HOLD")+COUNTIFS('Invoice Register'!$M$2:$M$501,A16,'Invoice Register'!$L$2:$L$501,"CANCELLED")=0,"INVOICE DATA REQUIRED",SUMIFS('Invoice Register'!$H$2:$H$501,'Invoice Register'!$M$2:$M$501,A16,'Invoice Register'!$G$2:$G$501,"MXN",'Invoice Register'!$B$2:$B$501,B16,'Invoice Register'!$L$2:$L$501,"VALID")+SUMIFS('Invoice Register'!$H$2:$H$501,'Invoice Register'!$M$2:$M$501,A16,'Invoice Register'!$G$2:$G$501,"MXN",'Invoice Register'!$B$2:$B$501,B16,'Invoice Register'!$L$2:$L$501,"FX HOLD"))))</x:f>
      </x:c>
    </x:row>
    <x:row r="17">
      <x:c r="H17" t="str">
        <x:f>IF(B17="","",IF((COUNTIFS('Invoice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Register'!$M$2:$M$501,A17)+COUNTIFS('Invoice Register'!$L$2:$L$501,"CANCELLED",'Invoice Register'!$M$2:$M$501,A17)=0,"INVOICE DATA REQUIRED",SUMIFS('Invoice Register'!$N$2:$N$501,'Invoice Register'!$M$2:$M$501,A17,'Invoice Register'!$B$2:$B$501,B17))))</x:f>
      </x:c>
      <x:c r="N17" t="str">
        <x:f>IF(B17="","",IF(COUNTIF('ERP Snapshot'!$A$2:$A$101,B17)=0,"UNKNOWN",IF(COUNTIFS('ERP Snapshot'!$A$2:$A$101,B17,'ERP Snapshot'!$D$2:$D$101,"MXN")&gt;0,"MXN","USD")))</x:f>
      </x:c>
      <x:c r="O17" t="str">
        <x:f>IF(B17="","",IF(N17="UNKNOWN","SOURCE REVIEW",IF(N17="USD","NOT REQUIRED",IF(AND(Settings!$B$8="APPROVED",Settings!$B$9&lt;&gt;"",Settings!$B$10&lt;&gt;"",Settings!$B$2&gt;0),"APPROVED","FX HOLD"))))</x:f>
      </x:c>
      <x:c r="P17" t="str">
        <x:f>IF(B17="","",IF(O17="FX HOLD","USD normalized input is provisional; FX approval missing",IF(O17="SOURCE REVIEW","Missing source currency mapping",IF(O17="APPROVED","Approval metadata supplied; source rates not independently audited",""))))</x:f>
      </x:c>
      <x:c r="T17" s="50"/>
      <x:c r="U17" t="str">
        <x:f>IF(B17="","",IF(ISNUMBER(H17),"DATED ERP INVOICES",IF(ISNUMBER(T17),"HISTORICAL DATES REQUIRED",H17)))</x:f>
      </x:c>
      <x:c r="V17" s="49" t="str">
        <x:f>IF(B17="","",IF((COUNTIFS('Invoice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Register'!$M$2:$M$501,A17,'Invoice Register'!$L$2:$L$501,"VALID")+COUNTIFS('Invoice Register'!$M$2:$M$501,A17,'Invoice Register'!$L$2:$L$501,"FX HOLD")+COUNTIFS('Invoice Register'!$M$2:$M$501,A17,'Invoice Register'!$L$2:$L$501,"CANCELLED")=0,"INVOICE DATA REQUIRED",SUMIFS('Invoice Register'!$H$2:$H$501,'Invoice Register'!$M$2:$M$501,A17,'Invoice Register'!$G$2:$G$501,"USD",'Invoice Register'!$B$2:$B$501,B17,'Invoice Register'!$L$2:$L$501,"VALID")+SUMIFS('Invoice Register'!$H$2:$H$501,'Invoice Register'!$M$2:$M$501,A17,'Invoice Register'!$G$2:$G$501,"USD",'Invoice Register'!$B$2:$B$501,B17,'Invoice Register'!$L$2:$L$501,"FX HOLD"))))</x:f>
      </x:c>
      <x:c r="W17" s="49" t="str">
        <x:f>IF(B17="","",IF((COUNTIFS('Invoice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Register'!$M$2:$M$501,A17,'Invoice Register'!$L$2:$L$501,"VALID")+COUNTIFS('Invoice Register'!$M$2:$M$501,A17,'Invoice Register'!$L$2:$L$501,"FX HOLD")+COUNTIFS('Invoice Register'!$M$2:$M$501,A17,'Invoice Register'!$L$2:$L$501,"CANCELLED")=0,"INVOICE DATA REQUIRED",SUMIFS('Invoice Register'!$H$2:$H$501,'Invoice Register'!$M$2:$M$501,A17,'Invoice Register'!$G$2:$G$501,"MXN",'Invoice Register'!$B$2:$B$501,B17,'Invoice Register'!$L$2:$L$501,"VALID")+SUMIFS('Invoice Register'!$H$2:$H$501,'Invoice Register'!$M$2:$M$501,A17,'Invoice Register'!$G$2:$G$501,"MXN",'Invoice Register'!$B$2:$B$501,B17,'Invoice Register'!$L$2:$L$501,"FX HOLD"))))</x:f>
      </x:c>
    </x:row>
    <x:row r="18">
      <x:c r="H18" t="str">
        <x:f>IF(B18="","",IF((COUNTIFS('Invoice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Register'!$M$2:$M$501,A18)+COUNTIFS('Invoice Register'!$L$2:$L$501,"CANCELLED",'Invoice Register'!$M$2:$M$501,A18)=0,"INVOICE DATA REQUIRED",SUMIFS('Invoice Register'!$N$2:$N$501,'Invoice Register'!$M$2:$M$501,A18,'Invoice Register'!$B$2:$B$501,B18))))</x:f>
      </x:c>
      <x:c r="N18" t="str">
        <x:f>IF(B18="","",IF(COUNTIF('ERP Snapshot'!$A$2:$A$101,B18)=0,"UNKNOWN",IF(COUNTIFS('ERP Snapshot'!$A$2:$A$101,B18,'ERP Snapshot'!$D$2:$D$101,"MXN")&gt;0,"MXN","USD")))</x:f>
      </x:c>
      <x:c r="O18" t="str">
        <x:f>IF(B18="","",IF(N18="UNKNOWN","SOURCE REVIEW",IF(N18="USD","NOT REQUIRED",IF(AND(Settings!$B$8="APPROVED",Settings!$B$9&lt;&gt;"",Settings!$B$10&lt;&gt;"",Settings!$B$2&gt;0),"APPROVED","FX HOLD"))))</x:f>
      </x:c>
      <x:c r="P18" t="str">
        <x:f>IF(B18="","",IF(O18="FX HOLD","USD normalized input is provisional; FX approval missing",IF(O18="SOURCE REVIEW","Missing source currency mapping",IF(O18="APPROVED","Approval metadata supplied; source rates not independently audited",""))))</x:f>
      </x:c>
      <x:c r="T18" s="50"/>
      <x:c r="U18" t="str">
        <x:f>IF(B18="","",IF(ISNUMBER(H18),"DATED ERP INVOICES",IF(ISNUMBER(T18),"HISTORICAL DATES REQUIRED",H18)))</x:f>
      </x:c>
      <x:c r="V18" s="49" t="str">
        <x:f>IF(B18="","",IF((COUNTIFS('Invoice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Register'!$M$2:$M$501,A18,'Invoice Register'!$L$2:$L$501,"VALID")+COUNTIFS('Invoice Register'!$M$2:$M$501,A18,'Invoice Register'!$L$2:$L$501,"FX HOLD")+COUNTIFS('Invoice Register'!$M$2:$M$501,A18,'Invoice Register'!$L$2:$L$501,"CANCELLED")=0,"INVOICE DATA REQUIRED",SUMIFS('Invoice Register'!$H$2:$H$501,'Invoice Register'!$M$2:$M$501,A18,'Invoice Register'!$G$2:$G$501,"USD",'Invoice Register'!$B$2:$B$501,B18,'Invoice Register'!$L$2:$L$501,"VALID")+SUMIFS('Invoice Register'!$H$2:$H$501,'Invoice Register'!$M$2:$M$501,A18,'Invoice Register'!$G$2:$G$501,"USD",'Invoice Register'!$B$2:$B$501,B18,'Invoice Register'!$L$2:$L$501,"FX HOLD"))))</x:f>
      </x:c>
      <x:c r="W18" s="49" t="str">
        <x:f>IF(B18="","",IF((COUNTIFS('Invoice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Register'!$M$2:$M$501,A18,'Invoice Register'!$L$2:$L$501,"VALID")+COUNTIFS('Invoice Register'!$M$2:$M$501,A18,'Invoice Register'!$L$2:$L$501,"FX HOLD")+COUNTIFS('Invoice Register'!$M$2:$M$501,A18,'Invoice Register'!$L$2:$L$501,"CANCELLED")=0,"INVOICE DATA REQUIRED",SUMIFS('Invoice Register'!$H$2:$H$501,'Invoice Register'!$M$2:$M$501,A18,'Invoice Register'!$G$2:$G$501,"MXN",'Invoice Register'!$B$2:$B$501,B18,'Invoice Register'!$L$2:$L$501,"VALID")+SUMIFS('Invoice Register'!$H$2:$H$501,'Invoice Register'!$M$2:$M$501,A18,'Invoice Register'!$G$2:$G$501,"MXN",'Invoice Register'!$B$2:$B$501,B18,'Invoice Register'!$L$2:$L$501,"FX HOLD"))))</x:f>
      </x:c>
    </x:row>
    <x:row r="19">
      <x:c r="H19" t="str">
        <x:f>IF(B19="","",IF((COUNTIFS('Invoice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Register'!$M$2:$M$501,A19)+COUNTIFS('Invoice Register'!$L$2:$L$501,"CANCELLED",'Invoice Register'!$M$2:$M$501,A19)=0,"INVOICE DATA REQUIRED",SUMIFS('Invoice Register'!$N$2:$N$501,'Invoice Register'!$M$2:$M$501,A19,'Invoice Register'!$B$2:$B$501,B19))))</x:f>
      </x:c>
      <x:c r="N19" t="str">
        <x:f>IF(B19="","",IF(COUNTIF('ERP Snapshot'!$A$2:$A$101,B19)=0,"UNKNOWN",IF(COUNTIFS('ERP Snapshot'!$A$2:$A$101,B19,'ERP Snapshot'!$D$2:$D$101,"MXN")&gt;0,"MXN","USD")))</x:f>
      </x:c>
      <x:c r="O19" t="str">
        <x:f>IF(B19="","",IF(N19="UNKNOWN","SOURCE REVIEW",IF(N19="USD","NOT REQUIRED",IF(AND(Settings!$B$8="APPROVED",Settings!$B$9&lt;&gt;"",Settings!$B$10&lt;&gt;"",Settings!$B$2&gt;0),"APPROVED","FX HOLD"))))</x:f>
      </x:c>
      <x:c r="P19" t="str">
        <x:f>IF(B19="","",IF(O19="FX HOLD","USD normalized input is provisional; FX approval missing",IF(O19="SOURCE REVIEW","Missing source currency mapping",IF(O19="APPROVED","Approval metadata supplied; source rates not independently audited",""))))</x:f>
      </x:c>
      <x:c r="T19" s="50"/>
      <x:c r="U19" t="str">
        <x:f>IF(B19="","",IF(ISNUMBER(H19),"DATED ERP INVOICES",IF(ISNUMBER(T19),"HISTORICAL DATES REQUIRED",H19)))</x:f>
      </x:c>
      <x:c r="V19" s="49" t="str">
        <x:f>IF(B19="","",IF((COUNTIFS('Invoice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Register'!$M$2:$M$501,A19,'Invoice Register'!$L$2:$L$501,"VALID")+COUNTIFS('Invoice Register'!$M$2:$M$501,A19,'Invoice Register'!$L$2:$L$501,"FX HOLD")+COUNTIFS('Invoice Register'!$M$2:$M$501,A19,'Invoice Register'!$L$2:$L$501,"CANCELLED")=0,"INVOICE DATA REQUIRED",SUMIFS('Invoice Register'!$H$2:$H$501,'Invoice Register'!$M$2:$M$501,A19,'Invoice Register'!$G$2:$G$501,"USD",'Invoice Register'!$B$2:$B$501,B19,'Invoice Register'!$L$2:$L$501,"VALID")+SUMIFS('Invoice Register'!$H$2:$H$501,'Invoice Register'!$M$2:$M$501,A19,'Invoice Register'!$G$2:$G$501,"USD",'Invoice Register'!$B$2:$B$501,B19,'Invoice Register'!$L$2:$L$501,"FX HOLD"))))</x:f>
      </x:c>
      <x:c r="W19" s="49" t="str">
        <x:f>IF(B19="","",IF((COUNTIFS('Invoice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Register'!$M$2:$M$501,A19,'Invoice Register'!$L$2:$L$501,"VALID")+COUNTIFS('Invoice Register'!$M$2:$M$501,A19,'Invoice Register'!$L$2:$L$501,"FX HOLD")+COUNTIFS('Invoice Register'!$M$2:$M$501,A19,'Invoice Register'!$L$2:$L$501,"CANCELLED")=0,"INVOICE DATA REQUIRED",SUMIFS('Invoice Register'!$H$2:$H$501,'Invoice Register'!$M$2:$M$501,A19,'Invoice Register'!$G$2:$G$501,"MXN",'Invoice Register'!$B$2:$B$501,B19,'Invoice Register'!$L$2:$L$501,"VALID")+SUMIFS('Invoice Register'!$H$2:$H$501,'Invoice Register'!$M$2:$M$501,A19,'Invoice Register'!$G$2:$G$501,"MXN",'Invoice Register'!$B$2:$B$501,B19,'Invoice Register'!$L$2:$L$501,"FX HOLD"))))</x:f>
      </x:c>
    </x:row>
    <x:row r="20">
      <x:c r="H20" t="str">
        <x:f>IF(B20="","",IF((COUNTIFS('Invoice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Register'!$M$2:$M$501,A20)+COUNTIFS('Invoice Register'!$L$2:$L$501,"CANCELLED",'Invoice Register'!$M$2:$M$501,A20)=0,"INVOICE DATA REQUIRED",SUMIFS('Invoice Register'!$N$2:$N$501,'Invoice Register'!$M$2:$M$501,A20,'Invoice Register'!$B$2:$B$501,B20))))</x:f>
      </x:c>
      <x:c r="N20" t="str">
        <x:f>IF(B20="","",IF(COUNTIF('ERP Snapshot'!$A$2:$A$101,B20)=0,"UNKNOWN",IF(COUNTIFS('ERP Snapshot'!$A$2:$A$101,B20,'ERP Snapshot'!$D$2:$D$101,"MXN")&gt;0,"MXN","USD")))</x:f>
      </x:c>
      <x:c r="O20" t="str">
        <x:f>IF(B20="","",IF(N20="UNKNOWN","SOURCE REVIEW",IF(N20="USD","NOT REQUIRED",IF(AND(Settings!$B$8="APPROVED",Settings!$B$9&lt;&gt;"",Settings!$B$10&lt;&gt;"",Settings!$B$2&gt;0),"APPROVED","FX HOLD"))))</x:f>
      </x:c>
      <x:c r="P20" t="str">
        <x:f>IF(B20="","",IF(O20="FX HOLD","USD normalized input is provisional; FX approval missing",IF(O20="SOURCE REVIEW","Missing source currency mapping",IF(O20="APPROVED","Approval metadata supplied; source rates not independently audited",""))))</x:f>
      </x:c>
      <x:c r="T20" s="50"/>
      <x:c r="U20" t="str">
        <x:f>IF(B20="","",IF(ISNUMBER(H20),"DATED ERP INVOICES",IF(ISNUMBER(T20),"HISTORICAL DATES REQUIRED",H20)))</x:f>
      </x:c>
      <x:c r="V20" s="49" t="str">
        <x:f>IF(B20="","",IF((COUNTIFS('Invoice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Register'!$M$2:$M$501,A20,'Invoice Register'!$L$2:$L$501,"VALID")+COUNTIFS('Invoice Register'!$M$2:$M$501,A20,'Invoice Register'!$L$2:$L$501,"FX HOLD")+COUNTIFS('Invoice Register'!$M$2:$M$501,A20,'Invoice Register'!$L$2:$L$501,"CANCELLED")=0,"INVOICE DATA REQUIRED",SUMIFS('Invoice Register'!$H$2:$H$501,'Invoice Register'!$M$2:$M$501,A20,'Invoice Register'!$G$2:$G$501,"USD",'Invoice Register'!$B$2:$B$501,B20,'Invoice Register'!$L$2:$L$501,"VALID")+SUMIFS('Invoice Register'!$H$2:$H$501,'Invoice Register'!$M$2:$M$501,A20,'Invoice Register'!$G$2:$G$501,"USD",'Invoice Register'!$B$2:$B$501,B20,'Invoice Register'!$L$2:$L$501,"FX HOLD"))))</x:f>
      </x:c>
      <x:c r="W20" s="49" t="str">
        <x:f>IF(B20="","",IF((COUNTIFS('Invoice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Register'!$M$2:$M$501,A20,'Invoice Register'!$L$2:$L$501,"VALID")+COUNTIFS('Invoice Register'!$M$2:$M$501,A20,'Invoice Register'!$L$2:$L$501,"FX HOLD")+COUNTIFS('Invoice Register'!$M$2:$M$501,A20,'Invoice Register'!$L$2:$L$501,"CANCELLED")=0,"INVOICE DATA REQUIRED",SUMIFS('Invoice Register'!$H$2:$H$501,'Invoice Register'!$M$2:$M$501,A20,'Invoice Register'!$G$2:$G$501,"MXN",'Invoice Register'!$B$2:$B$501,B20,'Invoice Register'!$L$2:$L$501,"VALID")+SUMIFS('Invoice Register'!$H$2:$H$501,'Invoice Register'!$M$2:$M$501,A20,'Invoice Register'!$G$2:$G$501,"MXN",'Invoice Register'!$B$2:$B$501,B20,'Invoice Register'!$L$2:$L$501,"FX HOLD"))))</x:f>
      </x:c>
    </x:row>
    <x:row r="21">
      <x:c r="H21" t="str">
        <x:f>IF(B21="","",IF((COUNTIFS('Invoice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Register'!$M$2:$M$501,A21)+COUNTIFS('Invoice Register'!$L$2:$L$501,"CANCELLED",'Invoice Register'!$M$2:$M$501,A21)=0,"INVOICE DATA REQUIRED",SUMIFS('Invoice Register'!$N$2:$N$501,'Invoice Register'!$M$2:$M$501,A21,'Invoice Register'!$B$2:$B$501,B21))))</x:f>
      </x:c>
      <x:c r="N21" t="str">
        <x:f>IF(B21="","",IF(COUNTIF('ERP Snapshot'!$A$2:$A$101,B21)=0,"UNKNOWN",IF(COUNTIFS('ERP Snapshot'!$A$2:$A$101,B21,'ERP Snapshot'!$D$2:$D$101,"MXN")&gt;0,"MXN","USD")))</x:f>
      </x:c>
      <x:c r="O21" t="str">
        <x:f>IF(B21="","",IF(N21="UNKNOWN","SOURCE REVIEW",IF(N21="USD","NOT REQUIRED",IF(AND(Settings!$B$8="APPROVED",Settings!$B$9&lt;&gt;"",Settings!$B$10&lt;&gt;"",Settings!$B$2&gt;0),"APPROVED","FX HOLD"))))</x:f>
      </x:c>
      <x:c r="P21" t="str">
        <x:f>IF(B21="","",IF(O21="FX HOLD","USD normalized input is provisional; FX approval missing",IF(O21="SOURCE REVIEW","Missing source currency mapping",IF(O21="APPROVED","Approval metadata supplied; source rates not independently audited",""))))</x:f>
      </x:c>
      <x:c r="T21" s="50"/>
      <x:c r="U21" t="str">
        <x:f>IF(B21="","",IF(ISNUMBER(H21),"DATED ERP INVOICES",IF(ISNUMBER(T21),"HISTORICAL DATES REQUIRED",H21)))</x:f>
      </x:c>
      <x:c r="V21" s="49" t="str">
        <x:f>IF(B21="","",IF((COUNTIFS('Invoice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Register'!$M$2:$M$501,A21,'Invoice Register'!$L$2:$L$501,"VALID")+COUNTIFS('Invoice Register'!$M$2:$M$501,A21,'Invoice Register'!$L$2:$L$501,"FX HOLD")+COUNTIFS('Invoice Register'!$M$2:$M$501,A21,'Invoice Register'!$L$2:$L$501,"CANCELLED")=0,"INVOICE DATA REQUIRED",SUMIFS('Invoice Register'!$H$2:$H$501,'Invoice Register'!$M$2:$M$501,A21,'Invoice Register'!$G$2:$G$501,"USD",'Invoice Register'!$B$2:$B$501,B21,'Invoice Register'!$L$2:$L$501,"VALID")+SUMIFS('Invoice Register'!$H$2:$H$501,'Invoice Register'!$M$2:$M$501,A21,'Invoice Register'!$G$2:$G$501,"USD",'Invoice Register'!$B$2:$B$501,B21,'Invoice Register'!$L$2:$L$501,"FX HOLD"))))</x:f>
      </x:c>
      <x:c r="W21" s="49" t="str">
        <x:f>IF(B21="","",IF((COUNTIFS('Invoice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Register'!$M$2:$M$501,A21,'Invoice Register'!$L$2:$L$501,"VALID")+COUNTIFS('Invoice Register'!$M$2:$M$501,A21,'Invoice Register'!$L$2:$L$501,"FX HOLD")+COUNTIFS('Invoice Register'!$M$2:$M$501,A21,'Invoice Register'!$L$2:$L$501,"CANCELLED")=0,"INVOICE DATA REQUIRED",SUMIFS('Invoice Register'!$H$2:$H$501,'Invoice Register'!$M$2:$M$501,A21,'Invoice Register'!$G$2:$G$501,"MXN",'Invoice Register'!$B$2:$B$501,B21,'Invoice Register'!$L$2:$L$501,"VALID")+SUMIFS('Invoice Register'!$H$2:$H$501,'Invoice Register'!$M$2:$M$501,A21,'Invoice Register'!$G$2:$G$501,"MXN",'Invoice Register'!$B$2:$B$501,B21,'Invoice Register'!$L$2:$L$501,"FX HOLD"))))</x:f>
      </x:c>
    </x:row>
    <x:row r="22">
      <x:c r="H22" t="str">
        <x:f>IF(B22="","",IF((COUNTIFS('Invoice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Register'!$M$2:$M$501,A22)+COUNTIFS('Invoice Register'!$L$2:$L$501,"CANCELLED",'Invoice Register'!$M$2:$M$501,A22)=0,"INVOICE DATA REQUIRED",SUMIFS('Invoice Register'!$N$2:$N$501,'Invoice Register'!$M$2:$M$501,A22,'Invoice Register'!$B$2:$B$501,B22))))</x:f>
      </x:c>
      <x:c r="N22" t="str">
        <x:f>IF(B22="","",IF(COUNTIF('ERP Snapshot'!$A$2:$A$101,B22)=0,"UNKNOWN",IF(COUNTIFS('ERP Snapshot'!$A$2:$A$101,B22,'ERP Snapshot'!$D$2:$D$101,"MXN")&gt;0,"MXN","USD")))</x:f>
      </x:c>
      <x:c r="O22" t="str">
        <x:f>IF(B22="","",IF(N22="UNKNOWN","SOURCE REVIEW",IF(N22="USD","NOT REQUIRED",IF(AND(Settings!$B$8="APPROVED",Settings!$B$9&lt;&gt;"",Settings!$B$10&lt;&gt;"",Settings!$B$2&gt;0),"APPROVED","FX HOLD"))))</x:f>
      </x:c>
      <x:c r="P22" t="str">
        <x:f>IF(B22="","",IF(O22="FX HOLD","USD normalized input is provisional; FX approval missing",IF(O22="SOURCE REVIEW","Missing source currency mapping",IF(O22="APPROVED","Approval metadata supplied; source rates not independently audited",""))))</x:f>
      </x:c>
      <x:c r="T22" s="50"/>
      <x:c r="U22" t="str">
        <x:f>IF(B22="","",IF(ISNUMBER(H22),"DATED ERP INVOICES",IF(ISNUMBER(T22),"HISTORICAL DATES REQUIRED",H22)))</x:f>
      </x:c>
      <x:c r="V22" s="49" t="str">
        <x:f>IF(B22="","",IF((COUNTIFS('Invoice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Register'!$M$2:$M$501,A22,'Invoice Register'!$L$2:$L$501,"VALID")+COUNTIFS('Invoice Register'!$M$2:$M$501,A22,'Invoice Register'!$L$2:$L$501,"FX HOLD")+COUNTIFS('Invoice Register'!$M$2:$M$501,A22,'Invoice Register'!$L$2:$L$501,"CANCELLED")=0,"INVOICE DATA REQUIRED",SUMIFS('Invoice Register'!$H$2:$H$501,'Invoice Register'!$M$2:$M$501,A22,'Invoice Register'!$G$2:$G$501,"USD",'Invoice Register'!$B$2:$B$501,B22,'Invoice Register'!$L$2:$L$501,"VALID")+SUMIFS('Invoice Register'!$H$2:$H$501,'Invoice Register'!$M$2:$M$501,A22,'Invoice Register'!$G$2:$G$501,"USD",'Invoice Register'!$B$2:$B$501,B22,'Invoice Register'!$L$2:$L$501,"FX HOLD"))))</x:f>
      </x:c>
      <x:c r="W22" s="49" t="str">
        <x:f>IF(B22="","",IF((COUNTIFS('Invoice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Register'!$M$2:$M$501,A22,'Invoice Register'!$L$2:$L$501,"VALID")+COUNTIFS('Invoice Register'!$M$2:$M$501,A22,'Invoice Register'!$L$2:$L$501,"FX HOLD")+COUNTIFS('Invoice Register'!$M$2:$M$501,A22,'Invoice Register'!$L$2:$L$501,"CANCELLED")=0,"INVOICE DATA REQUIRED",SUMIFS('Invoice Register'!$H$2:$H$501,'Invoice Register'!$M$2:$M$501,A22,'Invoice Register'!$G$2:$G$501,"MXN",'Invoice Register'!$B$2:$B$501,B22,'Invoice Register'!$L$2:$L$501,"VALID")+SUMIFS('Invoice Register'!$H$2:$H$501,'Invoice Register'!$M$2:$M$501,A22,'Invoice Register'!$G$2:$G$501,"MXN",'Invoice Register'!$B$2:$B$501,B22,'Invoice Register'!$L$2:$L$501,"FX HOLD"))))</x:f>
      </x:c>
    </x:row>
    <x:row r="23">
      <x:c r="H23" t="str">
        <x:f>IF(B23="","",IF((COUNTIFS('Invoice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Register'!$M$2:$M$501,A23)+COUNTIFS('Invoice Register'!$L$2:$L$501,"CANCELLED",'Invoice Register'!$M$2:$M$501,A23)=0,"INVOICE DATA REQUIRED",SUMIFS('Invoice Register'!$N$2:$N$501,'Invoice Register'!$M$2:$M$501,A23,'Invoice Register'!$B$2:$B$501,B23))))</x:f>
      </x:c>
      <x:c r="N23" t="str">
        <x:f>IF(B23="","",IF(COUNTIF('ERP Snapshot'!$A$2:$A$101,B23)=0,"UNKNOWN",IF(COUNTIFS('ERP Snapshot'!$A$2:$A$101,B23,'ERP Snapshot'!$D$2:$D$101,"MXN")&gt;0,"MXN","USD")))</x:f>
      </x:c>
      <x:c r="O23" t="str">
        <x:f>IF(B23="","",IF(N23="UNKNOWN","SOURCE REVIEW",IF(N23="USD","NOT REQUIRED",IF(AND(Settings!$B$8="APPROVED",Settings!$B$9&lt;&gt;"",Settings!$B$10&lt;&gt;"",Settings!$B$2&gt;0),"APPROVED","FX HOLD"))))</x:f>
      </x:c>
      <x:c r="P23" t="str">
        <x:f>IF(B23="","",IF(O23="FX HOLD","USD normalized input is provisional; FX approval missing",IF(O23="SOURCE REVIEW","Missing source currency mapping",IF(O23="APPROVED","Approval metadata supplied; source rates not independently audited",""))))</x:f>
      </x:c>
      <x:c r="T23" s="50"/>
      <x:c r="U23" t="str">
        <x:f>IF(B23="","",IF(ISNUMBER(H23),"DATED ERP INVOICES",IF(ISNUMBER(T23),"HISTORICAL DATES REQUIRED",H23)))</x:f>
      </x:c>
      <x:c r="V23" s="49" t="str">
        <x:f>IF(B23="","",IF((COUNTIFS('Invoice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Register'!$M$2:$M$501,A23,'Invoice Register'!$L$2:$L$501,"VALID")+COUNTIFS('Invoice Register'!$M$2:$M$501,A23,'Invoice Register'!$L$2:$L$501,"FX HOLD")+COUNTIFS('Invoice Register'!$M$2:$M$501,A23,'Invoice Register'!$L$2:$L$501,"CANCELLED")=0,"INVOICE DATA REQUIRED",SUMIFS('Invoice Register'!$H$2:$H$501,'Invoice Register'!$M$2:$M$501,A23,'Invoice Register'!$G$2:$G$501,"USD",'Invoice Register'!$B$2:$B$501,B23,'Invoice Register'!$L$2:$L$501,"VALID")+SUMIFS('Invoice Register'!$H$2:$H$501,'Invoice Register'!$M$2:$M$501,A23,'Invoice Register'!$G$2:$G$501,"USD",'Invoice Register'!$B$2:$B$501,B23,'Invoice Register'!$L$2:$L$501,"FX HOLD"))))</x:f>
      </x:c>
      <x:c r="W23" s="49" t="str">
        <x:f>IF(B23="","",IF((COUNTIFS('Invoice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Register'!$M$2:$M$501,A23,'Invoice Register'!$L$2:$L$501,"VALID")+COUNTIFS('Invoice Register'!$M$2:$M$501,A23,'Invoice Register'!$L$2:$L$501,"FX HOLD")+COUNTIFS('Invoice Register'!$M$2:$M$501,A23,'Invoice Register'!$L$2:$L$501,"CANCELLED")=0,"INVOICE DATA REQUIRED",SUMIFS('Invoice Register'!$H$2:$H$501,'Invoice Register'!$M$2:$M$501,A23,'Invoice Register'!$G$2:$G$501,"MXN",'Invoice Register'!$B$2:$B$501,B23,'Invoice Register'!$L$2:$L$501,"VALID")+SUMIFS('Invoice Register'!$H$2:$H$501,'Invoice Register'!$M$2:$M$501,A23,'Invoice Register'!$G$2:$G$501,"MXN",'Invoice Register'!$B$2:$B$501,B23,'Invoice Register'!$L$2:$L$501,"FX HOLD"))))</x:f>
      </x:c>
    </x:row>
    <x:row r="24">
      <x:c r="H24" t="str">
        <x:f>IF(B24="","",IF((COUNTIFS('Invoice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Register'!$M$2:$M$501,A24)+COUNTIFS('Invoice Register'!$L$2:$L$501,"CANCELLED",'Invoice Register'!$M$2:$M$501,A24)=0,"INVOICE DATA REQUIRED",SUMIFS('Invoice Register'!$N$2:$N$501,'Invoice Register'!$M$2:$M$501,A24,'Invoice Register'!$B$2:$B$501,B24))))</x:f>
      </x:c>
      <x:c r="N24" t="str">
        <x:f>IF(B24="","",IF(COUNTIF('ERP Snapshot'!$A$2:$A$101,B24)=0,"UNKNOWN",IF(COUNTIFS('ERP Snapshot'!$A$2:$A$101,B24,'ERP Snapshot'!$D$2:$D$101,"MXN")&gt;0,"MXN","USD")))</x:f>
      </x:c>
      <x:c r="O24" t="str">
        <x:f>IF(B24="","",IF(N24="UNKNOWN","SOURCE REVIEW",IF(N24="USD","NOT REQUIRED",IF(AND(Settings!$B$8="APPROVED",Settings!$B$9&lt;&gt;"",Settings!$B$10&lt;&gt;"",Settings!$B$2&gt;0),"APPROVED","FX HOLD"))))</x:f>
      </x:c>
      <x:c r="P24" t="str">
        <x:f>IF(B24="","",IF(O24="FX HOLD","USD normalized input is provisional; FX approval missing",IF(O24="SOURCE REVIEW","Missing source currency mapping",IF(O24="APPROVED","Approval metadata supplied; source rates not independently audited",""))))</x:f>
      </x:c>
      <x:c r="T24" s="50"/>
      <x:c r="U24" t="str">
        <x:f>IF(B24="","",IF(ISNUMBER(H24),"DATED ERP INVOICES",IF(ISNUMBER(T24),"HISTORICAL DATES REQUIRED",H24)))</x:f>
      </x:c>
      <x:c r="V24" s="49" t="str">
        <x:f>IF(B24="","",IF((COUNTIFS('Invoice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Register'!$M$2:$M$501,A24,'Invoice Register'!$L$2:$L$501,"VALID")+COUNTIFS('Invoice Register'!$M$2:$M$501,A24,'Invoice Register'!$L$2:$L$501,"FX HOLD")+COUNTIFS('Invoice Register'!$M$2:$M$501,A24,'Invoice Register'!$L$2:$L$501,"CANCELLED")=0,"INVOICE DATA REQUIRED",SUMIFS('Invoice Register'!$H$2:$H$501,'Invoice Register'!$M$2:$M$501,A24,'Invoice Register'!$G$2:$G$501,"USD",'Invoice Register'!$B$2:$B$501,B24,'Invoice Register'!$L$2:$L$501,"VALID")+SUMIFS('Invoice Register'!$H$2:$H$501,'Invoice Register'!$M$2:$M$501,A24,'Invoice Register'!$G$2:$G$501,"USD",'Invoice Register'!$B$2:$B$501,B24,'Invoice Register'!$L$2:$L$501,"FX HOLD"))))</x:f>
      </x:c>
      <x:c r="W24" s="49" t="str">
        <x:f>IF(B24="","",IF((COUNTIFS('Invoice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Register'!$M$2:$M$501,A24,'Invoice Register'!$L$2:$L$501,"VALID")+COUNTIFS('Invoice Register'!$M$2:$M$501,A24,'Invoice Register'!$L$2:$L$501,"FX HOLD")+COUNTIFS('Invoice Register'!$M$2:$M$501,A24,'Invoice Register'!$L$2:$L$501,"CANCELLED")=0,"INVOICE DATA REQUIRED",SUMIFS('Invoice Register'!$H$2:$H$501,'Invoice Register'!$M$2:$M$501,A24,'Invoice Register'!$G$2:$G$501,"MXN",'Invoice Register'!$B$2:$B$501,B24,'Invoice Register'!$L$2:$L$501,"VALID")+SUMIFS('Invoice Register'!$H$2:$H$501,'Invoice Register'!$M$2:$M$501,A24,'Invoice Register'!$G$2:$G$501,"MXN",'Invoice Register'!$B$2:$B$501,B24,'Invoice Register'!$L$2:$L$501,"FX HOLD"))))</x:f>
      </x:c>
    </x:row>
    <x:row r="25">
      <x:c r="H25" t="str">
        <x:f>IF(B25="","",IF((COUNTIFS('Invoice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Register'!$M$2:$M$501,A25)+COUNTIFS('Invoice Register'!$L$2:$L$501,"CANCELLED",'Invoice Register'!$M$2:$M$501,A25)=0,"INVOICE DATA REQUIRED",SUMIFS('Invoice Register'!$N$2:$N$501,'Invoice Register'!$M$2:$M$501,A25,'Invoice Register'!$B$2:$B$501,B25))))</x:f>
      </x:c>
      <x:c r="N25" t="str">
        <x:f>IF(B25="","",IF(COUNTIF('ERP Snapshot'!$A$2:$A$101,B25)=0,"UNKNOWN",IF(COUNTIFS('ERP Snapshot'!$A$2:$A$101,B25,'ERP Snapshot'!$D$2:$D$101,"MXN")&gt;0,"MXN","USD")))</x:f>
      </x:c>
      <x:c r="O25" t="str">
        <x:f>IF(B25="","",IF(N25="UNKNOWN","SOURCE REVIEW",IF(N25="USD","NOT REQUIRED",IF(AND(Settings!$B$8="APPROVED",Settings!$B$9&lt;&gt;"",Settings!$B$10&lt;&gt;"",Settings!$B$2&gt;0),"APPROVED","FX HOLD"))))</x:f>
      </x:c>
      <x:c r="P25" t="str">
        <x:f>IF(B25="","",IF(O25="FX HOLD","USD normalized input is provisional; FX approval missing",IF(O25="SOURCE REVIEW","Missing source currency mapping",IF(O25="APPROVED","Approval metadata supplied; source rates not independently audited",""))))</x:f>
      </x:c>
      <x:c r="T25" s="50"/>
      <x:c r="U25" t="str">
        <x:f>IF(B25="","",IF(ISNUMBER(H25),"DATED ERP INVOICES",IF(ISNUMBER(T25),"HISTORICAL DATES REQUIRED",H25)))</x:f>
      </x:c>
      <x:c r="V25" s="49" t="str">
        <x:f>IF(B25="","",IF((COUNTIFS('Invoice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Register'!$M$2:$M$501,A25,'Invoice Register'!$L$2:$L$501,"VALID")+COUNTIFS('Invoice Register'!$M$2:$M$501,A25,'Invoice Register'!$L$2:$L$501,"FX HOLD")+COUNTIFS('Invoice Register'!$M$2:$M$501,A25,'Invoice Register'!$L$2:$L$501,"CANCELLED")=0,"INVOICE DATA REQUIRED",SUMIFS('Invoice Register'!$H$2:$H$501,'Invoice Register'!$M$2:$M$501,A25,'Invoice Register'!$G$2:$G$501,"USD",'Invoice Register'!$B$2:$B$501,B25,'Invoice Register'!$L$2:$L$501,"VALID")+SUMIFS('Invoice Register'!$H$2:$H$501,'Invoice Register'!$M$2:$M$501,A25,'Invoice Register'!$G$2:$G$501,"USD",'Invoice Register'!$B$2:$B$501,B25,'Invoice Register'!$L$2:$L$501,"FX HOLD"))))</x:f>
      </x:c>
      <x:c r="W25" s="49" t="str">
        <x:f>IF(B25="","",IF((COUNTIFS('Invoice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Register'!$M$2:$M$501,A25,'Invoice Register'!$L$2:$L$501,"VALID")+COUNTIFS('Invoice Register'!$M$2:$M$501,A25,'Invoice Register'!$L$2:$L$501,"FX HOLD")+COUNTIFS('Invoice Register'!$M$2:$M$501,A25,'Invoice Register'!$L$2:$L$501,"CANCELLED")=0,"INVOICE DATA REQUIRED",SUMIFS('Invoice Register'!$H$2:$H$501,'Invoice Register'!$M$2:$M$501,A25,'Invoice Register'!$G$2:$G$501,"MXN",'Invoice Register'!$B$2:$B$501,B25,'Invoice Register'!$L$2:$L$501,"VALID")+SUMIFS('Invoice Register'!$H$2:$H$501,'Invoice Register'!$M$2:$M$501,A25,'Invoice Register'!$G$2:$G$501,"MXN",'Invoice Register'!$B$2:$B$501,B25,'Invoice Register'!$L$2:$L$501,"FX HOLD"))))</x:f>
      </x:c>
    </x:row>
    <x:row r="26">
      <x:c r="H26" t="str">
        <x:f>IF(B26="","",IF((COUNTIFS('Invoice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Register'!$M$2:$M$501,A26)+COUNTIFS('Invoice Register'!$L$2:$L$501,"CANCELLED",'Invoice Register'!$M$2:$M$501,A26)=0,"INVOICE DATA REQUIRED",SUMIFS('Invoice Register'!$N$2:$N$501,'Invoice Register'!$M$2:$M$501,A26,'Invoice Register'!$B$2:$B$501,B26))))</x:f>
      </x:c>
      <x:c r="N26" t="str">
        <x:f>IF(B26="","",IF(COUNTIF('ERP Snapshot'!$A$2:$A$101,B26)=0,"UNKNOWN",IF(COUNTIFS('ERP Snapshot'!$A$2:$A$101,B26,'ERP Snapshot'!$D$2:$D$101,"MXN")&gt;0,"MXN","USD")))</x:f>
      </x:c>
      <x:c r="O26" t="str">
        <x:f>IF(B26="","",IF(N26="UNKNOWN","SOURCE REVIEW",IF(N26="USD","NOT REQUIRED",IF(AND(Settings!$B$8="APPROVED",Settings!$B$9&lt;&gt;"",Settings!$B$10&lt;&gt;"",Settings!$B$2&gt;0),"APPROVED","FX HOLD"))))</x:f>
      </x:c>
      <x:c r="P26" t="str">
        <x:f>IF(B26="","",IF(O26="FX HOLD","USD normalized input is provisional; FX approval missing",IF(O26="SOURCE REVIEW","Missing source currency mapping",IF(O26="APPROVED","Approval metadata supplied; source rates not independently audited",""))))</x:f>
      </x:c>
      <x:c r="T26" s="50"/>
      <x:c r="U26" t="str">
        <x:f>IF(B26="","",IF(ISNUMBER(H26),"DATED ERP INVOICES",IF(ISNUMBER(T26),"HISTORICAL DATES REQUIRED",H26)))</x:f>
      </x:c>
      <x:c r="V26" s="49" t="str">
        <x:f>IF(B26="","",IF((COUNTIFS('Invoice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Register'!$M$2:$M$501,A26,'Invoice Register'!$L$2:$L$501,"VALID")+COUNTIFS('Invoice Register'!$M$2:$M$501,A26,'Invoice Register'!$L$2:$L$501,"FX HOLD")+COUNTIFS('Invoice Register'!$M$2:$M$501,A26,'Invoice Register'!$L$2:$L$501,"CANCELLED")=0,"INVOICE DATA REQUIRED",SUMIFS('Invoice Register'!$H$2:$H$501,'Invoice Register'!$M$2:$M$501,A26,'Invoice Register'!$G$2:$G$501,"USD",'Invoice Register'!$B$2:$B$501,B26,'Invoice Register'!$L$2:$L$501,"VALID")+SUMIFS('Invoice Register'!$H$2:$H$501,'Invoice Register'!$M$2:$M$501,A26,'Invoice Register'!$G$2:$G$501,"USD",'Invoice Register'!$B$2:$B$501,B26,'Invoice Register'!$L$2:$L$501,"FX HOLD"))))</x:f>
      </x:c>
      <x:c r="W26" s="49" t="str">
        <x:f>IF(B26="","",IF((COUNTIFS('Invoice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Register'!$M$2:$M$501,A26,'Invoice Register'!$L$2:$L$501,"VALID")+COUNTIFS('Invoice Register'!$M$2:$M$501,A26,'Invoice Register'!$L$2:$L$501,"FX HOLD")+COUNTIFS('Invoice Register'!$M$2:$M$501,A26,'Invoice Register'!$L$2:$L$501,"CANCELLED")=0,"INVOICE DATA REQUIRED",SUMIFS('Invoice Register'!$H$2:$H$501,'Invoice Register'!$M$2:$M$501,A26,'Invoice Register'!$G$2:$G$501,"MXN",'Invoice Register'!$B$2:$B$501,B26,'Invoice Register'!$L$2:$L$501,"VALID")+SUMIFS('Invoice Register'!$H$2:$H$501,'Invoice Register'!$M$2:$M$501,A26,'Invoice Register'!$G$2:$G$501,"MXN",'Invoice Register'!$B$2:$B$501,B26,'Invoice Register'!$L$2:$L$501,"FX HOLD"))))</x:f>
      </x:c>
    </x:row>
    <x:row r="27">
      <x:c r="H27" t="str">
        <x:f>IF(B27="","",IF((COUNTIFS('Invoice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Register'!$M$2:$M$501,A27)+COUNTIFS('Invoice Register'!$L$2:$L$501,"CANCELLED",'Invoice Register'!$M$2:$M$501,A27)=0,"INVOICE DATA REQUIRED",SUMIFS('Invoice Register'!$N$2:$N$501,'Invoice Register'!$M$2:$M$501,A27,'Invoice Register'!$B$2:$B$501,B27))))</x:f>
      </x:c>
      <x:c r="N27" t="str">
        <x:f>IF(B27="","",IF(COUNTIF('ERP Snapshot'!$A$2:$A$101,B27)=0,"UNKNOWN",IF(COUNTIFS('ERP Snapshot'!$A$2:$A$101,B27,'ERP Snapshot'!$D$2:$D$101,"MXN")&gt;0,"MXN","USD")))</x:f>
      </x:c>
      <x:c r="O27" t="str">
        <x:f>IF(B27="","",IF(N27="UNKNOWN","SOURCE REVIEW",IF(N27="USD","NOT REQUIRED",IF(AND(Settings!$B$8="APPROVED",Settings!$B$9&lt;&gt;"",Settings!$B$10&lt;&gt;"",Settings!$B$2&gt;0),"APPROVED","FX HOLD"))))</x:f>
      </x:c>
      <x:c r="P27" t="str">
        <x:f>IF(B27="","",IF(O27="FX HOLD","USD normalized input is provisional; FX approval missing",IF(O27="SOURCE REVIEW","Missing source currency mapping",IF(O27="APPROVED","Approval metadata supplied; source rates not independently audited",""))))</x:f>
      </x:c>
      <x:c r="T27" s="50"/>
      <x:c r="U27" t="str">
        <x:f>IF(B27="","",IF(ISNUMBER(H27),"DATED ERP INVOICES",IF(ISNUMBER(T27),"HISTORICAL DATES REQUIRED",H27)))</x:f>
      </x:c>
      <x:c r="V27" s="49" t="str">
        <x:f>IF(B27="","",IF((COUNTIFS('Invoice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Register'!$M$2:$M$501,A27,'Invoice Register'!$L$2:$L$501,"VALID")+COUNTIFS('Invoice Register'!$M$2:$M$501,A27,'Invoice Register'!$L$2:$L$501,"FX HOLD")+COUNTIFS('Invoice Register'!$M$2:$M$501,A27,'Invoice Register'!$L$2:$L$501,"CANCELLED")=0,"INVOICE DATA REQUIRED",SUMIFS('Invoice Register'!$H$2:$H$501,'Invoice Register'!$M$2:$M$501,A27,'Invoice Register'!$G$2:$G$501,"USD",'Invoice Register'!$B$2:$B$501,B27,'Invoice Register'!$L$2:$L$501,"VALID")+SUMIFS('Invoice Register'!$H$2:$H$501,'Invoice Register'!$M$2:$M$501,A27,'Invoice Register'!$G$2:$G$501,"USD",'Invoice Register'!$B$2:$B$501,B27,'Invoice Register'!$L$2:$L$501,"FX HOLD"))))</x:f>
      </x:c>
      <x:c r="W27" s="49" t="str">
        <x:f>IF(B27="","",IF((COUNTIFS('Invoice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Register'!$M$2:$M$501,A27,'Invoice Register'!$L$2:$L$501,"VALID")+COUNTIFS('Invoice Register'!$M$2:$M$501,A27,'Invoice Register'!$L$2:$L$501,"FX HOLD")+COUNTIFS('Invoice Register'!$M$2:$M$501,A27,'Invoice Register'!$L$2:$L$501,"CANCELLED")=0,"INVOICE DATA REQUIRED",SUMIFS('Invoice Register'!$H$2:$H$501,'Invoice Register'!$M$2:$M$501,A27,'Invoice Register'!$G$2:$G$501,"MXN",'Invoice Register'!$B$2:$B$501,B27,'Invoice Register'!$L$2:$L$501,"VALID")+SUMIFS('Invoice Register'!$H$2:$H$501,'Invoice Register'!$M$2:$M$501,A27,'Invoice Register'!$G$2:$G$501,"MXN",'Invoice Register'!$B$2:$B$501,B27,'Invoice Register'!$L$2:$L$501,"FX HOLD"))))</x:f>
      </x:c>
    </x:row>
    <x:row r="28">
      <x:c r="H28" t="str">
        <x:f>IF(B28="","",IF((COUNTIFS('Invoice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Register'!$M$2:$M$501,A28)+COUNTIFS('Invoice Register'!$L$2:$L$501,"CANCELLED",'Invoice Register'!$M$2:$M$501,A28)=0,"INVOICE DATA REQUIRED",SUMIFS('Invoice Register'!$N$2:$N$501,'Invoice Register'!$M$2:$M$501,A28,'Invoice Register'!$B$2:$B$501,B28))))</x:f>
      </x:c>
      <x:c r="N28" t="str">
        <x:f>IF(B28="","",IF(COUNTIF('ERP Snapshot'!$A$2:$A$101,B28)=0,"UNKNOWN",IF(COUNTIFS('ERP Snapshot'!$A$2:$A$101,B28,'ERP Snapshot'!$D$2:$D$101,"MXN")&gt;0,"MXN","USD")))</x:f>
      </x:c>
      <x:c r="O28" t="str">
        <x:f>IF(B28="","",IF(N28="UNKNOWN","SOURCE REVIEW",IF(N28="USD","NOT REQUIRED",IF(AND(Settings!$B$8="APPROVED",Settings!$B$9&lt;&gt;"",Settings!$B$10&lt;&gt;"",Settings!$B$2&gt;0),"APPROVED","FX HOLD"))))</x:f>
      </x:c>
      <x:c r="P28" t="str">
        <x:f>IF(B28="","",IF(O28="FX HOLD","USD normalized input is provisional; FX approval missing",IF(O28="SOURCE REVIEW","Missing source currency mapping",IF(O28="APPROVED","Approval metadata supplied; source rates not independently audited",""))))</x:f>
      </x:c>
      <x:c r="T28" s="50"/>
      <x:c r="U28" t="str">
        <x:f>IF(B28="","",IF(ISNUMBER(H28),"DATED ERP INVOICES",IF(ISNUMBER(T28),"HISTORICAL DATES REQUIRED",H28)))</x:f>
      </x:c>
      <x:c r="V28" s="49" t="str">
        <x:f>IF(B28="","",IF((COUNTIFS('Invoice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Register'!$M$2:$M$501,A28,'Invoice Register'!$L$2:$L$501,"VALID")+COUNTIFS('Invoice Register'!$M$2:$M$501,A28,'Invoice Register'!$L$2:$L$501,"FX HOLD")+COUNTIFS('Invoice Register'!$M$2:$M$501,A28,'Invoice Register'!$L$2:$L$501,"CANCELLED")=0,"INVOICE DATA REQUIRED",SUMIFS('Invoice Register'!$H$2:$H$501,'Invoice Register'!$M$2:$M$501,A28,'Invoice Register'!$G$2:$G$501,"USD",'Invoice Register'!$B$2:$B$501,B28,'Invoice Register'!$L$2:$L$501,"VALID")+SUMIFS('Invoice Register'!$H$2:$H$501,'Invoice Register'!$M$2:$M$501,A28,'Invoice Register'!$G$2:$G$501,"USD",'Invoice Register'!$B$2:$B$501,B28,'Invoice Register'!$L$2:$L$501,"FX HOLD"))))</x:f>
      </x:c>
      <x:c r="W28" s="49" t="str">
        <x:f>IF(B28="","",IF((COUNTIFS('Invoice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Register'!$M$2:$M$501,A28,'Invoice Register'!$L$2:$L$501,"VALID")+COUNTIFS('Invoice Register'!$M$2:$M$501,A28,'Invoice Register'!$L$2:$L$501,"FX HOLD")+COUNTIFS('Invoice Register'!$M$2:$M$501,A28,'Invoice Register'!$L$2:$L$501,"CANCELLED")=0,"INVOICE DATA REQUIRED",SUMIFS('Invoice Register'!$H$2:$H$501,'Invoice Register'!$M$2:$M$501,A28,'Invoice Register'!$G$2:$G$501,"MXN",'Invoice Register'!$B$2:$B$501,B28,'Invoice Register'!$L$2:$L$501,"VALID")+SUMIFS('Invoice Register'!$H$2:$H$501,'Invoice Register'!$M$2:$M$501,A28,'Invoice Register'!$G$2:$G$501,"MXN",'Invoice Register'!$B$2:$B$501,B28,'Invoice Register'!$L$2:$L$501,"FX HOLD"))))</x:f>
      </x:c>
    </x:row>
    <x:row r="29">
      <x:c r="H29" t="str">
        <x:f>IF(B29="","",IF((COUNTIFS('Invoice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Register'!$M$2:$M$501,A29)+COUNTIFS('Invoice Register'!$L$2:$L$501,"CANCELLED",'Invoice Register'!$M$2:$M$501,A29)=0,"INVOICE DATA REQUIRED",SUMIFS('Invoice Register'!$N$2:$N$501,'Invoice Register'!$M$2:$M$501,A29,'Invoice Register'!$B$2:$B$501,B29))))</x:f>
      </x:c>
      <x:c r="N29" t="str">
        <x:f>IF(B29="","",IF(COUNTIF('ERP Snapshot'!$A$2:$A$101,B29)=0,"UNKNOWN",IF(COUNTIFS('ERP Snapshot'!$A$2:$A$101,B29,'ERP Snapshot'!$D$2:$D$101,"MXN")&gt;0,"MXN","USD")))</x:f>
      </x:c>
      <x:c r="O29" t="str">
        <x:f>IF(B29="","",IF(N29="UNKNOWN","SOURCE REVIEW",IF(N29="USD","NOT REQUIRED",IF(AND(Settings!$B$8="APPROVED",Settings!$B$9&lt;&gt;"",Settings!$B$10&lt;&gt;"",Settings!$B$2&gt;0),"APPROVED","FX HOLD"))))</x:f>
      </x:c>
      <x:c r="P29" t="str">
        <x:f>IF(B29="","",IF(O29="FX HOLD","USD normalized input is provisional; FX approval missing",IF(O29="SOURCE REVIEW","Missing source currency mapping",IF(O29="APPROVED","Approval metadata supplied; source rates not independently audited",""))))</x:f>
      </x:c>
      <x:c r="T29" s="50"/>
      <x:c r="U29" t="str">
        <x:f>IF(B29="","",IF(ISNUMBER(H29),"DATED ERP INVOICES",IF(ISNUMBER(T29),"HISTORICAL DATES REQUIRED",H29)))</x:f>
      </x:c>
      <x:c r="V29" s="49" t="str">
        <x:f>IF(B29="","",IF((COUNTIFS('Invoice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Register'!$M$2:$M$501,A29,'Invoice Register'!$L$2:$L$501,"VALID")+COUNTIFS('Invoice Register'!$M$2:$M$501,A29,'Invoice Register'!$L$2:$L$501,"FX HOLD")+COUNTIFS('Invoice Register'!$M$2:$M$501,A29,'Invoice Register'!$L$2:$L$501,"CANCELLED")=0,"INVOICE DATA REQUIRED",SUMIFS('Invoice Register'!$H$2:$H$501,'Invoice Register'!$M$2:$M$501,A29,'Invoice Register'!$G$2:$G$501,"USD",'Invoice Register'!$B$2:$B$501,B29,'Invoice Register'!$L$2:$L$501,"VALID")+SUMIFS('Invoice Register'!$H$2:$H$501,'Invoice Register'!$M$2:$M$501,A29,'Invoice Register'!$G$2:$G$501,"USD",'Invoice Register'!$B$2:$B$501,B29,'Invoice Register'!$L$2:$L$501,"FX HOLD"))))</x:f>
      </x:c>
      <x:c r="W29" s="49" t="str">
        <x:f>IF(B29="","",IF((COUNTIFS('Invoice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Register'!$M$2:$M$501,A29,'Invoice Register'!$L$2:$L$501,"VALID")+COUNTIFS('Invoice Register'!$M$2:$M$501,A29,'Invoice Register'!$L$2:$L$501,"FX HOLD")+COUNTIFS('Invoice Register'!$M$2:$M$501,A29,'Invoice Register'!$L$2:$L$501,"CANCELLED")=0,"INVOICE DATA REQUIRED",SUMIFS('Invoice Register'!$H$2:$H$501,'Invoice Register'!$M$2:$M$501,A29,'Invoice Register'!$G$2:$G$501,"MXN",'Invoice Register'!$B$2:$B$501,B29,'Invoice Register'!$L$2:$L$501,"VALID")+SUMIFS('Invoice Register'!$H$2:$H$501,'Invoice Register'!$M$2:$M$501,A29,'Invoice Register'!$G$2:$G$501,"MXN",'Invoice Register'!$B$2:$B$501,B29,'Invoice Register'!$L$2:$L$501,"FX HOLD"))))</x:f>
      </x:c>
    </x:row>
    <x:row r="30">
      <x:c r="H30" t="str">
        <x:f>IF(B30="","",IF((COUNTIFS('Invoice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Register'!$M$2:$M$501,A30)+COUNTIFS('Invoice Register'!$L$2:$L$501,"CANCELLED",'Invoice Register'!$M$2:$M$501,A30)=0,"INVOICE DATA REQUIRED",SUMIFS('Invoice Register'!$N$2:$N$501,'Invoice Register'!$M$2:$M$501,A30,'Invoice Register'!$B$2:$B$501,B30))))</x:f>
      </x:c>
      <x:c r="N30" t="str">
        <x:f>IF(B30="","",IF(COUNTIF('ERP Snapshot'!$A$2:$A$101,B30)=0,"UNKNOWN",IF(COUNTIFS('ERP Snapshot'!$A$2:$A$101,B30,'ERP Snapshot'!$D$2:$D$101,"MXN")&gt;0,"MXN","USD")))</x:f>
      </x:c>
      <x:c r="O30" t="str">
        <x:f>IF(B30="","",IF(N30="UNKNOWN","SOURCE REVIEW",IF(N30="USD","NOT REQUIRED",IF(AND(Settings!$B$8="APPROVED",Settings!$B$9&lt;&gt;"",Settings!$B$10&lt;&gt;"",Settings!$B$2&gt;0),"APPROVED","FX HOLD"))))</x:f>
      </x:c>
      <x:c r="P30" t="str">
        <x:f>IF(B30="","",IF(O30="FX HOLD","USD normalized input is provisional; FX approval missing",IF(O30="SOURCE REVIEW","Missing source currency mapping",IF(O30="APPROVED","Approval metadata supplied; source rates not independently audited",""))))</x:f>
      </x:c>
      <x:c r="T30" s="50"/>
      <x:c r="U30" t="str">
        <x:f>IF(B30="","",IF(ISNUMBER(H30),"DATED ERP INVOICES",IF(ISNUMBER(T30),"HISTORICAL DATES REQUIRED",H30)))</x:f>
      </x:c>
      <x:c r="V30" s="49" t="str">
        <x:f>IF(B30="","",IF((COUNTIFS('Invoice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Register'!$M$2:$M$501,A30,'Invoice Register'!$L$2:$L$501,"VALID")+COUNTIFS('Invoice Register'!$M$2:$M$501,A30,'Invoice Register'!$L$2:$L$501,"FX HOLD")+COUNTIFS('Invoice Register'!$M$2:$M$501,A30,'Invoice Register'!$L$2:$L$501,"CANCELLED")=0,"INVOICE DATA REQUIRED",SUMIFS('Invoice Register'!$H$2:$H$501,'Invoice Register'!$M$2:$M$501,A30,'Invoice Register'!$G$2:$G$501,"USD",'Invoice Register'!$B$2:$B$501,B30,'Invoice Register'!$L$2:$L$501,"VALID")+SUMIFS('Invoice Register'!$H$2:$H$501,'Invoice Register'!$M$2:$M$501,A30,'Invoice Register'!$G$2:$G$501,"USD",'Invoice Register'!$B$2:$B$501,B30,'Invoice Register'!$L$2:$L$501,"FX HOLD"))))</x:f>
      </x:c>
      <x:c r="W30" s="49" t="str">
        <x:f>IF(B30="","",IF((COUNTIFS('Invoice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Register'!$M$2:$M$501,A30,'Invoice Register'!$L$2:$L$501,"VALID")+COUNTIFS('Invoice Register'!$M$2:$M$501,A30,'Invoice Register'!$L$2:$L$501,"FX HOLD")+COUNTIFS('Invoice Register'!$M$2:$M$501,A30,'Invoice Register'!$L$2:$L$501,"CANCELLED")=0,"INVOICE DATA REQUIRED",SUMIFS('Invoice Register'!$H$2:$H$501,'Invoice Register'!$M$2:$M$501,A30,'Invoice Register'!$G$2:$G$501,"MXN",'Invoice Register'!$B$2:$B$501,B30,'Invoice Register'!$L$2:$L$501,"VALID")+SUMIFS('Invoice Register'!$H$2:$H$501,'Invoice Register'!$M$2:$M$501,A30,'Invoice Register'!$G$2:$G$501,"MXN",'Invoice Register'!$B$2:$B$501,B30,'Invoice Register'!$L$2:$L$501,"FX HOLD"))))</x:f>
      </x:c>
    </x:row>
    <x:row r="31">
      <x:c r="H31" t="str">
        <x:f>IF(B31="","",IF((COUNTIFS('Invoice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Register'!$M$2:$M$501,A31)+COUNTIFS('Invoice Register'!$L$2:$L$501,"CANCELLED",'Invoice Register'!$M$2:$M$501,A31)=0,"INVOICE DATA REQUIRED",SUMIFS('Invoice Register'!$N$2:$N$501,'Invoice Register'!$M$2:$M$501,A31,'Invoice Register'!$B$2:$B$501,B31))))</x:f>
      </x:c>
      <x:c r="N31" t="str">
        <x:f>IF(B31="","",IF(COUNTIF('ERP Snapshot'!$A$2:$A$101,B31)=0,"UNKNOWN",IF(COUNTIFS('ERP Snapshot'!$A$2:$A$101,B31,'ERP Snapshot'!$D$2:$D$101,"MXN")&gt;0,"MXN","USD")))</x:f>
      </x:c>
      <x:c r="O31" t="str">
        <x:f>IF(B31="","",IF(N31="UNKNOWN","SOURCE REVIEW",IF(N31="USD","NOT REQUIRED",IF(AND(Settings!$B$8="APPROVED",Settings!$B$9&lt;&gt;"",Settings!$B$10&lt;&gt;"",Settings!$B$2&gt;0),"APPROVED","FX HOLD"))))</x:f>
      </x:c>
      <x:c r="P31" t="str">
        <x:f>IF(B31="","",IF(O31="FX HOLD","USD normalized input is provisional; FX approval missing",IF(O31="SOURCE REVIEW","Missing source currency mapping",IF(O31="APPROVED","Approval metadata supplied; source rates not independently audited",""))))</x:f>
      </x:c>
      <x:c r="T31" s="50"/>
      <x:c r="U31" t="str">
        <x:f>IF(B31="","",IF(ISNUMBER(H31),"DATED ERP INVOICES",IF(ISNUMBER(T31),"HISTORICAL DATES REQUIRED",H31)))</x:f>
      </x:c>
      <x:c r="V31" s="49" t="str">
        <x:f>IF(B31="","",IF((COUNTIFS('Invoice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Register'!$M$2:$M$501,A31,'Invoice Register'!$L$2:$L$501,"VALID")+COUNTIFS('Invoice Register'!$M$2:$M$501,A31,'Invoice Register'!$L$2:$L$501,"FX HOLD")+COUNTIFS('Invoice Register'!$M$2:$M$501,A31,'Invoice Register'!$L$2:$L$501,"CANCELLED")=0,"INVOICE DATA REQUIRED",SUMIFS('Invoice Register'!$H$2:$H$501,'Invoice Register'!$M$2:$M$501,A31,'Invoice Register'!$G$2:$G$501,"USD",'Invoice Register'!$B$2:$B$501,B31,'Invoice Register'!$L$2:$L$501,"VALID")+SUMIFS('Invoice Register'!$H$2:$H$501,'Invoice Register'!$M$2:$M$501,A31,'Invoice Register'!$G$2:$G$501,"USD",'Invoice Register'!$B$2:$B$501,B31,'Invoice Register'!$L$2:$L$501,"FX HOLD"))))</x:f>
      </x:c>
      <x:c r="W31" s="49" t="str">
        <x:f>IF(B31="","",IF((COUNTIFS('Invoice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Register'!$M$2:$M$501,A31,'Invoice Register'!$L$2:$L$501,"VALID")+COUNTIFS('Invoice Register'!$M$2:$M$501,A31,'Invoice Register'!$L$2:$L$501,"FX HOLD")+COUNTIFS('Invoice Register'!$M$2:$M$501,A31,'Invoice Register'!$L$2:$L$501,"CANCELLED")=0,"INVOICE DATA REQUIRED",SUMIFS('Invoice Register'!$H$2:$H$501,'Invoice Register'!$M$2:$M$501,A31,'Invoice Register'!$G$2:$G$501,"MXN",'Invoice Register'!$B$2:$B$501,B31,'Invoice Register'!$L$2:$L$501,"VALID")+SUMIFS('Invoice Register'!$H$2:$H$501,'Invoice Register'!$M$2:$M$501,A31,'Invoice Register'!$G$2:$G$501,"MXN",'Invoice Register'!$B$2:$B$501,B31,'Invoice Register'!$L$2:$L$501,"FX HOLD"))))</x:f>
      </x:c>
    </x:row>
    <x:row r="32">
      <x:c r="H32" t="str">
        <x:f>IF(B32="","",IF((COUNTIFS('Invoice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Register'!$M$2:$M$501,A32)+COUNTIFS('Invoice Register'!$L$2:$L$501,"CANCELLED",'Invoice Register'!$M$2:$M$501,A32)=0,"INVOICE DATA REQUIRED",SUMIFS('Invoice Register'!$N$2:$N$501,'Invoice Register'!$M$2:$M$501,A32,'Invoice Register'!$B$2:$B$501,B32))))</x:f>
      </x:c>
      <x:c r="N32" t="str">
        <x:f>IF(B32="","",IF(COUNTIF('ERP Snapshot'!$A$2:$A$101,B32)=0,"UNKNOWN",IF(COUNTIFS('ERP Snapshot'!$A$2:$A$101,B32,'ERP Snapshot'!$D$2:$D$101,"MXN")&gt;0,"MXN","USD")))</x:f>
      </x:c>
      <x:c r="O32" t="str">
        <x:f>IF(B32="","",IF(N32="UNKNOWN","SOURCE REVIEW",IF(N32="USD","NOT REQUIRED",IF(AND(Settings!$B$8="APPROVED",Settings!$B$9&lt;&gt;"",Settings!$B$10&lt;&gt;"",Settings!$B$2&gt;0),"APPROVED","FX HOLD"))))</x:f>
      </x:c>
      <x:c r="P32" t="str">
        <x:f>IF(B32="","",IF(O32="FX HOLD","USD normalized input is provisional; FX approval missing",IF(O32="SOURCE REVIEW","Missing source currency mapping",IF(O32="APPROVED","Approval metadata supplied; source rates not independently audited",""))))</x:f>
      </x:c>
      <x:c r="T32" s="50"/>
      <x:c r="U32" t="str">
        <x:f>IF(B32="","",IF(ISNUMBER(H32),"DATED ERP INVOICES",IF(ISNUMBER(T32),"HISTORICAL DATES REQUIRED",H32)))</x:f>
      </x:c>
      <x:c r="V32" s="49" t="str">
        <x:f>IF(B32="","",IF((COUNTIFS('Invoice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Register'!$M$2:$M$501,A32,'Invoice Register'!$L$2:$L$501,"VALID")+COUNTIFS('Invoice Register'!$M$2:$M$501,A32,'Invoice Register'!$L$2:$L$501,"FX HOLD")+COUNTIFS('Invoice Register'!$M$2:$M$501,A32,'Invoice Register'!$L$2:$L$501,"CANCELLED")=0,"INVOICE DATA REQUIRED",SUMIFS('Invoice Register'!$H$2:$H$501,'Invoice Register'!$M$2:$M$501,A32,'Invoice Register'!$G$2:$G$501,"USD",'Invoice Register'!$B$2:$B$501,B32,'Invoice Register'!$L$2:$L$501,"VALID")+SUMIFS('Invoice Register'!$H$2:$H$501,'Invoice Register'!$M$2:$M$501,A32,'Invoice Register'!$G$2:$G$501,"USD",'Invoice Register'!$B$2:$B$501,B32,'Invoice Register'!$L$2:$L$501,"FX HOLD"))))</x:f>
      </x:c>
      <x:c r="W32" s="49" t="str">
        <x:f>IF(B32="","",IF((COUNTIFS('Invoice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Register'!$M$2:$M$501,A32,'Invoice Register'!$L$2:$L$501,"VALID")+COUNTIFS('Invoice Register'!$M$2:$M$501,A32,'Invoice Register'!$L$2:$L$501,"FX HOLD")+COUNTIFS('Invoice Register'!$M$2:$M$501,A32,'Invoice Register'!$L$2:$L$501,"CANCELLED")=0,"INVOICE DATA REQUIRED",SUMIFS('Invoice Register'!$H$2:$H$501,'Invoice Register'!$M$2:$M$501,A32,'Invoice Register'!$G$2:$G$501,"MXN",'Invoice Register'!$B$2:$B$501,B32,'Invoice Register'!$L$2:$L$501,"VALID")+SUMIFS('Invoice Register'!$H$2:$H$501,'Invoice Register'!$M$2:$M$501,A32,'Invoice Register'!$G$2:$G$501,"MXN",'Invoice Register'!$B$2:$B$501,B32,'Invoice Register'!$L$2:$L$501,"FX HOLD"))))</x:f>
      </x:c>
    </x:row>
    <x:row r="33">
      <x:c r="H33" t="str">
        <x:f>IF(B33="","",IF((COUNTIFS('Invoice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Register'!$M$2:$M$501,A33)+COUNTIFS('Invoice Register'!$L$2:$L$501,"CANCELLED",'Invoice Register'!$M$2:$M$501,A33)=0,"INVOICE DATA REQUIRED",SUMIFS('Invoice Register'!$N$2:$N$501,'Invoice Register'!$M$2:$M$501,A33,'Invoice Register'!$B$2:$B$501,B33))))</x:f>
      </x:c>
      <x:c r="N33" t="str">
        <x:f>IF(B33="","",IF(COUNTIF('ERP Snapshot'!$A$2:$A$101,B33)=0,"UNKNOWN",IF(COUNTIFS('ERP Snapshot'!$A$2:$A$101,B33,'ERP Snapshot'!$D$2:$D$101,"MXN")&gt;0,"MXN","USD")))</x:f>
      </x:c>
      <x:c r="O33" t="str">
        <x:f>IF(B33="","",IF(N33="UNKNOWN","SOURCE REVIEW",IF(N33="USD","NOT REQUIRED",IF(AND(Settings!$B$8="APPROVED",Settings!$B$9&lt;&gt;"",Settings!$B$10&lt;&gt;"",Settings!$B$2&gt;0),"APPROVED","FX HOLD"))))</x:f>
      </x:c>
      <x:c r="P33" t="str">
        <x:f>IF(B33="","",IF(O33="FX HOLD","USD normalized input is provisional; FX approval missing",IF(O33="SOURCE REVIEW","Missing source currency mapping",IF(O33="APPROVED","Approval metadata supplied; source rates not independently audited",""))))</x:f>
      </x:c>
      <x:c r="T33" s="50"/>
      <x:c r="U33" t="str">
        <x:f>IF(B33="","",IF(ISNUMBER(H33),"DATED ERP INVOICES",IF(ISNUMBER(T33),"HISTORICAL DATES REQUIRED",H33)))</x:f>
      </x:c>
      <x:c r="V33" s="49" t="str">
        <x:f>IF(B33="","",IF((COUNTIFS('Invoice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Register'!$M$2:$M$501,A33,'Invoice Register'!$L$2:$L$501,"VALID")+COUNTIFS('Invoice Register'!$M$2:$M$501,A33,'Invoice Register'!$L$2:$L$501,"FX HOLD")+COUNTIFS('Invoice Register'!$M$2:$M$501,A33,'Invoice Register'!$L$2:$L$501,"CANCELLED")=0,"INVOICE DATA REQUIRED",SUMIFS('Invoice Register'!$H$2:$H$501,'Invoice Register'!$M$2:$M$501,A33,'Invoice Register'!$G$2:$G$501,"USD",'Invoice Register'!$B$2:$B$501,B33,'Invoice Register'!$L$2:$L$501,"VALID")+SUMIFS('Invoice Register'!$H$2:$H$501,'Invoice Register'!$M$2:$M$501,A33,'Invoice Register'!$G$2:$G$501,"USD",'Invoice Register'!$B$2:$B$501,B33,'Invoice Register'!$L$2:$L$501,"FX HOLD"))))</x:f>
      </x:c>
      <x:c r="W33" s="49" t="str">
        <x:f>IF(B33="","",IF((COUNTIFS('Invoice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Register'!$M$2:$M$501,A33,'Invoice Register'!$L$2:$L$501,"VALID")+COUNTIFS('Invoice Register'!$M$2:$M$501,A33,'Invoice Register'!$L$2:$L$501,"FX HOLD")+COUNTIFS('Invoice Register'!$M$2:$M$501,A33,'Invoice Register'!$L$2:$L$501,"CANCELLED")=0,"INVOICE DATA REQUIRED",SUMIFS('Invoice Register'!$H$2:$H$501,'Invoice Register'!$M$2:$M$501,A33,'Invoice Register'!$G$2:$G$501,"MXN",'Invoice Register'!$B$2:$B$501,B33,'Invoice Register'!$L$2:$L$501,"VALID")+SUMIFS('Invoice Register'!$H$2:$H$501,'Invoice Register'!$M$2:$M$501,A33,'Invoice Register'!$G$2:$G$501,"MXN",'Invoice Register'!$B$2:$B$501,B33,'Invoice Register'!$L$2:$L$501,"FX HOLD"))))</x:f>
      </x:c>
    </x:row>
    <x:row r="34">
      <x:c r="H34" t="str">
        <x:f>IF(B34="","",IF((COUNTIFS('Invoice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Register'!$M$2:$M$501,A34)+COUNTIFS('Invoice Register'!$L$2:$L$501,"CANCELLED",'Invoice Register'!$M$2:$M$501,A34)=0,"INVOICE DATA REQUIRED",SUMIFS('Invoice Register'!$N$2:$N$501,'Invoice Register'!$M$2:$M$501,A34,'Invoice Register'!$B$2:$B$501,B34))))</x:f>
      </x:c>
      <x:c r="N34" t="str">
        <x:f>IF(B34="","",IF(COUNTIF('ERP Snapshot'!$A$2:$A$101,B34)=0,"UNKNOWN",IF(COUNTIFS('ERP Snapshot'!$A$2:$A$101,B34,'ERP Snapshot'!$D$2:$D$101,"MXN")&gt;0,"MXN","USD")))</x:f>
      </x:c>
      <x:c r="O34" t="str">
        <x:f>IF(B34="","",IF(N34="UNKNOWN","SOURCE REVIEW",IF(N34="USD","NOT REQUIRED",IF(AND(Settings!$B$8="APPROVED",Settings!$B$9&lt;&gt;"",Settings!$B$10&lt;&gt;"",Settings!$B$2&gt;0),"APPROVED","FX HOLD"))))</x:f>
      </x:c>
      <x:c r="P34" t="str">
        <x:f>IF(B34="","",IF(O34="FX HOLD","USD normalized input is provisional; FX approval missing",IF(O34="SOURCE REVIEW","Missing source currency mapping",IF(O34="APPROVED","Approval metadata supplied; source rates not independently audited",""))))</x:f>
      </x:c>
      <x:c r="T34" s="50"/>
      <x:c r="U34" t="str">
        <x:f>IF(B34="","",IF(ISNUMBER(H34),"DATED ERP INVOICES",IF(ISNUMBER(T34),"HISTORICAL DATES REQUIRED",H34)))</x:f>
      </x:c>
      <x:c r="V34" s="49" t="str">
        <x:f>IF(B34="","",IF((COUNTIFS('Invoice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Register'!$M$2:$M$501,A34,'Invoice Register'!$L$2:$L$501,"VALID")+COUNTIFS('Invoice Register'!$M$2:$M$501,A34,'Invoice Register'!$L$2:$L$501,"FX HOLD")+COUNTIFS('Invoice Register'!$M$2:$M$501,A34,'Invoice Register'!$L$2:$L$501,"CANCELLED")=0,"INVOICE DATA REQUIRED",SUMIFS('Invoice Register'!$H$2:$H$501,'Invoice Register'!$M$2:$M$501,A34,'Invoice Register'!$G$2:$G$501,"USD",'Invoice Register'!$B$2:$B$501,B34,'Invoice Register'!$L$2:$L$501,"VALID")+SUMIFS('Invoice Register'!$H$2:$H$501,'Invoice Register'!$M$2:$M$501,A34,'Invoice Register'!$G$2:$G$501,"USD",'Invoice Register'!$B$2:$B$501,B34,'Invoice Register'!$L$2:$L$501,"FX HOLD"))))</x:f>
      </x:c>
      <x:c r="W34" s="49" t="str">
        <x:f>IF(B34="","",IF((COUNTIFS('Invoice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Register'!$M$2:$M$501,A34,'Invoice Register'!$L$2:$L$501,"VALID")+COUNTIFS('Invoice Register'!$M$2:$M$501,A34,'Invoice Register'!$L$2:$L$501,"FX HOLD")+COUNTIFS('Invoice Register'!$M$2:$M$501,A34,'Invoice Register'!$L$2:$L$501,"CANCELLED")=0,"INVOICE DATA REQUIRED",SUMIFS('Invoice Register'!$H$2:$H$501,'Invoice Register'!$M$2:$M$501,A34,'Invoice Register'!$G$2:$G$501,"MXN",'Invoice Register'!$B$2:$B$501,B34,'Invoice Register'!$L$2:$L$501,"VALID")+SUMIFS('Invoice Register'!$H$2:$H$501,'Invoice Register'!$M$2:$M$501,A34,'Invoice Register'!$G$2:$G$501,"MXN",'Invoice Register'!$B$2:$B$501,B34,'Invoice Register'!$L$2:$L$501,"FX HOLD"))))</x:f>
      </x:c>
    </x:row>
    <x:row r="35">
      <x:c r="H35" t="str">
        <x:f>IF(B35="","",IF((COUNTIFS('Invoice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Register'!$M$2:$M$501,A35)+COUNTIFS('Invoice Register'!$L$2:$L$501,"CANCELLED",'Invoice Register'!$M$2:$M$501,A35)=0,"INVOICE DATA REQUIRED",SUMIFS('Invoice Register'!$N$2:$N$501,'Invoice Register'!$M$2:$M$501,A35,'Invoice Register'!$B$2:$B$501,B35))))</x:f>
      </x:c>
      <x:c r="N35" t="str">
        <x:f>IF(B35="","",IF(COUNTIF('ERP Snapshot'!$A$2:$A$101,B35)=0,"UNKNOWN",IF(COUNTIFS('ERP Snapshot'!$A$2:$A$101,B35,'ERP Snapshot'!$D$2:$D$101,"MXN")&gt;0,"MXN","USD")))</x:f>
      </x:c>
      <x:c r="O35" t="str">
        <x:f>IF(B35="","",IF(N35="UNKNOWN","SOURCE REVIEW",IF(N35="USD","NOT REQUIRED",IF(AND(Settings!$B$8="APPROVED",Settings!$B$9&lt;&gt;"",Settings!$B$10&lt;&gt;"",Settings!$B$2&gt;0),"APPROVED","FX HOLD"))))</x:f>
      </x:c>
      <x:c r="P35" t="str">
        <x:f>IF(B35="","",IF(O35="FX HOLD","USD normalized input is provisional; FX approval missing",IF(O35="SOURCE REVIEW","Missing source currency mapping",IF(O35="APPROVED","Approval metadata supplied; source rates not independently audited",""))))</x:f>
      </x:c>
      <x:c r="T35" s="50"/>
      <x:c r="U35" t="str">
        <x:f>IF(B35="","",IF(ISNUMBER(H35),"DATED ERP INVOICES",IF(ISNUMBER(T35),"HISTORICAL DATES REQUIRED",H35)))</x:f>
      </x:c>
      <x:c r="V35" s="49" t="str">
        <x:f>IF(B35="","",IF((COUNTIFS('Invoice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Register'!$M$2:$M$501,A35,'Invoice Register'!$L$2:$L$501,"VALID")+COUNTIFS('Invoice Register'!$M$2:$M$501,A35,'Invoice Register'!$L$2:$L$501,"FX HOLD")+COUNTIFS('Invoice Register'!$M$2:$M$501,A35,'Invoice Register'!$L$2:$L$501,"CANCELLED")=0,"INVOICE DATA REQUIRED",SUMIFS('Invoice Register'!$H$2:$H$501,'Invoice Register'!$M$2:$M$501,A35,'Invoice Register'!$G$2:$G$501,"USD",'Invoice Register'!$B$2:$B$501,B35,'Invoice Register'!$L$2:$L$501,"VALID")+SUMIFS('Invoice Register'!$H$2:$H$501,'Invoice Register'!$M$2:$M$501,A35,'Invoice Register'!$G$2:$G$501,"USD",'Invoice Register'!$B$2:$B$501,B35,'Invoice Register'!$L$2:$L$501,"FX HOLD"))))</x:f>
      </x:c>
      <x:c r="W35" s="49" t="str">
        <x:f>IF(B35="","",IF((COUNTIFS('Invoice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Register'!$M$2:$M$501,A35,'Invoice Register'!$L$2:$L$501,"VALID")+COUNTIFS('Invoice Register'!$M$2:$M$501,A35,'Invoice Register'!$L$2:$L$501,"FX HOLD")+COUNTIFS('Invoice Register'!$M$2:$M$501,A35,'Invoice Register'!$L$2:$L$501,"CANCELLED")=0,"INVOICE DATA REQUIRED",SUMIFS('Invoice Register'!$H$2:$H$501,'Invoice Register'!$M$2:$M$501,A35,'Invoice Register'!$G$2:$G$501,"MXN",'Invoice Register'!$B$2:$B$501,B35,'Invoice Register'!$L$2:$L$501,"VALID")+SUMIFS('Invoice Register'!$H$2:$H$501,'Invoice Register'!$M$2:$M$501,A35,'Invoice Register'!$G$2:$G$501,"MXN",'Invoice Register'!$B$2:$B$501,B35,'Invoice Register'!$L$2:$L$501,"FX HOLD"))))</x:f>
      </x:c>
    </x:row>
    <x:row r="36">
      <x:c r="H36" t="str">
        <x:f>IF(B36="","",IF((COUNTIFS('Invoice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Register'!$M$2:$M$501,A36)+COUNTIFS('Invoice Register'!$L$2:$L$501,"CANCELLED",'Invoice Register'!$M$2:$M$501,A36)=0,"INVOICE DATA REQUIRED",SUMIFS('Invoice Register'!$N$2:$N$501,'Invoice Register'!$M$2:$M$501,A36,'Invoice Register'!$B$2:$B$501,B36))))</x:f>
      </x:c>
      <x:c r="N36" t="str">
        <x:f>IF(B36="","",IF(COUNTIF('ERP Snapshot'!$A$2:$A$101,B36)=0,"UNKNOWN",IF(COUNTIFS('ERP Snapshot'!$A$2:$A$101,B36,'ERP Snapshot'!$D$2:$D$101,"MXN")&gt;0,"MXN","USD")))</x:f>
      </x:c>
      <x:c r="O36" t="str">
        <x:f>IF(B36="","",IF(N36="UNKNOWN","SOURCE REVIEW",IF(N36="USD","NOT REQUIRED",IF(AND(Settings!$B$8="APPROVED",Settings!$B$9&lt;&gt;"",Settings!$B$10&lt;&gt;"",Settings!$B$2&gt;0),"APPROVED","FX HOLD"))))</x:f>
      </x:c>
      <x:c r="P36" t="str">
        <x:f>IF(B36="","",IF(O36="FX HOLD","USD normalized input is provisional; FX approval missing",IF(O36="SOURCE REVIEW","Missing source currency mapping",IF(O36="APPROVED","Approval metadata supplied; source rates not independently audited",""))))</x:f>
      </x:c>
      <x:c r="T36" s="50"/>
      <x:c r="U36" t="str">
        <x:f>IF(B36="","",IF(ISNUMBER(H36),"DATED ERP INVOICES",IF(ISNUMBER(T36),"HISTORICAL DATES REQUIRED",H36)))</x:f>
      </x:c>
      <x:c r="V36" s="49" t="str">
        <x:f>IF(B36="","",IF((COUNTIFS('Invoice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Register'!$M$2:$M$501,A36,'Invoice Register'!$L$2:$L$501,"VALID")+COUNTIFS('Invoice Register'!$M$2:$M$501,A36,'Invoice Register'!$L$2:$L$501,"FX HOLD")+COUNTIFS('Invoice Register'!$M$2:$M$501,A36,'Invoice Register'!$L$2:$L$501,"CANCELLED")=0,"INVOICE DATA REQUIRED",SUMIFS('Invoice Register'!$H$2:$H$501,'Invoice Register'!$M$2:$M$501,A36,'Invoice Register'!$G$2:$G$501,"USD",'Invoice Register'!$B$2:$B$501,B36,'Invoice Register'!$L$2:$L$501,"VALID")+SUMIFS('Invoice Register'!$H$2:$H$501,'Invoice Register'!$M$2:$M$501,A36,'Invoice Register'!$G$2:$G$501,"USD",'Invoice Register'!$B$2:$B$501,B36,'Invoice Register'!$L$2:$L$501,"FX HOLD"))))</x:f>
      </x:c>
      <x:c r="W36" s="49" t="str">
        <x:f>IF(B36="","",IF((COUNTIFS('Invoice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Register'!$M$2:$M$501,A36,'Invoice Register'!$L$2:$L$501,"VALID")+COUNTIFS('Invoice Register'!$M$2:$M$501,A36,'Invoice Register'!$L$2:$L$501,"FX HOLD")+COUNTIFS('Invoice Register'!$M$2:$M$501,A36,'Invoice Register'!$L$2:$L$501,"CANCELLED")=0,"INVOICE DATA REQUIRED",SUMIFS('Invoice Register'!$H$2:$H$501,'Invoice Register'!$M$2:$M$501,A36,'Invoice Register'!$G$2:$G$501,"MXN",'Invoice Register'!$B$2:$B$501,B36,'Invoice Register'!$L$2:$L$501,"VALID")+SUMIFS('Invoice Register'!$H$2:$H$501,'Invoice Register'!$M$2:$M$501,A36,'Invoice Register'!$G$2:$G$501,"MXN",'Invoice Register'!$B$2:$B$501,B36,'Invoice Register'!$L$2:$L$501,"FX HOLD"))))</x:f>
      </x:c>
    </x:row>
    <x:row r="37">
      <x:c r="H37" t="str">
        <x:f>IF(B37="","",IF((COUNTIFS('Invoice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Register'!$M$2:$M$501,A37)+COUNTIFS('Invoice Register'!$L$2:$L$501,"CANCELLED",'Invoice Register'!$M$2:$M$501,A37)=0,"INVOICE DATA REQUIRED",SUMIFS('Invoice Register'!$N$2:$N$501,'Invoice Register'!$M$2:$M$501,A37,'Invoice Register'!$B$2:$B$501,B37))))</x:f>
      </x:c>
      <x:c r="N37" t="str">
        <x:f>IF(B37="","",IF(COUNTIF('ERP Snapshot'!$A$2:$A$101,B37)=0,"UNKNOWN",IF(COUNTIFS('ERP Snapshot'!$A$2:$A$101,B37,'ERP Snapshot'!$D$2:$D$101,"MXN")&gt;0,"MXN","USD")))</x:f>
      </x:c>
      <x:c r="O37" t="str">
        <x:f>IF(B37="","",IF(N37="UNKNOWN","SOURCE REVIEW",IF(N37="USD","NOT REQUIRED",IF(AND(Settings!$B$8="APPROVED",Settings!$B$9&lt;&gt;"",Settings!$B$10&lt;&gt;"",Settings!$B$2&gt;0),"APPROVED","FX HOLD"))))</x:f>
      </x:c>
      <x:c r="P37" t="str">
        <x:f>IF(B37="","",IF(O37="FX HOLD","USD normalized input is provisional; FX approval missing",IF(O37="SOURCE REVIEW","Missing source currency mapping",IF(O37="APPROVED","Approval metadata supplied; source rates not independently audited",""))))</x:f>
      </x:c>
      <x:c r="T37" s="50"/>
      <x:c r="U37" t="str">
        <x:f>IF(B37="","",IF(ISNUMBER(H37),"DATED ERP INVOICES",IF(ISNUMBER(T37),"HISTORICAL DATES REQUIRED",H37)))</x:f>
      </x:c>
      <x:c r="V37" s="49" t="str">
        <x:f>IF(B37="","",IF((COUNTIFS('Invoice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Register'!$M$2:$M$501,A37,'Invoice Register'!$L$2:$L$501,"VALID")+COUNTIFS('Invoice Register'!$M$2:$M$501,A37,'Invoice Register'!$L$2:$L$501,"FX HOLD")+COUNTIFS('Invoice Register'!$M$2:$M$501,A37,'Invoice Register'!$L$2:$L$501,"CANCELLED")=0,"INVOICE DATA REQUIRED",SUMIFS('Invoice Register'!$H$2:$H$501,'Invoice Register'!$M$2:$M$501,A37,'Invoice Register'!$G$2:$G$501,"USD",'Invoice Register'!$B$2:$B$501,B37,'Invoice Register'!$L$2:$L$501,"VALID")+SUMIFS('Invoice Register'!$H$2:$H$501,'Invoice Register'!$M$2:$M$501,A37,'Invoice Register'!$G$2:$G$501,"USD",'Invoice Register'!$B$2:$B$501,B37,'Invoice Register'!$L$2:$L$501,"FX HOLD"))))</x:f>
      </x:c>
      <x:c r="W37" s="49" t="str">
        <x:f>IF(B37="","",IF((COUNTIFS('Invoice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Register'!$M$2:$M$501,A37,'Invoice Register'!$L$2:$L$501,"VALID")+COUNTIFS('Invoice Register'!$M$2:$M$501,A37,'Invoice Register'!$L$2:$L$501,"FX HOLD")+COUNTIFS('Invoice Register'!$M$2:$M$501,A37,'Invoice Register'!$L$2:$L$501,"CANCELLED")=0,"INVOICE DATA REQUIRED",SUMIFS('Invoice Register'!$H$2:$H$501,'Invoice Register'!$M$2:$M$501,A37,'Invoice Register'!$G$2:$G$501,"MXN",'Invoice Register'!$B$2:$B$501,B37,'Invoice Register'!$L$2:$L$501,"VALID")+SUMIFS('Invoice Register'!$H$2:$H$501,'Invoice Register'!$M$2:$M$501,A37,'Invoice Register'!$G$2:$G$501,"MXN",'Invoice Register'!$B$2:$B$501,B37,'Invoice Register'!$L$2:$L$501,"FX HOLD"))))</x:f>
      </x:c>
    </x:row>
    <x:row r="38">
      <x:c r="H38" t="str">
        <x:f>IF(B38="","",IF((COUNTIFS('Invoice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Register'!$M$2:$M$501,A38)+COUNTIFS('Invoice Register'!$L$2:$L$501,"CANCELLED",'Invoice Register'!$M$2:$M$501,A38)=0,"INVOICE DATA REQUIRED",SUMIFS('Invoice Register'!$N$2:$N$501,'Invoice Register'!$M$2:$M$501,A38,'Invoice Register'!$B$2:$B$501,B38))))</x:f>
      </x:c>
      <x:c r="N38" t="str">
        <x:f>IF(B38="","",IF(COUNTIF('ERP Snapshot'!$A$2:$A$101,B38)=0,"UNKNOWN",IF(COUNTIFS('ERP Snapshot'!$A$2:$A$101,B38,'ERP Snapshot'!$D$2:$D$101,"MXN")&gt;0,"MXN","USD")))</x:f>
      </x:c>
      <x:c r="O38" t="str">
        <x:f>IF(B38="","",IF(N38="UNKNOWN","SOURCE REVIEW",IF(N38="USD","NOT REQUIRED",IF(AND(Settings!$B$8="APPROVED",Settings!$B$9&lt;&gt;"",Settings!$B$10&lt;&gt;"",Settings!$B$2&gt;0),"APPROVED","FX HOLD"))))</x:f>
      </x:c>
      <x:c r="P38" t="str">
        <x:f>IF(B38="","",IF(O38="FX HOLD","USD normalized input is provisional; FX approval missing",IF(O38="SOURCE REVIEW","Missing source currency mapping",IF(O38="APPROVED","Approval metadata supplied; source rates not independently audited",""))))</x:f>
      </x:c>
      <x:c r="T38" s="50"/>
      <x:c r="U38" t="str">
        <x:f>IF(B38="","",IF(ISNUMBER(H38),"DATED ERP INVOICES",IF(ISNUMBER(T38),"HISTORICAL DATES REQUIRED",H38)))</x:f>
      </x:c>
      <x:c r="V38" s="49" t="str">
        <x:f>IF(B38="","",IF((COUNTIFS('Invoice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Register'!$M$2:$M$501,A38,'Invoice Register'!$L$2:$L$501,"VALID")+COUNTIFS('Invoice Register'!$M$2:$M$501,A38,'Invoice Register'!$L$2:$L$501,"FX HOLD")+COUNTIFS('Invoice Register'!$M$2:$M$501,A38,'Invoice Register'!$L$2:$L$501,"CANCELLED")=0,"INVOICE DATA REQUIRED",SUMIFS('Invoice Register'!$H$2:$H$501,'Invoice Register'!$M$2:$M$501,A38,'Invoice Register'!$G$2:$G$501,"USD",'Invoice Register'!$B$2:$B$501,B38,'Invoice Register'!$L$2:$L$501,"VALID")+SUMIFS('Invoice Register'!$H$2:$H$501,'Invoice Register'!$M$2:$M$501,A38,'Invoice Register'!$G$2:$G$501,"USD",'Invoice Register'!$B$2:$B$501,B38,'Invoice Register'!$L$2:$L$501,"FX HOLD"))))</x:f>
      </x:c>
      <x:c r="W38" s="49" t="str">
        <x:f>IF(B38="","",IF((COUNTIFS('Invoice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Register'!$M$2:$M$501,A38,'Invoice Register'!$L$2:$L$501,"VALID")+COUNTIFS('Invoice Register'!$M$2:$M$501,A38,'Invoice Register'!$L$2:$L$501,"FX HOLD")+COUNTIFS('Invoice Register'!$M$2:$M$501,A38,'Invoice Register'!$L$2:$L$501,"CANCELLED")=0,"INVOICE DATA REQUIRED",SUMIFS('Invoice Register'!$H$2:$H$501,'Invoice Register'!$M$2:$M$501,A38,'Invoice Register'!$G$2:$G$501,"MXN",'Invoice Register'!$B$2:$B$501,B38,'Invoice Register'!$L$2:$L$501,"VALID")+SUMIFS('Invoice Register'!$H$2:$H$501,'Invoice Register'!$M$2:$M$501,A38,'Invoice Register'!$G$2:$G$501,"MXN",'Invoice Register'!$B$2:$B$501,B38,'Invoice Register'!$L$2:$L$501,"FX HOLD"))))</x:f>
      </x:c>
    </x:row>
    <x:row r="39">
      <x:c r="H39" t="str">
        <x:f>IF(B39="","",IF((COUNTIFS('Invoice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Register'!$M$2:$M$501,A39)+COUNTIFS('Invoice Register'!$L$2:$L$501,"CANCELLED",'Invoice Register'!$M$2:$M$501,A39)=0,"INVOICE DATA REQUIRED",SUMIFS('Invoice Register'!$N$2:$N$501,'Invoice Register'!$M$2:$M$501,A39,'Invoice Register'!$B$2:$B$501,B39))))</x:f>
      </x:c>
      <x:c r="N39" t="str">
        <x:f>IF(B39="","",IF(COUNTIF('ERP Snapshot'!$A$2:$A$101,B39)=0,"UNKNOWN",IF(COUNTIFS('ERP Snapshot'!$A$2:$A$101,B39,'ERP Snapshot'!$D$2:$D$101,"MXN")&gt;0,"MXN","USD")))</x:f>
      </x:c>
      <x:c r="O39" t="str">
        <x:f>IF(B39="","",IF(N39="UNKNOWN","SOURCE REVIEW",IF(N39="USD","NOT REQUIRED",IF(AND(Settings!$B$8="APPROVED",Settings!$B$9&lt;&gt;"",Settings!$B$10&lt;&gt;"",Settings!$B$2&gt;0),"APPROVED","FX HOLD"))))</x:f>
      </x:c>
      <x:c r="P39" t="str">
        <x:f>IF(B39="","",IF(O39="FX HOLD","USD normalized input is provisional; FX approval missing",IF(O39="SOURCE REVIEW","Missing source currency mapping",IF(O39="APPROVED","Approval metadata supplied; source rates not independently audited",""))))</x:f>
      </x:c>
      <x:c r="T39" s="50"/>
      <x:c r="U39" t="str">
        <x:f>IF(B39="","",IF(ISNUMBER(H39),"DATED ERP INVOICES",IF(ISNUMBER(T39),"HISTORICAL DATES REQUIRED",H39)))</x:f>
      </x:c>
      <x:c r="V39" s="49" t="str">
        <x:f>IF(B39="","",IF((COUNTIFS('Invoice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Register'!$M$2:$M$501,A39,'Invoice Register'!$L$2:$L$501,"VALID")+COUNTIFS('Invoice Register'!$M$2:$M$501,A39,'Invoice Register'!$L$2:$L$501,"FX HOLD")+COUNTIFS('Invoice Register'!$M$2:$M$501,A39,'Invoice Register'!$L$2:$L$501,"CANCELLED")=0,"INVOICE DATA REQUIRED",SUMIFS('Invoice Register'!$H$2:$H$501,'Invoice Register'!$M$2:$M$501,A39,'Invoice Register'!$G$2:$G$501,"USD",'Invoice Register'!$B$2:$B$501,B39,'Invoice Register'!$L$2:$L$501,"VALID")+SUMIFS('Invoice Register'!$H$2:$H$501,'Invoice Register'!$M$2:$M$501,A39,'Invoice Register'!$G$2:$G$501,"USD",'Invoice Register'!$B$2:$B$501,B39,'Invoice Register'!$L$2:$L$501,"FX HOLD"))))</x:f>
      </x:c>
      <x:c r="W39" s="49" t="str">
        <x:f>IF(B39="","",IF((COUNTIFS('Invoice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Register'!$M$2:$M$501,A39,'Invoice Register'!$L$2:$L$501,"VALID")+COUNTIFS('Invoice Register'!$M$2:$M$501,A39,'Invoice Register'!$L$2:$L$501,"FX HOLD")+COUNTIFS('Invoice Register'!$M$2:$M$501,A39,'Invoice Register'!$L$2:$L$501,"CANCELLED")=0,"INVOICE DATA REQUIRED",SUMIFS('Invoice Register'!$H$2:$H$501,'Invoice Register'!$M$2:$M$501,A39,'Invoice Register'!$G$2:$G$501,"MXN",'Invoice Register'!$B$2:$B$501,B39,'Invoice Register'!$L$2:$L$501,"VALID")+SUMIFS('Invoice Register'!$H$2:$H$501,'Invoice Register'!$M$2:$M$501,A39,'Invoice Register'!$G$2:$G$501,"MXN",'Invoice Register'!$B$2:$B$501,B39,'Invoice Register'!$L$2:$L$501,"FX HOLD"))))</x:f>
      </x:c>
    </x:row>
    <x:row r="40">
      <x:c r="H40" t="str">
        <x:f>IF(B40="","",IF((COUNTIFS('Invoice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Register'!$M$2:$M$501,A40)+COUNTIFS('Invoice Register'!$L$2:$L$501,"CANCELLED",'Invoice Register'!$M$2:$M$501,A40)=0,"INVOICE DATA REQUIRED",SUMIFS('Invoice Register'!$N$2:$N$501,'Invoice Register'!$M$2:$M$501,A40,'Invoice Register'!$B$2:$B$501,B40))))</x:f>
      </x:c>
      <x:c r="N40" t="str">
        <x:f>IF(B40="","",IF(COUNTIF('ERP Snapshot'!$A$2:$A$101,B40)=0,"UNKNOWN",IF(COUNTIFS('ERP Snapshot'!$A$2:$A$101,B40,'ERP Snapshot'!$D$2:$D$101,"MXN")&gt;0,"MXN","USD")))</x:f>
      </x:c>
      <x:c r="O40" t="str">
        <x:f>IF(B40="","",IF(N40="UNKNOWN","SOURCE REVIEW",IF(N40="USD","NOT REQUIRED",IF(AND(Settings!$B$8="APPROVED",Settings!$B$9&lt;&gt;"",Settings!$B$10&lt;&gt;"",Settings!$B$2&gt;0),"APPROVED","FX HOLD"))))</x:f>
      </x:c>
      <x:c r="P40" t="str">
        <x:f>IF(B40="","",IF(O40="FX HOLD","USD normalized input is provisional; FX approval missing",IF(O40="SOURCE REVIEW","Missing source currency mapping",IF(O40="APPROVED","Approval metadata supplied; source rates not independently audited",""))))</x:f>
      </x:c>
      <x:c r="T40" s="50"/>
      <x:c r="U40" t="str">
        <x:f>IF(B40="","",IF(ISNUMBER(H40),"DATED ERP INVOICES",IF(ISNUMBER(T40),"HISTORICAL DATES REQUIRED",H40)))</x:f>
      </x:c>
      <x:c r="V40" s="49" t="str">
        <x:f>IF(B40="","",IF((COUNTIFS('Invoice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Register'!$M$2:$M$501,A40,'Invoice Register'!$L$2:$L$501,"VALID")+COUNTIFS('Invoice Register'!$M$2:$M$501,A40,'Invoice Register'!$L$2:$L$501,"FX HOLD")+COUNTIFS('Invoice Register'!$M$2:$M$501,A40,'Invoice Register'!$L$2:$L$501,"CANCELLED")=0,"INVOICE DATA REQUIRED",SUMIFS('Invoice Register'!$H$2:$H$501,'Invoice Register'!$M$2:$M$501,A40,'Invoice Register'!$G$2:$G$501,"USD",'Invoice Register'!$B$2:$B$501,B40,'Invoice Register'!$L$2:$L$501,"VALID")+SUMIFS('Invoice Register'!$H$2:$H$501,'Invoice Register'!$M$2:$M$501,A40,'Invoice Register'!$G$2:$G$501,"USD",'Invoice Register'!$B$2:$B$501,B40,'Invoice Register'!$L$2:$L$501,"FX HOLD"))))</x:f>
      </x:c>
      <x:c r="W40" s="49" t="str">
        <x:f>IF(B40="","",IF((COUNTIFS('Invoice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Register'!$M$2:$M$501,A40,'Invoice Register'!$L$2:$L$501,"VALID")+COUNTIFS('Invoice Register'!$M$2:$M$501,A40,'Invoice Register'!$L$2:$L$501,"FX HOLD")+COUNTIFS('Invoice Register'!$M$2:$M$501,A40,'Invoice Register'!$L$2:$L$501,"CANCELLED")=0,"INVOICE DATA REQUIRED",SUMIFS('Invoice Register'!$H$2:$H$501,'Invoice Register'!$M$2:$M$501,A40,'Invoice Register'!$G$2:$G$501,"MXN",'Invoice Register'!$B$2:$B$501,B40,'Invoice Register'!$L$2:$L$501,"VALID")+SUMIFS('Invoice Register'!$H$2:$H$501,'Invoice Register'!$M$2:$M$501,A40,'Invoice Register'!$G$2:$G$501,"MXN",'Invoice Register'!$B$2:$B$501,B40,'Invoice Register'!$L$2:$L$501,"FX HOLD"))))</x:f>
      </x:c>
    </x:row>
    <x:row r="41">
      <x:c r="H41" t="str">
        <x:f>IF(B41="","",IF((COUNTIFS('Invoice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Register'!$M$2:$M$501,A41)+COUNTIFS('Invoice Register'!$L$2:$L$501,"CANCELLED",'Invoice Register'!$M$2:$M$501,A41)=0,"INVOICE DATA REQUIRED",SUMIFS('Invoice Register'!$N$2:$N$501,'Invoice Register'!$M$2:$M$501,A41,'Invoice Register'!$B$2:$B$501,B41))))</x:f>
      </x:c>
      <x:c r="N41" t="str">
        <x:f>IF(B41="","",IF(COUNTIF('ERP Snapshot'!$A$2:$A$101,B41)=0,"UNKNOWN",IF(COUNTIFS('ERP Snapshot'!$A$2:$A$101,B41,'ERP Snapshot'!$D$2:$D$101,"MXN")&gt;0,"MXN","USD")))</x:f>
      </x:c>
      <x:c r="O41" t="str">
        <x:f>IF(B41="","",IF(N41="UNKNOWN","SOURCE REVIEW",IF(N41="USD","NOT REQUIRED",IF(AND(Settings!$B$8="APPROVED",Settings!$B$9&lt;&gt;"",Settings!$B$10&lt;&gt;"",Settings!$B$2&gt;0),"APPROVED","FX HOLD"))))</x:f>
      </x:c>
      <x:c r="P41" t="str">
        <x:f>IF(B41="","",IF(O41="FX HOLD","USD normalized input is provisional; FX approval missing",IF(O41="SOURCE REVIEW","Missing source currency mapping",IF(O41="APPROVED","Approval metadata supplied; source rates not independently audited",""))))</x:f>
      </x:c>
      <x:c r="T41" s="50"/>
      <x:c r="U41" t="str">
        <x:f>IF(B41="","",IF(ISNUMBER(H41),"DATED ERP INVOICES",IF(ISNUMBER(T41),"HISTORICAL DATES REQUIRED",H41)))</x:f>
      </x:c>
      <x:c r="V41" s="49" t="str">
        <x:f>IF(B41="","",IF((COUNTIFS('Invoice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Register'!$M$2:$M$501,A41,'Invoice Register'!$L$2:$L$501,"VALID")+COUNTIFS('Invoice Register'!$M$2:$M$501,A41,'Invoice Register'!$L$2:$L$501,"FX HOLD")+COUNTIFS('Invoice Register'!$M$2:$M$501,A41,'Invoice Register'!$L$2:$L$501,"CANCELLED")=0,"INVOICE DATA REQUIRED",SUMIFS('Invoice Register'!$H$2:$H$501,'Invoice Register'!$M$2:$M$501,A41,'Invoice Register'!$G$2:$G$501,"USD",'Invoice Register'!$B$2:$B$501,B41,'Invoice Register'!$L$2:$L$501,"VALID")+SUMIFS('Invoice Register'!$H$2:$H$501,'Invoice Register'!$M$2:$M$501,A41,'Invoice Register'!$G$2:$G$501,"USD",'Invoice Register'!$B$2:$B$501,B41,'Invoice Register'!$L$2:$L$501,"FX HOLD"))))</x:f>
      </x:c>
      <x:c r="W41" s="49" t="str">
        <x:f>IF(B41="","",IF((COUNTIFS('Invoice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Register'!$M$2:$M$501,A41,'Invoice Register'!$L$2:$L$501,"VALID")+COUNTIFS('Invoice Register'!$M$2:$M$501,A41,'Invoice Register'!$L$2:$L$501,"FX HOLD")+COUNTIFS('Invoice Register'!$M$2:$M$501,A41,'Invoice Register'!$L$2:$L$501,"CANCELLED")=0,"INVOICE DATA REQUIRED",SUMIFS('Invoice Register'!$H$2:$H$501,'Invoice Register'!$M$2:$M$501,A41,'Invoice Register'!$G$2:$G$501,"MXN",'Invoice Register'!$B$2:$B$501,B41,'Invoice Register'!$L$2:$L$501,"VALID")+SUMIFS('Invoice Register'!$H$2:$H$501,'Invoice Register'!$M$2:$M$501,A41,'Invoice Register'!$G$2:$G$501,"MXN",'Invoice Register'!$B$2:$B$501,B41,'Invoice Register'!$L$2:$L$501,"FX HOLD"))))</x:f>
      </x:c>
    </x:row>
    <x:row r="42">
      <x:c r="H42" t="str">
        <x:f>IF(B42="","",IF((COUNTIFS('Invoice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Register'!$M$2:$M$501,A42)+COUNTIFS('Invoice Register'!$L$2:$L$501,"CANCELLED",'Invoice Register'!$M$2:$M$501,A42)=0,"INVOICE DATA REQUIRED",SUMIFS('Invoice Register'!$N$2:$N$501,'Invoice Register'!$M$2:$M$501,A42,'Invoice Register'!$B$2:$B$501,B42))))</x:f>
      </x:c>
      <x:c r="N42" t="str">
        <x:f>IF(B42="","",IF(COUNTIF('ERP Snapshot'!$A$2:$A$101,B42)=0,"UNKNOWN",IF(COUNTIFS('ERP Snapshot'!$A$2:$A$101,B42,'ERP Snapshot'!$D$2:$D$101,"MXN")&gt;0,"MXN","USD")))</x:f>
      </x:c>
      <x:c r="O42" t="str">
        <x:f>IF(B42="","",IF(N42="UNKNOWN","SOURCE REVIEW",IF(N42="USD","NOT REQUIRED",IF(AND(Settings!$B$8="APPROVED",Settings!$B$9&lt;&gt;"",Settings!$B$10&lt;&gt;"",Settings!$B$2&gt;0),"APPROVED","FX HOLD"))))</x:f>
      </x:c>
      <x:c r="P42" t="str">
        <x:f>IF(B42="","",IF(O42="FX HOLD","USD normalized input is provisional; FX approval missing",IF(O42="SOURCE REVIEW","Missing source currency mapping",IF(O42="APPROVED","Approval metadata supplied; source rates not independently audited",""))))</x:f>
      </x:c>
      <x:c r="T42" s="50"/>
      <x:c r="U42" t="str">
        <x:f>IF(B42="","",IF(ISNUMBER(H42),"DATED ERP INVOICES",IF(ISNUMBER(T42),"HISTORICAL DATES REQUIRED",H42)))</x:f>
      </x:c>
      <x:c r="V42" s="49" t="str">
        <x:f>IF(B42="","",IF((COUNTIFS('Invoice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Register'!$M$2:$M$501,A42,'Invoice Register'!$L$2:$L$501,"VALID")+COUNTIFS('Invoice Register'!$M$2:$M$501,A42,'Invoice Register'!$L$2:$L$501,"FX HOLD")+COUNTIFS('Invoice Register'!$M$2:$M$501,A42,'Invoice Register'!$L$2:$L$501,"CANCELLED")=0,"INVOICE DATA REQUIRED",SUMIFS('Invoice Register'!$H$2:$H$501,'Invoice Register'!$M$2:$M$501,A42,'Invoice Register'!$G$2:$G$501,"USD",'Invoice Register'!$B$2:$B$501,B42,'Invoice Register'!$L$2:$L$501,"VALID")+SUMIFS('Invoice Register'!$H$2:$H$501,'Invoice Register'!$M$2:$M$501,A42,'Invoice Register'!$G$2:$G$501,"USD",'Invoice Register'!$B$2:$B$501,B42,'Invoice Register'!$L$2:$L$501,"FX HOLD"))))</x:f>
      </x:c>
      <x:c r="W42" s="49" t="str">
        <x:f>IF(B42="","",IF((COUNTIFS('Invoice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Register'!$M$2:$M$501,A42,'Invoice Register'!$L$2:$L$501,"VALID")+COUNTIFS('Invoice Register'!$M$2:$M$501,A42,'Invoice Register'!$L$2:$L$501,"FX HOLD")+COUNTIFS('Invoice Register'!$M$2:$M$501,A42,'Invoice Register'!$L$2:$L$501,"CANCELLED")=0,"INVOICE DATA REQUIRED",SUMIFS('Invoice Register'!$H$2:$H$501,'Invoice Register'!$M$2:$M$501,A42,'Invoice Register'!$G$2:$G$501,"MXN",'Invoice Register'!$B$2:$B$501,B42,'Invoice Register'!$L$2:$L$501,"VALID")+SUMIFS('Invoice Register'!$H$2:$H$501,'Invoice Register'!$M$2:$M$501,A42,'Invoice Register'!$G$2:$G$501,"MXN",'Invoice Register'!$B$2:$B$501,B42,'Invoice Register'!$L$2:$L$501,"FX HOLD"))))</x:f>
      </x:c>
    </x:row>
    <x:row r="43">
      <x:c r="H43" t="str">
        <x:f>IF(B43="","",IF((COUNTIFS('Invoice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Register'!$M$2:$M$501,A43)+COUNTIFS('Invoice Register'!$L$2:$L$501,"CANCELLED",'Invoice Register'!$M$2:$M$501,A43)=0,"INVOICE DATA REQUIRED",SUMIFS('Invoice Register'!$N$2:$N$501,'Invoice Register'!$M$2:$M$501,A43,'Invoice Register'!$B$2:$B$501,B43))))</x:f>
      </x:c>
      <x:c r="N43" t="str">
        <x:f>IF(B43="","",IF(COUNTIF('ERP Snapshot'!$A$2:$A$101,B43)=0,"UNKNOWN",IF(COUNTIFS('ERP Snapshot'!$A$2:$A$101,B43,'ERP Snapshot'!$D$2:$D$101,"MXN")&gt;0,"MXN","USD")))</x:f>
      </x:c>
      <x:c r="O43" t="str">
        <x:f>IF(B43="","",IF(N43="UNKNOWN","SOURCE REVIEW",IF(N43="USD","NOT REQUIRED",IF(AND(Settings!$B$8="APPROVED",Settings!$B$9&lt;&gt;"",Settings!$B$10&lt;&gt;"",Settings!$B$2&gt;0),"APPROVED","FX HOLD"))))</x:f>
      </x:c>
      <x:c r="P43" t="str">
        <x:f>IF(B43="","",IF(O43="FX HOLD","USD normalized input is provisional; FX approval missing",IF(O43="SOURCE REVIEW","Missing source currency mapping",IF(O43="APPROVED","Approval metadata supplied; source rates not independently audited",""))))</x:f>
      </x:c>
      <x:c r="T43" s="50"/>
      <x:c r="U43" t="str">
        <x:f>IF(B43="","",IF(ISNUMBER(H43),"DATED ERP INVOICES",IF(ISNUMBER(T43),"HISTORICAL DATES REQUIRED",H43)))</x:f>
      </x:c>
      <x:c r="V43" s="49" t="str">
        <x:f>IF(B43="","",IF((COUNTIFS('Invoice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Register'!$M$2:$M$501,A43,'Invoice Register'!$L$2:$L$501,"VALID")+COUNTIFS('Invoice Register'!$M$2:$M$501,A43,'Invoice Register'!$L$2:$L$501,"FX HOLD")+COUNTIFS('Invoice Register'!$M$2:$M$501,A43,'Invoice Register'!$L$2:$L$501,"CANCELLED")=0,"INVOICE DATA REQUIRED",SUMIFS('Invoice Register'!$H$2:$H$501,'Invoice Register'!$M$2:$M$501,A43,'Invoice Register'!$G$2:$G$501,"USD",'Invoice Register'!$B$2:$B$501,B43,'Invoice Register'!$L$2:$L$501,"VALID")+SUMIFS('Invoice Register'!$H$2:$H$501,'Invoice Register'!$M$2:$M$501,A43,'Invoice Register'!$G$2:$G$501,"USD",'Invoice Register'!$B$2:$B$501,B43,'Invoice Register'!$L$2:$L$501,"FX HOLD"))))</x:f>
      </x:c>
      <x:c r="W43" s="49" t="str">
        <x:f>IF(B43="","",IF((COUNTIFS('Invoice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Register'!$M$2:$M$501,A43,'Invoice Register'!$L$2:$L$501,"VALID")+COUNTIFS('Invoice Register'!$M$2:$M$501,A43,'Invoice Register'!$L$2:$L$501,"FX HOLD")+COUNTIFS('Invoice Register'!$M$2:$M$501,A43,'Invoice Register'!$L$2:$L$501,"CANCELLED")=0,"INVOICE DATA REQUIRED",SUMIFS('Invoice Register'!$H$2:$H$501,'Invoice Register'!$M$2:$M$501,A43,'Invoice Register'!$G$2:$G$501,"MXN",'Invoice Register'!$B$2:$B$501,B43,'Invoice Register'!$L$2:$L$501,"VALID")+SUMIFS('Invoice Register'!$H$2:$H$501,'Invoice Register'!$M$2:$M$501,A43,'Invoice Register'!$G$2:$G$501,"MXN",'Invoice Register'!$B$2:$B$501,B43,'Invoice Register'!$L$2:$L$501,"FX HOLD"))))</x:f>
      </x:c>
    </x:row>
    <x:row r="44">
      <x:c r="H44" t="str">
        <x:f>IF(B44="","",IF((COUNTIFS('Invoice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Register'!$M$2:$M$501,A44)+COUNTIFS('Invoice Register'!$L$2:$L$501,"CANCELLED",'Invoice Register'!$M$2:$M$501,A44)=0,"INVOICE DATA REQUIRED",SUMIFS('Invoice Register'!$N$2:$N$501,'Invoice Register'!$M$2:$M$501,A44,'Invoice Register'!$B$2:$B$501,B44))))</x:f>
      </x:c>
      <x:c r="N44" t="str">
        <x:f>IF(B44="","",IF(COUNTIF('ERP Snapshot'!$A$2:$A$101,B44)=0,"UNKNOWN",IF(COUNTIFS('ERP Snapshot'!$A$2:$A$101,B44,'ERP Snapshot'!$D$2:$D$101,"MXN")&gt;0,"MXN","USD")))</x:f>
      </x:c>
      <x:c r="O44" t="str">
        <x:f>IF(B44="","",IF(N44="UNKNOWN","SOURCE REVIEW",IF(N44="USD","NOT REQUIRED",IF(AND(Settings!$B$8="APPROVED",Settings!$B$9&lt;&gt;"",Settings!$B$10&lt;&gt;"",Settings!$B$2&gt;0),"APPROVED","FX HOLD"))))</x:f>
      </x:c>
      <x:c r="P44" t="str">
        <x:f>IF(B44="","",IF(O44="FX HOLD","USD normalized input is provisional; FX approval missing",IF(O44="SOURCE REVIEW","Missing source currency mapping",IF(O44="APPROVED","Approval metadata supplied; source rates not independently audited",""))))</x:f>
      </x:c>
      <x:c r="T44" s="50"/>
      <x:c r="U44" t="str">
        <x:f>IF(B44="","",IF(ISNUMBER(H44),"DATED ERP INVOICES",IF(ISNUMBER(T44),"HISTORICAL DATES REQUIRED",H44)))</x:f>
      </x:c>
      <x:c r="V44" s="49" t="str">
        <x:f>IF(B44="","",IF((COUNTIFS('Invoice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Register'!$M$2:$M$501,A44,'Invoice Register'!$L$2:$L$501,"VALID")+COUNTIFS('Invoice Register'!$M$2:$M$501,A44,'Invoice Register'!$L$2:$L$501,"FX HOLD")+COUNTIFS('Invoice Register'!$M$2:$M$501,A44,'Invoice Register'!$L$2:$L$501,"CANCELLED")=0,"INVOICE DATA REQUIRED",SUMIFS('Invoice Register'!$H$2:$H$501,'Invoice Register'!$M$2:$M$501,A44,'Invoice Register'!$G$2:$G$501,"USD",'Invoice Register'!$B$2:$B$501,B44,'Invoice Register'!$L$2:$L$501,"VALID")+SUMIFS('Invoice Register'!$H$2:$H$501,'Invoice Register'!$M$2:$M$501,A44,'Invoice Register'!$G$2:$G$501,"USD",'Invoice Register'!$B$2:$B$501,B44,'Invoice Register'!$L$2:$L$501,"FX HOLD"))))</x:f>
      </x:c>
      <x:c r="W44" s="49" t="str">
        <x:f>IF(B44="","",IF((COUNTIFS('Invoice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Register'!$M$2:$M$501,A44,'Invoice Register'!$L$2:$L$501,"VALID")+COUNTIFS('Invoice Register'!$M$2:$M$501,A44,'Invoice Register'!$L$2:$L$501,"FX HOLD")+COUNTIFS('Invoice Register'!$M$2:$M$501,A44,'Invoice Register'!$L$2:$L$501,"CANCELLED")=0,"INVOICE DATA REQUIRED",SUMIFS('Invoice Register'!$H$2:$H$501,'Invoice Register'!$M$2:$M$501,A44,'Invoice Register'!$G$2:$G$501,"MXN",'Invoice Register'!$B$2:$B$501,B44,'Invoice Register'!$L$2:$L$501,"VALID")+SUMIFS('Invoice Register'!$H$2:$H$501,'Invoice Register'!$M$2:$M$501,A44,'Invoice Register'!$G$2:$G$501,"MXN",'Invoice Register'!$B$2:$B$501,B44,'Invoice Register'!$L$2:$L$501,"FX HOLD"))))</x:f>
      </x:c>
    </x:row>
    <x:row r="45">
      <x:c r="H45" t="str">
        <x:f>IF(B45="","",IF((COUNTIFS('Invoice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Register'!$M$2:$M$501,A45)+COUNTIFS('Invoice Register'!$L$2:$L$501,"CANCELLED",'Invoice Register'!$M$2:$M$501,A45)=0,"INVOICE DATA REQUIRED",SUMIFS('Invoice Register'!$N$2:$N$501,'Invoice Register'!$M$2:$M$501,A45,'Invoice Register'!$B$2:$B$501,B45))))</x:f>
      </x:c>
      <x:c r="N45" t="str">
        <x:f>IF(B45="","",IF(COUNTIF('ERP Snapshot'!$A$2:$A$101,B45)=0,"UNKNOWN",IF(COUNTIFS('ERP Snapshot'!$A$2:$A$101,B45,'ERP Snapshot'!$D$2:$D$101,"MXN")&gt;0,"MXN","USD")))</x:f>
      </x:c>
      <x:c r="O45" t="str">
        <x:f>IF(B45="","",IF(N45="UNKNOWN","SOURCE REVIEW",IF(N45="USD","NOT REQUIRED",IF(AND(Settings!$B$8="APPROVED",Settings!$B$9&lt;&gt;"",Settings!$B$10&lt;&gt;"",Settings!$B$2&gt;0),"APPROVED","FX HOLD"))))</x:f>
      </x:c>
      <x:c r="P45" t="str">
        <x:f>IF(B45="","",IF(O45="FX HOLD","USD normalized input is provisional; FX approval missing",IF(O45="SOURCE REVIEW","Missing source currency mapping",IF(O45="APPROVED","Approval metadata supplied; source rates not independently audited",""))))</x:f>
      </x:c>
      <x:c r="T45" s="50"/>
      <x:c r="U45" t="str">
        <x:f>IF(B45="","",IF(ISNUMBER(H45),"DATED ERP INVOICES",IF(ISNUMBER(T45),"HISTORICAL DATES REQUIRED",H45)))</x:f>
      </x:c>
      <x:c r="V45" s="49" t="str">
        <x:f>IF(B45="","",IF((COUNTIFS('Invoice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Register'!$M$2:$M$501,A45,'Invoice Register'!$L$2:$L$501,"VALID")+COUNTIFS('Invoice Register'!$M$2:$M$501,A45,'Invoice Register'!$L$2:$L$501,"FX HOLD")+COUNTIFS('Invoice Register'!$M$2:$M$501,A45,'Invoice Register'!$L$2:$L$501,"CANCELLED")=0,"INVOICE DATA REQUIRED",SUMIFS('Invoice Register'!$H$2:$H$501,'Invoice Register'!$M$2:$M$501,A45,'Invoice Register'!$G$2:$G$501,"USD",'Invoice Register'!$B$2:$B$501,B45,'Invoice Register'!$L$2:$L$501,"VALID")+SUMIFS('Invoice Register'!$H$2:$H$501,'Invoice Register'!$M$2:$M$501,A45,'Invoice Register'!$G$2:$G$501,"USD",'Invoice Register'!$B$2:$B$501,B45,'Invoice Register'!$L$2:$L$501,"FX HOLD"))))</x:f>
      </x:c>
      <x:c r="W45" s="49" t="str">
        <x:f>IF(B45="","",IF((COUNTIFS('Invoice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Register'!$M$2:$M$501,A45,'Invoice Register'!$L$2:$L$501,"VALID")+COUNTIFS('Invoice Register'!$M$2:$M$501,A45,'Invoice Register'!$L$2:$L$501,"FX HOLD")+COUNTIFS('Invoice Register'!$M$2:$M$501,A45,'Invoice Register'!$L$2:$L$501,"CANCELLED")=0,"INVOICE DATA REQUIRED",SUMIFS('Invoice Register'!$H$2:$H$501,'Invoice Register'!$M$2:$M$501,A45,'Invoice Register'!$G$2:$G$501,"MXN",'Invoice Register'!$B$2:$B$501,B45,'Invoice Register'!$L$2:$L$501,"VALID")+SUMIFS('Invoice Register'!$H$2:$H$501,'Invoice Register'!$M$2:$M$501,A45,'Invoice Register'!$G$2:$G$501,"MXN",'Invoice Register'!$B$2:$B$501,B45,'Invoice Register'!$L$2:$L$501,"FX HOLD"))))</x:f>
      </x:c>
    </x:row>
    <x:row r="46">
      <x:c r="H46" t="str">
        <x:f>IF(B46="","",IF((COUNTIFS('Invoice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Register'!$M$2:$M$501,A46)+COUNTIFS('Invoice Register'!$L$2:$L$501,"CANCELLED",'Invoice Register'!$M$2:$M$501,A46)=0,"INVOICE DATA REQUIRED",SUMIFS('Invoice Register'!$N$2:$N$501,'Invoice Register'!$M$2:$M$501,A46,'Invoice Register'!$B$2:$B$501,B46))))</x:f>
      </x:c>
      <x:c r="N46" t="str">
        <x:f>IF(B46="","",IF(COUNTIF('ERP Snapshot'!$A$2:$A$101,B46)=0,"UNKNOWN",IF(COUNTIFS('ERP Snapshot'!$A$2:$A$101,B46,'ERP Snapshot'!$D$2:$D$101,"MXN")&gt;0,"MXN","USD")))</x:f>
      </x:c>
      <x:c r="O46" t="str">
        <x:f>IF(B46="","",IF(N46="UNKNOWN","SOURCE REVIEW",IF(N46="USD","NOT REQUIRED",IF(AND(Settings!$B$8="APPROVED",Settings!$B$9&lt;&gt;"",Settings!$B$10&lt;&gt;"",Settings!$B$2&gt;0),"APPROVED","FX HOLD"))))</x:f>
      </x:c>
      <x:c r="P46" t="str">
        <x:f>IF(B46="","",IF(O46="FX HOLD","USD normalized input is provisional; FX approval missing",IF(O46="SOURCE REVIEW","Missing source currency mapping",IF(O46="APPROVED","Approval metadata supplied; source rates not independently audited",""))))</x:f>
      </x:c>
      <x:c r="T46" s="50"/>
      <x:c r="U46" t="str">
        <x:f>IF(B46="","",IF(ISNUMBER(H46),"DATED ERP INVOICES",IF(ISNUMBER(T46),"HISTORICAL DATES REQUIRED",H46)))</x:f>
      </x:c>
      <x:c r="V46" s="49" t="str">
        <x:f>IF(B46="","",IF((COUNTIFS('Invoice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Register'!$M$2:$M$501,A46,'Invoice Register'!$L$2:$L$501,"VALID")+COUNTIFS('Invoice Register'!$M$2:$M$501,A46,'Invoice Register'!$L$2:$L$501,"FX HOLD")+COUNTIFS('Invoice Register'!$M$2:$M$501,A46,'Invoice Register'!$L$2:$L$501,"CANCELLED")=0,"INVOICE DATA REQUIRED",SUMIFS('Invoice Register'!$H$2:$H$501,'Invoice Register'!$M$2:$M$501,A46,'Invoice Register'!$G$2:$G$501,"USD",'Invoice Register'!$B$2:$B$501,B46,'Invoice Register'!$L$2:$L$501,"VALID")+SUMIFS('Invoice Register'!$H$2:$H$501,'Invoice Register'!$M$2:$M$501,A46,'Invoice Register'!$G$2:$G$501,"USD",'Invoice Register'!$B$2:$B$501,B46,'Invoice Register'!$L$2:$L$501,"FX HOLD"))))</x:f>
      </x:c>
      <x:c r="W46" s="49" t="str">
        <x:f>IF(B46="","",IF((COUNTIFS('Invoice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Register'!$M$2:$M$501,A46,'Invoice Register'!$L$2:$L$501,"VALID")+COUNTIFS('Invoice Register'!$M$2:$M$501,A46,'Invoice Register'!$L$2:$L$501,"FX HOLD")+COUNTIFS('Invoice Register'!$M$2:$M$501,A46,'Invoice Register'!$L$2:$L$501,"CANCELLED")=0,"INVOICE DATA REQUIRED",SUMIFS('Invoice Register'!$H$2:$H$501,'Invoice Register'!$M$2:$M$501,A46,'Invoice Register'!$G$2:$G$501,"MXN",'Invoice Register'!$B$2:$B$501,B46,'Invoice Register'!$L$2:$L$501,"VALID")+SUMIFS('Invoice Register'!$H$2:$H$501,'Invoice Register'!$M$2:$M$501,A46,'Invoice Register'!$G$2:$G$501,"MXN",'Invoice Register'!$B$2:$B$501,B46,'Invoice Register'!$L$2:$L$501,"FX HOLD"))))</x:f>
      </x:c>
    </x:row>
    <x:row r="47">
      <x:c r="H47" t="str">
        <x:f>IF(B47="","",IF((COUNTIFS('Invoice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Register'!$M$2:$M$501,A47)+COUNTIFS('Invoice Register'!$L$2:$L$501,"CANCELLED",'Invoice Register'!$M$2:$M$501,A47)=0,"INVOICE DATA REQUIRED",SUMIFS('Invoice Register'!$N$2:$N$501,'Invoice Register'!$M$2:$M$501,A47,'Invoice Register'!$B$2:$B$501,B47))))</x:f>
      </x:c>
      <x:c r="N47" t="str">
        <x:f>IF(B47="","",IF(COUNTIF('ERP Snapshot'!$A$2:$A$101,B47)=0,"UNKNOWN",IF(COUNTIFS('ERP Snapshot'!$A$2:$A$101,B47,'ERP Snapshot'!$D$2:$D$101,"MXN")&gt;0,"MXN","USD")))</x:f>
      </x:c>
      <x:c r="O47" t="str">
        <x:f>IF(B47="","",IF(N47="UNKNOWN","SOURCE REVIEW",IF(N47="USD","NOT REQUIRED",IF(AND(Settings!$B$8="APPROVED",Settings!$B$9&lt;&gt;"",Settings!$B$10&lt;&gt;"",Settings!$B$2&gt;0),"APPROVED","FX HOLD"))))</x:f>
      </x:c>
      <x:c r="P47" t="str">
        <x:f>IF(B47="","",IF(O47="FX HOLD","USD normalized input is provisional; FX approval missing",IF(O47="SOURCE REVIEW","Missing source currency mapping",IF(O47="APPROVED","Approval metadata supplied; source rates not independently audited",""))))</x:f>
      </x:c>
      <x:c r="T47" s="50"/>
      <x:c r="U47" t="str">
        <x:f>IF(B47="","",IF(ISNUMBER(H47),"DATED ERP INVOICES",IF(ISNUMBER(T47),"HISTORICAL DATES REQUIRED",H47)))</x:f>
      </x:c>
      <x:c r="V47" s="49" t="str">
        <x:f>IF(B47="","",IF((COUNTIFS('Invoice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Register'!$M$2:$M$501,A47,'Invoice Register'!$L$2:$L$501,"VALID")+COUNTIFS('Invoice Register'!$M$2:$M$501,A47,'Invoice Register'!$L$2:$L$501,"FX HOLD")+COUNTIFS('Invoice Register'!$M$2:$M$501,A47,'Invoice Register'!$L$2:$L$501,"CANCELLED")=0,"INVOICE DATA REQUIRED",SUMIFS('Invoice Register'!$H$2:$H$501,'Invoice Register'!$M$2:$M$501,A47,'Invoice Register'!$G$2:$G$501,"USD",'Invoice Register'!$B$2:$B$501,B47,'Invoice Register'!$L$2:$L$501,"VALID")+SUMIFS('Invoice Register'!$H$2:$H$501,'Invoice Register'!$M$2:$M$501,A47,'Invoice Register'!$G$2:$G$501,"USD",'Invoice Register'!$B$2:$B$501,B47,'Invoice Register'!$L$2:$L$501,"FX HOLD"))))</x:f>
      </x:c>
      <x:c r="W47" s="49" t="str">
        <x:f>IF(B47="","",IF((COUNTIFS('Invoice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Register'!$M$2:$M$501,A47,'Invoice Register'!$L$2:$L$501,"VALID")+COUNTIFS('Invoice Register'!$M$2:$M$501,A47,'Invoice Register'!$L$2:$L$501,"FX HOLD")+COUNTIFS('Invoice Register'!$M$2:$M$501,A47,'Invoice Register'!$L$2:$L$501,"CANCELLED")=0,"INVOICE DATA REQUIRED",SUMIFS('Invoice Register'!$H$2:$H$501,'Invoice Register'!$M$2:$M$501,A47,'Invoice Register'!$G$2:$G$501,"MXN",'Invoice Register'!$B$2:$B$501,B47,'Invoice Register'!$L$2:$L$501,"VALID")+SUMIFS('Invoice Register'!$H$2:$H$501,'Invoice Register'!$M$2:$M$501,A47,'Invoice Register'!$G$2:$G$501,"MXN",'Invoice Register'!$B$2:$B$501,B47,'Invoice Register'!$L$2:$L$501,"FX HOLD"))))</x:f>
      </x:c>
    </x:row>
    <x:row r="48">
      <x:c r="H48" t="str">
        <x:f>IF(B48="","",IF((COUNTIFS('Invoice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Register'!$M$2:$M$501,A48)+COUNTIFS('Invoice Register'!$L$2:$L$501,"CANCELLED",'Invoice Register'!$M$2:$M$501,A48)=0,"INVOICE DATA REQUIRED",SUMIFS('Invoice Register'!$N$2:$N$501,'Invoice Register'!$M$2:$M$501,A48,'Invoice Register'!$B$2:$B$501,B48))))</x:f>
      </x:c>
      <x:c r="N48" t="str">
        <x:f>IF(B48="","",IF(COUNTIF('ERP Snapshot'!$A$2:$A$101,B48)=0,"UNKNOWN",IF(COUNTIFS('ERP Snapshot'!$A$2:$A$101,B48,'ERP Snapshot'!$D$2:$D$101,"MXN")&gt;0,"MXN","USD")))</x:f>
      </x:c>
      <x:c r="O48" t="str">
        <x:f>IF(B48="","",IF(N48="UNKNOWN","SOURCE REVIEW",IF(N48="USD","NOT REQUIRED",IF(AND(Settings!$B$8="APPROVED",Settings!$B$9&lt;&gt;"",Settings!$B$10&lt;&gt;"",Settings!$B$2&gt;0),"APPROVED","FX HOLD"))))</x:f>
      </x:c>
      <x:c r="P48" t="str">
        <x:f>IF(B48="","",IF(O48="FX HOLD","USD normalized input is provisional; FX approval missing",IF(O48="SOURCE REVIEW","Missing source currency mapping",IF(O48="APPROVED","Approval metadata supplied; source rates not independently audited",""))))</x:f>
      </x:c>
      <x:c r="T48" s="50"/>
      <x:c r="U48" t="str">
        <x:f>IF(B48="","",IF(ISNUMBER(H48),"DATED ERP INVOICES",IF(ISNUMBER(T48),"HISTORICAL DATES REQUIRED",H48)))</x:f>
      </x:c>
      <x:c r="V48" s="49" t="str">
        <x:f>IF(B48="","",IF((COUNTIFS('Invoice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Register'!$M$2:$M$501,A48,'Invoice Register'!$L$2:$L$501,"VALID")+COUNTIFS('Invoice Register'!$M$2:$M$501,A48,'Invoice Register'!$L$2:$L$501,"FX HOLD")+COUNTIFS('Invoice Register'!$M$2:$M$501,A48,'Invoice Register'!$L$2:$L$501,"CANCELLED")=0,"INVOICE DATA REQUIRED",SUMIFS('Invoice Register'!$H$2:$H$501,'Invoice Register'!$M$2:$M$501,A48,'Invoice Register'!$G$2:$G$501,"USD",'Invoice Register'!$B$2:$B$501,B48,'Invoice Register'!$L$2:$L$501,"VALID")+SUMIFS('Invoice Register'!$H$2:$H$501,'Invoice Register'!$M$2:$M$501,A48,'Invoice Register'!$G$2:$G$501,"USD",'Invoice Register'!$B$2:$B$501,B48,'Invoice Register'!$L$2:$L$501,"FX HOLD"))))</x:f>
      </x:c>
      <x:c r="W48" s="49" t="str">
        <x:f>IF(B48="","",IF((COUNTIFS('Invoice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Register'!$M$2:$M$501,A48,'Invoice Register'!$L$2:$L$501,"VALID")+COUNTIFS('Invoice Register'!$M$2:$M$501,A48,'Invoice Register'!$L$2:$L$501,"FX HOLD")+COUNTIFS('Invoice Register'!$M$2:$M$501,A48,'Invoice Register'!$L$2:$L$501,"CANCELLED")=0,"INVOICE DATA REQUIRED",SUMIFS('Invoice Register'!$H$2:$H$501,'Invoice Register'!$M$2:$M$501,A48,'Invoice Register'!$G$2:$G$501,"MXN",'Invoice Register'!$B$2:$B$501,B48,'Invoice Register'!$L$2:$L$501,"VALID")+SUMIFS('Invoice Register'!$H$2:$H$501,'Invoice Register'!$M$2:$M$501,A48,'Invoice Register'!$G$2:$G$501,"MXN",'Invoice Register'!$B$2:$B$501,B48,'Invoice Register'!$L$2:$L$501,"FX HOLD"))))</x:f>
      </x:c>
    </x:row>
    <x:row r="49">
      <x:c r="H49" t="str">
        <x:f>IF(B49="","",IF((COUNTIFS('Invoice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Register'!$M$2:$M$501,A49)+COUNTIFS('Invoice Register'!$L$2:$L$501,"CANCELLED",'Invoice Register'!$M$2:$M$501,A49)=0,"INVOICE DATA REQUIRED",SUMIFS('Invoice Register'!$N$2:$N$501,'Invoice Register'!$M$2:$M$501,A49,'Invoice Register'!$B$2:$B$501,B49))))</x:f>
      </x:c>
      <x:c r="N49" t="str">
        <x:f>IF(B49="","",IF(COUNTIF('ERP Snapshot'!$A$2:$A$101,B49)=0,"UNKNOWN",IF(COUNTIFS('ERP Snapshot'!$A$2:$A$101,B49,'ERP Snapshot'!$D$2:$D$101,"MXN")&gt;0,"MXN","USD")))</x:f>
      </x:c>
      <x:c r="O49" t="str">
        <x:f>IF(B49="","",IF(N49="UNKNOWN","SOURCE REVIEW",IF(N49="USD","NOT REQUIRED",IF(AND(Settings!$B$8="APPROVED",Settings!$B$9&lt;&gt;"",Settings!$B$10&lt;&gt;"",Settings!$B$2&gt;0),"APPROVED","FX HOLD"))))</x:f>
      </x:c>
      <x:c r="P49" t="str">
        <x:f>IF(B49="","",IF(O49="FX HOLD","USD normalized input is provisional; FX approval missing",IF(O49="SOURCE REVIEW","Missing source currency mapping",IF(O49="APPROVED","Approval metadata supplied; source rates not independently audited",""))))</x:f>
      </x:c>
      <x:c r="T49" s="50"/>
      <x:c r="U49" t="str">
        <x:f>IF(B49="","",IF(ISNUMBER(H49),"DATED ERP INVOICES",IF(ISNUMBER(T49),"HISTORICAL DATES REQUIRED",H49)))</x:f>
      </x:c>
      <x:c r="V49" s="49" t="str">
        <x:f>IF(B49="","",IF((COUNTIFS('Invoice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Register'!$M$2:$M$501,A49,'Invoice Register'!$L$2:$L$501,"VALID")+COUNTIFS('Invoice Register'!$M$2:$M$501,A49,'Invoice Register'!$L$2:$L$501,"FX HOLD")+COUNTIFS('Invoice Register'!$M$2:$M$501,A49,'Invoice Register'!$L$2:$L$501,"CANCELLED")=0,"INVOICE DATA REQUIRED",SUMIFS('Invoice Register'!$H$2:$H$501,'Invoice Register'!$M$2:$M$501,A49,'Invoice Register'!$G$2:$G$501,"USD",'Invoice Register'!$B$2:$B$501,B49,'Invoice Register'!$L$2:$L$501,"VALID")+SUMIFS('Invoice Register'!$H$2:$H$501,'Invoice Register'!$M$2:$M$501,A49,'Invoice Register'!$G$2:$G$501,"USD",'Invoice Register'!$B$2:$B$501,B49,'Invoice Register'!$L$2:$L$501,"FX HOLD"))))</x:f>
      </x:c>
      <x:c r="W49" s="49" t="str">
        <x:f>IF(B49="","",IF((COUNTIFS('Invoice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Register'!$M$2:$M$501,A49,'Invoice Register'!$L$2:$L$501,"VALID")+COUNTIFS('Invoice Register'!$M$2:$M$501,A49,'Invoice Register'!$L$2:$L$501,"FX HOLD")+COUNTIFS('Invoice Register'!$M$2:$M$501,A49,'Invoice Register'!$L$2:$L$501,"CANCELLED")=0,"INVOICE DATA REQUIRED",SUMIFS('Invoice Register'!$H$2:$H$501,'Invoice Register'!$M$2:$M$501,A49,'Invoice Register'!$G$2:$G$501,"MXN",'Invoice Register'!$B$2:$B$501,B49,'Invoice Register'!$L$2:$L$501,"VALID")+SUMIFS('Invoice Register'!$H$2:$H$501,'Invoice Register'!$M$2:$M$501,A49,'Invoice Register'!$G$2:$G$501,"MXN",'Invoice Register'!$B$2:$B$501,B49,'Invoice Register'!$L$2:$L$501,"FX HOLD"))))</x:f>
      </x:c>
    </x:row>
    <x:row r="50">
      <x:c r="H50" t="str">
        <x:f>IF(B50="","",IF((COUNTIFS('Invoice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Register'!$M$2:$M$501,A50)+COUNTIFS('Invoice Register'!$L$2:$L$501,"CANCELLED",'Invoice Register'!$M$2:$M$501,A50)=0,"INVOICE DATA REQUIRED",SUMIFS('Invoice Register'!$N$2:$N$501,'Invoice Register'!$M$2:$M$501,A50,'Invoice Register'!$B$2:$B$501,B50))))</x:f>
      </x:c>
      <x:c r="N50" t="str">
        <x:f>IF(B50="","",IF(COUNTIF('ERP Snapshot'!$A$2:$A$101,B50)=0,"UNKNOWN",IF(COUNTIFS('ERP Snapshot'!$A$2:$A$101,B50,'ERP Snapshot'!$D$2:$D$101,"MXN")&gt;0,"MXN","USD")))</x:f>
      </x:c>
      <x:c r="O50" t="str">
        <x:f>IF(B50="","",IF(N50="UNKNOWN","SOURCE REVIEW",IF(N50="USD","NOT REQUIRED",IF(AND(Settings!$B$8="APPROVED",Settings!$B$9&lt;&gt;"",Settings!$B$10&lt;&gt;"",Settings!$B$2&gt;0),"APPROVED","FX HOLD"))))</x:f>
      </x:c>
      <x:c r="P50" t="str">
        <x:f>IF(B50="","",IF(O50="FX HOLD","USD normalized input is provisional; FX approval missing",IF(O50="SOURCE REVIEW","Missing source currency mapping",IF(O50="APPROVED","Approval metadata supplied; source rates not independently audited",""))))</x:f>
      </x:c>
      <x:c r="T50" s="50"/>
      <x:c r="U50" t="str">
        <x:f>IF(B50="","",IF(ISNUMBER(H50),"DATED ERP INVOICES",IF(ISNUMBER(T50),"HISTORICAL DATES REQUIRED",H50)))</x:f>
      </x:c>
      <x:c r="V50" s="49" t="str">
        <x:f>IF(B50="","",IF((COUNTIFS('Invoice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Register'!$M$2:$M$501,A50,'Invoice Register'!$L$2:$L$501,"VALID")+COUNTIFS('Invoice Register'!$M$2:$M$501,A50,'Invoice Register'!$L$2:$L$501,"FX HOLD")+COUNTIFS('Invoice Register'!$M$2:$M$501,A50,'Invoice Register'!$L$2:$L$501,"CANCELLED")=0,"INVOICE DATA REQUIRED",SUMIFS('Invoice Register'!$H$2:$H$501,'Invoice Register'!$M$2:$M$501,A50,'Invoice Register'!$G$2:$G$501,"USD",'Invoice Register'!$B$2:$B$501,B50,'Invoice Register'!$L$2:$L$501,"VALID")+SUMIFS('Invoice Register'!$H$2:$H$501,'Invoice Register'!$M$2:$M$501,A50,'Invoice Register'!$G$2:$G$501,"USD",'Invoice Register'!$B$2:$B$501,B50,'Invoice Register'!$L$2:$L$501,"FX HOLD"))))</x:f>
      </x:c>
      <x:c r="W50" s="49" t="str">
        <x:f>IF(B50="","",IF((COUNTIFS('Invoice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Register'!$M$2:$M$501,A50,'Invoice Register'!$L$2:$L$501,"VALID")+COUNTIFS('Invoice Register'!$M$2:$M$501,A50,'Invoice Register'!$L$2:$L$501,"FX HOLD")+COUNTIFS('Invoice Register'!$M$2:$M$501,A50,'Invoice Register'!$L$2:$L$501,"CANCELLED")=0,"INVOICE DATA REQUIRED",SUMIFS('Invoice Register'!$H$2:$H$501,'Invoice Register'!$M$2:$M$501,A50,'Invoice Register'!$G$2:$G$501,"MXN",'Invoice Register'!$B$2:$B$501,B50,'Invoice Register'!$L$2:$L$501,"VALID")+SUMIFS('Invoice Register'!$H$2:$H$501,'Invoice Register'!$M$2:$M$501,A50,'Invoice Register'!$G$2:$G$501,"MXN",'Invoice Register'!$B$2:$B$501,B50,'Invoice Register'!$L$2:$L$501,"FX HOLD"))))</x:f>
      </x:c>
    </x:row>
    <x:row r="51">
      <x:c r="H51" t="str">
        <x:f>IF(B51="","",IF((COUNTIFS('Invoice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Register'!$M$2:$M$501,A51)+COUNTIFS('Invoice Register'!$L$2:$L$501,"CANCELLED",'Invoice Register'!$M$2:$M$501,A51)=0,"INVOICE DATA REQUIRED",SUMIFS('Invoice Register'!$N$2:$N$501,'Invoice Register'!$M$2:$M$501,A51,'Invoice Register'!$B$2:$B$501,B51))))</x:f>
      </x:c>
      <x:c r="N51" t="str">
        <x:f>IF(B51="","",IF(COUNTIF('ERP Snapshot'!$A$2:$A$101,B51)=0,"UNKNOWN",IF(COUNTIFS('ERP Snapshot'!$A$2:$A$101,B51,'ERP Snapshot'!$D$2:$D$101,"MXN")&gt;0,"MXN","USD")))</x:f>
      </x:c>
      <x:c r="O51" t="str">
        <x:f>IF(B51="","",IF(N51="UNKNOWN","SOURCE REVIEW",IF(N51="USD","NOT REQUIRED",IF(AND(Settings!$B$8="APPROVED",Settings!$B$9&lt;&gt;"",Settings!$B$10&lt;&gt;"",Settings!$B$2&gt;0),"APPROVED","FX HOLD"))))</x:f>
      </x:c>
      <x:c r="P51" t="str">
        <x:f>IF(B51="","",IF(O51="FX HOLD","USD normalized input is provisional; FX approval missing",IF(O51="SOURCE REVIEW","Missing source currency mapping",IF(O51="APPROVED","Approval metadata supplied; source rates not independently audited",""))))</x:f>
      </x:c>
      <x:c r="T51" s="50"/>
      <x:c r="U51" t="str">
        <x:f>IF(B51="","",IF(ISNUMBER(H51),"DATED ERP INVOICES",IF(ISNUMBER(T51),"HISTORICAL DATES REQUIRED",H51)))</x:f>
      </x:c>
      <x:c r="V51" s="49" t="str">
        <x:f>IF(B51="","",IF((COUNTIFS('Invoice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Register'!$M$2:$M$501,A51,'Invoice Register'!$L$2:$L$501,"VALID")+COUNTIFS('Invoice Register'!$M$2:$M$501,A51,'Invoice Register'!$L$2:$L$501,"FX HOLD")+COUNTIFS('Invoice Register'!$M$2:$M$501,A51,'Invoice Register'!$L$2:$L$501,"CANCELLED")=0,"INVOICE DATA REQUIRED",SUMIFS('Invoice Register'!$H$2:$H$501,'Invoice Register'!$M$2:$M$501,A51,'Invoice Register'!$G$2:$G$501,"USD",'Invoice Register'!$B$2:$B$501,B51,'Invoice Register'!$L$2:$L$501,"VALID")+SUMIFS('Invoice Register'!$H$2:$H$501,'Invoice Register'!$M$2:$M$501,A51,'Invoice Register'!$G$2:$G$501,"USD",'Invoice Register'!$B$2:$B$501,B51,'Invoice Register'!$L$2:$L$501,"FX HOLD"))))</x:f>
      </x:c>
      <x:c r="W51" s="49" t="str">
        <x:f>IF(B51="","",IF((COUNTIFS('Invoice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Register'!$M$2:$M$501,A51,'Invoice Register'!$L$2:$L$501,"VALID")+COUNTIFS('Invoice Register'!$M$2:$M$501,A51,'Invoice Register'!$L$2:$L$501,"FX HOLD")+COUNTIFS('Invoice Register'!$M$2:$M$501,A51,'Invoice Register'!$L$2:$L$501,"CANCELLED")=0,"INVOICE DATA REQUIRED",SUMIFS('Invoice Register'!$H$2:$H$501,'Invoice Register'!$M$2:$M$501,A51,'Invoice Register'!$G$2:$G$501,"MXN",'Invoice Register'!$B$2:$B$501,B51,'Invoice Register'!$L$2:$L$501,"VALID")+SUMIFS('Invoice Register'!$H$2:$H$501,'Invoice Register'!$M$2:$M$501,A51,'Invoice Register'!$G$2:$G$501,"MXN",'Invoice Register'!$B$2:$B$501,B51,'Invoice Register'!$L$2:$L$501,"FX HOLD"))))</x:f>
      </x:c>
    </x:row>
    <x:row r="52">
      <x:c r="H52" t="str">
        <x:f>IF(B52="","",IF((COUNTIFS('Invoice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Register'!$M$2:$M$501,A52)+COUNTIFS('Invoice Register'!$L$2:$L$501,"CANCELLED",'Invoice Register'!$M$2:$M$501,A52)=0,"INVOICE DATA REQUIRED",SUMIFS('Invoice Register'!$N$2:$N$501,'Invoice Register'!$M$2:$M$501,A52,'Invoice Register'!$B$2:$B$501,B52))))</x:f>
      </x:c>
      <x:c r="N52" t="str">
        <x:f>IF(B52="","",IF(COUNTIF('ERP Snapshot'!$A$2:$A$101,B52)=0,"UNKNOWN",IF(COUNTIFS('ERP Snapshot'!$A$2:$A$101,B52,'ERP Snapshot'!$D$2:$D$101,"MXN")&gt;0,"MXN","USD")))</x:f>
      </x:c>
      <x:c r="O52" t="str">
        <x:f>IF(B52="","",IF(N52="UNKNOWN","SOURCE REVIEW",IF(N52="USD","NOT REQUIRED",IF(AND(Settings!$B$8="APPROVED",Settings!$B$9&lt;&gt;"",Settings!$B$10&lt;&gt;"",Settings!$B$2&gt;0),"APPROVED","FX HOLD"))))</x:f>
      </x:c>
      <x:c r="P52" t="str">
        <x:f>IF(B52="","",IF(O52="FX HOLD","USD normalized input is provisional; FX approval missing",IF(O52="SOURCE REVIEW","Missing source currency mapping",IF(O52="APPROVED","Approval metadata supplied; source rates not independently audited",""))))</x:f>
      </x:c>
      <x:c r="T52" s="50"/>
      <x:c r="U52" t="str">
        <x:f>IF(B52="","",IF(ISNUMBER(H52),"DATED ERP INVOICES",IF(ISNUMBER(T52),"HISTORICAL DATES REQUIRED",H52)))</x:f>
      </x:c>
      <x:c r="V52" s="49" t="str">
        <x:f>IF(B52="","",IF((COUNTIFS('Invoice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Register'!$M$2:$M$501,A52,'Invoice Register'!$L$2:$L$501,"VALID")+COUNTIFS('Invoice Register'!$M$2:$M$501,A52,'Invoice Register'!$L$2:$L$501,"FX HOLD")+COUNTIFS('Invoice Register'!$M$2:$M$501,A52,'Invoice Register'!$L$2:$L$501,"CANCELLED")=0,"INVOICE DATA REQUIRED",SUMIFS('Invoice Register'!$H$2:$H$501,'Invoice Register'!$M$2:$M$501,A52,'Invoice Register'!$G$2:$G$501,"USD",'Invoice Register'!$B$2:$B$501,B52,'Invoice Register'!$L$2:$L$501,"VALID")+SUMIFS('Invoice Register'!$H$2:$H$501,'Invoice Register'!$M$2:$M$501,A52,'Invoice Register'!$G$2:$G$501,"USD",'Invoice Register'!$B$2:$B$501,B52,'Invoice Register'!$L$2:$L$501,"FX HOLD"))))</x:f>
      </x:c>
      <x:c r="W52" s="49" t="str">
        <x:f>IF(B52="","",IF((COUNTIFS('Invoice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Register'!$M$2:$M$501,A52,'Invoice Register'!$L$2:$L$501,"VALID")+COUNTIFS('Invoice Register'!$M$2:$M$501,A52,'Invoice Register'!$L$2:$L$501,"FX HOLD")+COUNTIFS('Invoice Register'!$M$2:$M$501,A52,'Invoice Register'!$L$2:$L$501,"CANCELLED")=0,"INVOICE DATA REQUIRED",SUMIFS('Invoice Register'!$H$2:$H$501,'Invoice Register'!$M$2:$M$501,A52,'Invoice Register'!$G$2:$G$501,"MXN",'Invoice Register'!$B$2:$B$501,B52,'Invoice Register'!$L$2:$L$501,"VALID")+SUMIFS('Invoice Register'!$H$2:$H$501,'Invoice Register'!$M$2:$M$501,A52,'Invoice Register'!$G$2:$G$501,"MXN",'Invoice Register'!$B$2:$B$501,B52,'Invoice Register'!$L$2:$L$501,"FX HOLD"))))</x:f>
      </x:c>
    </x:row>
    <x:row r="53">
      <x:c r="H53" t="str">
        <x:f>IF(B53="","",IF((COUNTIFS('Invoice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Register'!$M$2:$M$501,A53)+COUNTIFS('Invoice Register'!$L$2:$L$501,"CANCELLED",'Invoice Register'!$M$2:$M$501,A53)=0,"INVOICE DATA REQUIRED",SUMIFS('Invoice Register'!$N$2:$N$501,'Invoice Register'!$M$2:$M$501,A53,'Invoice Register'!$B$2:$B$501,B53))))</x:f>
      </x:c>
      <x:c r="N53" t="str">
        <x:f>IF(B53="","",IF(COUNTIF('ERP Snapshot'!$A$2:$A$101,B53)=0,"UNKNOWN",IF(COUNTIFS('ERP Snapshot'!$A$2:$A$101,B53,'ERP Snapshot'!$D$2:$D$101,"MXN")&gt;0,"MXN","USD")))</x:f>
      </x:c>
      <x:c r="O53" t="str">
        <x:f>IF(B53="","",IF(N53="UNKNOWN","SOURCE REVIEW",IF(N53="USD","NOT REQUIRED",IF(AND(Settings!$B$8="APPROVED",Settings!$B$9&lt;&gt;"",Settings!$B$10&lt;&gt;"",Settings!$B$2&gt;0),"APPROVED","FX HOLD"))))</x:f>
      </x:c>
      <x:c r="P53" t="str">
        <x:f>IF(B53="","",IF(O53="FX HOLD","USD normalized input is provisional; FX approval missing",IF(O53="SOURCE REVIEW","Missing source currency mapping",IF(O53="APPROVED","Approval metadata supplied; source rates not independently audited",""))))</x:f>
      </x:c>
      <x:c r="T53" s="50"/>
      <x:c r="U53" t="str">
        <x:f>IF(B53="","",IF(ISNUMBER(H53),"DATED ERP INVOICES",IF(ISNUMBER(T53),"HISTORICAL DATES REQUIRED",H53)))</x:f>
      </x:c>
      <x:c r="V53" s="49" t="str">
        <x:f>IF(B53="","",IF((COUNTIFS('Invoice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Register'!$M$2:$M$501,A53,'Invoice Register'!$L$2:$L$501,"VALID")+COUNTIFS('Invoice Register'!$M$2:$M$501,A53,'Invoice Register'!$L$2:$L$501,"FX HOLD")+COUNTIFS('Invoice Register'!$M$2:$M$501,A53,'Invoice Register'!$L$2:$L$501,"CANCELLED")=0,"INVOICE DATA REQUIRED",SUMIFS('Invoice Register'!$H$2:$H$501,'Invoice Register'!$M$2:$M$501,A53,'Invoice Register'!$G$2:$G$501,"USD",'Invoice Register'!$B$2:$B$501,B53,'Invoice Register'!$L$2:$L$501,"VALID")+SUMIFS('Invoice Register'!$H$2:$H$501,'Invoice Register'!$M$2:$M$501,A53,'Invoice Register'!$G$2:$G$501,"USD",'Invoice Register'!$B$2:$B$501,B53,'Invoice Register'!$L$2:$L$501,"FX HOLD"))))</x:f>
      </x:c>
      <x:c r="W53" s="49" t="str">
        <x:f>IF(B53="","",IF((COUNTIFS('Invoice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Register'!$M$2:$M$501,A53,'Invoice Register'!$L$2:$L$501,"VALID")+COUNTIFS('Invoice Register'!$M$2:$M$501,A53,'Invoice Register'!$L$2:$L$501,"FX HOLD")+COUNTIFS('Invoice Register'!$M$2:$M$501,A53,'Invoice Register'!$L$2:$L$501,"CANCELLED")=0,"INVOICE DATA REQUIRED",SUMIFS('Invoice Register'!$H$2:$H$501,'Invoice Register'!$M$2:$M$501,A53,'Invoice Register'!$G$2:$G$501,"MXN",'Invoice Register'!$B$2:$B$501,B53,'Invoice Register'!$L$2:$L$501,"VALID")+SUMIFS('Invoice Register'!$H$2:$H$501,'Invoice Register'!$M$2:$M$501,A53,'Invoice Register'!$G$2:$G$501,"MXN",'Invoice Register'!$B$2:$B$501,B53,'Invoice Register'!$L$2:$L$501,"FX HOLD"))))</x:f>
      </x:c>
    </x:row>
    <x:row r="54">
      <x:c r="H54" t="str">
        <x:f>IF(B54="","",IF((COUNTIFS('Invoice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Register'!$M$2:$M$501,A54)+COUNTIFS('Invoice Register'!$L$2:$L$501,"CANCELLED",'Invoice Register'!$M$2:$M$501,A54)=0,"INVOICE DATA REQUIRED",SUMIFS('Invoice Register'!$N$2:$N$501,'Invoice Register'!$M$2:$M$501,A54,'Invoice Register'!$B$2:$B$501,B54))))</x:f>
      </x:c>
      <x:c r="N54" t="str">
        <x:f>IF(B54="","",IF(COUNTIF('ERP Snapshot'!$A$2:$A$101,B54)=0,"UNKNOWN",IF(COUNTIFS('ERP Snapshot'!$A$2:$A$101,B54,'ERP Snapshot'!$D$2:$D$101,"MXN")&gt;0,"MXN","USD")))</x:f>
      </x:c>
      <x:c r="O54" t="str">
        <x:f>IF(B54="","",IF(N54="UNKNOWN","SOURCE REVIEW",IF(N54="USD","NOT REQUIRED",IF(AND(Settings!$B$8="APPROVED",Settings!$B$9&lt;&gt;"",Settings!$B$10&lt;&gt;"",Settings!$B$2&gt;0),"APPROVED","FX HOLD"))))</x:f>
      </x:c>
      <x:c r="P54" t="str">
        <x:f>IF(B54="","",IF(O54="FX HOLD","USD normalized input is provisional; FX approval missing",IF(O54="SOURCE REVIEW","Missing source currency mapping",IF(O54="APPROVED","Approval metadata supplied; source rates not independently audited",""))))</x:f>
      </x:c>
      <x:c r="T54" s="50"/>
      <x:c r="U54" t="str">
        <x:f>IF(B54="","",IF(ISNUMBER(H54),"DATED ERP INVOICES",IF(ISNUMBER(T54),"HISTORICAL DATES REQUIRED",H54)))</x:f>
      </x:c>
      <x:c r="V54" s="49" t="str">
        <x:f>IF(B54="","",IF((COUNTIFS('Invoice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Register'!$M$2:$M$501,A54,'Invoice Register'!$L$2:$L$501,"VALID")+COUNTIFS('Invoice Register'!$M$2:$M$501,A54,'Invoice Register'!$L$2:$L$501,"FX HOLD")+COUNTIFS('Invoice Register'!$M$2:$M$501,A54,'Invoice Register'!$L$2:$L$501,"CANCELLED")=0,"INVOICE DATA REQUIRED",SUMIFS('Invoice Register'!$H$2:$H$501,'Invoice Register'!$M$2:$M$501,A54,'Invoice Register'!$G$2:$G$501,"USD",'Invoice Register'!$B$2:$B$501,B54,'Invoice Register'!$L$2:$L$501,"VALID")+SUMIFS('Invoice Register'!$H$2:$H$501,'Invoice Register'!$M$2:$M$501,A54,'Invoice Register'!$G$2:$G$501,"USD",'Invoice Register'!$B$2:$B$501,B54,'Invoice Register'!$L$2:$L$501,"FX HOLD"))))</x:f>
      </x:c>
      <x:c r="W54" s="49" t="str">
        <x:f>IF(B54="","",IF((COUNTIFS('Invoice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Register'!$M$2:$M$501,A54,'Invoice Register'!$L$2:$L$501,"VALID")+COUNTIFS('Invoice Register'!$M$2:$M$501,A54,'Invoice Register'!$L$2:$L$501,"FX HOLD")+COUNTIFS('Invoice Register'!$M$2:$M$501,A54,'Invoice Register'!$L$2:$L$501,"CANCELLED")=0,"INVOICE DATA REQUIRED",SUMIFS('Invoice Register'!$H$2:$H$501,'Invoice Register'!$M$2:$M$501,A54,'Invoice Register'!$G$2:$G$501,"MXN",'Invoice Register'!$B$2:$B$501,B54,'Invoice Register'!$L$2:$L$501,"VALID")+SUMIFS('Invoice Register'!$H$2:$H$501,'Invoice Register'!$M$2:$M$501,A54,'Invoice Register'!$G$2:$G$501,"MXN",'Invoice Register'!$B$2:$B$501,B54,'Invoice Register'!$L$2:$L$501,"FX HOLD"))))</x:f>
      </x:c>
    </x:row>
    <x:row r="55">
      <x:c r="H55" t="str">
        <x:f>IF(B55="","",IF((COUNTIFS('Invoice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Register'!$M$2:$M$501,A55)+COUNTIFS('Invoice Register'!$L$2:$L$501,"CANCELLED",'Invoice Register'!$M$2:$M$501,A55)=0,"INVOICE DATA REQUIRED",SUMIFS('Invoice Register'!$N$2:$N$501,'Invoice Register'!$M$2:$M$501,A55,'Invoice Register'!$B$2:$B$501,B55))))</x:f>
      </x:c>
      <x:c r="N55" t="str">
        <x:f>IF(B55="","",IF(COUNTIF('ERP Snapshot'!$A$2:$A$101,B55)=0,"UNKNOWN",IF(COUNTIFS('ERP Snapshot'!$A$2:$A$101,B55,'ERP Snapshot'!$D$2:$D$101,"MXN")&gt;0,"MXN","USD")))</x:f>
      </x:c>
      <x:c r="O55" t="str">
        <x:f>IF(B55="","",IF(N55="UNKNOWN","SOURCE REVIEW",IF(N55="USD","NOT REQUIRED",IF(AND(Settings!$B$8="APPROVED",Settings!$B$9&lt;&gt;"",Settings!$B$10&lt;&gt;"",Settings!$B$2&gt;0),"APPROVED","FX HOLD"))))</x:f>
      </x:c>
      <x:c r="P55" t="str">
        <x:f>IF(B55="","",IF(O55="FX HOLD","USD normalized input is provisional; FX approval missing",IF(O55="SOURCE REVIEW","Missing source currency mapping",IF(O55="APPROVED","Approval metadata supplied; source rates not independently audited",""))))</x:f>
      </x:c>
      <x:c r="T55" s="50"/>
      <x:c r="U55" t="str">
        <x:f>IF(B55="","",IF(ISNUMBER(H55),"DATED ERP INVOICES",IF(ISNUMBER(T55),"HISTORICAL DATES REQUIRED",H55)))</x:f>
      </x:c>
      <x:c r="V55" s="49" t="str">
        <x:f>IF(B55="","",IF((COUNTIFS('Invoice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Register'!$M$2:$M$501,A55,'Invoice Register'!$L$2:$L$501,"VALID")+COUNTIFS('Invoice Register'!$M$2:$M$501,A55,'Invoice Register'!$L$2:$L$501,"FX HOLD")+COUNTIFS('Invoice Register'!$M$2:$M$501,A55,'Invoice Register'!$L$2:$L$501,"CANCELLED")=0,"INVOICE DATA REQUIRED",SUMIFS('Invoice Register'!$H$2:$H$501,'Invoice Register'!$M$2:$M$501,A55,'Invoice Register'!$G$2:$G$501,"USD",'Invoice Register'!$B$2:$B$501,B55,'Invoice Register'!$L$2:$L$501,"VALID")+SUMIFS('Invoice Register'!$H$2:$H$501,'Invoice Register'!$M$2:$M$501,A55,'Invoice Register'!$G$2:$G$501,"USD",'Invoice Register'!$B$2:$B$501,B55,'Invoice Register'!$L$2:$L$501,"FX HOLD"))))</x:f>
      </x:c>
      <x:c r="W55" s="49" t="str">
        <x:f>IF(B55="","",IF((COUNTIFS('Invoice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Register'!$M$2:$M$501,A55,'Invoice Register'!$L$2:$L$501,"VALID")+COUNTIFS('Invoice Register'!$M$2:$M$501,A55,'Invoice Register'!$L$2:$L$501,"FX HOLD")+COUNTIFS('Invoice Register'!$M$2:$M$501,A55,'Invoice Register'!$L$2:$L$501,"CANCELLED")=0,"INVOICE DATA REQUIRED",SUMIFS('Invoice Register'!$H$2:$H$501,'Invoice Register'!$M$2:$M$501,A55,'Invoice Register'!$G$2:$G$501,"MXN",'Invoice Register'!$B$2:$B$501,B55,'Invoice Register'!$L$2:$L$501,"VALID")+SUMIFS('Invoice Register'!$H$2:$H$501,'Invoice Register'!$M$2:$M$501,A55,'Invoice Register'!$G$2:$G$501,"MXN",'Invoice Register'!$B$2:$B$501,B55,'Invoice Register'!$L$2:$L$501,"FX HOLD"))))</x:f>
      </x:c>
    </x:row>
    <x:row r="56">
      <x:c r="H56" t="str">
        <x:f>IF(B56="","",IF((COUNTIFS('Invoice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Register'!$M$2:$M$501,A56)+COUNTIFS('Invoice Register'!$L$2:$L$501,"CANCELLED",'Invoice Register'!$M$2:$M$501,A56)=0,"INVOICE DATA REQUIRED",SUMIFS('Invoice Register'!$N$2:$N$501,'Invoice Register'!$M$2:$M$501,A56,'Invoice Register'!$B$2:$B$501,B56))))</x:f>
      </x:c>
      <x:c r="N56" t="str">
        <x:f>IF(B56="","",IF(COUNTIF('ERP Snapshot'!$A$2:$A$101,B56)=0,"UNKNOWN",IF(COUNTIFS('ERP Snapshot'!$A$2:$A$101,B56,'ERP Snapshot'!$D$2:$D$101,"MXN")&gt;0,"MXN","USD")))</x:f>
      </x:c>
      <x:c r="O56" t="str">
        <x:f>IF(B56="","",IF(N56="UNKNOWN","SOURCE REVIEW",IF(N56="USD","NOT REQUIRED",IF(AND(Settings!$B$8="APPROVED",Settings!$B$9&lt;&gt;"",Settings!$B$10&lt;&gt;"",Settings!$B$2&gt;0),"APPROVED","FX HOLD"))))</x:f>
      </x:c>
      <x:c r="P56" t="str">
        <x:f>IF(B56="","",IF(O56="FX HOLD","USD normalized input is provisional; FX approval missing",IF(O56="SOURCE REVIEW","Missing source currency mapping",IF(O56="APPROVED","Approval metadata supplied; source rates not independently audited",""))))</x:f>
      </x:c>
      <x:c r="T56" s="50"/>
      <x:c r="U56" t="str">
        <x:f>IF(B56="","",IF(ISNUMBER(H56),"DATED ERP INVOICES",IF(ISNUMBER(T56),"HISTORICAL DATES REQUIRED",H56)))</x:f>
      </x:c>
      <x:c r="V56" s="49" t="str">
        <x:f>IF(B56="","",IF((COUNTIFS('Invoice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Register'!$M$2:$M$501,A56,'Invoice Register'!$L$2:$L$501,"VALID")+COUNTIFS('Invoice Register'!$M$2:$M$501,A56,'Invoice Register'!$L$2:$L$501,"FX HOLD")+COUNTIFS('Invoice Register'!$M$2:$M$501,A56,'Invoice Register'!$L$2:$L$501,"CANCELLED")=0,"INVOICE DATA REQUIRED",SUMIFS('Invoice Register'!$H$2:$H$501,'Invoice Register'!$M$2:$M$501,A56,'Invoice Register'!$G$2:$G$501,"USD",'Invoice Register'!$B$2:$B$501,B56,'Invoice Register'!$L$2:$L$501,"VALID")+SUMIFS('Invoice Register'!$H$2:$H$501,'Invoice Register'!$M$2:$M$501,A56,'Invoice Register'!$G$2:$G$501,"USD",'Invoice Register'!$B$2:$B$501,B56,'Invoice Register'!$L$2:$L$501,"FX HOLD"))))</x:f>
      </x:c>
      <x:c r="W56" s="49" t="str">
        <x:f>IF(B56="","",IF((COUNTIFS('Invoice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Register'!$M$2:$M$501,A56,'Invoice Register'!$L$2:$L$501,"VALID")+COUNTIFS('Invoice Register'!$M$2:$M$501,A56,'Invoice Register'!$L$2:$L$501,"FX HOLD")+COUNTIFS('Invoice Register'!$M$2:$M$501,A56,'Invoice Register'!$L$2:$L$501,"CANCELLED")=0,"INVOICE DATA REQUIRED",SUMIFS('Invoice Register'!$H$2:$H$501,'Invoice Register'!$M$2:$M$501,A56,'Invoice Register'!$G$2:$G$501,"MXN",'Invoice Register'!$B$2:$B$501,B56,'Invoice Register'!$L$2:$L$501,"VALID")+SUMIFS('Invoice Register'!$H$2:$H$501,'Invoice Register'!$M$2:$M$501,A56,'Invoice Register'!$G$2:$G$501,"MXN",'Invoice Register'!$B$2:$B$501,B56,'Invoice Register'!$L$2:$L$501,"FX HOLD"))))</x:f>
      </x:c>
    </x:row>
    <x:row r="57">
      <x:c r="H57" t="str">
        <x:f>IF(B57="","",IF((COUNTIFS('Invoice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Register'!$M$2:$M$501,A57)+COUNTIFS('Invoice Register'!$L$2:$L$501,"CANCELLED",'Invoice Register'!$M$2:$M$501,A57)=0,"INVOICE DATA REQUIRED",SUMIFS('Invoice Register'!$N$2:$N$501,'Invoice Register'!$M$2:$M$501,A57,'Invoice Register'!$B$2:$B$501,B57))))</x:f>
      </x:c>
      <x:c r="N57" t="str">
        <x:f>IF(B57="","",IF(COUNTIF('ERP Snapshot'!$A$2:$A$101,B57)=0,"UNKNOWN",IF(COUNTIFS('ERP Snapshot'!$A$2:$A$101,B57,'ERP Snapshot'!$D$2:$D$101,"MXN")&gt;0,"MXN","USD")))</x:f>
      </x:c>
      <x:c r="O57" t="str">
        <x:f>IF(B57="","",IF(N57="UNKNOWN","SOURCE REVIEW",IF(N57="USD","NOT REQUIRED",IF(AND(Settings!$B$8="APPROVED",Settings!$B$9&lt;&gt;"",Settings!$B$10&lt;&gt;"",Settings!$B$2&gt;0),"APPROVED","FX HOLD"))))</x:f>
      </x:c>
      <x:c r="P57" t="str">
        <x:f>IF(B57="","",IF(O57="FX HOLD","USD normalized input is provisional; FX approval missing",IF(O57="SOURCE REVIEW","Missing source currency mapping",IF(O57="APPROVED","Approval metadata supplied; source rates not independently audited",""))))</x:f>
      </x:c>
      <x:c r="T57" s="50"/>
      <x:c r="U57" t="str">
        <x:f>IF(B57="","",IF(ISNUMBER(H57),"DATED ERP INVOICES",IF(ISNUMBER(T57),"HISTORICAL DATES REQUIRED",H57)))</x:f>
      </x:c>
      <x:c r="V57" s="49" t="str">
        <x:f>IF(B57="","",IF((COUNTIFS('Invoice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Register'!$M$2:$M$501,A57,'Invoice Register'!$L$2:$L$501,"VALID")+COUNTIFS('Invoice Register'!$M$2:$M$501,A57,'Invoice Register'!$L$2:$L$501,"FX HOLD")+COUNTIFS('Invoice Register'!$M$2:$M$501,A57,'Invoice Register'!$L$2:$L$501,"CANCELLED")=0,"INVOICE DATA REQUIRED",SUMIFS('Invoice Register'!$H$2:$H$501,'Invoice Register'!$M$2:$M$501,A57,'Invoice Register'!$G$2:$G$501,"USD",'Invoice Register'!$B$2:$B$501,B57,'Invoice Register'!$L$2:$L$501,"VALID")+SUMIFS('Invoice Register'!$H$2:$H$501,'Invoice Register'!$M$2:$M$501,A57,'Invoice Register'!$G$2:$G$501,"USD",'Invoice Register'!$B$2:$B$501,B57,'Invoice Register'!$L$2:$L$501,"FX HOLD"))))</x:f>
      </x:c>
      <x:c r="W57" s="49" t="str">
        <x:f>IF(B57="","",IF((COUNTIFS('Invoice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Register'!$M$2:$M$501,A57,'Invoice Register'!$L$2:$L$501,"VALID")+COUNTIFS('Invoice Register'!$M$2:$M$501,A57,'Invoice Register'!$L$2:$L$501,"FX HOLD")+COUNTIFS('Invoice Register'!$M$2:$M$501,A57,'Invoice Register'!$L$2:$L$501,"CANCELLED")=0,"INVOICE DATA REQUIRED",SUMIFS('Invoice Register'!$H$2:$H$501,'Invoice Register'!$M$2:$M$501,A57,'Invoice Register'!$G$2:$G$501,"MXN",'Invoice Register'!$B$2:$B$501,B57,'Invoice Register'!$L$2:$L$501,"VALID")+SUMIFS('Invoice Register'!$H$2:$H$501,'Invoice Register'!$M$2:$M$501,A57,'Invoice Register'!$G$2:$G$501,"MXN",'Invoice Register'!$B$2:$B$501,B57,'Invoice Register'!$L$2:$L$501,"FX HOLD"))))</x:f>
      </x:c>
    </x:row>
    <x:row r="58">
      <x:c r="H58" t="str">
        <x:f>IF(B58="","",IF((COUNTIFS('Invoice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Register'!$M$2:$M$501,A58)+COUNTIFS('Invoice Register'!$L$2:$L$501,"CANCELLED",'Invoice Register'!$M$2:$M$501,A58)=0,"INVOICE DATA REQUIRED",SUMIFS('Invoice Register'!$N$2:$N$501,'Invoice Register'!$M$2:$M$501,A58,'Invoice Register'!$B$2:$B$501,B58))))</x:f>
      </x:c>
      <x:c r="N58" t="str">
        <x:f>IF(B58="","",IF(COUNTIF('ERP Snapshot'!$A$2:$A$101,B58)=0,"UNKNOWN",IF(COUNTIFS('ERP Snapshot'!$A$2:$A$101,B58,'ERP Snapshot'!$D$2:$D$101,"MXN")&gt;0,"MXN","USD")))</x:f>
      </x:c>
      <x:c r="O58" t="str">
        <x:f>IF(B58="","",IF(N58="UNKNOWN","SOURCE REVIEW",IF(N58="USD","NOT REQUIRED",IF(AND(Settings!$B$8="APPROVED",Settings!$B$9&lt;&gt;"",Settings!$B$10&lt;&gt;"",Settings!$B$2&gt;0),"APPROVED","FX HOLD"))))</x:f>
      </x:c>
      <x:c r="P58" t="str">
        <x:f>IF(B58="","",IF(O58="FX HOLD","USD normalized input is provisional; FX approval missing",IF(O58="SOURCE REVIEW","Missing source currency mapping",IF(O58="APPROVED","Approval metadata supplied; source rates not independently audited",""))))</x:f>
      </x:c>
      <x:c r="T58" s="50"/>
      <x:c r="U58" t="str">
        <x:f>IF(B58="","",IF(ISNUMBER(H58),"DATED ERP INVOICES",IF(ISNUMBER(T58),"HISTORICAL DATES REQUIRED",H58)))</x:f>
      </x:c>
      <x:c r="V58" s="49" t="str">
        <x:f>IF(B58="","",IF((COUNTIFS('Invoice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Register'!$M$2:$M$501,A58,'Invoice Register'!$L$2:$L$501,"VALID")+COUNTIFS('Invoice Register'!$M$2:$M$501,A58,'Invoice Register'!$L$2:$L$501,"FX HOLD")+COUNTIFS('Invoice Register'!$M$2:$M$501,A58,'Invoice Register'!$L$2:$L$501,"CANCELLED")=0,"INVOICE DATA REQUIRED",SUMIFS('Invoice Register'!$H$2:$H$501,'Invoice Register'!$M$2:$M$501,A58,'Invoice Register'!$G$2:$G$501,"USD",'Invoice Register'!$B$2:$B$501,B58,'Invoice Register'!$L$2:$L$501,"VALID")+SUMIFS('Invoice Register'!$H$2:$H$501,'Invoice Register'!$M$2:$M$501,A58,'Invoice Register'!$G$2:$G$501,"USD",'Invoice Register'!$B$2:$B$501,B58,'Invoice Register'!$L$2:$L$501,"FX HOLD"))))</x:f>
      </x:c>
      <x:c r="W58" s="49" t="str">
        <x:f>IF(B58="","",IF((COUNTIFS('Invoice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Register'!$M$2:$M$501,A58,'Invoice Register'!$L$2:$L$501,"VALID")+COUNTIFS('Invoice Register'!$M$2:$M$501,A58,'Invoice Register'!$L$2:$L$501,"FX HOLD")+COUNTIFS('Invoice Register'!$M$2:$M$501,A58,'Invoice Register'!$L$2:$L$501,"CANCELLED")=0,"INVOICE DATA REQUIRED",SUMIFS('Invoice Register'!$H$2:$H$501,'Invoice Register'!$M$2:$M$501,A58,'Invoice Register'!$G$2:$G$501,"MXN",'Invoice Register'!$B$2:$B$501,B58,'Invoice Register'!$L$2:$L$501,"VALID")+SUMIFS('Invoice Register'!$H$2:$H$501,'Invoice Register'!$M$2:$M$501,A58,'Invoice Register'!$G$2:$G$501,"MXN",'Invoice Register'!$B$2:$B$501,B58,'Invoice Register'!$L$2:$L$501,"FX HOLD"))))</x:f>
      </x:c>
    </x:row>
    <x:row r="59">
      <x:c r="H59" t="str">
        <x:f>IF(B59="","",IF((COUNTIFS('Invoice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Register'!$M$2:$M$501,A59)+COUNTIFS('Invoice Register'!$L$2:$L$501,"CANCELLED",'Invoice Register'!$M$2:$M$501,A59)=0,"INVOICE DATA REQUIRED",SUMIFS('Invoice Register'!$N$2:$N$501,'Invoice Register'!$M$2:$M$501,A59,'Invoice Register'!$B$2:$B$501,B59))))</x:f>
      </x:c>
      <x:c r="N59" t="str">
        <x:f>IF(B59="","",IF(COUNTIF('ERP Snapshot'!$A$2:$A$101,B59)=0,"UNKNOWN",IF(COUNTIFS('ERP Snapshot'!$A$2:$A$101,B59,'ERP Snapshot'!$D$2:$D$101,"MXN")&gt;0,"MXN","USD")))</x:f>
      </x:c>
      <x:c r="O59" t="str">
        <x:f>IF(B59="","",IF(N59="UNKNOWN","SOURCE REVIEW",IF(N59="USD","NOT REQUIRED",IF(AND(Settings!$B$8="APPROVED",Settings!$B$9&lt;&gt;"",Settings!$B$10&lt;&gt;"",Settings!$B$2&gt;0),"APPROVED","FX HOLD"))))</x:f>
      </x:c>
      <x:c r="P59" t="str">
        <x:f>IF(B59="","",IF(O59="FX HOLD","USD normalized input is provisional; FX approval missing",IF(O59="SOURCE REVIEW","Missing source currency mapping",IF(O59="APPROVED","Approval metadata supplied; source rates not independently audited",""))))</x:f>
      </x:c>
      <x:c r="T59" s="50"/>
      <x:c r="U59" t="str">
        <x:f>IF(B59="","",IF(ISNUMBER(H59),"DATED ERP INVOICES",IF(ISNUMBER(T59),"HISTORICAL DATES REQUIRED",H59)))</x:f>
      </x:c>
      <x:c r="V59" s="49" t="str">
        <x:f>IF(B59="","",IF((COUNTIFS('Invoice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Register'!$M$2:$M$501,A59,'Invoice Register'!$L$2:$L$501,"VALID")+COUNTIFS('Invoice Register'!$M$2:$M$501,A59,'Invoice Register'!$L$2:$L$501,"FX HOLD")+COUNTIFS('Invoice Register'!$M$2:$M$501,A59,'Invoice Register'!$L$2:$L$501,"CANCELLED")=0,"INVOICE DATA REQUIRED",SUMIFS('Invoice Register'!$H$2:$H$501,'Invoice Register'!$M$2:$M$501,A59,'Invoice Register'!$G$2:$G$501,"USD",'Invoice Register'!$B$2:$B$501,B59,'Invoice Register'!$L$2:$L$501,"VALID")+SUMIFS('Invoice Register'!$H$2:$H$501,'Invoice Register'!$M$2:$M$501,A59,'Invoice Register'!$G$2:$G$501,"USD",'Invoice Register'!$B$2:$B$501,B59,'Invoice Register'!$L$2:$L$501,"FX HOLD"))))</x:f>
      </x:c>
      <x:c r="W59" s="49" t="str">
        <x:f>IF(B59="","",IF((COUNTIFS('Invoice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Register'!$M$2:$M$501,A59,'Invoice Register'!$L$2:$L$501,"VALID")+COUNTIFS('Invoice Register'!$M$2:$M$501,A59,'Invoice Register'!$L$2:$L$501,"FX HOLD")+COUNTIFS('Invoice Register'!$M$2:$M$501,A59,'Invoice Register'!$L$2:$L$501,"CANCELLED")=0,"INVOICE DATA REQUIRED",SUMIFS('Invoice Register'!$H$2:$H$501,'Invoice Register'!$M$2:$M$501,A59,'Invoice Register'!$G$2:$G$501,"MXN",'Invoice Register'!$B$2:$B$501,B59,'Invoice Register'!$L$2:$L$501,"VALID")+SUMIFS('Invoice Register'!$H$2:$H$501,'Invoice Register'!$M$2:$M$501,A59,'Invoice Register'!$G$2:$G$501,"MXN",'Invoice Register'!$B$2:$B$501,B59,'Invoice Register'!$L$2:$L$501,"FX HOLD"))))</x:f>
      </x:c>
    </x:row>
    <x:row r="60">
      <x:c r="H60" t="str">
        <x:f>IF(B60="","",IF((COUNTIFS('Invoice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Register'!$M$2:$M$501,A60)+COUNTIFS('Invoice Register'!$L$2:$L$501,"CANCELLED",'Invoice Register'!$M$2:$M$501,A60)=0,"INVOICE DATA REQUIRED",SUMIFS('Invoice Register'!$N$2:$N$501,'Invoice Register'!$M$2:$M$501,A60,'Invoice Register'!$B$2:$B$501,B60))))</x:f>
      </x:c>
      <x:c r="N60" t="str">
        <x:f>IF(B60="","",IF(COUNTIF('ERP Snapshot'!$A$2:$A$101,B60)=0,"UNKNOWN",IF(COUNTIFS('ERP Snapshot'!$A$2:$A$101,B60,'ERP Snapshot'!$D$2:$D$101,"MXN")&gt;0,"MXN","USD")))</x:f>
      </x:c>
      <x:c r="O60" t="str">
        <x:f>IF(B60="","",IF(N60="UNKNOWN","SOURCE REVIEW",IF(N60="USD","NOT REQUIRED",IF(AND(Settings!$B$8="APPROVED",Settings!$B$9&lt;&gt;"",Settings!$B$10&lt;&gt;"",Settings!$B$2&gt;0),"APPROVED","FX HOLD"))))</x:f>
      </x:c>
      <x:c r="P60" t="str">
        <x:f>IF(B60="","",IF(O60="FX HOLD","USD normalized input is provisional; FX approval missing",IF(O60="SOURCE REVIEW","Missing source currency mapping",IF(O60="APPROVED","Approval metadata supplied; source rates not independently audited",""))))</x:f>
      </x:c>
      <x:c r="T60" s="50"/>
      <x:c r="U60" t="str">
        <x:f>IF(B60="","",IF(ISNUMBER(H60),"DATED ERP INVOICES",IF(ISNUMBER(T60),"HISTORICAL DATES REQUIRED",H60)))</x:f>
      </x:c>
      <x:c r="V60" s="49" t="str">
        <x:f>IF(B60="","",IF((COUNTIFS('Invoice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Register'!$M$2:$M$501,A60,'Invoice Register'!$L$2:$L$501,"VALID")+COUNTIFS('Invoice Register'!$M$2:$M$501,A60,'Invoice Register'!$L$2:$L$501,"FX HOLD")+COUNTIFS('Invoice Register'!$M$2:$M$501,A60,'Invoice Register'!$L$2:$L$501,"CANCELLED")=0,"INVOICE DATA REQUIRED",SUMIFS('Invoice Register'!$H$2:$H$501,'Invoice Register'!$M$2:$M$501,A60,'Invoice Register'!$G$2:$G$501,"USD",'Invoice Register'!$B$2:$B$501,B60,'Invoice Register'!$L$2:$L$501,"VALID")+SUMIFS('Invoice Register'!$H$2:$H$501,'Invoice Register'!$M$2:$M$501,A60,'Invoice Register'!$G$2:$G$501,"USD",'Invoice Register'!$B$2:$B$501,B60,'Invoice Register'!$L$2:$L$501,"FX HOLD"))))</x:f>
      </x:c>
      <x:c r="W60" s="49" t="str">
        <x:f>IF(B60="","",IF((COUNTIFS('Invoice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Register'!$M$2:$M$501,A60,'Invoice Register'!$L$2:$L$501,"VALID")+COUNTIFS('Invoice Register'!$M$2:$M$501,A60,'Invoice Register'!$L$2:$L$501,"FX HOLD")+COUNTIFS('Invoice Register'!$M$2:$M$501,A60,'Invoice Register'!$L$2:$L$501,"CANCELLED")=0,"INVOICE DATA REQUIRED",SUMIFS('Invoice Register'!$H$2:$H$501,'Invoice Register'!$M$2:$M$501,A60,'Invoice Register'!$G$2:$G$501,"MXN",'Invoice Register'!$B$2:$B$501,B60,'Invoice Register'!$L$2:$L$501,"VALID")+SUMIFS('Invoice Register'!$H$2:$H$501,'Invoice Register'!$M$2:$M$501,A60,'Invoice Register'!$G$2:$G$501,"MXN",'Invoice Register'!$B$2:$B$501,B60,'Invoice Register'!$L$2:$L$501,"FX HOLD"))))</x:f>
      </x:c>
    </x:row>
    <x:row r="61">
      <x:c r="H61" t="str">
        <x:f>IF(B61="","",IF((COUNTIFS('Invoice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Register'!$M$2:$M$501,A61)+COUNTIFS('Invoice Register'!$L$2:$L$501,"CANCELLED",'Invoice Register'!$M$2:$M$501,A61)=0,"INVOICE DATA REQUIRED",SUMIFS('Invoice Register'!$N$2:$N$501,'Invoice Register'!$M$2:$M$501,A61,'Invoice Register'!$B$2:$B$501,B61))))</x:f>
      </x:c>
      <x:c r="N61" t="str">
        <x:f>IF(B61="","",IF(COUNTIF('ERP Snapshot'!$A$2:$A$101,B61)=0,"UNKNOWN",IF(COUNTIFS('ERP Snapshot'!$A$2:$A$101,B61,'ERP Snapshot'!$D$2:$D$101,"MXN")&gt;0,"MXN","USD")))</x:f>
      </x:c>
      <x:c r="O61" t="str">
        <x:f>IF(B61="","",IF(N61="UNKNOWN","SOURCE REVIEW",IF(N61="USD","NOT REQUIRED",IF(AND(Settings!$B$8="APPROVED",Settings!$B$9&lt;&gt;"",Settings!$B$10&lt;&gt;"",Settings!$B$2&gt;0),"APPROVED","FX HOLD"))))</x:f>
      </x:c>
      <x:c r="P61" t="str">
        <x:f>IF(B61="","",IF(O61="FX HOLD","USD normalized input is provisional; FX approval missing",IF(O61="SOURCE REVIEW","Missing source currency mapping",IF(O61="APPROVED","Approval metadata supplied; source rates not independently audited",""))))</x:f>
      </x:c>
      <x:c r="T61" s="50"/>
      <x:c r="U61" t="str">
        <x:f>IF(B61="","",IF(ISNUMBER(H61),"DATED ERP INVOICES",IF(ISNUMBER(T61),"HISTORICAL DATES REQUIRED",H61)))</x:f>
      </x:c>
      <x:c r="V61" s="49" t="str">
        <x:f>IF(B61="","",IF((COUNTIFS('Invoice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Register'!$M$2:$M$501,A61,'Invoice Register'!$L$2:$L$501,"VALID")+COUNTIFS('Invoice Register'!$M$2:$M$501,A61,'Invoice Register'!$L$2:$L$501,"FX HOLD")+COUNTIFS('Invoice Register'!$M$2:$M$501,A61,'Invoice Register'!$L$2:$L$501,"CANCELLED")=0,"INVOICE DATA REQUIRED",SUMIFS('Invoice Register'!$H$2:$H$501,'Invoice Register'!$M$2:$M$501,A61,'Invoice Register'!$G$2:$G$501,"USD",'Invoice Register'!$B$2:$B$501,B61,'Invoice Register'!$L$2:$L$501,"VALID")+SUMIFS('Invoice Register'!$H$2:$H$501,'Invoice Register'!$M$2:$M$501,A61,'Invoice Register'!$G$2:$G$501,"USD",'Invoice Register'!$B$2:$B$501,B61,'Invoice Register'!$L$2:$L$501,"FX HOLD"))))</x:f>
      </x:c>
      <x:c r="W61" s="49" t="str">
        <x:f>IF(B61="","",IF((COUNTIFS('Invoice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Register'!$M$2:$M$501,A61,'Invoice Register'!$L$2:$L$501,"VALID")+COUNTIFS('Invoice Register'!$M$2:$M$501,A61,'Invoice Register'!$L$2:$L$501,"FX HOLD")+COUNTIFS('Invoice Register'!$M$2:$M$501,A61,'Invoice Register'!$L$2:$L$501,"CANCELLED")=0,"INVOICE DATA REQUIRED",SUMIFS('Invoice Register'!$H$2:$H$501,'Invoice Register'!$M$2:$M$501,A61,'Invoice Register'!$G$2:$G$501,"MXN",'Invoice Register'!$B$2:$B$501,B61,'Invoice Register'!$L$2:$L$501,"VALID")+SUMIFS('Invoice Register'!$H$2:$H$501,'Invoice Register'!$M$2:$M$501,A61,'Invoice Register'!$G$2:$G$501,"MXN",'Invoice Register'!$B$2:$B$501,B61,'Invoice Register'!$L$2:$L$501,"FX HOLD"))))</x:f>
      </x:c>
    </x:row>
    <x:row r="62">
      <x:c r="H62" t="str">
        <x:f>IF(B62="","",IF((COUNTIFS('Invoice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Register'!$M$2:$M$501,A62)+COUNTIFS('Invoice Register'!$L$2:$L$501,"CANCELLED",'Invoice Register'!$M$2:$M$501,A62)=0,"INVOICE DATA REQUIRED",SUMIFS('Invoice Register'!$N$2:$N$501,'Invoice Register'!$M$2:$M$501,A62,'Invoice Register'!$B$2:$B$501,B62))))</x:f>
      </x:c>
      <x:c r="N62" t="str">
        <x:f>IF(B62="","",IF(COUNTIF('ERP Snapshot'!$A$2:$A$101,B62)=0,"UNKNOWN",IF(COUNTIFS('ERP Snapshot'!$A$2:$A$101,B62,'ERP Snapshot'!$D$2:$D$101,"MXN")&gt;0,"MXN","USD")))</x:f>
      </x:c>
      <x:c r="O62" t="str">
        <x:f>IF(B62="","",IF(N62="UNKNOWN","SOURCE REVIEW",IF(N62="USD","NOT REQUIRED",IF(AND(Settings!$B$8="APPROVED",Settings!$B$9&lt;&gt;"",Settings!$B$10&lt;&gt;"",Settings!$B$2&gt;0),"APPROVED","FX HOLD"))))</x:f>
      </x:c>
      <x:c r="P62" t="str">
        <x:f>IF(B62="","",IF(O62="FX HOLD","USD normalized input is provisional; FX approval missing",IF(O62="SOURCE REVIEW","Missing source currency mapping",IF(O62="APPROVED","Approval metadata supplied; source rates not independently audited",""))))</x:f>
      </x:c>
      <x:c r="T62" s="50"/>
      <x:c r="U62" t="str">
        <x:f>IF(B62="","",IF(ISNUMBER(H62),"DATED ERP INVOICES",IF(ISNUMBER(T62),"HISTORICAL DATES REQUIRED",H62)))</x:f>
      </x:c>
      <x:c r="V62" s="49" t="str">
        <x:f>IF(B62="","",IF((COUNTIFS('Invoice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Register'!$M$2:$M$501,A62,'Invoice Register'!$L$2:$L$501,"VALID")+COUNTIFS('Invoice Register'!$M$2:$M$501,A62,'Invoice Register'!$L$2:$L$501,"FX HOLD")+COUNTIFS('Invoice Register'!$M$2:$M$501,A62,'Invoice Register'!$L$2:$L$501,"CANCELLED")=0,"INVOICE DATA REQUIRED",SUMIFS('Invoice Register'!$H$2:$H$501,'Invoice Register'!$M$2:$M$501,A62,'Invoice Register'!$G$2:$G$501,"USD",'Invoice Register'!$B$2:$B$501,B62,'Invoice Register'!$L$2:$L$501,"VALID")+SUMIFS('Invoice Register'!$H$2:$H$501,'Invoice Register'!$M$2:$M$501,A62,'Invoice Register'!$G$2:$G$501,"USD",'Invoice Register'!$B$2:$B$501,B62,'Invoice Register'!$L$2:$L$501,"FX HOLD"))))</x:f>
      </x:c>
      <x:c r="W62" s="49" t="str">
        <x:f>IF(B62="","",IF((COUNTIFS('Invoice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Register'!$M$2:$M$501,A62,'Invoice Register'!$L$2:$L$501,"VALID")+COUNTIFS('Invoice Register'!$M$2:$M$501,A62,'Invoice Register'!$L$2:$L$501,"FX HOLD")+COUNTIFS('Invoice Register'!$M$2:$M$501,A62,'Invoice Register'!$L$2:$L$501,"CANCELLED")=0,"INVOICE DATA REQUIRED",SUMIFS('Invoice Register'!$H$2:$H$501,'Invoice Register'!$M$2:$M$501,A62,'Invoice Register'!$G$2:$G$501,"MXN",'Invoice Register'!$B$2:$B$501,B62,'Invoice Register'!$L$2:$L$501,"VALID")+SUMIFS('Invoice Register'!$H$2:$H$501,'Invoice Register'!$M$2:$M$501,A62,'Invoice Register'!$G$2:$G$501,"MXN",'Invoice Register'!$B$2:$B$501,B62,'Invoice Register'!$L$2:$L$501,"FX HOLD"))))</x:f>
      </x:c>
    </x:row>
    <x:row r="63">
      <x:c r="H63" t="str">
        <x:f>IF(B63="","",IF((COUNTIFS('Invoice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Register'!$M$2:$M$501,A63)+COUNTIFS('Invoice Register'!$L$2:$L$501,"CANCELLED",'Invoice Register'!$M$2:$M$501,A63)=0,"INVOICE DATA REQUIRED",SUMIFS('Invoice Register'!$N$2:$N$501,'Invoice Register'!$M$2:$M$501,A63,'Invoice Register'!$B$2:$B$501,B63))))</x:f>
      </x:c>
      <x:c r="N63" t="str">
        <x:f>IF(B63="","",IF(COUNTIF('ERP Snapshot'!$A$2:$A$101,B63)=0,"UNKNOWN",IF(COUNTIFS('ERP Snapshot'!$A$2:$A$101,B63,'ERP Snapshot'!$D$2:$D$101,"MXN")&gt;0,"MXN","USD")))</x:f>
      </x:c>
      <x:c r="O63" t="str">
        <x:f>IF(B63="","",IF(N63="UNKNOWN","SOURCE REVIEW",IF(N63="USD","NOT REQUIRED",IF(AND(Settings!$B$8="APPROVED",Settings!$B$9&lt;&gt;"",Settings!$B$10&lt;&gt;"",Settings!$B$2&gt;0),"APPROVED","FX HOLD"))))</x:f>
      </x:c>
      <x:c r="P63" t="str">
        <x:f>IF(B63="","",IF(O63="FX HOLD","USD normalized input is provisional; FX approval missing",IF(O63="SOURCE REVIEW","Missing source currency mapping",IF(O63="APPROVED","Approval metadata supplied; source rates not independently audited",""))))</x:f>
      </x:c>
      <x:c r="T63" s="50"/>
      <x:c r="U63" t="str">
        <x:f>IF(B63="","",IF(ISNUMBER(H63),"DATED ERP INVOICES",IF(ISNUMBER(T63),"HISTORICAL DATES REQUIRED",H63)))</x:f>
      </x:c>
      <x:c r="V63" s="49" t="str">
        <x:f>IF(B63="","",IF((COUNTIFS('Invoice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Register'!$M$2:$M$501,A63,'Invoice Register'!$L$2:$L$501,"VALID")+COUNTIFS('Invoice Register'!$M$2:$M$501,A63,'Invoice Register'!$L$2:$L$501,"FX HOLD")+COUNTIFS('Invoice Register'!$M$2:$M$501,A63,'Invoice Register'!$L$2:$L$501,"CANCELLED")=0,"INVOICE DATA REQUIRED",SUMIFS('Invoice Register'!$H$2:$H$501,'Invoice Register'!$M$2:$M$501,A63,'Invoice Register'!$G$2:$G$501,"USD",'Invoice Register'!$B$2:$B$501,B63,'Invoice Register'!$L$2:$L$501,"VALID")+SUMIFS('Invoice Register'!$H$2:$H$501,'Invoice Register'!$M$2:$M$501,A63,'Invoice Register'!$G$2:$G$501,"USD",'Invoice Register'!$B$2:$B$501,B63,'Invoice Register'!$L$2:$L$501,"FX HOLD"))))</x:f>
      </x:c>
      <x:c r="W63" s="49" t="str">
        <x:f>IF(B63="","",IF((COUNTIFS('Invoice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Register'!$M$2:$M$501,A63,'Invoice Register'!$L$2:$L$501,"VALID")+COUNTIFS('Invoice Register'!$M$2:$M$501,A63,'Invoice Register'!$L$2:$L$501,"FX HOLD")+COUNTIFS('Invoice Register'!$M$2:$M$501,A63,'Invoice Register'!$L$2:$L$501,"CANCELLED")=0,"INVOICE DATA REQUIRED",SUMIFS('Invoice Register'!$H$2:$H$501,'Invoice Register'!$M$2:$M$501,A63,'Invoice Register'!$G$2:$G$501,"MXN",'Invoice Register'!$B$2:$B$501,B63,'Invoice Register'!$L$2:$L$501,"VALID")+SUMIFS('Invoice Register'!$H$2:$H$501,'Invoice Register'!$M$2:$M$501,A63,'Invoice Register'!$G$2:$G$501,"MXN",'Invoice Register'!$B$2:$B$501,B63,'Invoice Register'!$L$2:$L$501,"FX HOLD"))))</x:f>
      </x:c>
    </x:row>
    <x:row r="64">
      <x:c r="H64" t="str">
        <x:f>IF(B64="","",IF((COUNTIFS('Invoice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Register'!$M$2:$M$501,A64)+COUNTIFS('Invoice Register'!$L$2:$L$501,"CANCELLED",'Invoice Register'!$M$2:$M$501,A64)=0,"INVOICE DATA REQUIRED",SUMIFS('Invoice Register'!$N$2:$N$501,'Invoice Register'!$M$2:$M$501,A64,'Invoice Register'!$B$2:$B$501,B64))))</x:f>
      </x:c>
      <x:c r="N64" t="str">
        <x:f>IF(B64="","",IF(COUNTIF('ERP Snapshot'!$A$2:$A$101,B64)=0,"UNKNOWN",IF(COUNTIFS('ERP Snapshot'!$A$2:$A$101,B64,'ERP Snapshot'!$D$2:$D$101,"MXN")&gt;0,"MXN","USD")))</x:f>
      </x:c>
      <x:c r="O64" t="str">
        <x:f>IF(B64="","",IF(N64="UNKNOWN","SOURCE REVIEW",IF(N64="USD","NOT REQUIRED",IF(AND(Settings!$B$8="APPROVED",Settings!$B$9&lt;&gt;"",Settings!$B$10&lt;&gt;"",Settings!$B$2&gt;0),"APPROVED","FX HOLD"))))</x:f>
      </x:c>
      <x:c r="P64" t="str">
        <x:f>IF(B64="","",IF(O64="FX HOLD","USD normalized input is provisional; FX approval missing",IF(O64="SOURCE REVIEW","Missing source currency mapping",IF(O64="APPROVED","Approval metadata supplied; source rates not independently audited",""))))</x:f>
      </x:c>
      <x:c r="T64" s="50"/>
      <x:c r="U64" t="str">
        <x:f>IF(B64="","",IF(ISNUMBER(H64),"DATED ERP INVOICES",IF(ISNUMBER(T64),"HISTORICAL DATES REQUIRED",H64)))</x:f>
      </x:c>
      <x:c r="V64" s="49" t="str">
        <x:f>IF(B64="","",IF((COUNTIFS('Invoice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Register'!$M$2:$M$501,A64,'Invoice Register'!$L$2:$L$501,"VALID")+COUNTIFS('Invoice Register'!$M$2:$M$501,A64,'Invoice Register'!$L$2:$L$501,"FX HOLD")+COUNTIFS('Invoice Register'!$M$2:$M$501,A64,'Invoice Register'!$L$2:$L$501,"CANCELLED")=0,"INVOICE DATA REQUIRED",SUMIFS('Invoice Register'!$H$2:$H$501,'Invoice Register'!$M$2:$M$501,A64,'Invoice Register'!$G$2:$G$501,"USD",'Invoice Register'!$B$2:$B$501,B64,'Invoice Register'!$L$2:$L$501,"VALID")+SUMIFS('Invoice Register'!$H$2:$H$501,'Invoice Register'!$M$2:$M$501,A64,'Invoice Register'!$G$2:$G$501,"USD",'Invoice Register'!$B$2:$B$501,B64,'Invoice Register'!$L$2:$L$501,"FX HOLD"))))</x:f>
      </x:c>
      <x:c r="W64" s="49" t="str">
        <x:f>IF(B64="","",IF((COUNTIFS('Invoice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Register'!$M$2:$M$501,A64,'Invoice Register'!$L$2:$L$501,"VALID")+COUNTIFS('Invoice Register'!$M$2:$M$501,A64,'Invoice Register'!$L$2:$L$501,"FX HOLD")+COUNTIFS('Invoice Register'!$M$2:$M$501,A64,'Invoice Register'!$L$2:$L$501,"CANCELLED")=0,"INVOICE DATA REQUIRED",SUMIFS('Invoice Register'!$H$2:$H$501,'Invoice Register'!$M$2:$M$501,A64,'Invoice Register'!$G$2:$G$501,"MXN",'Invoice Register'!$B$2:$B$501,B64,'Invoice Register'!$L$2:$L$501,"VALID")+SUMIFS('Invoice Register'!$H$2:$H$501,'Invoice Register'!$M$2:$M$501,A64,'Invoice Register'!$G$2:$G$501,"MXN",'Invoice Register'!$B$2:$B$501,B64,'Invoice Register'!$L$2:$L$501,"FX HOLD"))))</x:f>
      </x:c>
    </x:row>
    <x:row r="65">
      <x:c r="H65" t="str">
        <x:f>IF(B65="","",IF((COUNTIFS('Invoice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Register'!$M$2:$M$501,A65)+COUNTIFS('Invoice Register'!$L$2:$L$501,"CANCELLED",'Invoice Register'!$M$2:$M$501,A65)=0,"INVOICE DATA REQUIRED",SUMIFS('Invoice Register'!$N$2:$N$501,'Invoice Register'!$M$2:$M$501,A65,'Invoice Register'!$B$2:$B$501,B65))))</x:f>
      </x:c>
      <x:c r="N65" t="str">
        <x:f>IF(B65="","",IF(COUNTIF('ERP Snapshot'!$A$2:$A$101,B65)=0,"UNKNOWN",IF(COUNTIFS('ERP Snapshot'!$A$2:$A$101,B65,'ERP Snapshot'!$D$2:$D$101,"MXN")&gt;0,"MXN","USD")))</x:f>
      </x:c>
      <x:c r="O65" t="str">
        <x:f>IF(B65="","",IF(N65="UNKNOWN","SOURCE REVIEW",IF(N65="USD","NOT REQUIRED",IF(AND(Settings!$B$8="APPROVED",Settings!$B$9&lt;&gt;"",Settings!$B$10&lt;&gt;"",Settings!$B$2&gt;0),"APPROVED","FX HOLD"))))</x:f>
      </x:c>
      <x:c r="P65" t="str">
        <x:f>IF(B65="","",IF(O65="FX HOLD","USD normalized input is provisional; FX approval missing",IF(O65="SOURCE REVIEW","Missing source currency mapping",IF(O65="APPROVED","Approval metadata supplied; source rates not independently audited",""))))</x:f>
      </x:c>
      <x:c r="T65" s="50"/>
      <x:c r="U65" t="str">
        <x:f>IF(B65="","",IF(ISNUMBER(H65),"DATED ERP INVOICES",IF(ISNUMBER(T65),"HISTORICAL DATES REQUIRED",H65)))</x:f>
      </x:c>
      <x:c r="V65" s="49" t="str">
        <x:f>IF(B65="","",IF((COUNTIFS('Invoice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Register'!$M$2:$M$501,A65,'Invoice Register'!$L$2:$L$501,"VALID")+COUNTIFS('Invoice Register'!$M$2:$M$501,A65,'Invoice Register'!$L$2:$L$501,"FX HOLD")+COUNTIFS('Invoice Register'!$M$2:$M$501,A65,'Invoice Register'!$L$2:$L$501,"CANCELLED")=0,"INVOICE DATA REQUIRED",SUMIFS('Invoice Register'!$H$2:$H$501,'Invoice Register'!$M$2:$M$501,A65,'Invoice Register'!$G$2:$G$501,"USD",'Invoice Register'!$B$2:$B$501,B65,'Invoice Register'!$L$2:$L$501,"VALID")+SUMIFS('Invoice Register'!$H$2:$H$501,'Invoice Register'!$M$2:$M$501,A65,'Invoice Register'!$G$2:$G$501,"USD",'Invoice Register'!$B$2:$B$501,B65,'Invoice Register'!$L$2:$L$501,"FX HOLD"))))</x:f>
      </x:c>
      <x:c r="W65" s="49" t="str">
        <x:f>IF(B65="","",IF((COUNTIFS('Invoice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Register'!$M$2:$M$501,A65,'Invoice Register'!$L$2:$L$501,"VALID")+COUNTIFS('Invoice Register'!$M$2:$M$501,A65,'Invoice Register'!$L$2:$L$501,"FX HOLD")+COUNTIFS('Invoice Register'!$M$2:$M$501,A65,'Invoice Register'!$L$2:$L$501,"CANCELLED")=0,"INVOICE DATA REQUIRED",SUMIFS('Invoice Register'!$H$2:$H$501,'Invoice Register'!$M$2:$M$501,A65,'Invoice Register'!$G$2:$G$501,"MXN",'Invoice Register'!$B$2:$B$501,B65,'Invoice Register'!$L$2:$L$501,"VALID")+SUMIFS('Invoice Register'!$H$2:$H$501,'Invoice Register'!$M$2:$M$501,A65,'Invoice Register'!$G$2:$G$501,"MXN",'Invoice Register'!$B$2:$B$501,B65,'Invoice Register'!$L$2:$L$501,"FX HOLD"))))</x:f>
      </x:c>
    </x:row>
    <x:row r="66">
      <x:c r="H66" t="str">
        <x:f>IF(B66="","",IF((COUNTIFS('Invoice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Register'!$M$2:$M$501,A66)+COUNTIFS('Invoice Register'!$L$2:$L$501,"CANCELLED",'Invoice Register'!$M$2:$M$501,A66)=0,"INVOICE DATA REQUIRED",SUMIFS('Invoice Register'!$N$2:$N$501,'Invoice Register'!$M$2:$M$501,A66,'Invoice Register'!$B$2:$B$501,B66))))</x:f>
      </x:c>
      <x:c r="N66" t="str">
        <x:f>IF(B66="","",IF(COUNTIF('ERP Snapshot'!$A$2:$A$101,B66)=0,"UNKNOWN",IF(COUNTIFS('ERP Snapshot'!$A$2:$A$101,B66,'ERP Snapshot'!$D$2:$D$101,"MXN")&gt;0,"MXN","USD")))</x:f>
      </x:c>
      <x:c r="O66" t="str">
        <x:f>IF(B66="","",IF(N66="UNKNOWN","SOURCE REVIEW",IF(N66="USD","NOT REQUIRED",IF(AND(Settings!$B$8="APPROVED",Settings!$B$9&lt;&gt;"",Settings!$B$10&lt;&gt;"",Settings!$B$2&gt;0),"APPROVED","FX HOLD"))))</x:f>
      </x:c>
      <x:c r="P66" t="str">
        <x:f>IF(B66="","",IF(O66="FX HOLD","USD normalized input is provisional; FX approval missing",IF(O66="SOURCE REVIEW","Missing source currency mapping",IF(O66="APPROVED","Approval metadata supplied; source rates not independently audited",""))))</x:f>
      </x:c>
      <x:c r="T66" s="50"/>
      <x:c r="U66" t="str">
        <x:f>IF(B66="","",IF(ISNUMBER(H66),"DATED ERP INVOICES",IF(ISNUMBER(T66),"HISTORICAL DATES REQUIRED",H66)))</x:f>
      </x:c>
      <x:c r="V66" s="49" t="str">
        <x:f>IF(B66="","",IF((COUNTIFS('Invoice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Register'!$M$2:$M$501,A66,'Invoice Register'!$L$2:$L$501,"VALID")+COUNTIFS('Invoice Register'!$M$2:$M$501,A66,'Invoice Register'!$L$2:$L$501,"FX HOLD")+COUNTIFS('Invoice Register'!$M$2:$M$501,A66,'Invoice Register'!$L$2:$L$501,"CANCELLED")=0,"INVOICE DATA REQUIRED",SUMIFS('Invoice Register'!$H$2:$H$501,'Invoice Register'!$M$2:$M$501,A66,'Invoice Register'!$G$2:$G$501,"USD",'Invoice Register'!$B$2:$B$501,B66,'Invoice Register'!$L$2:$L$501,"VALID")+SUMIFS('Invoice Register'!$H$2:$H$501,'Invoice Register'!$M$2:$M$501,A66,'Invoice Register'!$G$2:$G$501,"USD",'Invoice Register'!$B$2:$B$501,B66,'Invoice Register'!$L$2:$L$501,"FX HOLD"))))</x:f>
      </x:c>
      <x:c r="W66" s="49" t="str">
        <x:f>IF(B66="","",IF((COUNTIFS('Invoice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Register'!$M$2:$M$501,A66,'Invoice Register'!$L$2:$L$501,"VALID")+COUNTIFS('Invoice Register'!$M$2:$M$501,A66,'Invoice Register'!$L$2:$L$501,"FX HOLD")+COUNTIFS('Invoice Register'!$M$2:$M$501,A66,'Invoice Register'!$L$2:$L$501,"CANCELLED")=0,"INVOICE DATA REQUIRED",SUMIFS('Invoice Register'!$H$2:$H$501,'Invoice Register'!$M$2:$M$501,A66,'Invoice Register'!$G$2:$G$501,"MXN",'Invoice Register'!$B$2:$B$501,B66,'Invoice Register'!$L$2:$L$501,"VALID")+SUMIFS('Invoice Register'!$H$2:$H$501,'Invoice Register'!$M$2:$M$501,A66,'Invoice Register'!$G$2:$G$501,"MXN",'Invoice Register'!$B$2:$B$501,B66,'Invoice Register'!$L$2:$L$501,"FX HOLD"))))</x:f>
      </x:c>
    </x:row>
    <x:row r="67">
      <x:c r="H67" t="str">
        <x:f>IF(B67="","",IF((COUNTIFS('Invoice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Register'!$M$2:$M$501,A67)+COUNTIFS('Invoice Register'!$L$2:$L$501,"CANCELLED",'Invoice Register'!$M$2:$M$501,A67)=0,"INVOICE DATA REQUIRED",SUMIFS('Invoice Register'!$N$2:$N$501,'Invoice Register'!$M$2:$M$501,A67,'Invoice Register'!$B$2:$B$501,B67))))</x:f>
      </x:c>
      <x:c r="N67" t="str">
        <x:f>IF(B67="","",IF(COUNTIF('ERP Snapshot'!$A$2:$A$101,B67)=0,"UNKNOWN",IF(COUNTIFS('ERP Snapshot'!$A$2:$A$101,B67,'ERP Snapshot'!$D$2:$D$101,"MXN")&gt;0,"MXN","USD")))</x:f>
      </x:c>
      <x:c r="O67" t="str">
        <x:f>IF(B67="","",IF(N67="UNKNOWN","SOURCE REVIEW",IF(N67="USD","NOT REQUIRED",IF(AND(Settings!$B$8="APPROVED",Settings!$B$9&lt;&gt;"",Settings!$B$10&lt;&gt;"",Settings!$B$2&gt;0),"APPROVED","FX HOLD"))))</x:f>
      </x:c>
      <x:c r="P67" t="str">
        <x:f>IF(B67="","",IF(O67="FX HOLD","USD normalized input is provisional; FX approval missing",IF(O67="SOURCE REVIEW","Missing source currency mapping",IF(O67="APPROVED","Approval metadata supplied; source rates not independently audited",""))))</x:f>
      </x:c>
      <x:c r="T67" s="50"/>
      <x:c r="U67" t="str">
        <x:f>IF(B67="","",IF(ISNUMBER(H67),"DATED ERP INVOICES",IF(ISNUMBER(T67),"HISTORICAL DATES REQUIRED",H67)))</x:f>
      </x:c>
      <x:c r="V67" s="49" t="str">
        <x:f>IF(B67="","",IF((COUNTIFS('Invoice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Register'!$M$2:$M$501,A67,'Invoice Register'!$L$2:$L$501,"VALID")+COUNTIFS('Invoice Register'!$M$2:$M$501,A67,'Invoice Register'!$L$2:$L$501,"FX HOLD")+COUNTIFS('Invoice Register'!$M$2:$M$501,A67,'Invoice Register'!$L$2:$L$501,"CANCELLED")=0,"INVOICE DATA REQUIRED",SUMIFS('Invoice Register'!$H$2:$H$501,'Invoice Register'!$M$2:$M$501,A67,'Invoice Register'!$G$2:$G$501,"USD",'Invoice Register'!$B$2:$B$501,B67,'Invoice Register'!$L$2:$L$501,"VALID")+SUMIFS('Invoice Register'!$H$2:$H$501,'Invoice Register'!$M$2:$M$501,A67,'Invoice Register'!$G$2:$G$501,"USD",'Invoice Register'!$B$2:$B$501,B67,'Invoice Register'!$L$2:$L$501,"FX HOLD"))))</x:f>
      </x:c>
      <x:c r="W67" s="49" t="str">
        <x:f>IF(B67="","",IF((COUNTIFS('Invoice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Register'!$M$2:$M$501,A67,'Invoice Register'!$L$2:$L$501,"VALID")+COUNTIFS('Invoice Register'!$M$2:$M$501,A67,'Invoice Register'!$L$2:$L$501,"FX HOLD")+COUNTIFS('Invoice Register'!$M$2:$M$501,A67,'Invoice Register'!$L$2:$L$501,"CANCELLED")=0,"INVOICE DATA REQUIRED",SUMIFS('Invoice Register'!$H$2:$H$501,'Invoice Register'!$M$2:$M$501,A67,'Invoice Register'!$G$2:$G$501,"MXN",'Invoice Register'!$B$2:$B$501,B67,'Invoice Register'!$L$2:$L$501,"VALID")+SUMIFS('Invoice Register'!$H$2:$H$501,'Invoice Register'!$M$2:$M$501,A67,'Invoice Register'!$G$2:$G$501,"MXN",'Invoice Register'!$B$2:$B$501,B67,'Invoice Register'!$L$2:$L$501,"FX HOLD"))))</x:f>
      </x:c>
    </x:row>
    <x:row r="68">
      <x:c r="H68" t="str">
        <x:f>IF(B68="","",IF((COUNTIFS('Invoice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Register'!$M$2:$M$501,A68)+COUNTIFS('Invoice Register'!$L$2:$L$501,"CANCELLED",'Invoice Register'!$M$2:$M$501,A68)=0,"INVOICE DATA REQUIRED",SUMIFS('Invoice Register'!$N$2:$N$501,'Invoice Register'!$M$2:$M$501,A68,'Invoice Register'!$B$2:$B$501,B68))))</x:f>
      </x:c>
      <x:c r="N68" t="str">
        <x:f>IF(B68="","",IF(COUNTIF('ERP Snapshot'!$A$2:$A$101,B68)=0,"UNKNOWN",IF(COUNTIFS('ERP Snapshot'!$A$2:$A$101,B68,'ERP Snapshot'!$D$2:$D$101,"MXN")&gt;0,"MXN","USD")))</x:f>
      </x:c>
      <x:c r="O68" t="str">
        <x:f>IF(B68="","",IF(N68="UNKNOWN","SOURCE REVIEW",IF(N68="USD","NOT REQUIRED",IF(AND(Settings!$B$8="APPROVED",Settings!$B$9&lt;&gt;"",Settings!$B$10&lt;&gt;"",Settings!$B$2&gt;0),"APPROVED","FX HOLD"))))</x:f>
      </x:c>
      <x:c r="P68" t="str">
        <x:f>IF(B68="","",IF(O68="FX HOLD","USD normalized input is provisional; FX approval missing",IF(O68="SOURCE REVIEW","Missing source currency mapping",IF(O68="APPROVED","Approval metadata supplied; source rates not independently audited",""))))</x:f>
      </x:c>
      <x:c r="T68" s="50"/>
      <x:c r="U68" t="str">
        <x:f>IF(B68="","",IF(ISNUMBER(H68),"DATED ERP INVOICES",IF(ISNUMBER(T68),"HISTORICAL DATES REQUIRED",H68)))</x:f>
      </x:c>
      <x:c r="V68" s="49" t="str">
        <x:f>IF(B68="","",IF((COUNTIFS('Invoice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Register'!$M$2:$M$501,A68,'Invoice Register'!$L$2:$L$501,"VALID")+COUNTIFS('Invoice Register'!$M$2:$M$501,A68,'Invoice Register'!$L$2:$L$501,"FX HOLD")+COUNTIFS('Invoice Register'!$M$2:$M$501,A68,'Invoice Register'!$L$2:$L$501,"CANCELLED")=0,"INVOICE DATA REQUIRED",SUMIFS('Invoice Register'!$H$2:$H$501,'Invoice Register'!$M$2:$M$501,A68,'Invoice Register'!$G$2:$G$501,"USD",'Invoice Register'!$B$2:$B$501,B68,'Invoice Register'!$L$2:$L$501,"VALID")+SUMIFS('Invoice Register'!$H$2:$H$501,'Invoice Register'!$M$2:$M$501,A68,'Invoice Register'!$G$2:$G$501,"USD",'Invoice Register'!$B$2:$B$501,B68,'Invoice Register'!$L$2:$L$501,"FX HOLD"))))</x:f>
      </x:c>
      <x:c r="W68" s="49" t="str">
        <x:f>IF(B68="","",IF((COUNTIFS('Invoice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Register'!$M$2:$M$501,A68,'Invoice Register'!$L$2:$L$501,"VALID")+COUNTIFS('Invoice Register'!$M$2:$M$501,A68,'Invoice Register'!$L$2:$L$501,"FX HOLD")+COUNTIFS('Invoice Register'!$M$2:$M$501,A68,'Invoice Register'!$L$2:$L$501,"CANCELLED")=0,"INVOICE DATA REQUIRED",SUMIFS('Invoice Register'!$H$2:$H$501,'Invoice Register'!$M$2:$M$501,A68,'Invoice Register'!$G$2:$G$501,"MXN",'Invoice Register'!$B$2:$B$501,B68,'Invoice Register'!$L$2:$L$501,"VALID")+SUMIFS('Invoice Register'!$H$2:$H$501,'Invoice Register'!$M$2:$M$501,A68,'Invoice Register'!$G$2:$G$501,"MXN",'Invoice Register'!$B$2:$B$501,B68,'Invoice Register'!$L$2:$L$501,"FX HOLD"))))</x:f>
      </x:c>
    </x:row>
    <x:row r="69">
      <x:c r="H69" t="str">
        <x:f>IF(B69="","",IF((COUNTIFS('Invoice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Register'!$M$2:$M$501,A69)+COUNTIFS('Invoice Register'!$L$2:$L$501,"CANCELLED",'Invoice Register'!$M$2:$M$501,A69)=0,"INVOICE DATA REQUIRED",SUMIFS('Invoice Register'!$N$2:$N$501,'Invoice Register'!$M$2:$M$501,A69,'Invoice Register'!$B$2:$B$501,B69))))</x:f>
      </x:c>
      <x:c r="N69" t="str">
        <x:f>IF(B69="","",IF(COUNTIF('ERP Snapshot'!$A$2:$A$101,B69)=0,"UNKNOWN",IF(COUNTIFS('ERP Snapshot'!$A$2:$A$101,B69,'ERP Snapshot'!$D$2:$D$101,"MXN")&gt;0,"MXN","USD")))</x:f>
      </x:c>
      <x:c r="O69" t="str">
        <x:f>IF(B69="","",IF(N69="UNKNOWN","SOURCE REVIEW",IF(N69="USD","NOT REQUIRED",IF(AND(Settings!$B$8="APPROVED",Settings!$B$9&lt;&gt;"",Settings!$B$10&lt;&gt;"",Settings!$B$2&gt;0),"APPROVED","FX HOLD"))))</x:f>
      </x:c>
      <x:c r="P69" t="str">
        <x:f>IF(B69="","",IF(O69="FX HOLD","USD normalized input is provisional; FX approval missing",IF(O69="SOURCE REVIEW","Missing source currency mapping",IF(O69="APPROVED","Approval metadata supplied; source rates not independently audited",""))))</x:f>
      </x:c>
      <x:c r="T69" s="50"/>
      <x:c r="U69" t="str">
        <x:f>IF(B69="","",IF(ISNUMBER(H69),"DATED ERP INVOICES",IF(ISNUMBER(T69),"HISTORICAL DATES REQUIRED",H69)))</x:f>
      </x:c>
      <x:c r="V69" s="49" t="str">
        <x:f>IF(B69="","",IF((COUNTIFS('Invoice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Register'!$M$2:$M$501,A69,'Invoice Register'!$L$2:$L$501,"VALID")+COUNTIFS('Invoice Register'!$M$2:$M$501,A69,'Invoice Register'!$L$2:$L$501,"FX HOLD")+COUNTIFS('Invoice Register'!$M$2:$M$501,A69,'Invoice Register'!$L$2:$L$501,"CANCELLED")=0,"INVOICE DATA REQUIRED",SUMIFS('Invoice Register'!$H$2:$H$501,'Invoice Register'!$M$2:$M$501,A69,'Invoice Register'!$G$2:$G$501,"USD",'Invoice Register'!$B$2:$B$501,B69,'Invoice Register'!$L$2:$L$501,"VALID")+SUMIFS('Invoice Register'!$H$2:$H$501,'Invoice Register'!$M$2:$M$501,A69,'Invoice Register'!$G$2:$G$501,"USD",'Invoice Register'!$B$2:$B$501,B69,'Invoice Register'!$L$2:$L$501,"FX HOLD"))))</x:f>
      </x:c>
      <x:c r="W69" s="49" t="str">
        <x:f>IF(B69="","",IF((COUNTIFS('Invoice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Register'!$M$2:$M$501,A69,'Invoice Register'!$L$2:$L$501,"VALID")+COUNTIFS('Invoice Register'!$M$2:$M$501,A69,'Invoice Register'!$L$2:$L$501,"FX HOLD")+COUNTIFS('Invoice Register'!$M$2:$M$501,A69,'Invoice Register'!$L$2:$L$501,"CANCELLED")=0,"INVOICE DATA REQUIRED",SUMIFS('Invoice Register'!$H$2:$H$501,'Invoice Register'!$M$2:$M$501,A69,'Invoice Register'!$G$2:$G$501,"MXN",'Invoice Register'!$B$2:$B$501,B69,'Invoice Register'!$L$2:$L$501,"VALID")+SUMIFS('Invoice Register'!$H$2:$H$501,'Invoice Register'!$M$2:$M$501,A69,'Invoice Register'!$G$2:$G$501,"MXN",'Invoice Register'!$B$2:$B$501,B69,'Invoice Register'!$L$2:$L$501,"FX HOLD"))))</x:f>
      </x:c>
    </x:row>
    <x:row r="70">
      <x:c r="H70" t="str">
        <x:f>IF(B70="","",IF((COUNTIFS('Invoice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Register'!$M$2:$M$501,A70)+COUNTIFS('Invoice Register'!$L$2:$L$501,"CANCELLED",'Invoice Register'!$M$2:$M$501,A70)=0,"INVOICE DATA REQUIRED",SUMIFS('Invoice Register'!$N$2:$N$501,'Invoice Register'!$M$2:$M$501,A70,'Invoice Register'!$B$2:$B$501,B70))))</x:f>
      </x:c>
      <x:c r="N70" t="str">
        <x:f>IF(B70="","",IF(COUNTIF('ERP Snapshot'!$A$2:$A$101,B70)=0,"UNKNOWN",IF(COUNTIFS('ERP Snapshot'!$A$2:$A$101,B70,'ERP Snapshot'!$D$2:$D$101,"MXN")&gt;0,"MXN","USD")))</x:f>
      </x:c>
      <x:c r="O70" t="str">
        <x:f>IF(B70="","",IF(N70="UNKNOWN","SOURCE REVIEW",IF(N70="USD","NOT REQUIRED",IF(AND(Settings!$B$8="APPROVED",Settings!$B$9&lt;&gt;"",Settings!$B$10&lt;&gt;"",Settings!$B$2&gt;0),"APPROVED","FX HOLD"))))</x:f>
      </x:c>
      <x:c r="P70" t="str">
        <x:f>IF(B70="","",IF(O70="FX HOLD","USD normalized input is provisional; FX approval missing",IF(O70="SOURCE REVIEW","Missing source currency mapping",IF(O70="APPROVED","Approval metadata supplied; source rates not independently audited",""))))</x:f>
      </x:c>
      <x:c r="T70" s="50"/>
      <x:c r="U70" t="str">
        <x:f>IF(B70="","",IF(ISNUMBER(H70),"DATED ERP INVOICES",IF(ISNUMBER(T70),"HISTORICAL DATES REQUIRED",H70)))</x:f>
      </x:c>
      <x:c r="V70" s="49" t="str">
        <x:f>IF(B70="","",IF((COUNTIFS('Invoice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Register'!$M$2:$M$501,A70,'Invoice Register'!$L$2:$L$501,"VALID")+COUNTIFS('Invoice Register'!$M$2:$M$501,A70,'Invoice Register'!$L$2:$L$501,"FX HOLD")+COUNTIFS('Invoice Register'!$M$2:$M$501,A70,'Invoice Register'!$L$2:$L$501,"CANCELLED")=0,"INVOICE DATA REQUIRED",SUMIFS('Invoice Register'!$H$2:$H$501,'Invoice Register'!$M$2:$M$501,A70,'Invoice Register'!$G$2:$G$501,"USD",'Invoice Register'!$B$2:$B$501,B70,'Invoice Register'!$L$2:$L$501,"VALID")+SUMIFS('Invoice Register'!$H$2:$H$501,'Invoice Register'!$M$2:$M$501,A70,'Invoice Register'!$G$2:$G$501,"USD",'Invoice Register'!$B$2:$B$501,B70,'Invoice Register'!$L$2:$L$501,"FX HOLD"))))</x:f>
      </x:c>
      <x:c r="W70" s="49" t="str">
        <x:f>IF(B70="","",IF((COUNTIFS('Invoice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Register'!$M$2:$M$501,A70,'Invoice Register'!$L$2:$L$501,"VALID")+COUNTIFS('Invoice Register'!$M$2:$M$501,A70,'Invoice Register'!$L$2:$L$501,"FX HOLD")+COUNTIFS('Invoice Register'!$M$2:$M$501,A70,'Invoice Register'!$L$2:$L$501,"CANCELLED")=0,"INVOICE DATA REQUIRED",SUMIFS('Invoice Register'!$H$2:$H$501,'Invoice Register'!$M$2:$M$501,A70,'Invoice Register'!$G$2:$G$501,"MXN",'Invoice Register'!$B$2:$B$501,B70,'Invoice Register'!$L$2:$L$501,"VALID")+SUMIFS('Invoice Register'!$H$2:$H$501,'Invoice Register'!$M$2:$M$501,A70,'Invoice Register'!$G$2:$G$501,"MXN",'Invoice Register'!$B$2:$B$501,B70,'Invoice Register'!$L$2:$L$501,"FX HOLD"))))</x:f>
      </x:c>
    </x:row>
    <x:row r="71">
      <x:c r="H71" t="str">
        <x:f>IF(B71="","",IF((COUNTIFS('Invoice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Register'!$M$2:$M$501,A71)+COUNTIFS('Invoice Register'!$L$2:$L$501,"CANCELLED",'Invoice Register'!$M$2:$M$501,A71)=0,"INVOICE DATA REQUIRED",SUMIFS('Invoice Register'!$N$2:$N$501,'Invoice Register'!$M$2:$M$501,A71,'Invoice Register'!$B$2:$B$501,B71))))</x:f>
      </x:c>
      <x:c r="N71" t="str">
        <x:f>IF(B71="","",IF(COUNTIF('ERP Snapshot'!$A$2:$A$101,B71)=0,"UNKNOWN",IF(COUNTIFS('ERP Snapshot'!$A$2:$A$101,B71,'ERP Snapshot'!$D$2:$D$101,"MXN")&gt;0,"MXN","USD")))</x:f>
      </x:c>
      <x:c r="O71" t="str">
        <x:f>IF(B71="","",IF(N71="UNKNOWN","SOURCE REVIEW",IF(N71="USD","NOT REQUIRED",IF(AND(Settings!$B$8="APPROVED",Settings!$B$9&lt;&gt;"",Settings!$B$10&lt;&gt;"",Settings!$B$2&gt;0),"APPROVED","FX HOLD"))))</x:f>
      </x:c>
      <x:c r="P71" t="str">
        <x:f>IF(B71="","",IF(O71="FX HOLD","USD normalized input is provisional; FX approval missing",IF(O71="SOURCE REVIEW","Missing source currency mapping",IF(O71="APPROVED","Approval metadata supplied; source rates not independently audited",""))))</x:f>
      </x:c>
      <x:c r="T71" s="50"/>
      <x:c r="U71" t="str">
        <x:f>IF(B71="","",IF(ISNUMBER(H71),"DATED ERP INVOICES",IF(ISNUMBER(T71),"HISTORICAL DATES REQUIRED",H71)))</x:f>
      </x:c>
      <x:c r="V71" s="49" t="str">
        <x:f>IF(B71="","",IF((COUNTIFS('Invoice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Register'!$M$2:$M$501,A71,'Invoice Register'!$L$2:$L$501,"VALID")+COUNTIFS('Invoice Register'!$M$2:$M$501,A71,'Invoice Register'!$L$2:$L$501,"FX HOLD")+COUNTIFS('Invoice Register'!$M$2:$M$501,A71,'Invoice Register'!$L$2:$L$501,"CANCELLED")=0,"INVOICE DATA REQUIRED",SUMIFS('Invoice Register'!$H$2:$H$501,'Invoice Register'!$M$2:$M$501,A71,'Invoice Register'!$G$2:$G$501,"USD",'Invoice Register'!$B$2:$B$501,B71,'Invoice Register'!$L$2:$L$501,"VALID")+SUMIFS('Invoice Register'!$H$2:$H$501,'Invoice Register'!$M$2:$M$501,A71,'Invoice Register'!$G$2:$G$501,"USD",'Invoice Register'!$B$2:$B$501,B71,'Invoice Register'!$L$2:$L$501,"FX HOLD"))))</x:f>
      </x:c>
      <x:c r="W71" s="49" t="str">
        <x:f>IF(B71="","",IF((COUNTIFS('Invoice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Register'!$M$2:$M$501,A71,'Invoice Register'!$L$2:$L$501,"VALID")+COUNTIFS('Invoice Register'!$M$2:$M$501,A71,'Invoice Register'!$L$2:$L$501,"FX HOLD")+COUNTIFS('Invoice Register'!$M$2:$M$501,A71,'Invoice Register'!$L$2:$L$501,"CANCELLED")=0,"INVOICE DATA REQUIRED",SUMIFS('Invoice Register'!$H$2:$H$501,'Invoice Register'!$M$2:$M$501,A71,'Invoice Register'!$G$2:$G$501,"MXN",'Invoice Register'!$B$2:$B$501,B71,'Invoice Register'!$L$2:$L$501,"VALID")+SUMIFS('Invoice Register'!$H$2:$H$501,'Invoice Register'!$M$2:$M$501,A71,'Invoice Register'!$G$2:$G$501,"MXN",'Invoice Register'!$B$2:$B$501,B71,'Invoice Register'!$L$2:$L$501,"FX HOLD"))))</x:f>
      </x:c>
    </x:row>
    <x:row r="72">
      <x:c r="H72" t="str">
        <x:f>IF(B72="","",IF((COUNTIFS('Invoice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Register'!$M$2:$M$501,A72)+COUNTIFS('Invoice Register'!$L$2:$L$501,"CANCELLED",'Invoice Register'!$M$2:$M$501,A72)=0,"INVOICE DATA REQUIRED",SUMIFS('Invoice Register'!$N$2:$N$501,'Invoice Register'!$M$2:$M$501,A72,'Invoice Register'!$B$2:$B$501,B72))))</x:f>
      </x:c>
      <x:c r="N72" t="str">
        <x:f>IF(B72="","",IF(COUNTIF('ERP Snapshot'!$A$2:$A$101,B72)=0,"UNKNOWN",IF(COUNTIFS('ERP Snapshot'!$A$2:$A$101,B72,'ERP Snapshot'!$D$2:$D$101,"MXN")&gt;0,"MXN","USD")))</x:f>
      </x:c>
      <x:c r="O72" t="str">
        <x:f>IF(B72="","",IF(N72="UNKNOWN","SOURCE REVIEW",IF(N72="USD","NOT REQUIRED",IF(AND(Settings!$B$8="APPROVED",Settings!$B$9&lt;&gt;"",Settings!$B$10&lt;&gt;"",Settings!$B$2&gt;0),"APPROVED","FX HOLD"))))</x:f>
      </x:c>
      <x:c r="P72" t="str">
        <x:f>IF(B72="","",IF(O72="FX HOLD","USD normalized input is provisional; FX approval missing",IF(O72="SOURCE REVIEW","Missing source currency mapping",IF(O72="APPROVED","Approval metadata supplied; source rates not independently audited",""))))</x:f>
      </x:c>
      <x:c r="T72" s="50"/>
      <x:c r="U72" t="str">
        <x:f>IF(B72="","",IF(ISNUMBER(H72),"DATED ERP INVOICES",IF(ISNUMBER(T72),"HISTORICAL DATES REQUIRED",H72)))</x:f>
      </x:c>
      <x:c r="V72" s="49" t="str">
        <x:f>IF(B72="","",IF((COUNTIFS('Invoice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Register'!$M$2:$M$501,A72,'Invoice Register'!$L$2:$L$501,"VALID")+COUNTIFS('Invoice Register'!$M$2:$M$501,A72,'Invoice Register'!$L$2:$L$501,"FX HOLD")+COUNTIFS('Invoice Register'!$M$2:$M$501,A72,'Invoice Register'!$L$2:$L$501,"CANCELLED")=0,"INVOICE DATA REQUIRED",SUMIFS('Invoice Register'!$H$2:$H$501,'Invoice Register'!$M$2:$M$501,A72,'Invoice Register'!$G$2:$G$501,"USD",'Invoice Register'!$B$2:$B$501,B72,'Invoice Register'!$L$2:$L$501,"VALID")+SUMIFS('Invoice Register'!$H$2:$H$501,'Invoice Register'!$M$2:$M$501,A72,'Invoice Register'!$G$2:$G$501,"USD",'Invoice Register'!$B$2:$B$501,B72,'Invoice Register'!$L$2:$L$501,"FX HOLD"))))</x:f>
      </x:c>
      <x:c r="W72" s="49" t="str">
        <x:f>IF(B72="","",IF((COUNTIFS('Invoice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Register'!$M$2:$M$501,A72,'Invoice Register'!$L$2:$L$501,"VALID")+COUNTIFS('Invoice Register'!$M$2:$M$501,A72,'Invoice Register'!$L$2:$L$501,"FX HOLD")+COUNTIFS('Invoice Register'!$M$2:$M$501,A72,'Invoice Register'!$L$2:$L$501,"CANCELLED")=0,"INVOICE DATA REQUIRED",SUMIFS('Invoice Register'!$H$2:$H$501,'Invoice Register'!$M$2:$M$501,A72,'Invoice Register'!$G$2:$G$501,"MXN",'Invoice Register'!$B$2:$B$501,B72,'Invoice Register'!$L$2:$L$501,"VALID")+SUMIFS('Invoice Register'!$H$2:$H$501,'Invoice Register'!$M$2:$M$501,A72,'Invoice Register'!$G$2:$G$501,"MXN",'Invoice Register'!$B$2:$B$501,B72,'Invoice Register'!$L$2:$L$501,"FX HOLD"))))</x:f>
      </x:c>
    </x:row>
    <x:row r="73">
      <x:c r="H73" t="str">
        <x:f>IF(B73="","",IF((COUNTIFS('Invoice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Register'!$M$2:$M$501,A73)+COUNTIFS('Invoice Register'!$L$2:$L$501,"CANCELLED",'Invoice Register'!$M$2:$M$501,A73)=0,"INVOICE DATA REQUIRED",SUMIFS('Invoice Register'!$N$2:$N$501,'Invoice Register'!$M$2:$M$501,A73,'Invoice Register'!$B$2:$B$501,B73))))</x:f>
      </x:c>
      <x:c r="N73" t="str">
        <x:f>IF(B73="","",IF(COUNTIF('ERP Snapshot'!$A$2:$A$101,B73)=0,"UNKNOWN",IF(COUNTIFS('ERP Snapshot'!$A$2:$A$101,B73,'ERP Snapshot'!$D$2:$D$101,"MXN")&gt;0,"MXN","USD")))</x:f>
      </x:c>
      <x:c r="O73" t="str">
        <x:f>IF(B73="","",IF(N73="UNKNOWN","SOURCE REVIEW",IF(N73="USD","NOT REQUIRED",IF(AND(Settings!$B$8="APPROVED",Settings!$B$9&lt;&gt;"",Settings!$B$10&lt;&gt;"",Settings!$B$2&gt;0),"APPROVED","FX HOLD"))))</x:f>
      </x:c>
      <x:c r="P73" t="str">
        <x:f>IF(B73="","",IF(O73="FX HOLD","USD normalized input is provisional; FX approval missing",IF(O73="SOURCE REVIEW","Missing source currency mapping",IF(O73="APPROVED","Approval metadata supplied; source rates not independently audited",""))))</x:f>
      </x:c>
      <x:c r="T73" s="50"/>
      <x:c r="U73" t="str">
        <x:f>IF(B73="","",IF(ISNUMBER(H73),"DATED ERP INVOICES",IF(ISNUMBER(T73),"HISTORICAL DATES REQUIRED",H73)))</x:f>
      </x:c>
      <x:c r="V73" s="49" t="str">
        <x:f>IF(B73="","",IF((COUNTIFS('Invoice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Register'!$M$2:$M$501,A73,'Invoice Register'!$L$2:$L$501,"VALID")+COUNTIFS('Invoice Register'!$M$2:$M$501,A73,'Invoice Register'!$L$2:$L$501,"FX HOLD")+COUNTIFS('Invoice Register'!$M$2:$M$501,A73,'Invoice Register'!$L$2:$L$501,"CANCELLED")=0,"INVOICE DATA REQUIRED",SUMIFS('Invoice Register'!$H$2:$H$501,'Invoice Register'!$M$2:$M$501,A73,'Invoice Register'!$G$2:$G$501,"USD",'Invoice Register'!$B$2:$B$501,B73,'Invoice Register'!$L$2:$L$501,"VALID")+SUMIFS('Invoice Register'!$H$2:$H$501,'Invoice Register'!$M$2:$M$501,A73,'Invoice Register'!$G$2:$G$501,"USD",'Invoice Register'!$B$2:$B$501,B73,'Invoice Register'!$L$2:$L$501,"FX HOLD"))))</x:f>
      </x:c>
      <x:c r="W73" s="49" t="str">
        <x:f>IF(B73="","",IF((COUNTIFS('Invoice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Register'!$M$2:$M$501,A73,'Invoice Register'!$L$2:$L$501,"VALID")+COUNTIFS('Invoice Register'!$M$2:$M$501,A73,'Invoice Register'!$L$2:$L$501,"FX HOLD")+COUNTIFS('Invoice Register'!$M$2:$M$501,A73,'Invoice Register'!$L$2:$L$501,"CANCELLED")=0,"INVOICE DATA REQUIRED",SUMIFS('Invoice Register'!$H$2:$H$501,'Invoice Register'!$M$2:$M$501,A73,'Invoice Register'!$G$2:$G$501,"MXN",'Invoice Register'!$B$2:$B$501,B73,'Invoice Register'!$L$2:$L$501,"VALID")+SUMIFS('Invoice Register'!$H$2:$H$501,'Invoice Register'!$M$2:$M$501,A73,'Invoice Register'!$G$2:$G$501,"MXN",'Invoice Register'!$B$2:$B$501,B73,'Invoice Register'!$L$2:$L$501,"FX HOLD"))))</x:f>
      </x:c>
    </x:row>
    <x:row r="74">
      <x:c r="H74" t="str">
        <x:f>IF(B74="","",IF((COUNTIFS('Invoice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Register'!$M$2:$M$501,A74)+COUNTIFS('Invoice Register'!$L$2:$L$501,"CANCELLED",'Invoice Register'!$M$2:$M$501,A74)=0,"INVOICE DATA REQUIRED",SUMIFS('Invoice Register'!$N$2:$N$501,'Invoice Register'!$M$2:$M$501,A74,'Invoice Register'!$B$2:$B$501,B74))))</x:f>
      </x:c>
      <x:c r="N74" t="str">
        <x:f>IF(B74="","",IF(COUNTIF('ERP Snapshot'!$A$2:$A$101,B74)=0,"UNKNOWN",IF(COUNTIFS('ERP Snapshot'!$A$2:$A$101,B74,'ERP Snapshot'!$D$2:$D$101,"MXN")&gt;0,"MXN","USD")))</x:f>
      </x:c>
      <x:c r="O74" t="str">
        <x:f>IF(B74="","",IF(N74="UNKNOWN","SOURCE REVIEW",IF(N74="USD","NOT REQUIRED",IF(AND(Settings!$B$8="APPROVED",Settings!$B$9&lt;&gt;"",Settings!$B$10&lt;&gt;"",Settings!$B$2&gt;0),"APPROVED","FX HOLD"))))</x:f>
      </x:c>
      <x:c r="P74" t="str">
        <x:f>IF(B74="","",IF(O74="FX HOLD","USD normalized input is provisional; FX approval missing",IF(O74="SOURCE REVIEW","Missing source currency mapping",IF(O74="APPROVED","Approval metadata supplied; source rates not independently audited",""))))</x:f>
      </x:c>
      <x:c r="T74" s="50"/>
      <x:c r="U74" t="str">
        <x:f>IF(B74="","",IF(ISNUMBER(H74),"DATED ERP INVOICES",IF(ISNUMBER(T74),"HISTORICAL DATES REQUIRED",H74)))</x:f>
      </x:c>
      <x:c r="V74" s="49" t="str">
        <x:f>IF(B74="","",IF((COUNTIFS('Invoice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Register'!$M$2:$M$501,A74,'Invoice Register'!$L$2:$L$501,"VALID")+COUNTIFS('Invoice Register'!$M$2:$M$501,A74,'Invoice Register'!$L$2:$L$501,"FX HOLD")+COUNTIFS('Invoice Register'!$M$2:$M$501,A74,'Invoice Register'!$L$2:$L$501,"CANCELLED")=0,"INVOICE DATA REQUIRED",SUMIFS('Invoice Register'!$H$2:$H$501,'Invoice Register'!$M$2:$M$501,A74,'Invoice Register'!$G$2:$G$501,"USD",'Invoice Register'!$B$2:$B$501,B74,'Invoice Register'!$L$2:$L$501,"VALID")+SUMIFS('Invoice Register'!$H$2:$H$501,'Invoice Register'!$M$2:$M$501,A74,'Invoice Register'!$G$2:$G$501,"USD",'Invoice Register'!$B$2:$B$501,B74,'Invoice Register'!$L$2:$L$501,"FX HOLD"))))</x:f>
      </x:c>
      <x:c r="W74" s="49" t="str">
        <x:f>IF(B74="","",IF((COUNTIFS('Invoice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Register'!$M$2:$M$501,A74,'Invoice Register'!$L$2:$L$501,"VALID")+COUNTIFS('Invoice Register'!$M$2:$M$501,A74,'Invoice Register'!$L$2:$L$501,"FX HOLD")+COUNTIFS('Invoice Register'!$M$2:$M$501,A74,'Invoice Register'!$L$2:$L$501,"CANCELLED")=0,"INVOICE DATA REQUIRED",SUMIFS('Invoice Register'!$H$2:$H$501,'Invoice Register'!$M$2:$M$501,A74,'Invoice Register'!$G$2:$G$501,"MXN",'Invoice Register'!$B$2:$B$501,B74,'Invoice Register'!$L$2:$L$501,"VALID")+SUMIFS('Invoice Register'!$H$2:$H$501,'Invoice Register'!$M$2:$M$501,A74,'Invoice Register'!$G$2:$G$501,"MXN",'Invoice Register'!$B$2:$B$501,B74,'Invoice Register'!$L$2:$L$501,"FX HOLD"))))</x:f>
      </x:c>
    </x:row>
    <x:row r="75">
      <x:c r="H75" t="str">
        <x:f>IF(B75="","",IF((COUNTIFS('Invoice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Register'!$M$2:$M$501,A75)+COUNTIFS('Invoice Register'!$L$2:$L$501,"CANCELLED",'Invoice Register'!$M$2:$M$501,A75)=0,"INVOICE DATA REQUIRED",SUMIFS('Invoice Register'!$N$2:$N$501,'Invoice Register'!$M$2:$M$501,A75,'Invoice Register'!$B$2:$B$501,B75))))</x:f>
      </x:c>
      <x:c r="N75" t="str">
        <x:f>IF(B75="","",IF(COUNTIF('ERP Snapshot'!$A$2:$A$101,B75)=0,"UNKNOWN",IF(COUNTIFS('ERP Snapshot'!$A$2:$A$101,B75,'ERP Snapshot'!$D$2:$D$101,"MXN")&gt;0,"MXN","USD")))</x:f>
      </x:c>
      <x:c r="O75" t="str">
        <x:f>IF(B75="","",IF(N75="UNKNOWN","SOURCE REVIEW",IF(N75="USD","NOT REQUIRED",IF(AND(Settings!$B$8="APPROVED",Settings!$B$9&lt;&gt;"",Settings!$B$10&lt;&gt;"",Settings!$B$2&gt;0),"APPROVED","FX HOLD"))))</x:f>
      </x:c>
      <x:c r="P75" t="str">
        <x:f>IF(B75="","",IF(O75="FX HOLD","USD normalized input is provisional; FX approval missing",IF(O75="SOURCE REVIEW","Missing source currency mapping",IF(O75="APPROVED","Approval metadata supplied; source rates not independently audited",""))))</x:f>
      </x:c>
      <x:c r="T75" s="50"/>
      <x:c r="U75" t="str">
        <x:f>IF(B75="","",IF(ISNUMBER(H75),"DATED ERP INVOICES",IF(ISNUMBER(T75),"HISTORICAL DATES REQUIRED",H75)))</x:f>
      </x:c>
      <x:c r="V75" s="49" t="str">
        <x:f>IF(B75="","",IF((COUNTIFS('Invoice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Register'!$M$2:$M$501,A75,'Invoice Register'!$L$2:$L$501,"VALID")+COUNTIFS('Invoice Register'!$M$2:$M$501,A75,'Invoice Register'!$L$2:$L$501,"FX HOLD")+COUNTIFS('Invoice Register'!$M$2:$M$501,A75,'Invoice Register'!$L$2:$L$501,"CANCELLED")=0,"INVOICE DATA REQUIRED",SUMIFS('Invoice Register'!$H$2:$H$501,'Invoice Register'!$M$2:$M$501,A75,'Invoice Register'!$G$2:$G$501,"USD",'Invoice Register'!$B$2:$B$501,B75,'Invoice Register'!$L$2:$L$501,"VALID")+SUMIFS('Invoice Register'!$H$2:$H$501,'Invoice Register'!$M$2:$M$501,A75,'Invoice Register'!$G$2:$G$501,"USD",'Invoice Register'!$B$2:$B$501,B75,'Invoice Register'!$L$2:$L$501,"FX HOLD"))))</x:f>
      </x:c>
      <x:c r="W75" s="49" t="str">
        <x:f>IF(B75="","",IF((COUNTIFS('Invoice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Register'!$M$2:$M$501,A75,'Invoice Register'!$L$2:$L$501,"VALID")+COUNTIFS('Invoice Register'!$M$2:$M$501,A75,'Invoice Register'!$L$2:$L$501,"FX HOLD")+COUNTIFS('Invoice Register'!$M$2:$M$501,A75,'Invoice Register'!$L$2:$L$501,"CANCELLED")=0,"INVOICE DATA REQUIRED",SUMIFS('Invoice Register'!$H$2:$H$501,'Invoice Register'!$M$2:$M$501,A75,'Invoice Register'!$G$2:$G$501,"MXN",'Invoice Register'!$B$2:$B$501,B75,'Invoice Register'!$L$2:$L$501,"VALID")+SUMIFS('Invoice Register'!$H$2:$H$501,'Invoice Register'!$M$2:$M$501,A75,'Invoice Register'!$G$2:$G$501,"MXN",'Invoice Register'!$B$2:$B$501,B75,'Invoice Register'!$L$2:$L$501,"FX HOLD"))))</x:f>
      </x:c>
    </x:row>
    <x:row r="76">
      <x:c r="H76" t="str">
        <x:f>IF(B76="","",IF((COUNTIFS('Invoice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Register'!$M$2:$M$501,A76)+COUNTIFS('Invoice Register'!$L$2:$L$501,"CANCELLED",'Invoice Register'!$M$2:$M$501,A76)=0,"INVOICE DATA REQUIRED",SUMIFS('Invoice Register'!$N$2:$N$501,'Invoice Register'!$M$2:$M$501,A76,'Invoice Register'!$B$2:$B$501,B76))))</x:f>
      </x:c>
      <x:c r="N76" t="str">
        <x:f>IF(B76="","",IF(COUNTIF('ERP Snapshot'!$A$2:$A$101,B76)=0,"UNKNOWN",IF(COUNTIFS('ERP Snapshot'!$A$2:$A$101,B76,'ERP Snapshot'!$D$2:$D$101,"MXN")&gt;0,"MXN","USD")))</x:f>
      </x:c>
      <x:c r="O76" t="str">
        <x:f>IF(B76="","",IF(N76="UNKNOWN","SOURCE REVIEW",IF(N76="USD","NOT REQUIRED",IF(AND(Settings!$B$8="APPROVED",Settings!$B$9&lt;&gt;"",Settings!$B$10&lt;&gt;"",Settings!$B$2&gt;0),"APPROVED","FX HOLD"))))</x:f>
      </x:c>
      <x:c r="P76" t="str">
        <x:f>IF(B76="","",IF(O76="FX HOLD","USD normalized input is provisional; FX approval missing",IF(O76="SOURCE REVIEW","Missing source currency mapping",IF(O76="APPROVED","Approval metadata supplied; source rates not independently audited",""))))</x:f>
      </x:c>
      <x:c r="T76" s="50"/>
      <x:c r="U76" t="str">
        <x:f>IF(B76="","",IF(ISNUMBER(H76),"DATED ERP INVOICES",IF(ISNUMBER(T76),"HISTORICAL DATES REQUIRED",H76)))</x:f>
      </x:c>
      <x:c r="V76" s="49" t="str">
        <x:f>IF(B76="","",IF((COUNTIFS('Invoice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Register'!$M$2:$M$501,A76,'Invoice Register'!$L$2:$L$501,"VALID")+COUNTIFS('Invoice Register'!$M$2:$M$501,A76,'Invoice Register'!$L$2:$L$501,"FX HOLD")+COUNTIFS('Invoice Register'!$M$2:$M$501,A76,'Invoice Register'!$L$2:$L$501,"CANCELLED")=0,"INVOICE DATA REQUIRED",SUMIFS('Invoice Register'!$H$2:$H$501,'Invoice Register'!$M$2:$M$501,A76,'Invoice Register'!$G$2:$G$501,"USD",'Invoice Register'!$B$2:$B$501,B76,'Invoice Register'!$L$2:$L$501,"VALID")+SUMIFS('Invoice Register'!$H$2:$H$501,'Invoice Register'!$M$2:$M$501,A76,'Invoice Register'!$G$2:$G$501,"USD",'Invoice Register'!$B$2:$B$501,B76,'Invoice Register'!$L$2:$L$501,"FX HOLD"))))</x:f>
      </x:c>
      <x:c r="W76" s="49" t="str">
        <x:f>IF(B76="","",IF((COUNTIFS('Invoice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Register'!$M$2:$M$501,A76,'Invoice Register'!$L$2:$L$501,"VALID")+COUNTIFS('Invoice Register'!$M$2:$M$501,A76,'Invoice Register'!$L$2:$L$501,"FX HOLD")+COUNTIFS('Invoice Register'!$M$2:$M$501,A76,'Invoice Register'!$L$2:$L$501,"CANCELLED")=0,"INVOICE DATA REQUIRED",SUMIFS('Invoice Register'!$H$2:$H$501,'Invoice Register'!$M$2:$M$501,A76,'Invoice Register'!$G$2:$G$501,"MXN",'Invoice Register'!$B$2:$B$501,B76,'Invoice Register'!$L$2:$L$501,"VALID")+SUMIFS('Invoice Register'!$H$2:$H$501,'Invoice Register'!$M$2:$M$501,A76,'Invoice Register'!$G$2:$G$501,"MXN",'Invoice Register'!$B$2:$B$501,B76,'Invoice Register'!$L$2:$L$501,"FX HOLD"))))</x:f>
      </x:c>
    </x:row>
    <x:row r="77">
      <x:c r="H77" t="str">
        <x:f>IF(B77="","",IF((COUNTIFS('Invoice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Register'!$M$2:$M$501,A77)+COUNTIFS('Invoice Register'!$L$2:$L$501,"CANCELLED",'Invoice Register'!$M$2:$M$501,A77)=0,"INVOICE DATA REQUIRED",SUMIFS('Invoice Register'!$N$2:$N$501,'Invoice Register'!$M$2:$M$501,A77,'Invoice Register'!$B$2:$B$501,B77))))</x:f>
      </x:c>
      <x:c r="N77" t="str">
        <x:f>IF(B77="","",IF(COUNTIF('ERP Snapshot'!$A$2:$A$101,B77)=0,"UNKNOWN",IF(COUNTIFS('ERP Snapshot'!$A$2:$A$101,B77,'ERP Snapshot'!$D$2:$D$101,"MXN")&gt;0,"MXN","USD")))</x:f>
      </x:c>
      <x:c r="O77" t="str">
        <x:f>IF(B77="","",IF(N77="UNKNOWN","SOURCE REVIEW",IF(N77="USD","NOT REQUIRED",IF(AND(Settings!$B$8="APPROVED",Settings!$B$9&lt;&gt;"",Settings!$B$10&lt;&gt;"",Settings!$B$2&gt;0),"APPROVED","FX HOLD"))))</x:f>
      </x:c>
      <x:c r="P77" t="str">
        <x:f>IF(B77="","",IF(O77="FX HOLD","USD normalized input is provisional; FX approval missing",IF(O77="SOURCE REVIEW","Missing source currency mapping",IF(O77="APPROVED","Approval metadata supplied; source rates not independently audited",""))))</x:f>
      </x:c>
      <x:c r="T77" s="50"/>
      <x:c r="U77" t="str">
        <x:f>IF(B77="","",IF(ISNUMBER(H77),"DATED ERP INVOICES",IF(ISNUMBER(T77),"HISTORICAL DATES REQUIRED",H77)))</x:f>
      </x:c>
      <x:c r="V77" s="49" t="str">
        <x:f>IF(B77="","",IF((COUNTIFS('Invoice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Register'!$M$2:$M$501,A77,'Invoice Register'!$L$2:$L$501,"VALID")+COUNTIFS('Invoice Register'!$M$2:$M$501,A77,'Invoice Register'!$L$2:$L$501,"FX HOLD")+COUNTIFS('Invoice Register'!$M$2:$M$501,A77,'Invoice Register'!$L$2:$L$501,"CANCELLED")=0,"INVOICE DATA REQUIRED",SUMIFS('Invoice Register'!$H$2:$H$501,'Invoice Register'!$M$2:$M$501,A77,'Invoice Register'!$G$2:$G$501,"USD",'Invoice Register'!$B$2:$B$501,B77,'Invoice Register'!$L$2:$L$501,"VALID")+SUMIFS('Invoice Register'!$H$2:$H$501,'Invoice Register'!$M$2:$M$501,A77,'Invoice Register'!$G$2:$G$501,"USD",'Invoice Register'!$B$2:$B$501,B77,'Invoice Register'!$L$2:$L$501,"FX HOLD"))))</x:f>
      </x:c>
      <x:c r="W77" s="49" t="str">
        <x:f>IF(B77="","",IF((COUNTIFS('Invoice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Register'!$M$2:$M$501,A77,'Invoice Register'!$L$2:$L$501,"VALID")+COUNTIFS('Invoice Register'!$M$2:$M$501,A77,'Invoice Register'!$L$2:$L$501,"FX HOLD")+COUNTIFS('Invoice Register'!$M$2:$M$501,A77,'Invoice Register'!$L$2:$L$501,"CANCELLED")=0,"INVOICE DATA REQUIRED",SUMIFS('Invoice Register'!$H$2:$H$501,'Invoice Register'!$M$2:$M$501,A77,'Invoice Register'!$G$2:$G$501,"MXN",'Invoice Register'!$B$2:$B$501,B77,'Invoice Register'!$L$2:$L$501,"VALID")+SUMIFS('Invoice Register'!$H$2:$H$501,'Invoice Register'!$M$2:$M$501,A77,'Invoice Register'!$G$2:$G$501,"MXN",'Invoice Register'!$B$2:$B$501,B77,'Invoice Register'!$L$2:$L$501,"FX HOLD"))))</x:f>
      </x:c>
    </x:row>
    <x:row r="78">
      <x:c r="H78" t="str">
        <x:f>IF(B78="","",IF((COUNTIFS('Invoice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Register'!$M$2:$M$501,A78)+COUNTIFS('Invoice Register'!$L$2:$L$501,"CANCELLED",'Invoice Register'!$M$2:$M$501,A78)=0,"INVOICE DATA REQUIRED",SUMIFS('Invoice Register'!$N$2:$N$501,'Invoice Register'!$M$2:$M$501,A78,'Invoice Register'!$B$2:$B$501,B78))))</x:f>
      </x:c>
      <x:c r="N78" t="str">
        <x:f>IF(B78="","",IF(COUNTIF('ERP Snapshot'!$A$2:$A$101,B78)=0,"UNKNOWN",IF(COUNTIFS('ERP Snapshot'!$A$2:$A$101,B78,'ERP Snapshot'!$D$2:$D$101,"MXN")&gt;0,"MXN","USD")))</x:f>
      </x:c>
      <x:c r="O78" t="str">
        <x:f>IF(B78="","",IF(N78="UNKNOWN","SOURCE REVIEW",IF(N78="USD","NOT REQUIRED",IF(AND(Settings!$B$8="APPROVED",Settings!$B$9&lt;&gt;"",Settings!$B$10&lt;&gt;"",Settings!$B$2&gt;0),"APPROVED","FX HOLD"))))</x:f>
      </x:c>
      <x:c r="P78" t="str">
        <x:f>IF(B78="","",IF(O78="FX HOLD","USD normalized input is provisional; FX approval missing",IF(O78="SOURCE REVIEW","Missing source currency mapping",IF(O78="APPROVED","Approval metadata supplied; source rates not independently audited",""))))</x:f>
      </x:c>
      <x:c r="T78" s="50"/>
      <x:c r="U78" t="str">
        <x:f>IF(B78="","",IF(ISNUMBER(H78),"DATED ERP INVOICES",IF(ISNUMBER(T78),"HISTORICAL DATES REQUIRED",H78)))</x:f>
      </x:c>
      <x:c r="V78" s="49" t="str">
        <x:f>IF(B78="","",IF((COUNTIFS('Invoice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Register'!$M$2:$M$501,A78,'Invoice Register'!$L$2:$L$501,"VALID")+COUNTIFS('Invoice Register'!$M$2:$M$501,A78,'Invoice Register'!$L$2:$L$501,"FX HOLD")+COUNTIFS('Invoice Register'!$M$2:$M$501,A78,'Invoice Register'!$L$2:$L$501,"CANCELLED")=0,"INVOICE DATA REQUIRED",SUMIFS('Invoice Register'!$H$2:$H$501,'Invoice Register'!$M$2:$M$501,A78,'Invoice Register'!$G$2:$G$501,"USD",'Invoice Register'!$B$2:$B$501,B78,'Invoice Register'!$L$2:$L$501,"VALID")+SUMIFS('Invoice Register'!$H$2:$H$501,'Invoice Register'!$M$2:$M$501,A78,'Invoice Register'!$G$2:$G$501,"USD",'Invoice Register'!$B$2:$B$501,B78,'Invoice Register'!$L$2:$L$501,"FX HOLD"))))</x:f>
      </x:c>
      <x:c r="W78" s="49" t="str">
        <x:f>IF(B78="","",IF((COUNTIFS('Invoice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Register'!$M$2:$M$501,A78,'Invoice Register'!$L$2:$L$501,"VALID")+COUNTIFS('Invoice Register'!$M$2:$M$501,A78,'Invoice Register'!$L$2:$L$501,"FX HOLD")+COUNTIFS('Invoice Register'!$M$2:$M$501,A78,'Invoice Register'!$L$2:$L$501,"CANCELLED")=0,"INVOICE DATA REQUIRED",SUMIFS('Invoice Register'!$H$2:$H$501,'Invoice Register'!$M$2:$M$501,A78,'Invoice Register'!$G$2:$G$501,"MXN",'Invoice Register'!$B$2:$B$501,B78,'Invoice Register'!$L$2:$L$501,"VALID")+SUMIFS('Invoice Register'!$H$2:$H$501,'Invoice Register'!$M$2:$M$501,A78,'Invoice Register'!$G$2:$G$501,"MXN",'Invoice Register'!$B$2:$B$501,B78,'Invoice Register'!$L$2:$L$501,"FX HOLD"))))</x:f>
      </x:c>
    </x:row>
    <x:row r="79">
      <x:c r="H79" t="str">
        <x:f>IF(B79="","",IF((COUNTIFS('Invoice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Register'!$M$2:$M$501,A79)+COUNTIFS('Invoice Register'!$L$2:$L$501,"CANCELLED",'Invoice Register'!$M$2:$M$501,A79)=0,"INVOICE DATA REQUIRED",SUMIFS('Invoice Register'!$N$2:$N$501,'Invoice Register'!$M$2:$M$501,A79,'Invoice Register'!$B$2:$B$501,B79))))</x:f>
      </x:c>
      <x:c r="N79" t="str">
        <x:f>IF(B79="","",IF(COUNTIF('ERP Snapshot'!$A$2:$A$101,B79)=0,"UNKNOWN",IF(COUNTIFS('ERP Snapshot'!$A$2:$A$101,B79,'ERP Snapshot'!$D$2:$D$101,"MXN")&gt;0,"MXN","USD")))</x:f>
      </x:c>
      <x:c r="O79" t="str">
        <x:f>IF(B79="","",IF(N79="UNKNOWN","SOURCE REVIEW",IF(N79="USD","NOT REQUIRED",IF(AND(Settings!$B$8="APPROVED",Settings!$B$9&lt;&gt;"",Settings!$B$10&lt;&gt;"",Settings!$B$2&gt;0),"APPROVED","FX HOLD"))))</x:f>
      </x:c>
      <x:c r="P79" t="str">
        <x:f>IF(B79="","",IF(O79="FX HOLD","USD normalized input is provisional; FX approval missing",IF(O79="SOURCE REVIEW","Missing source currency mapping",IF(O79="APPROVED","Approval metadata supplied; source rates not independently audited",""))))</x:f>
      </x:c>
      <x:c r="T79" s="50"/>
      <x:c r="U79" t="str">
        <x:f>IF(B79="","",IF(ISNUMBER(H79),"DATED ERP INVOICES",IF(ISNUMBER(T79),"HISTORICAL DATES REQUIRED",H79)))</x:f>
      </x:c>
      <x:c r="V79" s="49" t="str">
        <x:f>IF(B79="","",IF((COUNTIFS('Invoice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Register'!$M$2:$M$501,A79,'Invoice Register'!$L$2:$L$501,"VALID")+COUNTIFS('Invoice Register'!$M$2:$M$501,A79,'Invoice Register'!$L$2:$L$501,"FX HOLD")+COUNTIFS('Invoice Register'!$M$2:$M$501,A79,'Invoice Register'!$L$2:$L$501,"CANCELLED")=0,"INVOICE DATA REQUIRED",SUMIFS('Invoice Register'!$H$2:$H$501,'Invoice Register'!$M$2:$M$501,A79,'Invoice Register'!$G$2:$G$501,"USD",'Invoice Register'!$B$2:$B$501,B79,'Invoice Register'!$L$2:$L$501,"VALID")+SUMIFS('Invoice Register'!$H$2:$H$501,'Invoice Register'!$M$2:$M$501,A79,'Invoice Register'!$G$2:$G$501,"USD",'Invoice Register'!$B$2:$B$501,B79,'Invoice Register'!$L$2:$L$501,"FX HOLD"))))</x:f>
      </x:c>
      <x:c r="W79" s="49" t="str">
        <x:f>IF(B79="","",IF((COUNTIFS('Invoice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Register'!$M$2:$M$501,A79,'Invoice Register'!$L$2:$L$501,"VALID")+COUNTIFS('Invoice Register'!$M$2:$M$501,A79,'Invoice Register'!$L$2:$L$501,"FX HOLD")+COUNTIFS('Invoice Register'!$M$2:$M$501,A79,'Invoice Register'!$L$2:$L$501,"CANCELLED")=0,"INVOICE DATA REQUIRED",SUMIFS('Invoice Register'!$H$2:$H$501,'Invoice Register'!$M$2:$M$501,A79,'Invoice Register'!$G$2:$G$501,"MXN",'Invoice Register'!$B$2:$B$501,B79,'Invoice Register'!$L$2:$L$501,"VALID")+SUMIFS('Invoice Register'!$H$2:$H$501,'Invoice Register'!$M$2:$M$501,A79,'Invoice Register'!$G$2:$G$501,"MXN",'Invoice Register'!$B$2:$B$501,B79,'Invoice Register'!$L$2:$L$501,"FX HOLD"))))</x:f>
      </x:c>
    </x:row>
    <x:row r="80">
      <x:c r="H80" t="str">
        <x:f>IF(B80="","",IF((COUNTIFS('Invoice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Register'!$M$2:$M$501,A80)+COUNTIFS('Invoice Register'!$L$2:$L$501,"CANCELLED",'Invoice Register'!$M$2:$M$501,A80)=0,"INVOICE DATA REQUIRED",SUMIFS('Invoice Register'!$N$2:$N$501,'Invoice Register'!$M$2:$M$501,A80,'Invoice Register'!$B$2:$B$501,B80))))</x:f>
      </x:c>
      <x:c r="N80" t="str">
        <x:f>IF(B80="","",IF(COUNTIF('ERP Snapshot'!$A$2:$A$101,B80)=0,"UNKNOWN",IF(COUNTIFS('ERP Snapshot'!$A$2:$A$101,B80,'ERP Snapshot'!$D$2:$D$101,"MXN")&gt;0,"MXN","USD")))</x:f>
      </x:c>
      <x:c r="O80" t="str">
        <x:f>IF(B80="","",IF(N80="UNKNOWN","SOURCE REVIEW",IF(N80="USD","NOT REQUIRED",IF(AND(Settings!$B$8="APPROVED",Settings!$B$9&lt;&gt;"",Settings!$B$10&lt;&gt;"",Settings!$B$2&gt;0),"APPROVED","FX HOLD"))))</x:f>
      </x:c>
      <x:c r="P80" t="str">
        <x:f>IF(B80="","",IF(O80="FX HOLD","USD normalized input is provisional; FX approval missing",IF(O80="SOURCE REVIEW","Missing source currency mapping",IF(O80="APPROVED","Approval metadata supplied; source rates not independently audited",""))))</x:f>
      </x:c>
      <x:c r="T80" s="50"/>
      <x:c r="U80" t="str">
        <x:f>IF(B80="","",IF(ISNUMBER(H80),"DATED ERP INVOICES",IF(ISNUMBER(T80),"HISTORICAL DATES REQUIRED",H80)))</x:f>
      </x:c>
      <x:c r="V80" s="49" t="str">
        <x:f>IF(B80="","",IF((COUNTIFS('Invoice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Register'!$M$2:$M$501,A80,'Invoice Register'!$L$2:$L$501,"VALID")+COUNTIFS('Invoice Register'!$M$2:$M$501,A80,'Invoice Register'!$L$2:$L$501,"FX HOLD")+COUNTIFS('Invoice Register'!$M$2:$M$501,A80,'Invoice Register'!$L$2:$L$501,"CANCELLED")=0,"INVOICE DATA REQUIRED",SUMIFS('Invoice Register'!$H$2:$H$501,'Invoice Register'!$M$2:$M$501,A80,'Invoice Register'!$G$2:$G$501,"USD",'Invoice Register'!$B$2:$B$501,B80,'Invoice Register'!$L$2:$L$501,"VALID")+SUMIFS('Invoice Register'!$H$2:$H$501,'Invoice Register'!$M$2:$M$501,A80,'Invoice Register'!$G$2:$G$501,"USD",'Invoice Register'!$B$2:$B$501,B80,'Invoice Register'!$L$2:$L$501,"FX HOLD"))))</x:f>
      </x:c>
      <x:c r="W80" s="49" t="str">
        <x:f>IF(B80="","",IF((COUNTIFS('Invoice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Register'!$M$2:$M$501,A80,'Invoice Register'!$L$2:$L$501,"VALID")+COUNTIFS('Invoice Register'!$M$2:$M$501,A80,'Invoice Register'!$L$2:$L$501,"FX HOLD")+COUNTIFS('Invoice Register'!$M$2:$M$501,A80,'Invoice Register'!$L$2:$L$501,"CANCELLED")=0,"INVOICE DATA REQUIRED",SUMIFS('Invoice Register'!$H$2:$H$501,'Invoice Register'!$M$2:$M$501,A80,'Invoice Register'!$G$2:$G$501,"MXN",'Invoice Register'!$B$2:$B$501,B80,'Invoice Register'!$L$2:$L$501,"VALID")+SUMIFS('Invoice Register'!$H$2:$H$501,'Invoice Register'!$M$2:$M$501,A80,'Invoice Register'!$G$2:$G$501,"MXN",'Invoice Register'!$B$2:$B$501,B80,'Invoice Register'!$L$2:$L$501,"FX HOLD"))))</x:f>
      </x:c>
    </x:row>
    <x:row r="81">
      <x:c r="H81" t="str">
        <x:f>IF(B81="","",IF((COUNTIFS('Invoice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Register'!$M$2:$M$501,A81)+COUNTIFS('Invoice Register'!$L$2:$L$501,"CANCELLED",'Invoice Register'!$M$2:$M$501,A81)=0,"INVOICE DATA REQUIRED",SUMIFS('Invoice Register'!$N$2:$N$501,'Invoice Register'!$M$2:$M$501,A81,'Invoice Register'!$B$2:$B$501,B81))))</x:f>
      </x:c>
      <x:c r="N81" t="str">
        <x:f>IF(B81="","",IF(COUNTIF('ERP Snapshot'!$A$2:$A$101,B81)=0,"UNKNOWN",IF(COUNTIFS('ERP Snapshot'!$A$2:$A$101,B81,'ERP Snapshot'!$D$2:$D$101,"MXN")&gt;0,"MXN","USD")))</x:f>
      </x:c>
      <x:c r="O81" t="str">
        <x:f>IF(B81="","",IF(N81="UNKNOWN","SOURCE REVIEW",IF(N81="USD","NOT REQUIRED",IF(AND(Settings!$B$8="APPROVED",Settings!$B$9&lt;&gt;"",Settings!$B$10&lt;&gt;"",Settings!$B$2&gt;0),"APPROVED","FX HOLD"))))</x:f>
      </x:c>
      <x:c r="P81" t="str">
        <x:f>IF(B81="","",IF(O81="FX HOLD","USD normalized input is provisional; FX approval missing",IF(O81="SOURCE REVIEW","Missing source currency mapping",IF(O81="APPROVED","Approval metadata supplied; source rates not independently audited",""))))</x:f>
      </x:c>
      <x:c r="T81" s="50"/>
      <x:c r="U81" t="str">
        <x:f>IF(B81="","",IF(ISNUMBER(H81),"DATED ERP INVOICES",IF(ISNUMBER(T81),"HISTORICAL DATES REQUIRED",H81)))</x:f>
      </x:c>
      <x:c r="V81" s="49" t="str">
        <x:f>IF(B81="","",IF((COUNTIFS('Invoice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Register'!$M$2:$M$501,A81,'Invoice Register'!$L$2:$L$501,"VALID")+COUNTIFS('Invoice Register'!$M$2:$M$501,A81,'Invoice Register'!$L$2:$L$501,"FX HOLD")+COUNTIFS('Invoice Register'!$M$2:$M$501,A81,'Invoice Register'!$L$2:$L$501,"CANCELLED")=0,"INVOICE DATA REQUIRED",SUMIFS('Invoice Register'!$H$2:$H$501,'Invoice Register'!$M$2:$M$501,A81,'Invoice Register'!$G$2:$G$501,"USD",'Invoice Register'!$B$2:$B$501,B81,'Invoice Register'!$L$2:$L$501,"VALID")+SUMIFS('Invoice Register'!$H$2:$H$501,'Invoice Register'!$M$2:$M$501,A81,'Invoice Register'!$G$2:$G$501,"USD",'Invoice Register'!$B$2:$B$501,B81,'Invoice Register'!$L$2:$L$501,"FX HOLD"))))</x:f>
      </x:c>
      <x:c r="W81" s="49" t="str">
        <x:f>IF(B81="","",IF((COUNTIFS('Invoice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Register'!$M$2:$M$501,A81,'Invoice Register'!$L$2:$L$501,"VALID")+COUNTIFS('Invoice Register'!$M$2:$M$501,A81,'Invoice Register'!$L$2:$L$501,"FX HOLD")+COUNTIFS('Invoice Register'!$M$2:$M$501,A81,'Invoice Register'!$L$2:$L$501,"CANCELLED")=0,"INVOICE DATA REQUIRED",SUMIFS('Invoice Register'!$H$2:$H$501,'Invoice Register'!$M$2:$M$501,A81,'Invoice Register'!$G$2:$G$501,"MXN",'Invoice Register'!$B$2:$B$501,B81,'Invoice Register'!$L$2:$L$501,"VALID")+SUMIFS('Invoice Register'!$H$2:$H$501,'Invoice Register'!$M$2:$M$501,A81,'Invoice Register'!$G$2:$G$501,"MXN",'Invoice Register'!$B$2:$B$501,B81,'Invoice Register'!$L$2:$L$501,"FX HOLD"))))</x:f>
      </x:c>
    </x:row>
    <x:row r="82">
      <x:c r="H82" t="str">
        <x:f>IF(B82="","",IF((COUNTIFS('Invoice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Register'!$M$2:$M$501,A82)+COUNTIFS('Invoice Register'!$L$2:$L$501,"CANCELLED",'Invoice Register'!$M$2:$M$501,A82)=0,"INVOICE DATA REQUIRED",SUMIFS('Invoice Register'!$N$2:$N$501,'Invoice Register'!$M$2:$M$501,A82,'Invoice Register'!$B$2:$B$501,B82))))</x:f>
      </x:c>
      <x:c r="N82" t="str">
        <x:f>IF(B82="","",IF(COUNTIF('ERP Snapshot'!$A$2:$A$101,B82)=0,"UNKNOWN",IF(COUNTIFS('ERP Snapshot'!$A$2:$A$101,B82,'ERP Snapshot'!$D$2:$D$101,"MXN")&gt;0,"MXN","USD")))</x:f>
      </x:c>
      <x:c r="O82" t="str">
        <x:f>IF(B82="","",IF(N82="UNKNOWN","SOURCE REVIEW",IF(N82="USD","NOT REQUIRED",IF(AND(Settings!$B$8="APPROVED",Settings!$B$9&lt;&gt;"",Settings!$B$10&lt;&gt;"",Settings!$B$2&gt;0),"APPROVED","FX HOLD"))))</x:f>
      </x:c>
      <x:c r="P82" t="str">
        <x:f>IF(B82="","",IF(O82="FX HOLD","USD normalized input is provisional; FX approval missing",IF(O82="SOURCE REVIEW","Missing source currency mapping",IF(O82="APPROVED","Approval metadata supplied; source rates not independently audited",""))))</x:f>
      </x:c>
      <x:c r="T82" s="50"/>
      <x:c r="U82" t="str">
        <x:f>IF(B82="","",IF(ISNUMBER(H82),"DATED ERP INVOICES",IF(ISNUMBER(T82),"HISTORICAL DATES REQUIRED",H82)))</x:f>
      </x:c>
      <x:c r="V82" s="49" t="str">
        <x:f>IF(B82="","",IF((COUNTIFS('Invoice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Register'!$M$2:$M$501,A82,'Invoice Register'!$L$2:$L$501,"VALID")+COUNTIFS('Invoice Register'!$M$2:$M$501,A82,'Invoice Register'!$L$2:$L$501,"FX HOLD")+COUNTIFS('Invoice Register'!$M$2:$M$501,A82,'Invoice Register'!$L$2:$L$501,"CANCELLED")=0,"INVOICE DATA REQUIRED",SUMIFS('Invoice Register'!$H$2:$H$501,'Invoice Register'!$M$2:$M$501,A82,'Invoice Register'!$G$2:$G$501,"USD",'Invoice Register'!$B$2:$B$501,B82,'Invoice Register'!$L$2:$L$501,"VALID")+SUMIFS('Invoice Register'!$H$2:$H$501,'Invoice Register'!$M$2:$M$501,A82,'Invoice Register'!$G$2:$G$501,"USD",'Invoice Register'!$B$2:$B$501,B82,'Invoice Register'!$L$2:$L$501,"FX HOLD"))))</x:f>
      </x:c>
      <x:c r="W82" s="49" t="str">
        <x:f>IF(B82="","",IF((COUNTIFS('Invoice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Register'!$M$2:$M$501,A82,'Invoice Register'!$L$2:$L$501,"VALID")+COUNTIFS('Invoice Register'!$M$2:$M$501,A82,'Invoice Register'!$L$2:$L$501,"FX HOLD")+COUNTIFS('Invoice Register'!$M$2:$M$501,A82,'Invoice Register'!$L$2:$L$501,"CANCELLED")=0,"INVOICE DATA REQUIRED",SUMIFS('Invoice Register'!$H$2:$H$501,'Invoice Register'!$M$2:$M$501,A82,'Invoice Register'!$G$2:$G$501,"MXN",'Invoice Register'!$B$2:$B$501,B82,'Invoice Register'!$L$2:$L$501,"VALID")+SUMIFS('Invoice Register'!$H$2:$H$501,'Invoice Register'!$M$2:$M$501,A82,'Invoice Register'!$G$2:$G$501,"MXN",'Invoice Register'!$B$2:$B$501,B82,'Invoice Register'!$L$2:$L$501,"FX HOLD"))))</x:f>
      </x:c>
    </x:row>
    <x:row r="83">
      <x:c r="H83" t="str">
        <x:f>IF(B83="","",IF((COUNTIFS('Invoice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Register'!$M$2:$M$501,A83)+COUNTIFS('Invoice Register'!$L$2:$L$501,"CANCELLED",'Invoice Register'!$M$2:$M$501,A83)=0,"INVOICE DATA REQUIRED",SUMIFS('Invoice Register'!$N$2:$N$501,'Invoice Register'!$M$2:$M$501,A83,'Invoice Register'!$B$2:$B$501,B83))))</x:f>
      </x:c>
      <x:c r="N83" t="str">
        <x:f>IF(B83="","",IF(COUNTIF('ERP Snapshot'!$A$2:$A$101,B83)=0,"UNKNOWN",IF(COUNTIFS('ERP Snapshot'!$A$2:$A$101,B83,'ERP Snapshot'!$D$2:$D$101,"MXN")&gt;0,"MXN","USD")))</x:f>
      </x:c>
      <x:c r="O83" t="str">
        <x:f>IF(B83="","",IF(N83="UNKNOWN","SOURCE REVIEW",IF(N83="USD","NOT REQUIRED",IF(AND(Settings!$B$8="APPROVED",Settings!$B$9&lt;&gt;"",Settings!$B$10&lt;&gt;"",Settings!$B$2&gt;0),"APPROVED","FX HOLD"))))</x:f>
      </x:c>
      <x:c r="P83" t="str">
        <x:f>IF(B83="","",IF(O83="FX HOLD","USD normalized input is provisional; FX approval missing",IF(O83="SOURCE REVIEW","Missing source currency mapping",IF(O83="APPROVED","Approval metadata supplied; source rates not independently audited",""))))</x:f>
      </x:c>
      <x:c r="T83" s="50"/>
      <x:c r="U83" t="str">
        <x:f>IF(B83="","",IF(ISNUMBER(H83),"DATED ERP INVOICES",IF(ISNUMBER(T83),"HISTORICAL DATES REQUIRED",H83)))</x:f>
      </x:c>
      <x:c r="V83" s="49" t="str">
        <x:f>IF(B83="","",IF((COUNTIFS('Invoice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Register'!$M$2:$M$501,A83,'Invoice Register'!$L$2:$L$501,"VALID")+COUNTIFS('Invoice Register'!$M$2:$M$501,A83,'Invoice Register'!$L$2:$L$501,"FX HOLD")+COUNTIFS('Invoice Register'!$M$2:$M$501,A83,'Invoice Register'!$L$2:$L$501,"CANCELLED")=0,"INVOICE DATA REQUIRED",SUMIFS('Invoice Register'!$H$2:$H$501,'Invoice Register'!$M$2:$M$501,A83,'Invoice Register'!$G$2:$G$501,"USD",'Invoice Register'!$B$2:$B$501,B83,'Invoice Register'!$L$2:$L$501,"VALID")+SUMIFS('Invoice Register'!$H$2:$H$501,'Invoice Register'!$M$2:$M$501,A83,'Invoice Register'!$G$2:$G$501,"USD",'Invoice Register'!$B$2:$B$501,B83,'Invoice Register'!$L$2:$L$501,"FX HOLD"))))</x:f>
      </x:c>
      <x:c r="W83" s="49" t="str">
        <x:f>IF(B83="","",IF((COUNTIFS('Invoice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Register'!$M$2:$M$501,A83,'Invoice Register'!$L$2:$L$501,"VALID")+COUNTIFS('Invoice Register'!$M$2:$M$501,A83,'Invoice Register'!$L$2:$L$501,"FX HOLD")+COUNTIFS('Invoice Register'!$M$2:$M$501,A83,'Invoice Register'!$L$2:$L$501,"CANCELLED")=0,"INVOICE DATA REQUIRED",SUMIFS('Invoice Register'!$H$2:$H$501,'Invoice Register'!$M$2:$M$501,A83,'Invoice Register'!$G$2:$G$501,"MXN",'Invoice Register'!$B$2:$B$501,B83,'Invoice Register'!$L$2:$L$501,"VALID")+SUMIFS('Invoice Register'!$H$2:$H$501,'Invoice Register'!$M$2:$M$501,A83,'Invoice Register'!$G$2:$G$501,"MXN",'Invoice Register'!$B$2:$B$501,B83,'Invoice Register'!$L$2:$L$501,"FX HOLD"))))</x:f>
      </x:c>
    </x:row>
    <x:row r="84">
      <x:c r="H84" t="str">
        <x:f>IF(B84="","",IF((COUNTIFS('Invoice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Register'!$M$2:$M$501,A84)+COUNTIFS('Invoice Register'!$L$2:$L$501,"CANCELLED",'Invoice Register'!$M$2:$M$501,A84)=0,"INVOICE DATA REQUIRED",SUMIFS('Invoice Register'!$N$2:$N$501,'Invoice Register'!$M$2:$M$501,A84,'Invoice Register'!$B$2:$B$501,B84))))</x:f>
      </x:c>
      <x:c r="N84" t="str">
        <x:f>IF(B84="","",IF(COUNTIF('ERP Snapshot'!$A$2:$A$101,B84)=0,"UNKNOWN",IF(COUNTIFS('ERP Snapshot'!$A$2:$A$101,B84,'ERP Snapshot'!$D$2:$D$101,"MXN")&gt;0,"MXN","USD")))</x:f>
      </x:c>
      <x:c r="O84" t="str">
        <x:f>IF(B84="","",IF(N84="UNKNOWN","SOURCE REVIEW",IF(N84="USD","NOT REQUIRED",IF(AND(Settings!$B$8="APPROVED",Settings!$B$9&lt;&gt;"",Settings!$B$10&lt;&gt;"",Settings!$B$2&gt;0),"APPROVED","FX HOLD"))))</x:f>
      </x:c>
      <x:c r="P84" t="str">
        <x:f>IF(B84="","",IF(O84="FX HOLD","USD normalized input is provisional; FX approval missing",IF(O84="SOURCE REVIEW","Missing source currency mapping",IF(O84="APPROVED","Approval metadata supplied; source rates not independently audited",""))))</x:f>
      </x:c>
      <x:c r="T84" s="50"/>
      <x:c r="U84" t="str">
        <x:f>IF(B84="","",IF(ISNUMBER(H84),"DATED ERP INVOICES",IF(ISNUMBER(T84),"HISTORICAL DATES REQUIRED",H84)))</x:f>
      </x:c>
      <x:c r="V84" s="49" t="str">
        <x:f>IF(B84="","",IF((COUNTIFS('Invoice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Register'!$M$2:$M$501,A84,'Invoice Register'!$L$2:$L$501,"VALID")+COUNTIFS('Invoice Register'!$M$2:$M$501,A84,'Invoice Register'!$L$2:$L$501,"FX HOLD")+COUNTIFS('Invoice Register'!$M$2:$M$501,A84,'Invoice Register'!$L$2:$L$501,"CANCELLED")=0,"INVOICE DATA REQUIRED",SUMIFS('Invoice Register'!$H$2:$H$501,'Invoice Register'!$M$2:$M$501,A84,'Invoice Register'!$G$2:$G$501,"USD",'Invoice Register'!$B$2:$B$501,B84,'Invoice Register'!$L$2:$L$501,"VALID")+SUMIFS('Invoice Register'!$H$2:$H$501,'Invoice Register'!$M$2:$M$501,A84,'Invoice Register'!$G$2:$G$501,"USD",'Invoice Register'!$B$2:$B$501,B84,'Invoice Register'!$L$2:$L$501,"FX HOLD"))))</x:f>
      </x:c>
      <x:c r="W84" s="49" t="str">
        <x:f>IF(B84="","",IF((COUNTIFS('Invoice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Register'!$M$2:$M$501,A84,'Invoice Register'!$L$2:$L$501,"VALID")+COUNTIFS('Invoice Register'!$M$2:$M$501,A84,'Invoice Register'!$L$2:$L$501,"FX HOLD")+COUNTIFS('Invoice Register'!$M$2:$M$501,A84,'Invoice Register'!$L$2:$L$501,"CANCELLED")=0,"INVOICE DATA REQUIRED",SUMIFS('Invoice Register'!$H$2:$H$501,'Invoice Register'!$M$2:$M$501,A84,'Invoice Register'!$G$2:$G$501,"MXN",'Invoice Register'!$B$2:$B$501,B84,'Invoice Register'!$L$2:$L$501,"VALID")+SUMIFS('Invoice Register'!$H$2:$H$501,'Invoice Register'!$M$2:$M$501,A84,'Invoice Register'!$G$2:$G$501,"MXN",'Invoice Register'!$B$2:$B$501,B84,'Invoice Register'!$L$2:$L$501,"FX HOLD"))))</x:f>
      </x:c>
    </x:row>
    <x:row r="85">
      <x:c r="H85" t="str">
        <x:f>IF(B85="","",IF((COUNTIFS('Invoice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Register'!$M$2:$M$501,A85)+COUNTIFS('Invoice Register'!$L$2:$L$501,"CANCELLED",'Invoice Register'!$M$2:$M$501,A85)=0,"INVOICE DATA REQUIRED",SUMIFS('Invoice Register'!$N$2:$N$501,'Invoice Register'!$M$2:$M$501,A85,'Invoice Register'!$B$2:$B$501,B85))))</x:f>
      </x:c>
      <x:c r="N85" t="str">
        <x:f>IF(B85="","",IF(COUNTIF('ERP Snapshot'!$A$2:$A$101,B85)=0,"UNKNOWN",IF(COUNTIFS('ERP Snapshot'!$A$2:$A$101,B85,'ERP Snapshot'!$D$2:$D$101,"MXN")&gt;0,"MXN","USD")))</x:f>
      </x:c>
      <x:c r="O85" t="str">
        <x:f>IF(B85="","",IF(N85="UNKNOWN","SOURCE REVIEW",IF(N85="USD","NOT REQUIRED",IF(AND(Settings!$B$8="APPROVED",Settings!$B$9&lt;&gt;"",Settings!$B$10&lt;&gt;"",Settings!$B$2&gt;0),"APPROVED","FX HOLD"))))</x:f>
      </x:c>
      <x:c r="P85" t="str">
        <x:f>IF(B85="","",IF(O85="FX HOLD","USD normalized input is provisional; FX approval missing",IF(O85="SOURCE REVIEW","Missing source currency mapping",IF(O85="APPROVED","Approval metadata supplied; source rates not independently audited",""))))</x:f>
      </x:c>
      <x:c r="T85" s="50"/>
      <x:c r="U85" t="str">
        <x:f>IF(B85="","",IF(ISNUMBER(H85),"DATED ERP INVOICES",IF(ISNUMBER(T85),"HISTORICAL DATES REQUIRED",H85)))</x:f>
      </x:c>
      <x:c r="V85" s="49" t="str">
        <x:f>IF(B85="","",IF((COUNTIFS('Invoice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Register'!$M$2:$M$501,A85,'Invoice Register'!$L$2:$L$501,"VALID")+COUNTIFS('Invoice Register'!$M$2:$M$501,A85,'Invoice Register'!$L$2:$L$501,"FX HOLD")+COUNTIFS('Invoice Register'!$M$2:$M$501,A85,'Invoice Register'!$L$2:$L$501,"CANCELLED")=0,"INVOICE DATA REQUIRED",SUMIFS('Invoice Register'!$H$2:$H$501,'Invoice Register'!$M$2:$M$501,A85,'Invoice Register'!$G$2:$G$501,"USD",'Invoice Register'!$B$2:$B$501,B85,'Invoice Register'!$L$2:$L$501,"VALID")+SUMIFS('Invoice Register'!$H$2:$H$501,'Invoice Register'!$M$2:$M$501,A85,'Invoice Register'!$G$2:$G$501,"USD",'Invoice Register'!$B$2:$B$501,B85,'Invoice Register'!$L$2:$L$501,"FX HOLD"))))</x:f>
      </x:c>
      <x:c r="W85" s="49" t="str">
        <x:f>IF(B85="","",IF((COUNTIFS('Invoice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Register'!$M$2:$M$501,A85,'Invoice Register'!$L$2:$L$501,"VALID")+COUNTIFS('Invoice Register'!$M$2:$M$501,A85,'Invoice Register'!$L$2:$L$501,"FX HOLD")+COUNTIFS('Invoice Register'!$M$2:$M$501,A85,'Invoice Register'!$L$2:$L$501,"CANCELLED")=0,"INVOICE DATA REQUIRED",SUMIFS('Invoice Register'!$H$2:$H$501,'Invoice Register'!$M$2:$M$501,A85,'Invoice Register'!$G$2:$G$501,"MXN",'Invoice Register'!$B$2:$B$501,B85,'Invoice Register'!$L$2:$L$501,"VALID")+SUMIFS('Invoice Register'!$H$2:$H$501,'Invoice Register'!$M$2:$M$501,A85,'Invoice Register'!$G$2:$G$501,"MXN",'Invoice Register'!$B$2:$B$501,B85,'Invoice Register'!$L$2:$L$501,"FX HOLD"))))</x:f>
      </x:c>
    </x:row>
    <x:row r="86">
      <x:c r="H86" t="str">
        <x:f>IF(B86="","",IF((COUNTIFS('Invoice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Register'!$M$2:$M$501,A86)+COUNTIFS('Invoice Register'!$L$2:$L$501,"CANCELLED",'Invoice Register'!$M$2:$M$501,A86)=0,"INVOICE DATA REQUIRED",SUMIFS('Invoice Register'!$N$2:$N$501,'Invoice Register'!$M$2:$M$501,A86,'Invoice Register'!$B$2:$B$501,B86))))</x:f>
      </x:c>
      <x:c r="N86" t="str">
        <x:f>IF(B86="","",IF(COUNTIF('ERP Snapshot'!$A$2:$A$101,B86)=0,"UNKNOWN",IF(COUNTIFS('ERP Snapshot'!$A$2:$A$101,B86,'ERP Snapshot'!$D$2:$D$101,"MXN")&gt;0,"MXN","USD")))</x:f>
      </x:c>
      <x:c r="O86" t="str">
        <x:f>IF(B86="","",IF(N86="UNKNOWN","SOURCE REVIEW",IF(N86="USD","NOT REQUIRED",IF(AND(Settings!$B$8="APPROVED",Settings!$B$9&lt;&gt;"",Settings!$B$10&lt;&gt;"",Settings!$B$2&gt;0),"APPROVED","FX HOLD"))))</x:f>
      </x:c>
      <x:c r="P86" t="str">
        <x:f>IF(B86="","",IF(O86="FX HOLD","USD normalized input is provisional; FX approval missing",IF(O86="SOURCE REVIEW","Missing source currency mapping",IF(O86="APPROVED","Approval metadata supplied; source rates not independently audited",""))))</x:f>
      </x:c>
      <x:c r="T86" s="50"/>
      <x:c r="U86" t="str">
        <x:f>IF(B86="","",IF(ISNUMBER(H86),"DATED ERP INVOICES",IF(ISNUMBER(T86),"HISTORICAL DATES REQUIRED",H86)))</x:f>
      </x:c>
      <x:c r="V86" s="49" t="str">
        <x:f>IF(B86="","",IF((COUNTIFS('Invoice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Register'!$M$2:$M$501,A86,'Invoice Register'!$L$2:$L$501,"VALID")+COUNTIFS('Invoice Register'!$M$2:$M$501,A86,'Invoice Register'!$L$2:$L$501,"FX HOLD")+COUNTIFS('Invoice Register'!$M$2:$M$501,A86,'Invoice Register'!$L$2:$L$501,"CANCELLED")=0,"INVOICE DATA REQUIRED",SUMIFS('Invoice Register'!$H$2:$H$501,'Invoice Register'!$M$2:$M$501,A86,'Invoice Register'!$G$2:$G$501,"USD",'Invoice Register'!$B$2:$B$501,B86,'Invoice Register'!$L$2:$L$501,"VALID")+SUMIFS('Invoice Register'!$H$2:$H$501,'Invoice Register'!$M$2:$M$501,A86,'Invoice Register'!$G$2:$G$501,"USD",'Invoice Register'!$B$2:$B$501,B86,'Invoice Register'!$L$2:$L$501,"FX HOLD"))))</x:f>
      </x:c>
      <x:c r="W86" s="49" t="str">
        <x:f>IF(B86="","",IF((COUNTIFS('Invoice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Register'!$M$2:$M$501,A86,'Invoice Register'!$L$2:$L$501,"VALID")+COUNTIFS('Invoice Register'!$M$2:$M$501,A86,'Invoice Register'!$L$2:$L$501,"FX HOLD")+COUNTIFS('Invoice Register'!$M$2:$M$501,A86,'Invoice Register'!$L$2:$L$501,"CANCELLED")=0,"INVOICE DATA REQUIRED",SUMIFS('Invoice Register'!$H$2:$H$501,'Invoice Register'!$M$2:$M$501,A86,'Invoice Register'!$G$2:$G$501,"MXN",'Invoice Register'!$B$2:$B$501,B86,'Invoice Register'!$L$2:$L$501,"VALID")+SUMIFS('Invoice Register'!$H$2:$H$501,'Invoice Register'!$M$2:$M$501,A86,'Invoice Register'!$G$2:$G$501,"MXN",'Invoice Register'!$B$2:$B$501,B86,'Invoice Register'!$L$2:$L$501,"FX HOLD"))))</x:f>
      </x:c>
    </x:row>
    <x:row r="87">
      <x:c r="H87" t="str">
        <x:f>IF(B87="","",IF((COUNTIFS('Invoice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Register'!$M$2:$M$501,A87)+COUNTIFS('Invoice Register'!$L$2:$L$501,"CANCELLED",'Invoice Register'!$M$2:$M$501,A87)=0,"INVOICE DATA REQUIRED",SUMIFS('Invoice Register'!$N$2:$N$501,'Invoice Register'!$M$2:$M$501,A87,'Invoice Register'!$B$2:$B$501,B87))))</x:f>
      </x:c>
      <x:c r="N87" t="str">
        <x:f>IF(B87="","",IF(COUNTIF('ERP Snapshot'!$A$2:$A$101,B87)=0,"UNKNOWN",IF(COUNTIFS('ERP Snapshot'!$A$2:$A$101,B87,'ERP Snapshot'!$D$2:$D$101,"MXN")&gt;0,"MXN","USD")))</x:f>
      </x:c>
      <x:c r="O87" t="str">
        <x:f>IF(B87="","",IF(N87="UNKNOWN","SOURCE REVIEW",IF(N87="USD","NOT REQUIRED",IF(AND(Settings!$B$8="APPROVED",Settings!$B$9&lt;&gt;"",Settings!$B$10&lt;&gt;"",Settings!$B$2&gt;0),"APPROVED","FX HOLD"))))</x:f>
      </x:c>
      <x:c r="P87" t="str">
        <x:f>IF(B87="","",IF(O87="FX HOLD","USD normalized input is provisional; FX approval missing",IF(O87="SOURCE REVIEW","Missing source currency mapping",IF(O87="APPROVED","Approval metadata supplied; source rates not independently audited",""))))</x:f>
      </x:c>
      <x:c r="T87" s="50"/>
      <x:c r="U87" t="str">
        <x:f>IF(B87="","",IF(ISNUMBER(H87),"DATED ERP INVOICES",IF(ISNUMBER(T87),"HISTORICAL DATES REQUIRED",H87)))</x:f>
      </x:c>
      <x:c r="V87" s="49" t="str">
        <x:f>IF(B87="","",IF((COUNTIFS('Invoice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Register'!$M$2:$M$501,A87,'Invoice Register'!$L$2:$L$501,"VALID")+COUNTIFS('Invoice Register'!$M$2:$M$501,A87,'Invoice Register'!$L$2:$L$501,"FX HOLD")+COUNTIFS('Invoice Register'!$M$2:$M$501,A87,'Invoice Register'!$L$2:$L$501,"CANCELLED")=0,"INVOICE DATA REQUIRED",SUMIFS('Invoice Register'!$H$2:$H$501,'Invoice Register'!$M$2:$M$501,A87,'Invoice Register'!$G$2:$G$501,"USD",'Invoice Register'!$B$2:$B$501,B87,'Invoice Register'!$L$2:$L$501,"VALID")+SUMIFS('Invoice Register'!$H$2:$H$501,'Invoice Register'!$M$2:$M$501,A87,'Invoice Register'!$G$2:$G$501,"USD",'Invoice Register'!$B$2:$B$501,B87,'Invoice Register'!$L$2:$L$501,"FX HOLD"))))</x:f>
      </x:c>
      <x:c r="W87" s="49" t="str">
        <x:f>IF(B87="","",IF((COUNTIFS('Invoice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Register'!$M$2:$M$501,A87,'Invoice Register'!$L$2:$L$501,"VALID")+COUNTIFS('Invoice Register'!$M$2:$M$501,A87,'Invoice Register'!$L$2:$L$501,"FX HOLD")+COUNTIFS('Invoice Register'!$M$2:$M$501,A87,'Invoice Register'!$L$2:$L$501,"CANCELLED")=0,"INVOICE DATA REQUIRED",SUMIFS('Invoice Register'!$H$2:$H$501,'Invoice Register'!$M$2:$M$501,A87,'Invoice Register'!$G$2:$G$501,"MXN",'Invoice Register'!$B$2:$B$501,B87,'Invoice Register'!$L$2:$L$501,"VALID")+SUMIFS('Invoice Register'!$H$2:$H$501,'Invoice Register'!$M$2:$M$501,A87,'Invoice Register'!$G$2:$G$501,"MXN",'Invoice Register'!$B$2:$B$501,B87,'Invoice Register'!$L$2:$L$501,"FX HOLD"))))</x:f>
      </x:c>
    </x:row>
    <x:row r="88">
      <x:c r="H88" t="str">
        <x:f>IF(B88="","",IF((COUNTIFS('Invoice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Register'!$M$2:$M$501,A88)+COUNTIFS('Invoice Register'!$L$2:$L$501,"CANCELLED",'Invoice Register'!$M$2:$M$501,A88)=0,"INVOICE DATA REQUIRED",SUMIFS('Invoice Register'!$N$2:$N$501,'Invoice Register'!$M$2:$M$501,A88,'Invoice Register'!$B$2:$B$501,B88))))</x:f>
      </x:c>
      <x:c r="N88" t="str">
        <x:f>IF(B88="","",IF(COUNTIF('ERP Snapshot'!$A$2:$A$101,B88)=0,"UNKNOWN",IF(COUNTIFS('ERP Snapshot'!$A$2:$A$101,B88,'ERP Snapshot'!$D$2:$D$101,"MXN")&gt;0,"MXN","USD")))</x:f>
      </x:c>
      <x:c r="O88" t="str">
        <x:f>IF(B88="","",IF(N88="UNKNOWN","SOURCE REVIEW",IF(N88="USD","NOT REQUIRED",IF(AND(Settings!$B$8="APPROVED",Settings!$B$9&lt;&gt;"",Settings!$B$10&lt;&gt;"",Settings!$B$2&gt;0),"APPROVED","FX HOLD"))))</x:f>
      </x:c>
      <x:c r="P88" t="str">
        <x:f>IF(B88="","",IF(O88="FX HOLD","USD normalized input is provisional; FX approval missing",IF(O88="SOURCE REVIEW","Missing source currency mapping",IF(O88="APPROVED","Approval metadata supplied; source rates not independently audited",""))))</x:f>
      </x:c>
      <x:c r="T88" s="50"/>
      <x:c r="U88" t="str">
        <x:f>IF(B88="","",IF(ISNUMBER(H88),"DATED ERP INVOICES",IF(ISNUMBER(T88),"HISTORICAL DATES REQUIRED",H88)))</x:f>
      </x:c>
      <x:c r="V88" s="49" t="str">
        <x:f>IF(B88="","",IF((COUNTIFS('Invoice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Register'!$M$2:$M$501,A88,'Invoice Register'!$L$2:$L$501,"VALID")+COUNTIFS('Invoice Register'!$M$2:$M$501,A88,'Invoice Register'!$L$2:$L$501,"FX HOLD")+COUNTIFS('Invoice Register'!$M$2:$M$501,A88,'Invoice Register'!$L$2:$L$501,"CANCELLED")=0,"INVOICE DATA REQUIRED",SUMIFS('Invoice Register'!$H$2:$H$501,'Invoice Register'!$M$2:$M$501,A88,'Invoice Register'!$G$2:$G$501,"USD",'Invoice Register'!$B$2:$B$501,B88,'Invoice Register'!$L$2:$L$501,"VALID")+SUMIFS('Invoice Register'!$H$2:$H$501,'Invoice Register'!$M$2:$M$501,A88,'Invoice Register'!$G$2:$G$501,"USD",'Invoice Register'!$B$2:$B$501,B88,'Invoice Register'!$L$2:$L$501,"FX HOLD"))))</x:f>
      </x:c>
      <x:c r="W88" s="49" t="str">
        <x:f>IF(B88="","",IF((COUNTIFS('Invoice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Register'!$M$2:$M$501,A88,'Invoice Register'!$L$2:$L$501,"VALID")+COUNTIFS('Invoice Register'!$M$2:$M$501,A88,'Invoice Register'!$L$2:$L$501,"FX HOLD")+COUNTIFS('Invoice Register'!$M$2:$M$501,A88,'Invoice Register'!$L$2:$L$501,"CANCELLED")=0,"INVOICE DATA REQUIRED",SUMIFS('Invoice Register'!$H$2:$H$501,'Invoice Register'!$M$2:$M$501,A88,'Invoice Register'!$G$2:$G$501,"MXN",'Invoice Register'!$B$2:$B$501,B88,'Invoice Register'!$L$2:$L$501,"VALID")+SUMIFS('Invoice Register'!$H$2:$H$501,'Invoice Register'!$M$2:$M$501,A88,'Invoice Register'!$G$2:$G$501,"MXN",'Invoice Register'!$B$2:$B$501,B88,'Invoice Register'!$L$2:$L$501,"FX HOLD"))))</x:f>
      </x:c>
    </x:row>
    <x:row r="89">
      <x:c r="H89" t="str">
        <x:f>IF(B89="","",IF((COUNTIFS('Invoice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Register'!$M$2:$M$501,A89)+COUNTIFS('Invoice Register'!$L$2:$L$501,"CANCELLED",'Invoice Register'!$M$2:$M$501,A89)=0,"INVOICE DATA REQUIRED",SUMIFS('Invoice Register'!$N$2:$N$501,'Invoice Register'!$M$2:$M$501,A89,'Invoice Register'!$B$2:$B$501,B89))))</x:f>
      </x:c>
      <x:c r="N89" t="str">
        <x:f>IF(B89="","",IF(COUNTIF('ERP Snapshot'!$A$2:$A$101,B89)=0,"UNKNOWN",IF(COUNTIFS('ERP Snapshot'!$A$2:$A$101,B89,'ERP Snapshot'!$D$2:$D$101,"MXN")&gt;0,"MXN","USD")))</x:f>
      </x:c>
      <x:c r="O89" t="str">
        <x:f>IF(B89="","",IF(N89="UNKNOWN","SOURCE REVIEW",IF(N89="USD","NOT REQUIRED",IF(AND(Settings!$B$8="APPROVED",Settings!$B$9&lt;&gt;"",Settings!$B$10&lt;&gt;"",Settings!$B$2&gt;0),"APPROVED","FX HOLD"))))</x:f>
      </x:c>
      <x:c r="P89" t="str">
        <x:f>IF(B89="","",IF(O89="FX HOLD","USD normalized input is provisional; FX approval missing",IF(O89="SOURCE REVIEW","Missing source currency mapping",IF(O89="APPROVED","Approval metadata supplied; source rates not independently audited",""))))</x:f>
      </x:c>
      <x:c r="T89" s="50"/>
      <x:c r="U89" t="str">
        <x:f>IF(B89="","",IF(ISNUMBER(H89),"DATED ERP INVOICES",IF(ISNUMBER(T89),"HISTORICAL DATES REQUIRED",H89)))</x:f>
      </x:c>
      <x:c r="V89" s="49" t="str">
        <x:f>IF(B89="","",IF((COUNTIFS('Invoice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Register'!$M$2:$M$501,A89,'Invoice Register'!$L$2:$L$501,"VALID")+COUNTIFS('Invoice Register'!$M$2:$M$501,A89,'Invoice Register'!$L$2:$L$501,"FX HOLD")+COUNTIFS('Invoice Register'!$M$2:$M$501,A89,'Invoice Register'!$L$2:$L$501,"CANCELLED")=0,"INVOICE DATA REQUIRED",SUMIFS('Invoice Register'!$H$2:$H$501,'Invoice Register'!$M$2:$M$501,A89,'Invoice Register'!$G$2:$G$501,"USD",'Invoice Register'!$B$2:$B$501,B89,'Invoice Register'!$L$2:$L$501,"VALID")+SUMIFS('Invoice Register'!$H$2:$H$501,'Invoice Register'!$M$2:$M$501,A89,'Invoice Register'!$G$2:$G$501,"USD",'Invoice Register'!$B$2:$B$501,B89,'Invoice Register'!$L$2:$L$501,"FX HOLD"))))</x:f>
      </x:c>
      <x:c r="W89" s="49" t="str">
        <x:f>IF(B89="","",IF((COUNTIFS('Invoice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Register'!$M$2:$M$501,A89,'Invoice Register'!$L$2:$L$501,"VALID")+COUNTIFS('Invoice Register'!$M$2:$M$501,A89,'Invoice Register'!$L$2:$L$501,"FX HOLD")+COUNTIFS('Invoice Register'!$M$2:$M$501,A89,'Invoice Register'!$L$2:$L$501,"CANCELLED")=0,"INVOICE DATA REQUIRED",SUMIFS('Invoice Register'!$H$2:$H$501,'Invoice Register'!$M$2:$M$501,A89,'Invoice Register'!$G$2:$G$501,"MXN",'Invoice Register'!$B$2:$B$501,B89,'Invoice Register'!$L$2:$L$501,"VALID")+SUMIFS('Invoice Register'!$H$2:$H$501,'Invoice Register'!$M$2:$M$501,A89,'Invoice Register'!$G$2:$G$501,"MXN",'Invoice Register'!$B$2:$B$501,B89,'Invoice Register'!$L$2:$L$501,"FX HOLD"))))</x:f>
      </x:c>
    </x:row>
    <x:row r="90">
      <x:c r="H90" t="str">
        <x:f>IF(B90="","",IF((COUNTIFS('Invoice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Register'!$M$2:$M$501,A90)+COUNTIFS('Invoice Register'!$L$2:$L$501,"CANCELLED",'Invoice Register'!$M$2:$M$501,A90)=0,"INVOICE DATA REQUIRED",SUMIFS('Invoice Register'!$N$2:$N$501,'Invoice Register'!$M$2:$M$501,A90,'Invoice Register'!$B$2:$B$501,B90))))</x:f>
      </x:c>
      <x:c r="N90" t="str">
        <x:f>IF(B90="","",IF(COUNTIF('ERP Snapshot'!$A$2:$A$101,B90)=0,"UNKNOWN",IF(COUNTIFS('ERP Snapshot'!$A$2:$A$101,B90,'ERP Snapshot'!$D$2:$D$101,"MXN")&gt;0,"MXN","USD")))</x:f>
      </x:c>
      <x:c r="O90" t="str">
        <x:f>IF(B90="","",IF(N90="UNKNOWN","SOURCE REVIEW",IF(N90="USD","NOT REQUIRED",IF(AND(Settings!$B$8="APPROVED",Settings!$B$9&lt;&gt;"",Settings!$B$10&lt;&gt;"",Settings!$B$2&gt;0),"APPROVED","FX HOLD"))))</x:f>
      </x:c>
      <x:c r="P90" t="str">
        <x:f>IF(B90="","",IF(O90="FX HOLD","USD normalized input is provisional; FX approval missing",IF(O90="SOURCE REVIEW","Missing source currency mapping",IF(O90="APPROVED","Approval metadata supplied; source rates not independently audited",""))))</x:f>
      </x:c>
      <x:c r="T90" s="50"/>
      <x:c r="U90" t="str">
        <x:f>IF(B90="","",IF(ISNUMBER(H90),"DATED ERP INVOICES",IF(ISNUMBER(T90),"HISTORICAL DATES REQUIRED",H90)))</x:f>
      </x:c>
      <x:c r="V90" s="49" t="str">
        <x:f>IF(B90="","",IF((COUNTIFS('Invoice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Register'!$M$2:$M$501,A90,'Invoice Register'!$L$2:$L$501,"VALID")+COUNTIFS('Invoice Register'!$M$2:$M$501,A90,'Invoice Register'!$L$2:$L$501,"FX HOLD")+COUNTIFS('Invoice Register'!$M$2:$M$501,A90,'Invoice Register'!$L$2:$L$501,"CANCELLED")=0,"INVOICE DATA REQUIRED",SUMIFS('Invoice Register'!$H$2:$H$501,'Invoice Register'!$M$2:$M$501,A90,'Invoice Register'!$G$2:$G$501,"USD",'Invoice Register'!$B$2:$B$501,B90,'Invoice Register'!$L$2:$L$501,"VALID")+SUMIFS('Invoice Register'!$H$2:$H$501,'Invoice Register'!$M$2:$M$501,A90,'Invoice Register'!$G$2:$G$501,"USD",'Invoice Register'!$B$2:$B$501,B90,'Invoice Register'!$L$2:$L$501,"FX HOLD"))))</x:f>
      </x:c>
      <x:c r="W90" s="49" t="str">
        <x:f>IF(B90="","",IF((COUNTIFS('Invoice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Register'!$M$2:$M$501,A90,'Invoice Register'!$L$2:$L$501,"VALID")+COUNTIFS('Invoice Register'!$M$2:$M$501,A90,'Invoice Register'!$L$2:$L$501,"FX HOLD")+COUNTIFS('Invoice Register'!$M$2:$M$501,A90,'Invoice Register'!$L$2:$L$501,"CANCELLED")=0,"INVOICE DATA REQUIRED",SUMIFS('Invoice Register'!$H$2:$H$501,'Invoice Register'!$M$2:$M$501,A90,'Invoice Register'!$G$2:$G$501,"MXN",'Invoice Register'!$B$2:$B$501,B90,'Invoice Register'!$L$2:$L$501,"VALID")+SUMIFS('Invoice Register'!$H$2:$H$501,'Invoice Register'!$M$2:$M$501,A90,'Invoice Register'!$G$2:$G$501,"MXN",'Invoice Register'!$B$2:$B$501,B90,'Invoice Register'!$L$2:$L$501,"FX HOLD"))))</x:f>
      </x:c>
    </x:row>
    <x:row r="91">
      <x:c r="H91" t="str">
        <x:f>IF(B91="","",IF((COUNTIFS('Invoice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Register'!$M$2:$M$501,A91)+COUNTIFS('Invoice Register'!$L$2:$L$501,"CANCELLED",'Invoice Register'!$M$2:$M$501,A91)=0,"INVOICE DATA REQUIRED",SUMIFS('Invoice Register'!$N$2:$N$501,'Invoice Register'!$M$2:$M$501,A91,'Invoice Register'!$B$2:$B$501,B91))))</x:f>
      </x:c>
      <x:c r="N91" t="str">
        <x:f>IF(B91="","",IF(COUNTIF('ERP Snapshot'!$A$2:$A$101,B91)=0,"UNKNOWN",IF(COUNTIFS('ERP Snapshot'!$A$2:$A$101,B91,'ERP Snapshot'!$D$2:$D$101,"MXN")&gt;0,"MXN","USD")))</x:f>
      </x:c>
      <x:c r="O91" t="str">
        <x:f>IF(B91="","",IF(N91="UNKNOWN","SOURCE REVIEW",IF(N91="USD","NOT REQUIRED",IF(AND(Settings!$B$8="APPROVED",Settings!$B$9&lt;&gt;"",Settings!$B$10&lt;&gt;"",Settings!$B$2&gt;0),"APPROVED","FX HOLD"))))</x:f>
      </x:c>
      <x:c r="P91" t="str">
        <x:f>IF(B91="","",IF(O91="FX HOLD","USD normalized input is provisional; FX approval missing",IF(O91="SOURCE REVIEW","Missing source currency mapping",IF(O91="APPROVED","Approval metadata supplied; source rates not independently audited",""))))</x:f>
      </x:c>
      <x:c r="T91" s="50"/>
      <x:c r="U91" t="str">
        <x:f>IF(B91="","",IF(ISNUMBER(H91),"DATED ERP INVOICES",IF(ISNUMBER(T91),"HISTORICAL DATES REQUIRED",H91)))</x:f>
      </x:c>
      <x:c r="V91" s="49" t="str">
        <x:f>IF(B91="","",IF((COUNTIFS('Invoice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Register'!$M$2:$M$501,A91,'Invoice Register'!$L$2:$L$501,"VALID")+COUNTIFS('Invoice Register'!$M$2:$M$501,A91,'Invoice Register'!$L$2:$L$501,"FX HOLD")+COUNTIFS('Invoice Register'!$M$2:$M$501,A91,'Invoice Register'!$L$2:$L$501,"CANCELLED")=0,"INVOICE DATA REQUIRED",SUMIFS('Invoice Register'!$H$2:$H$501,'Invoice Register'!$M$2:$M$501,A91,'Invoice Register'!$G$2:$G$501,"USD",'Invoice Register'!$B$2:$B$501,B91,'Invoice Register'!$L$2:$L$501,"VALID")+SUMIFS('Invoice Register'!$H$2:$H$501,'Invoice Register'!$M$2:$M$501,A91,'Invoice Register'!$G$2:$G$501,"USD",'Invoice Register'!$B$2:$B$501,B91,'Invoice Register'!$L$2:$L$501,"FX HOLD"))))</x:f>
      </x:c>
      <x:c r="W91" s="49" t="str">
        <x:f>IF(B91="","",IF((COUNTIFS('Invoice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Register'!$M$2:$M$501,A91,'Invoice Register'!$L$2:$L$501,"VALID")+COUNTIFS('Invoice Register'!$M$2:$M$501,A91,'Invoice Register'!$L$2:$L$501,"FX HOLD")+COUNTIFS('Invoice Register'!$M$2:$M$501,A91,'Invoice Register'!$L$2:$L$501,"CANCELLED")=0,"INVOICE DATA REQUIRED",SUMIFS('Invoice Register'!$H$2:$H$501,'Invoice Register'!$M$2:$M$501,A91,'Invoice Register'!$G$2:$G$501,"MXN",'Invoice Register'!$B$2:$B$501,B91,'Invoice Register'!$L$2:$L$501,"VALID")+SUMIFS('Invoice Register'!$H$2:$H$501,'Invoice Register'!$M$2:$M$501,A91,'Invoice Register'!$G$2:$G$501,"MXN",'Invoice Register'!$B$2:$B$501,B91,'Invoice Register'!$L$2:$L$501,"FX HOLD"))))</x:f>
      </x:c>
    </x:row>
    <x:row r="92">
      <x:c r="H92" t="str">
        <x:f>IF(B92="","",IF((COUNTIFS('Invoice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Register'!$M$2:$M$501,A92)+COUNTIFS('Invoice Register'!$L$2:$L$501,"CANCELLED",'Invoice Register'!$M$2:$M$501,A92)=0,"INVOICE DATA REQUIRED",SUMIFS('Invoice Register'!$N$2:$N$501,'Invoice Register'!$M$2:$M$501,A92,'Invoice Register'!$B$2:$B$501,B92))))</x:f>
      </x:c>
      <x:c r="N92" t="str">
        <x:f>IF(B92="","",IF(COUNTIF('ERP Snapshot'!$A$2:$A$101,B92)=0,"UNKNOWN",IF(COUNTIFS('ERP Snapshot'!$A$2:$A$101,B92,'ERP Snapshot'!$D$2:$D$101,"MXN")&gt;0,"MXN","USD")))</x:f>
      </x:c>
      <x:c r="O92" t="str">
        <x:f>IF(B92="","",IF(N92="UNKNOWN","SOURCE REVIEW",IF(N92="USD","NOT REQUIRED",IF(AND(Settings!$B$8="APPROVED",Settings!$B$9&lt;&gt;"",Settings!$B$10&lt;&gt;"",Settings!$B$2&gt;0),"APPROVED","FX HOLD"))))</x:f>
      </x:c>
      <x:c r="P92" t="str">
        <x:f>IF(B92="","",IF(O92="FX HOLD","USD normalized input is provisional; FX approval missing",IF(O92="SOURCE REVIEW","Missing source currency mapping",IF(O92="APPROVED","Approval metadata supplied; source rates not independently audited",""))))</x:f>
      </x:c>
      <x:c r="T92" s="50"/>
      <x:c r="U92" t="str">
        <x:f>IF(B92="","",IF(ISNUMBER(H92),"DATED ERP INVOICES",IF(ISNUMBER(T92),"HISTORICAL DATES REQUIRED",H92)))</x:f>
      </x:c>
      <x:c r="V92" s="49" t="str">
        <x:f>IF(B92="","",IF((COUNTIFS('Invoice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Register'!$M$2:$M$501,A92,'Invoice Register'!$L$2:$L$501,"VALID")+COUNTIFS('Invoice Register'!$M$2:$M$501,A92,'Invoice Register'!$L$2:$L$501,"FX HOLD")+COUNTIFS('Invoice Register'!$M$2:$M$501,A92,'Invoice Register'!$L$2:$L$501,"CANCELLED")=0,"INVOICE DATA REQUIRED",SUMIFS('Invoice Register'!$H$2:$H$501,'Invoice Register'!$M$2:$M$501,A92,'Invoice Register'!$G$2:$G$501,"USD",'Invoice Register'!$B$2:$B$501,B92,'Invoice Register'!$L$2:$L$501,"VALID")+SUMIFS('Invoice Register'!$H$2:$H$501,'Invoice Register'!$M$2:$M$501,A92,'Invoice Register'!$G$2:$G$501,"USD",'Invoice Register'!$B$2:$B$501,B92,'Invoice Register'!$L$2:$L$501,"FX HOLD"))))</x:f>
      </x:c>
      <x:c r="W92" s="49" t="str">
        <x:f>IF(B92="","",IF((COUNTIFS('Invoice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Register'!$M$2:$M$501,A92,'Invoice Register'!$L$2:$L$501,"VALID")+COUNTIFS('Invoice Register'!$M$2:$M$501,A92,'Invoice Register'!$L$2:$L$501,"FX HOLD")+COUNTIFS('Invoice Register'!$M$2:$M$501,A92,'Invoice Register'!$L$2:$L$501,"CANCELLED")=0,"INVOICE DATA REQUIRED",SUMIFS('Invoice Register'!$H$2:$H$501,'Invoice Register'!$M$2:$M$501,A92,'Invoice Register'!$G$2:$G$501,"MXN",'Invoice Register'!$B$2:$B$501,B92,'Invoice Register'!$L$2:$L$501,"VALID")+SUMIFS('Invoice Register'!$H$2:$H$501,'Invoice Register'!$M$2:$M$501,A92,'Invoice Register'!$G$2:$G$501,"MXN",'Invoice Register'!$B$2:$B$501,B92,'Invoice Register'!$L$2:$L$501,"FX HOLD"))))</x:f>
      </x:c>
    </x:row>
    <x:row r="93">
      <x:c r="H93" t="str">
        <x:f>IF(B93="","",IF((COUNTIFS('Invoice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Register'!$M$2:$M$501,A93)+COUNTIFS('Invoice Register'!$L$2:$L$501,"CANCELLED",'Invoice Register'!$M$2:$M$501,A93)=0,"INVOICE DATA REQUIRED",SUMIFS('Invoice Register'!$N$2:$N$501,'Invoice Register'!$M$2:$M$501,A93,'Invoice Register'!$B$2:$B$501,B93))))</x:f>
      </x:c>
      <x:c r="N93" t="str">
        <x:f>IF(B93="","",IF(COUNTIF('ERP Snapshot'!$A$2:$A$101,B93)=0,"UNKNOWN",IF(COUNTIFS('ERP Snapshot'!$A$2:$A$101,B93,'ERP Snapshot'!$D$2:$D$101,"MXN")&gt;0,"MXN","USD")))</x:f>
      </x:c>
      <x:c r="O93" t="str">
        <x:f>IF(B93="","",IF(N93="UNKNOWN","SOURCE REVIEW",IF(N93="USD","NOT REQUIRED",IF(AND(Settings!$B$8="APPROVED",Settings!$B$9&lt;&gt;"",Settings!$B$10&lt;&gt;"",Settings!$B$2&gt;0),"APPROVED","FX HOLD"))))</x:f>
      </x:c>
      <x:c r="P93" t="str">
        <x:f>IF(B93="","",IF(O93="FX HOLD","USD normalized input is provisional; FX approval missing",IF(O93="SOURCE REVIEW","Missing source currency mapping",IF(O93="APPROVED","Approval metadata supplied; source rates not independently audited",""))))</x:f>
      </x:c>
      <x:c r="T93" s="50"/>
      <x:c r="U93" t="str">
        <x:f>IF(B93="","",IF(ISNUMBER(H93),"DATED ERP INVOICES",IF(ISNUMBER(T93),"HISTORICAL DATES REQUIRED",H93)))</x:f>
      </x:c>
      <x:c r="V93" s="49" t="str">
        <x:f>IF(B93="","",IF((COUNTIFS('Invoice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Register'!$M$2:$M$501,A93,'Invoice Register'!$L$2:$L$501,"VALID")+COUNTIFS('Invoice Register'!$M$2:$M$501,A93,'Invoice Register'!$L$2:$L$501,"FX HOLD")+COUNTIFS('Invoice Register'!$M$2:$M$501,A93,'Invoice Register'!$L$2:$L$501,"CANCELLED")=0,"INVOICE DATA REQUIRED",SUMIFS('Invoice Register'!$H$2:$H$501,'Invoice Register'!$M$2:$M$501,A93,'Invoice Register'!$G$2:$G$501,"USD",'Invoice Register'!$B$2:$B$501,B93,'Invoice Register'!$L$2:$L$501,"VALID")+SUMIFS('Invoice Register'!$H$2:$H$501,'Invoice Register'!$M$2:$M$501,A93,'Invoice Register'!$G$2:$G$501,"USD",'Invoice Register'!$B$2:$B$501,B93,'Invoice Register'!$L$2:$L$501,"FX HOLD"))))</x:f>
      </x:c>
      <x:c r="W93" s="49" t="str">
        <x:f>IF(B93="","",IF((COUNTIFS('Invoice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Register'!$M$2:$M$501,A93,'Invoice Register'!$L$2:$L$501,"VALID")+COUNTIFS('Invoice Register'!$M$2:$M$501,A93,'Invoice Register'!$L$2:$L$501,"FX HOLD")+COUNTIFS('Invoice Register'!$M$2:$M$501,A93,'Invoice Register'!$L$2:$L$501,"CANCELLED")=0,"INVOICE DATA REQUIRED",SUMIFS('Invoice Register'!$H$2:$H$501,'Invoice Register'!$M$2:$M$501,A93,'Invoice Register'!$G$2:$G$501,"MXN",'Invoice Register'!$B$2:$B$501,B93,'Invoice Register'!$L$2:$L$501,"VALID")+SUMIFS('Invoice Register'!$H$2:$H$501,'Invoice Register'!$M$2:$M$501,A93,'Invoice Register'!$G$2:$G$501,"MXN",'Invoice Register'!$B$2:$B$501,B93,'Invoice Register'!$L$2:$L$501,"FX HOLD"))))</x:f>
      </x:c>
    </x:row>
    <x:row r="94">
      <x:c r="H94" t="str">
        <x:f>IF(B94="","",IF((COUNTIFS('Invoice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Register'!$M$2:$M$501,A94)+COUNTIFS('Invoice Register'!$L$2:$L$501,"CANCELLED",'Invoice Register'!$M$2:$M$501,A94)=0,"INVOICE DATA REQUIRED",SUMIFS('Invoice Register'!$N$2:$N$501,'Invoice Register'!$M$2:$M$501,A94,'Invoice Register'!$B$2:$B$501,B94))))</x:f>
      </x:c>
      <x:c r="N94" t="str">
        <x:f>IF(B94="","",IF(COUNTIF('ERP Snapshot'!$A$2:$A$101,B94)=0,"UNKNOWN",IF(COUNTIFS('ERP Snapshot'!$A$2:$A$101,B94,'ERP Snapshot'!$D$2:$D$101,"MXN")&gt;0,"MXN","USD")))</x:f>
      </x:c>
      <x:c r="O94" t="str">
        <x:f>IF(B94="","",IF(N94="UNKNOWN","SOURCE REVIEW",IF(N94="USD","NOT REQUIRED",IF(AND(Settings!$B$8="APPROVED",Settings!$B$9&lt;&gt;"",Settings!$B$10&lt;&gt;"",Settings!$B$2&gt;0),"APPROVED","FX HOLD"))))</x:f>
      </x:c>
      <x:c r="P94" t="str">
        <x:f>IF(B94="","",IF(O94="FX HOLD","USD normalized input is provisional; FX approval missing",IF(O94="SOURCE REVIEW","Missing source currency mapping",IF(O94="APPROVED","Approval metadata supplied; source rates not independently audited",""))))</x:f>
      </x:c>
      <x:c r="T94" s="50"/>
      <x:c r="U94" t="str">
        <x:f>IF(B94="","",IF(ISNUMBER(H94),"DATED ERP INVOICES",IF(ISNUMBER(T94),"HISTORICAL DATES REQUIRED",H94)))</x:f>
      </x:c>
      <x:c r="V94" s="49" t="str">
        <x:f>IF(B94="","",IF((COUNTIFS('Invoice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Register'!$M$2:$M$501,A94,'Invoice Register'!$L$2:$L$501,"VALID")+COUNTIFS('Invoice Register'!$M$2:$M$501,A94,'Invoice Register'!$L$2:$L$501,"FX HOLD")+COUNTIFS('Invoice Register'!$M$2:$M$501,A94,'Invoice Register'!$L$2:$L$501,"CANCELLED")=0,"INVOICE DATA REQUIRED",SUMIFS('Invoice Register'!$H$2:$H$501,'Invoice Register'!$M$2:$M$501,A94,'Invoice Register'!$G$2:$G$501,"USD",'Invoice Register'!$B$2:$B$501,B94,'Invoice Register'!$L$2:$L$501,"VALID")+SUMIFS('Invoice Register'!$H$2:$H$501,'Invoice Register'!$M$2:$M$501,A94,'Invoice Register'!$G$2:$G$501,"USD",'Invoice Register'!$B$2:$B$501,B94,'Invoice Register'!$L$2:$L$501,"FX HOLD"))))</x:f>
      </x:c>
      <x:c r="W94" s="49" t="str">
        <x:f>IF(B94="","",IF((COUNTIFS('Invoice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Register'!$M$2:$M$501,A94,'Invoice Register'!$L$2:$L$501,"VALID")+COUNTIFS('Invoice Register'!$M$2:$M$501,A94,'Invoice Register'!$L$2:$L$501,"FX HOLD")+COUNTIFS('Invoice Register'!$M$2:$M$501,A94,'Invoice Register'!$L$2:$L$501,"CANCELLED")=0,"INVOICE DATA REQUIRED",SUMIFS('Invoice Register'!$H$2:$H$501,'Invoice Register'!$M$2:$M$501,A94,'Invoice Register'!$G$2:$G$501,"MXN",'Invoice Register'!$B$2:$B$501,B94,'Invoice Register'!$L$2:$L$501,"VALID")+SUMIFS('Invoice Register'!$H$2:$H$501,'Invoice Register'!$M$2:$M$501,A94,'Invoice Register'!$G$2:$G$501,"MXN",'Invoice Register'!$B$2:$B$501,B94,'Invoice Register'!$L$2:$L$501,"FX HOLD"))))</x:f>
      </x:c>
    </x:row>
    <x:row r="95">
      <x:c r="H95" t="str">
        <x:f>IF(B95="","",IF((COUNTIFS('Invoice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Register'!$M$2:$M$501,A95)+COUNTIFS('Invoice Register'!$L$2:$L$501,"CANCELLED",'Invoice Register'!$M$2:$M$501,A95)=0,"INVOICE DATA REQUIRED",SUMIFS('Invoice Register'!$N$2:$N$501,'Invoice Register'!$M$2:$M$501,A95,'Invoice Register'!$B$2:$B$501,B95))))</x:f>
      </x:c>
      <x:c r="N95" t="str">
        <x:f>IF(B95="","",IF(COUNTIF('ERP Snapshot'!$A$2:$A$101,B95)=0,"UNKNOWN",IF(COUNTIFS('ERP Snapshot'!$A$2:$A$101,B95,'ERP Snapshot'!$D$2:$D$101,"MXN")&gt;0,"MXN","USD")))</x:f>
      </x:c>
      <x:c r="O95" t="str">
        <x:f>IF(B95="","",IF(N95="UNKNOWN","SOURCE REVIEW",IF(N95="USD","NOT REQUIRED",IF(AND(Settings!$B$8="APPROVED",Settings!$B$9&lt;&gt;"",Settings!$B$10&lt;&gt;"",Settings!$B$2&gt;0),"APPROVED","FX HOLD"))))</x:f>
      </x:c>
      <x:c r="P95" t="str">
        <x:f>IF(B95="","",IF(O95="FX HOLD","USD normalized input is provisional; FX approval missing",IF(O95="SOURCE REVIEW","Missing source currency mapping",IF(O95="APPROVED","Approval metadata supplied; source rates not independently audited",""))))</x:f>
      </x:c>
      <x:c r="T95" s="50"/>
      <x:c r="U95" t="str">
        <x:f>IF(B95="","",IF(ISNUMBER(H95),"DATED ERP INVOICES",IF(ISNUMBER(T95),"HISTORICAL DATES REQUIRED",H95)))</x:f>
      </x:c>
      <x:c r="V95" s="49" t="str">
        <x:f>IF(B95="","",IF((COUNTIFS('Invoice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Register'!$M$2:$M$501,A95,'Invoice Register'!$L$2:$L$501,"VALID")+COUNTIFS('Invoice Register'!$M$2:$M$501,A95,'Invoice Register'!$L$2:$L$501,"FX HOLD")+COUNTIFS('Invoice Register'!$M$2:$M$501,A95,'Invoice Register'!$L$2:$L$501,"CANCELLED")=0,"INVOICE DATA REQUIRED",SUMIFS('Invoice Register'!$H$2:$H$501,'Invoice Register'!$M$2:$M$501,A95,'Invoice Register'!$G$2:$G$501,"USD",'Invoice Register'!$B$2:$B$501,B95,'Invoice Register'!$L$2:$L$501,"VALID")+SUMIFS('Invoice Register'!$H$2:$H$501,'Invoice Register'!$M$2:$M$501,A95,'Invoice Register'!$G$2:$G$501,"USD",'Invoice Register'!$B$2:$B$501,B95,'Invoice Register'!$L$2:$L$501,"FX HOLD"))))</x:f>
      </x:c>
      <x:c r="W95" s="49" t="str">
        <x:f>IF(B95="","",IF((COUNTIFS('Invoice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Register'!$M$2:$M$501,A95,'Invoice Register'!$L$2:$L$501,"VALID")+COUNTIFS('Invoice Register'!$M$2:$M$501,A95,'Invoice Register'!$L$2:$L$501,"FX HOLD")+COUNTIFS('Invoice Register'!$M$2:$M$501,A95,'Invoice Register'!$L$2:$L$501,"CANCELLED")=0,"INVOICE DATA REQUIRED",SUMIFS('Invoice Register'!$H$2:$H$501,'Invoice Register'!$M$2:$M$501,A95,'Invoice Register'!$G$2:$G$501,"MXN",'Invoice Register'!$B$2:$B$501,B95,'Invoice Register'!$L$2:$L$501,"VALID")+SUMIFS('Invoice Register'!$H$2:$H$501,'Invoice Register'!$M$2:$M$501,A95,'Invoice Register'!$G$2:$G$501,"MXN",'Invoice Register'!$B$2:$B$501,B95,'Invoice Register'!$L$2:$L$501,"FX HOLD"))))</x:f>
      </x:c>
    </x:row>
    <x:row r="96">
      <x:c r="H96" t="str">
        <x:f>IF(B96="","",IF((COUNTIFS('Invoice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Register'!$M$2:$M$501,A96)+COUNTIFS('Invoice Register'!$L$2:$L$501,"CANCELLED",'Invoice Register'!$M$2:$M$501,A96)=0,"INVOICE DATA REQUIRED",SUMIFS('Invoice Register'!$N$2:$N$501,'Invoice Register'!$M$2:$M$501,A96,'Invoice Register'!$B$2:$B$501,B96))))</x:f>
      </x:c>
      <x:c r="N96" t="str">
        <x:f>IF(B96="","",IF(COUNTIF('ERP Snapshot'!$A$2:$A$101,B96)=0,"UNKNOWN",IF(COUNTIFS('ERP Snapshot'!$A$2:$A$101,B96,'ERP Snapshot'!$D$2:$D$101,"MXN")&gt;0,"MXN","USD")))</x:f>
      </x:c>
      <x:c r="O96" t="str">
        <x:f>IF(B96="","",IF(N96="UNKNOWN","SOURCE REVIEW",IF(N96="USD","NOT REQUIRED",IF(AND(Settings!$B$8="APPROVED",Settings!$B$9&lt;&gt;"",Settings!$B$10&lt;&gt;"",Settings!$B$2&gt;0),"APPROVED","FX HOLD"))))</x:f>
      </x:c>
      <x:c r="P96" t="str">
        <x:f>IF(B96="","",IF(O96="FX HOLD","USD normalized input is provisional; FX approval missing",IF(O96="SOURCE REVIEW","Missing source currency mapping",IF(O96="APPROVED","Approval metadata supplied; source rates not independently audited",""))))</x:f>
      </x:c>
      <x:c r="T96" s="50"/>
      <x:c r="U96" t="str">
        <x:f>IF(B96="","",IF(ISNUMBER(H96),"DATED ERP INVOICES",IF(ISNUMBER(T96),"HISTORICAL DATES REQUIRED",H96)))</x:f>
      </x:c>
      <x:c r="V96" s="49" t="str">
        <x:f>IF(B96="","",IF((COUNTIFS('Invoice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Register'!$M$2:$M$501,A96,'Invoice Register'!$L$2:$L$501,"VALID")+COUNTIFS('Invoice Register'!$M$2:$M$501,A96,'Invoice Register'!$L$2:$L$501,"FX HOLD")+COUNTIFS('Invoice Register'!$M$2:$M$501,A96,'Invoice Register'!$L$2:$L$501,"CANCELLED")=0,"INVOICE DATA REQUIRED",SUMIFS('Invoice Register'!$H$2:$H$501,'Invoice Register'!$M$2:$M$501,A96,'Invoice Register'!$G$2:$G$501,"USD",'Invoice Register'!$B$2:$B$501,B96,'Invoice Register'!$L$2:$L$501,"VALID")+SUMIFS('Invoice Register'!$H$2:$H$501,'Invoice Register'!$M$2:$M$501,A96,'Invoice Register'!$G$2:$G$501,"USD",'Invoice Register'!$B$2:$B$501,B96,'Invoice Register'!$L$2:$L$501,"FX HOLD"))))</x:f>
      </x:c>
      <x:c r="W96" s="49" t="str">
        <x:f>IF(B96="","",IF((COUNTIFS('Invoice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Register'!$M$2:$M$501,A96,'Invoice Register'!$L$2:$L$501,"VALID")+COUNTIFS('Invoice Register'!$M$2:$M$501,A96,'Invoice Register'!$L$2:$L$501,"FX HOLD")+COUNTIFS('Invoice Register'!$M$2:$M$501,A96,'Invoice Register'!$L$2:$L$501,"CANCELLED")=0,"INVOICE DATA REQUIRED",SUMIFS('Invoice Register'!$H$2:$H$501,'Invoice Register'!$M$2:$M$501,A96,'Invoice Register'!$G$2:$G$501,"MXN",'Invoice Register'!$B$2:$B$501,B96,'Invoice Register'!$L$2:$L$501,"VALID")+SUMIFS('Invoice Register'!$H$2:$H$501,'Invoice Register'!$M$2:$M$501,A96,'Invoice Register'!$G$2:$G$501,"MXN",'Invoice Register'!$B$2:$B$501,B96,'Invoice Register'!$L$2:$L$501,"FX HOLD"))))</x:f>
      </x:c>
    </x:row>
    <x:row r="97">
      <x:c r="H97" t="str">
        <x:f>IF(B97="","",IF((COUNTIFS('Invoice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Register'!$M$2:$M$501,A97)+COUNTIFS('Invoice Register'!$L$2:$L$501,"CANCELLED",'Invoice Register'!$M$2:$M$501,A97)=0,"INVOICE DATA REQUIRED",SUMIFS('Invoice Register'!$N$2:$N$501,'Invoice Register'!$M$2:$M$501,A97,'Invoice Register'!$B$2:$B$501,B97))))</x:f>
      </x:c>
      <x:c r="N97" t="str">
        <x:f>IF(B97="","",IF(COUNTIF('ERP Snapshot'!$A$2:$A$101,B97)=0,"UNKNOWN",IF(COUNTIFS('ERP Snapshot'!$A$2:$A$101,B97,'ERP Snapshot'!$D$2:$D$101,"MXN")&gt;0,"MXN","USD")))</x:f>
      </x:c>
      <x:c r="O97" t="str">
        <x:f>IF(B97="","",IF(N97="UNKNOWN","SOURCE REVIEW",IF(N97="USD","NOT REQUIRED",IF(AND(Settings!$B$8="APPROVED",Settings!$B$9&lt;&gt;"",Settings!$B$10&lt;&gt;"",Settings!$B$2&gt;0),"APPROVED","FX HOLD"))))</x:f>
      </x:c>
      <x:c r="P97" t="str">
        <x:f>IF(B97="","",IF(O97="FX HOLD","USD normalized input is provisional; FX approval missing",IF(O97="SOURCE REVIEW","Missing source currency mapping",IF(O97="APPROVED","Approval metadata supplied; source rates not independently audited",""))))</x:f>
      </x:c>
      <x:c r="T97" s="50"/>
      <x:c r="U97" t="str">
        <x:f>IF(B97="","",IF(ISNUMBER(H97),"DATED ERP INVOICES",IF(ISNUMBER(T97),"HISTORICAL DATES REQUIRED",H97)))</x:f>
      </x:c>
      <x:c r="V97" s="49" t="str">
        <x:f>IF(B97="","",IF((COUNTIFS('Invoice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Register'!$M$2:$M$501,A97,'Invoice Register'!$L$2:$L$501,"VALID")+COUNTIFS('Invoice Register'!$M$2:$M$501,A97,'Invoice Register'!$L$2:$L$501,"FX HOLD")+COUNTIFS('Invoice Register'!$M$2:$M$501,A97,'Invoice Register'!$L$2:$L$501,"CANCELLED")=0,"INVOICE DATA REQUIRED",SUMIFS('Invoice Register'!$H$2:$H$501,'Invoice Register'!$M$2:$M$501,A97,'Invoice Register'!$G$2:$G$501,"USD",'Invoice Register'!$B$2:$B$501,B97,'Invoice Register'!$L$2:$L$501,"VALID")+SUMIFS('Invoice Register'!$H$2:$H$501,'Invoice Register'!$M$2:$M$501,A97,'Invoice Register'!$G$2:$G$501,"USD",'Invoice Register'!$B$2:$B$501,B97,'Invoice Register'!$L$2:$L$501,"FX HOLD"))))</x:f>
      </x:c>
      <x:c r="W97" s="49" t="str">
        <x:f>IF(B97="","",IF((COUNTIFS('Invoice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Register'!$M$2:$M$501,A97,'Invoice Register'!$L$2:$L$501,"VALID")+COUNTIFS('Invoice Register'!$M$2:$M$501,A97,'Invoice Register'!$L$2:$L$501,"FX HOLD")+COUNTIFS('Invoice Register'!$M$2:$M$501,A97,'Invoice Register'!$L$2:$L$501,"CANCELLED")=0,"INVOICE DATA REQUIRED",SUMIFS('Invoice Register'!$H$2:$H$501,'Invoice Register'!$M$2:$M$501,A97,'Invoice Register'!$G$2:$G$501,"MXN",'Invoice Register'!$B$2:$B$501,B97,'Invoice Register'!$L$2:$L$501,"VALID")+SUMIFS('Invoice Register'!$H$2:$H$501,'Invoice Register'!$M$2:$M$501,A97,'Invoice Register'!$G$2:$G$501,"MXN",'Invoice Register'!$B$2:$B$501,B97,'Invoice Register'!$L$2:$L$501,"FX HOLD"))))</x:f>
      </x:c>
    </x:row>
    <x:row r="98">
      <x:c r="H98" t="str">
        <x:f>IF(B98="","",IF((COUNTIFS('Invoice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Register'!$M$2:$M$501,A98)+COUNTIFS('Invoice Register'!$L$2:$L$501,"CANCELLED",'Invoice Register'!$M$2:$M$501,A98)=0,"INVOICE DATA REQUIRED",SUMIFS('Invoice Register'!$N$2:$N$501,'Invoice Register'!$M$2:$M$501,A98,'Invoice Register'!$B$2:$B$501,B98))))</x:f>
      </x:c>
      <x:c r="N98" t="str">
        <x:f>IF(B98="","",IF(COUNTIF('ERP Snapshot'!$A$2:$A$101,B98)=0,"UNKNOWN",IF(COUNTIFS('ERP Snapshot'!$A$2:$A$101,B98,'ERP Snapshot'!$D$2:$D$101,"MXN")&gt;0,"MXN","USD")))</x:f>
      </x:c>
      <x:c r="O98" t="str">
        <x:f>IF(B98="","",IF(N98="UNKNOWN","SOURCE REVIEW",IF(N98="USD","NOT REQUIRED",IF(AND(Settings!$B$8="APPROVED",Settings!$B$9&lt;&gt;"",Settings!$B$10&lt;&gt;"",Settings!$B$2&gt;0),"APPROVED","FX HOLD"))))</x:f>
      </x:c>
      <x:c r="P98" t="str">
        <x:f>IF(B98="","",IF(O98="FX HOLD","USD normalized input is provisional; FX approval missing",IF(O98="SOURCE REVIEW","Missing source currency mapping",IF(O98="APPROVED","Approval metadata supplied; source rates not independently audited",""))))</x:f>
      </x:c>
      <x:c r="T98" s="50"/>
      <x:c r="U98" t="str">
        <x:f>IF(B98="","",IF(ISNUMBER(H98),"DATED ERP INVOICES",IF(ISNUMBER(T98),"HISTORICAL DATES REQUIRED",H98)))</x:f>
      </x:c>
      <x:c r="V98" s="49" t="str">
        <x:f>IF(B98="","",IF((COUNTIFS('Invoice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Register'!$M$2:$M$501,A98,'Invoice Register'!$L$2:$L$501,"VALID")+COUNTIFS('Invoice Register'!$M$2:$M$501,A98,'Invoice Register'!$L$2:$L$501,"FX HOLD")+COUNTIFS('Invoice Register'!$M$2:$M$501,A98,'Invoice Register'!$L$2:$L$501,"CANCELLED")=0,"INVOICE DATA REQUIRED",SUMIFS('Invoice Register'!$H$2:$H$501,'Invoice Register'!$M$2:$M$501,A98,'Invoice Register'!$G$2:$G$501,"USD",'Invoice Register'!$B$2:$B$501,B98,'Invoice Register'!$L$2:$L$501,"VALID")+SUMIFS('Invoice Register'!$H$2:$H$501,'Invoice Register'!$M$2:$M$501,A98,'Invoice Register'!$G$2:$G$501,"USD",'Invoice Register'!$B$2:$B$501,B98,'Invoice Register'!$L$2:$L$501,"FX HOLD"))))</x:f>
      </x:c>
      <x:c r="W98" s="49" t="str">
        <x:f>IF(B98="","",IF((COUNTIFS('Invoice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Register'!$M$2:$M$501,A98,'Invoice Register'!$L$2:$L$501,"VALID")+COUNTIFS('Invoice Register'!$M$2:$M$501,A98,'Invoice Register'!$L$2:$L$501,"FX HOLD")+COUNTIFS('Invoice Register'!$M$2:$M$501,A98,'Invoice Register'!$L$2:$L$501,"CANCELLED")=0,"INVOICE DATA REQUIRED",SUMIFS('Invoice Register'!$H$2:$H$501,'Invoice Register'!$M$2:$M$501,A98,'Invoice Register'!$G$2:$G$501,"MXN",'Invoice Register'!$B$2:$B$501,B98,'Invoice Register'!$L$2:$L$501,"VALID")+SUMIFS('Invoice Register'!$H$2:$H$501,'Invoice Register'!$M$2:$M$501,A98,'Invoice Register'!$G$2:$G$501,"MXN",'Invoice Register'!$B$2:$B$501,B98,'Invoice Register'!$L$2:$L$501,"FX HOLD"))))</x:f>
      </x:c>
    </x:row>
    <x:row r="99">
      <x:c r="H99" t="str">
        <x:f>IF(B99="","",IF((COUNTIFS('Invoice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Register'!$M$2:$M$501,A99)+COUNTIFS('Invoice Register'!$L$2:$L$501,"CANCELLED",'Invoice Register'!$M$2:$M$501,A99)=0,"INVOICE DATA REQUIRED",SUMIFS('Invoice Register'!$N$2:$N$501,'Invoice Register'!$M$2:$M$501,A99,'Invoice Register'!$B$2:$B$501,B99))))</x:f>
      </x:c>
      <x:c r="N99" t="str">
        <x:f>IF(B99="","",IF(COUNTIF('ERP Snapshot'!$A$2:$A$101,B99)=0,"UNKNOWN",IF(COUNTIFS('ERP Snapshot'!$A$2:$A$101,B99,'ERP Snapshot'!$D$2:$D$101,"MXN")&gt;0,"MXN","USD")))</x:f>
      </x:c>
      <x:c r="O99" t="str">
        <x:f>IF(B99="","",IF(N99="UNKNOWN","SOURCE REVIEW",IF(N99="USD","NOT REQUIRED",IF(AND(Settings!$B$8="APPROVED",Settings!$B$9&lt;&gt;"",Settings!$B$10&lt;&gt;"",Settings!$B$2&gt;0),"APPROVED","FX HOLD"))))</x:f>
      </x:c>
      <x:c r="P99" t="str">
        <x:f>IF(B99="","",IF(O99="FX HOLD","USD normalized input is provisional; FX approval missing",IF(O99="SOURCE REVIEW","Missing source currency mapping",IF(O99="APPROVED","Approval metadata supplied; source rates not independently audited",""))))</x:f>
      </x:c>
      <x:c r="T99" s="50"/>
      <x:c r="U99" t="str">
        <x:f>IF(B99="","",IF(ISNUMBER(H99),"DATED ERP INVOICES",IF(ISNUMBER(T99),"HISTORICAL DATES REQUIRED",H99)))</x:f>
      </x:c>
      <x:c r="V99" s="49" t="str">
        <x:f>IF(B99="","",IF((COUNTIFS('Invoice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Register'!$M$2:$M$501,A99,'Invoice Register'!$L$2:$L$501,"VALID")+COUNTIFS('Invoice Register'!$M$2:$M$501,A99,'Invoice Register'!$L$2:$L$501,"FX HOLD")+COUNTIFS('Invoice Register'!$M$2:$M$501,A99,'Invoice Register'!$L$2:$L$501,"CANCELLED")=0,"INVOICE DATA REQUIRED",SUMIFS('Invoice Register'!$H$2:$H$501,'Invoice Register'!$M$2:$M$501,A99,'Invoice Register'!$G$2:$G$501,"USD",'Invoice Register'!$B$2:$B$501,B99,'Invoice Register'!$L$2:$L$501,"VALID")+SUMIFS('Invoice Register'!$H$2:$H$501,'Invoice Register'!$M$2:$M$501,A99,'Invoice Register'!$G$2:$G$501,"USD",'Invoice Register'!$B$2:$B$501,B99,'Invoice Register'!$L$2:$L$501,"FX HOLD"))))</x:f>
      </x:c>
      <x:c r="W99" s="49" t="str">
        <x:f>IF(B99="","",IF((COUNTIFS('Invoice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Register'!$M$2:$M$501,A99,'Invoice Register'!$L$2:$L$501,"VALID")+COUNTIFS('Invoice Register'!$M$2:$M$501,A99,'Invoice Register'!$L$2:$L$501,"FX HOLD")+COUNTIFS('Invoice Register'!$M$2:$M$501,A99,'Invoice Register'!$L$2:$L$501,"CANCELLED")=0,"INVOICE DATA REQUIRED",SUMIFS('Invoice Register'!$H$2:$H$501,'Invoice Register'!$M$2:$M$501,A99,'Invoice Register'!$G$2:$G$501,"MXN",'Invoice Register'!$B$2:$B$501,B99,'Invoice Register'!$L$2:$L$501,"VALID")+SUMIFS('Invoice Register'!$H$2:$H$501,'Invoice Register'!$M$2:$M$501,A99,'Invoice Register'!$G$2:$G$501,"MXN",'Invoice Register'!$B$2:$B$501,B99,'Invoice Register'!$L$2:$L$501,"FX HOLD"))))</x:f>
      </x:c>
    </x:row>
    <x:row r="100">
      <x:c r="H100" t="str">
        <x:f>IF(B100="","",IF((COUNTIFS('Invoice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Register'!$M$2:$M$501,A100)+COUNTIFS('Invoice Register'!$L$2:$L$501,"CANCELLED",'Invoice Register'!$M$2:$M$501,A100)=0,"INVOICE DATA REQUIRED",SUMIFS('Invoice Register'!$N$2:$N$501,'Invoice Register'!$M$2:$M$501,A100,'Invoice Register'!$B$2:$B$501,B100))))</x:f>
      </x:c>
      <x:c r="N100" t="str">
        <x:f>IF(B100="","",IF(COUNTIF('ERP Snapshot'!$A$2:$A$101,B100)=0,"UNKNOWN",IF(COUNTIFS('ERP Snapshot'!$A$2:$A$101,B100,'ERP Snapshot'!$D$2:$D$101,"MXN")&gt;0,"MXN","USD")))</x:f>
      </x:c>
      <x:c r="O100" t="str">
        <x:f>IF(B100="","",IF(N100="UNKNOWN","SOURCE REVIEW",IF(N100="USD","NOT REQUIRED",IF(AND(Settings!$B$8="APPROVED",Settings!$B$9&lt;&gt;"",Settings!$B$10&lt;&gt;"",Settings!$B$2&gt;0),"APPROVED","FX HOLD"))))</x:f>
      </x:c>
      <x:c r="P100" t="str">
        <x:f>IF(B100="","",IF(O100="FX HOLD","USD normalized input is provisional; FX approval missing",IF(O100="SOURCE REVIEW","Missing source currency mapping",IF(O100="APPROVED","Approval metadata supplied; source rates not independently audited",""))))</x:f>
      </x:c>
      <x:c r="T100" s="50"/>
      <x:c r="U100" t="str">
        <x:f>IF(B100="","",IF(ISNUMBER(H100),"DATED ERP INVOICES",IF(ISNUMBER(T100),"HISTORICAL DATES REQUIRED",H100)))</x:f>
      </x:c>
      <x:c r="V100" s="49" t="str">
        <x:f>IF(B100="","",IF((COUNTIFS('Invoice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Register'!$M$2:$M$501,A100,'Invoice Register'!$L$2:$L$501,"VALID")+COUNTIFS('Invoice Register'!$M$2:$M$501,A100,'Invoice Register'!$L$2:$L$501,"FX HOLD")+COUNTIFS('Invoice Register'!$M$2:$M$501,A100,'Invoice Register'!$L$2:$L$501,"CANCELLED")=0,"INVOICE DATA REQUIRED",SUMIFS('Invoice Register'!$H$2:$H$501,'Invoice Register'!$M$2:$M$501,A100,'Invoice Register'!$G$2:$G$501,"USD",'Invoice Register'!$B$2:$B$501,B100,'Invoice Register'!$L$2:$L$501,"VALID")+SUMIFS('Invoice Register'!$H$2:$H$501,'Invoice Register'!$M$2:$M$501,A100,'Invoice Register'!$G$2:$G$501,"USD",'Invoice Register'!$B$2:$B$501,B100,'Invoice Register'!$L$2:$L$501,"FX HOLD"))))</x:f>
      </x:c>
      <x:c r="W100" s="49" t="str">
        <x:f>IF(B100="","",IF((COUNTIFS('Invoice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Register'!$M$2:$M$501,A100,'Invoice Register'!$L$2:$L$501,"VALID")+COUNTIFS('Invoice Register'!$M$2:$M$501,A100,'Invoice Register'!$L$2:$L$501,"FX HOLD")+COUNTIFS('Invoice Register'!$M$2:$M$501,A100,'Invoice Register'!$L$2:$L$501,"CANCELLED")=0,"INVOICE DATA REQUIRED",SUMIFS('Invoice Register'!$H$2:$H$501,'Invoice Register'!$M$2:$M$501,A100,'Invoice Register'!$G$2:$G$501,"MXN",'Invoice Register'!$B$2:$B$501,B100,'Invoice Register'!$L$2:$L$501,"VALID")+SUMIFS('Invoice Register'!$H$2:$H$501,'Invoice Register'!$M$2:$M$501,A100,'Invoice Register'!$G$2:$G$501,"MXN",'Invoice Register'!$B$2:$B$501,B100,'Invoice Register'!$L$2:$L$501,"FX HOLD"))))</x:f>
      </x:c>
    </x:row>
    <x:row r="101">
      <x:c r="H101" t="str">
        <x:f>IF(B101="","",IF((COUNTIFS('Invoice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Register'!$M$2:$M$501,A101)+COUNTIFS('Invoice Register'!$L$2:$L$501,"CANCELLED",'Invoice Register'!$M$2:$M$501,A101)=0,"INVOICE DATA REQUIRED",SUMIFS('Invoice Register'!$N$2:$N$501,'Invoice Register'!$M$2:$M$501,A101,'Invoice Register'!$B$2:$B$501,B101))))</x:f>
      </x:c>
      <x:c r="N101" t="str">
        <x:f>IF(B101="","",IF(COUNTIF('ERP Snapshot'!$A$2:$A$101,B101)=0,"UNKNOWN",IF(COUNTIFS('ERP Snapshot'!$A$2:$A$101,B101,'ERP Snapshot'!$D$2:$D$101,"MXN")&gt;0,"MXN","USD")))</x:f>
      </x:c>
      <x:c r="O101" t="str">
        <x:f>IF(B101="","",IF(N101="UNKNOWN","SOURCE REVIEW",IF(N101="USD","NOT REQUIRED",IF(AND(Settings!$B$8="APPROVED",Settings!$B$9&lt;&gt;"",Settings!$B$10&lt;&gt;"",Settings!$B$2&gt;0),"APPROVED","FX HOLD"))))</x:f>
      </x:c>
      <x:c r="P101" t="str">
        <x:f>IF(B101="","",IF(O101="FX HOLD","USD normalized input is provisional; FX approval missing",IF(O101="SOURCE REVIEW","Missing source currency mapping",IF(O101="APPROVED","Approval metadata supplied; source rates not independently audited",""))))</x:f>
      </x:c>
      <x:c r="T101" s="50"/>
      <x:c r="U101" t="str">
        <x:f>IF(B101="","",IF(ISNUMBER(H101),"DATED ERP INVOICES",IF(ISNUMBER(T101),"HISTORICAL DATES REQUIRED",H101)))</x:f>
      </x:c>
      <x:c r="V101" s="49" t="str">
        <x:f>IF(B101="","",IF((COUNTIFS('Invoice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Register'!$M$2:$M$501,A101,'Invoice Register'!$L$2:$L$501,"VALID")+COUNTIFS('Invoice Register'!$M$2:$M$501,A101,'Invoice Register'!$L$2:$L$501,"FX HOLD")+COUNTIFS('Invoice Register'!$M$2:$M$501,A101,'Invoice Register'!$L$2:$L$501,"CANCELLED")=0,"INVOICE DATA REQUIRED",SUMIFS('Invoice Register'!$H$2:$H$501,'Invoice Register'!$M$2:$M$501,A101,'Invoice Register'!$G$2:$G$501,"USD",'Invoice Register'!$B$2:$B$501,B101,'Invoice Register'!$L$2:$L$501,"VALID")+SUMIFS('Invoice Register'!$H$2:$H$501,'Invoice Register'!$M$2:$M$501,A101,'Invoice Register'!$G$2:$G$501,"USD",'Invoice Register'!$B$2:$B$501,B101,'Invoice Register'!$L$2:$L$501,"FX HOLD"))))</x:f>
      </x:c>
      <x:c r="W101" s="49" t="str">
        <x:f>IF(B101="","",IF((COUNTIFS('Invoice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Register'!$M$2:$M$501,A101,'Invoice Register'!$L$2:$L$501,"VALID")+COUNTIFS('Invoice Register'!$M$2:$M$501,A101,'Invoice Register'!$L$2:$L$501,"FX HOLD")+COUNTIFS('Invoice Register'!$M$2:$M$501,A101,'Invoice Register'!$L$2:$L$501,"CANCELLED")=0,"INVOICE DATA REQUIRED",SUMIFS('Invoice Register'!$H$2:$H$501,'Invoice Register'!$M$2:$M$501,A101,'Invoice Register'!$G$2:$G$501,"MXN",'Invoice Register'!$B$2:$B$501,B101,'Invoice Register'!$L$2:$L$501,"VALID")+SUMIFS('Invoice Register'!$H$2:$H$501,'Invoice Register'!$M$2:$M$501,A101,'Invoice Register'!$G$2:$G$501,"MXN",'Invoice Register'!$B$2:$B$501,B101,'Invoice Register'!$L$2:$L$501,"FX HOLD"))))</x:f>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35" hidden="0" customWidth="1"/>
  </x:cols>
  <x:sheetData>
    <x:row r="1" ht="42" customHeight="1">
      <x:c r="A1" s="13" t="str">
        <x:v>Month YYYY-MM</x:v>
      </x:c>
      <x:c r="B1" s="13" t="str">
        <x:v>Business Unit</x:v>
      </x:c>
      <x:c r="C1" s="13" t="str">
        <x:v>Selling Entity</x:v>
      </x:c>
      <x:c r="D1" s="13" t="str">
        <x:v>PO intake USD</x:v>
      </x:c>
      <x:c r="E1" s="13" t="str">
        <x:v>Invoiced USD</x:v>
      </x:c>
      <x:c r="F1" s="66" t="str">
        <x:v>REMOVED - payment metric</x:v>
      </x:c>
      <x:c r="G1" s="66" t="str">
        <x:v>REMOVED - payment metric</x:v>
      </x:c>
      <x:c r="H1" s="13" t="str">
        <x:v>ERP recognized cost USD</x:v>
      </x:c>
      <x:c r="I1" s="66" t="str">
        <x:v>REMOVED - invoice/cost gap</x:v>
      </x:c>
      <x:c r="J1" s="13" t="str">
        <x:v>Reconciliation flag</x:v>
      </x:c>
      <x:c r="K1" s="29" t="str">
        <x:v>FX reporting status</x:v>
      </x:c>
    </x:row>
    <x:row r="2">
      <x:c r="A2" t="str">
        <x:v>2026-09</x:v>
      </x:c>
      <x:c r="B2" t="str">
        <x:v>Strategic Services</x:v>
      </x:c>
      <x:c r="C2" t="str">
        <x:v>MX</x:v>
      </x:c>
      <x:c r="D2" t="n">
        <x:f>SUMIFS('Monthly Project Activity'!$G$2:$G$101,'Monthly Project Activity'!$A$2:$A$101,$A2,'Monthly Project Activity'!$D$2:$D$101,$B2,'Monthly Project Activity'!$F$2:$F$101,$C2)</x:f>
        <x:v>50000</x:v>
      </x:c>
      <x:c r="E2"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Register'!$M$2:$M$501,$A2)+COUNTIFS('Invoice Register'!$L$2:$L$501,"CANCELLED",'Invoice Register'!$M$2:$M$501,$A2)=0,"INVOICE DATA REQUIRED",SUMIFS('Invoice Register'!$N$2:$N$501,'Invoice Register'!$M$2:$M$501,$A2,'Invoice Register'!$E$2:$E$501,$B2,'Invoice Register'!$D$2:$D$501,$C2)))</x:f>
        <x:v>INVOICE DATA REQUIRED</x:v>
      </x:c>
      <x:c r="F2" s="52"/>
      <x:c r="G2" s="52"/>
      <x:c r="H2" t="n">
        <x:f>SUMIFS('Monthly Project Activity'!$K$2:$K$101,'Monthly Project Activity'!$A$2:$A$101,$A2,'Monthly Project Activity'!$D$2:$D$101,$B2,'Monthly Project Activity'!$F$2:$F$101,$C2)</x:f>
        <x:v>16000</x:v>
      </x:c>
      <x:c r="I2" s="52"/>
      <x:c r="J2" t="str">
        <x:f>IF(COUNTIFS('Monthly Project Activity'!$A$2:$A$101,A2,'Monthly Project Activity'!$D$2:$D$101,B2,'Monthly Project Activity'!$F$2:$F$101,C2)=0,"NO ACTIVITY","ERP SUMMARY / REVIEW")</x:f>
        <x:v>ERP SUMMARY / REVIEW</x:v>
      </x:c>
      <x:c r="K2" s="25" t="str">
        <x:f>IF(A2="","",IF(COUNTIFS('Monthly Project Activity'!$A$2:$A$101,A2,'Monthly Project Activity'!$D$2:$D$101,B2,'Monthly Project Activity'!$F$2:$F$101,C2,'Monthly Project Activity'!$O$2:$O$101,"FX HOLD")&gt;0,"FX HOLD - PROVISIONAL USD",IF(COUNTIFS('Monthly Project Activity'!$A$2:$A$101,A2,'Monthly Project Activity'!$D$2:$D$101,B2,'Monthly Project Activity'!$F$2:$F$101,C2,'Monthly Project Activity'!$O$2:$O$101,"SOURCE REVIEW")&gt;0,"SOURCE REVIEW",IF(COUNTIFS('Monthly Project Activity'!$A$2:$A$101,A2,'Monthly Project Activity'!$D$2:$D$101,B2,'Monthly Project Activity'!$F$2:$F$101,C2,'Monthly Project Activity'!$O$2:$O$101,"APPROVED")&gt;0,"FX APPROVED (METADATA)","NO FX EXCEPTION"))))</x:f>
        <x:v>NO FX EXCEPTION</x:v>
      </x:c>
    </x:row>
    <x:row r="3">
      <x:c r="A3" t="str">
        <x:v>2026-09</x:v>
      </x:c>
      <x:c r="B3" t="str">
        <x:v>Strategic Services</x:v>
      </x:c>
      <x:c r="C3" t="str">
        <x:v>US</x:v>
      </x:c>
      <x:c r="D3" t="n">
        <x:f>SUMIFS('Monthly Project Activity'!$G$2:$G$101,'Monthly Project Activity'!$A$2:$A$101,$A3,'Monthly Project Activity'!$D$2:$D$101,$B3,'Monthly Project Activity'!$F$2:$F$101,$C3)</x:f>
        <x:v>0</x:v>
      </x:c>
      <x:c r="E3"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Register'!$M$2:$M$501,$A3)+COUNTIFS('Invoice Register'!$L$2:$L$501,"CANCELLED",'Invoice Register'!$M$2:$M$501,$A3)=0,"INVOICE DATA REQUIRED",SUMIFS('Invoice Register'!$N$2:$N$501,'Invoice Register'!$M$2:$M$501,$A3,'Invoice Register'!$E$2:$E$501,$B3,'Invoice Register'!$D$2:$D$501,$C3)))</x:f>
        <x:v>INVOICE DATA REQUIRED</x:v>
      </x:c>
      <x:c r="F3" s="52"/>
      <x:c r="G3" s="52"/>
      <x:c r="H3" t="n">
        <x:f>SUMIFS('Monthly Project Activity'!$K$2:$K$101,'Monthly Project Activity'!$A$2:$A$101,$A3,'Monthly Project Activity'!$D$2:$D$101,$B3,'Monthly Project Activity'!$F$2:$F$101,$C3)</x:f>
        <x:v>0</x:v>
      </x:c>
      <x:c r="I3" s="52"/>
      <x:c r="J3" t="str">
        <x:f>IF(COUNTIFS('Monthly Project Activity'!$A$2:$A$101,A3,'Monthly Project Activity'!$D$2:$D$101,B3,'Monthly Project Activity'!$F$2:$F$101,C3)=0,"NO ACTIVITY","ERP SUMMARY / REVIEW")</x:f>
        <x:v>NO ACTIVITY</x:v>
      </x:c>
      <x:c r="K3" s="25" t="str">
        <x:f>IF(A3="","",IF(COUNTIFS('Monthly Project Activity'!$A$2:$A$101,A3,'Monthly Project Activity'!$D$2:$D$101,B3,'Monthly Project Activity'!$F$2:$F$101,C3,'Monthly Project Activity'!$O$2:$O$101,"FX HOLD")&gt;0,"FX HOLD - PROVISIONAL USD",IF(COUNTIFS('Monthly Project Activity'!$A$2:$A$101,A3,'Monthly Project Activity'!$D$2:$D$101,B3,'Monthly Project Activity'!$F$2:$F$101,C3,'Monthly Project Activity'!$O$2:$O$101,"SOURCE REVIEW")&gt;0,"SOURCE REVIEW",IF(COUNTIFS('Monthly Project Activity'!$A$2:$A$101,A3,'Monthly Project Activity'!$D$2:$D$101,B3,'Monthly Project Activity'!$F$2:$F$101,C3,'Monthly Project Activity'!$O$2:$O$101,"APPROVED")&gt;0,"FX APPROVED (METADATA)","NO FX EXCEPTION"))))</x:f>
        <x:v>NO FX EXCEPTION</x:v>
      </x:c>
    </x:row>
    <x:row r="4">
      <x:c r="A4" t="str">
        <x:v>2026-09</x:v>
      </x:c>
      <x:c r="B4" t="str">
        <x:v>Brands</x:v>
      </x:c>
      <x:c r="C4" t="str">
        <x:v>MX</x:v>
      </x:c>
      <x:c r="D4" t="n">
        <x:f>SUMIFS('Monthly Project Activity'!$G$2:$G$101,'Monthly Project Activity'!$A$2:$A$101,$A4,'Monthly Project Activity'!$D$2:$D$101,$B4,'Monthly Project Activity'!$F$2:$F$101,$C4)</x:f>
        <x:v>41000</x:v>
      </x:c>
      <x:c r="E4"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Register'!$M$2:$M$501,$A4)+COUNTIFS('Invoice Register'!$L$2:$L$501,"CANCELLED",'Invoice Register'!$M$2:$M$501,$A4)=0,"INVOICE DATA REQUIRED",SUMIFS('Invoice Register'!$N$2:$N$501,'Invoice Register'!$M$2:$M$501,$A4,'Invoice Register'!$E$2:$E$501,$B4,'Invoice Register'!$D$2:$D$501,$C4)))</x:f>
        <x:v>INVOICE DATA REQUIRED</x:v>
      </x:c>
      <x:c r="F4" s="52"/>
      <x:c r="G4" s="52"/>
      <x:c r="H4" t="n">
        <x:f>SUMIFS('Monthly Project Activity'!$K$2:$K$101,'Monthly Project Activity'!$A$2:$A$101,$A4,'Monthly Project Activity'!$D$2:$D$101,$B4,'Monthly Project Activity'!$F$2:$F$101,$C4)</x:f>
        <x:v>18000</x:v>
      </x:c>
      <x:c r="I4" s="52"/>
      <x:c r="J4" t="str">
        <x:f>IF(COUNTIFS('Monthly Project Activity'!$A$2:$A$101,A4,'Monthly Project Activity'!$D$2:$D$101,B4,'Monthly Project Activity'!$F$2:$F$101,C4)=0,"NO ACTIVITY","ERP SUMMARY / REVIEW")</x:f>
        <x:v>ERP SUMMARY / REVIEW</x:v>
      </x:c>
      <x:c r="K4" s="25" t="str">
        <x:f>IF(A4="","",IF(COUNTIFS('Monthly Project Activity'!$A$2:$A$101,A4,'Monthly Project Activity'!$D$2:$D$101,B4,'Monthly Project Activity'!$F$2:$F$101,C4,'Monthly Project Activity'!$O$2:$O$101,"FX HOLD")&gt;0,"FX HOLD - PROVISIONAL USD",IF(COUNTIFS('Monthly Project Activity'!$A$2:$A$101,A4,'Monthly Project Activity'!$D$2:$D$101,B4,'Monthly Project Activity'!$F$2:$F$101,C4,'Monthly Project Activity'!$O$2:$O$101,"SOURCE REVIEW")&gt;0,"SOURCE REVIEW",IF(COUNTIFS('Monthly Project Activity'!$A$2:$A$101,A4,'Monthly Project Activity'!$D$2:$D$101,B4,'Monthly Project Activity'!$F$2:$F$101,C4,'Monthly Project Activity'!$O$2:$O$101,"APPROVED")&gt;0,"FX APPROVED (METADATA)","NO FX EXCEPTION"))))</x:f>
        <x:v>FX HOLD - PROVISIONAL USD</x:v>
      </x:c>
    </x:row>
    <x:row r="5">
      <x:c r="A5" t="str">
        <x:v>2026-09</x:v>
      </x:c>
      <x:c r="B5" t="str">
        <x:v>Brands</x:v>
      </x:c>
      <x:c r="C5" t="str">
        <x:v>US</x:v>
      </x:c>
      <x:c r="D5" t="n">
        <x:f>SUMIFS('Monthly Project Activity'!$G$2:$G$101,'Monthly Project Activity'!$A$2:$A$101,$A5,'Monthly Project Activity'!$D$2:$D$101,$B5,'Monthly Project Activity'!$F$2:$F$101,$C5)</x:f>
        <x:v>34000</x:v>
      </x:c>
      <x:c r="E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Register'!$M$2:$M$501,$A5)+COUNTIFS('Invoice Register'!$L$2:$L$501,"CANCELLED",'Invoice Register'!$M$2:$M$501,$A5)=0,"INVOICE DATA REQUIRED",SUMIFS('Invoice Register'!$N$2:$N$501,'Invoice Register'!$M$2:$M$501,$A5,'Invoice Register'!$E$2:$E$501,$B5,'Invoice Register'!$D$2:$D$501,$C5)))</x:f>
        <x:v>INVOICE DATA REQUIRED</x:v>
      </x:c>
      <x:c r="F5" s="52"/>
      <x:c r="G5" s="52"/>
      <x:c r="H5" t="n">
        <x:f>SUMIFS('Monthly Project Activity'!$K$2:$K$101,'Monthly Project Activity'!$A$2:$A$101,$A5,'Monthly Project Activity'!$D$2:$D$101,$B5,'Monthly Project Activity'!$F$2:$F$101,$C5)</x:f>
        <x:v>9000</x:v>
      </x:c>
      <x:c r="I5" s="52"/>
      <x:c r="J5" t="str">
        <x:f>IF(COUNTIFS('Monthly Project Activity'!$A$2:$A$101,A5,'Monthly Project Activity'!$D$2:$D$101,B5,'Monthly Project Activity'!$F$2:$F$101,C5)=0,"NO ACTIVITY","ERP SUMMARY / REVIEW")</x:f>
        <x:v>ERP SUMMARY / REVIEW</x:v>
      </x:c>
      <x:c r="K5" s="25" t="str">
        <x:f>IF(A5="","",IF(COUNTIFS('Monthly Project Activity'!$A$2:$A$101,A5,'Monthly Project Activity'!$D$2:$D$101,B5,'Monthly Project Activity'!$F$2:$F$101,C5,'Monthly Project Activity'!$O$2:$O$101,"FX HOLD")&gt;0,"FX HOLD - PROVISIONAL USD",IF(COUNTIFS('Monthly Project Activity'!$A$2:$A$101,A5,'Monthly Project Activity'!$D$2:$D$101,B5,'Monthly Project Activity'!$F$2:$F$101,C5,'Monthly Project Activity'!$O$2:$O$101,"SOURCE REVIEW")&gt;0,"SOURCE REVIEW",IF(COUNTIFS('Monthly Project Activity'!$A$2:$A$101,A5,'Monthly Project Activity'!$D$2:$D$101,B5,'Monthly Project Activity'!$F$2:$F$101,C5,'Monthly Project Activity'!$O$2:$O$101,"APPROVED")&gt;0,"FX APPROVED (METADATA)","NO FX EXCEPTION"))))</x:f>
        <x:v>NO FX EXCEPTION</x:v>
      </x:c>
    </x:row>
    <x:row r="6">
      <x:c r="A6" t="str">
        <x:v>2026-10</x:v>
      </x:c>
      <x:c r="B6" t="str">
        <x:v>Strategic Services</x:v>
      </x:c>
      <x:c r="C6" t="str">
        <x:v>MX</x:v>
      </x:c>
      <x:c r="D6" t="n">
        <x:f>SUMIFS('Monthly Project Activity'!$G$2:$G$101,'Monthly Project Activity'!$A$2:$A$101,$A6,'Monthly Project Activity'!$D$2:$D$101,$B6,'Monthly Project Activity'!$F$2:$F$101,$C6)</x:f>
        <x:v>24000</x:v>
      </x:c>
      <x:c r="E6"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Register'!$M$2:$M$501,$A6)+COUNTIFS('Invoice Register'!$L$2:$L$501,"CANCELLED",'Invoice Register'!$M$2:$M$501,$A6)=0,"INVOICE DATA REQUIRED",SUMIFS('Invoice Register'!$N$2:$N$501,'Invoice Register'!$M$2:$M$501,$A6,'Invoice Register'!$E$2:$E$501,$B6,'Invoice Register'!$D$2:$D$501,$C6)))</x:f>
        <x:v>INVOICE DATA REQUIRED</x:v>
      </x:c>
      <x:c r="F6" s="52"/>
      <x:c r="G6" s="52"/>
      <x:c r="H6" t="n">
        <x:f>SUMIFS('Monthly Project Activity'!$K$2:$K$101,'Monthly Project Activity'!$A$2:$A$101,$A6,'Monthly Project Activity'!$D$2:$D$101,$B6,'Monthly Project Activity'!$F$2:$F$101,$C6)</x:f>
        <x:v>20000</x:v>
      </x:c>
      <x:c r="I6" s="52"/>
      <x:c r="J6" t="str">
        <x:f>IF(COUNTIFS('Monthly Project Activity'!$A$2:$A$101,A6,'Monthly Project Activity'!$D$2:$D$101,B6,'Monthly Project Activity'!$F$2:$F$101,C6)=0,"NO ACTIVITY","ERP SUMMARY / REVIEW")</x:f>
        <x:v>ERP SUMMARY / REVIEW</x:v>
      </x:c>
      <x:c r="K6" s="25" t="str">
        <x:f>IF(A6="","",IF(COUNTIFS('Monthly Project Activity'!$A$2:$A$101,A6,'Monthly Project Activity'!$D$2:$D$101,B6,'Monthly Project Activity'!$F$2:$F$101,C6,'Monthly Project Activity'!$O$2:$O$101,"FX HOLD")&gt;0,"FX HOLD - PROVISIONAL USD",IF(COUNTIFS('Monthly Project Activity'!$A$2:$A$101,A6,'Monthly Project Activity'!$D$2:$D$101,B6,'Monthly Project Activity'!$F$2:$F$101,C6,'Monthly Project Activity'!$O$2:$O$101,"SOURCE REVIEW")&gt;0,"SOURCE REVIEW",IF(COUNTIFS('Monthly Project Activity'!$A$2:$A$101,A6,'Monthly Project Activity'!$D$2:$D$101,B6,'Monthly Project Activity'!$F$2:$F$101,C6,'Monthly Project Activity'!$O$2:$O$101,"APPROVED")&gt;0,"FX APPROVED (METADATA)","NO FX EXCEPTION"))))</x:f>
        <x:v>NO FX EXCEPTION</x:v>
      </x:c>
    </x:row>
    <x:row r="7">
      <x:c r="A7" t="str">
        <x:v>2026-10</x:v>
      </x:c>
      <x:c r="B7" t="str">
        <x:v>Strategic Services</x:v>
      </x:c>
      <x:c r="C7" t="str">
        <x:v>US</x:v>
      </x:c>
      <x:c r="D7" t="n">
        <x:f>SUMIFS('Monthly Project Activity'!$G$2:$G$101,'Monthly Project Activity'!$A$2:$A$101,$A7,'Monthly Project Activity'!$D$2:$D$101,$B7,'Monthly Project Activity'!$F$2:$F$101,$C7)</x:f>
        <x:v>0</x:v>
      </x:c>
      <x:c r="E7"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Register'!$M$2:$M$501,$A7)+COUNTIFS('Invoice Register'!$L$2:$L$501,"CANCELLED",'Invoice Register'!$M$2:$M$501,$A7)=0,"INVOICE DATA REQUIRED",SUMIFS('Invoice Register'!$N$2:$N$501,'Invoice Register'!$M$2:$M$501,$A7,'Invoice Register'!$E$2:$E$501,$B7,'Invoice Register'!$D$2:$D$501,$C7)))</x:f>
        <x:v>INVOICE DATA REQUIRED</x:v>
      </x:c>
      <x:c r="F7" s="52"/>
      <x:c r="G7" s="52"/>
      <x:c r="H7" t="n">
        <x:f>SUMIFS('Monthly Project Activity'!$K$2:$K$101,'Monthly Project Activity'!$A$2:$A$101,$A7,'Monthly Project Activity'!$D$2:$D$101,$B7,'Monthly Project Activity'!$F$2:$F$101,$C7)</x:f>
        <x:v>0</x:v>
      </x:c>
      <x:c r="I7" s="52"/>
      <x:c r="J7" t="str">
        <x:f>IF(COUNTIFS('Monthly Project Activity'!$A$2:$A$101,A7,'Monthly Project Activity'!$D$2:$D$101,B7,'Monthly Project Activity'!$F$2:$F$101,C7)=0,"NO ACTIVITY","ERP SUMMARY / REVIEW")</x:f>
        <x:v>NO ACTIVITY</x:v>
      </x:c>
      <x:c r="K7" s="25" t="str">
        <x:f>IF(A7="","",IF(COUNTIFS('Monthly Project Activity'!$A$2:$A$101,A7,'Monthly Project Activity'!$D$2:$D$101,B7,'Monthly Project Activity'!$F$2:$F$101,C7,'Monthly Project Activity'!$O$2:$O$101,"FX HOLD")&gt;0,"FX HOLD - PROVISIONAL USD",IF(COUNTIFS('Monthly Project Activity'!$A$2:$A$101,A7,'Monthly Project Activity'!$D$2:$D$101,B7,'Monthly Project Activity'!$F$2:$F$101,C7,'Monthly Project Activity'!$O$2:$O$101,"SOURCE REVIEW")&gt;0,"SOURCE REVIEW",IF(COUNTIFS('Monthly Project Activity'!$A$2:$A$101,A7,'Monthly Project Activity'!$D$2:$D$101,B7,'Monthly Project Activity'!$F$2:$F$101,C7,'Monthly Project Activity'!$O$2:$O$101,"APPROVED")&gt;0,"FX APPROVED (METADATA)","NO FX EXCEPTION"))))</x:f>
        <x:v>NO FX EXCEPTION</x:v>
      </x:c>
    </x:row>
    <x:row r="8">
      <x:c r="A8" t="str">
        <x:v>2026-10</x:v>
      </x:c>
      <x:c r="B8" t="str">
        <x:v>Brands</x:v>
      </x:c>
      <x:c r="C8" t="str">
        <x:v>MX</x:v>
      </x:c>
      <x:c r="D8" t="n">
        <x:f>SUMIFS('Monthly Project Activity'!$G$2:$G$101,'Monthly Project Activity'!$A$2:$A$101,$A8,'Monthly Project Activity'!$D$2:$D$101,$B8,'Monthly Project Activity'!$F$2:$F$101,$C8)</x:f>
        <x:v>0</x:v>
      </x:c>
      <x:c r="E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Register'!$M$2:$M$501,$A8)+COUNTIFS('Invoice Register'!$L$2:$L$501,"CANCELLED",'Invoice Register'!$M$2:$M$501,$A8)=0,"INVOICE DATA REQUIRED",SUMIFS('Invoice Register'!$N$2:$N$501,'Invoice Register'!$M$2:$M$501,$A8,'Invoice Register'!$E$2:$E$501,$B8,'Invoice Register'!$D$2:$D$501,$C8)))</x:f>
        <x:v>INVOICE DATA REQUIRED</x:v>
      </x:c>
      <x:c r="F8" s="52"/>
      <x:c r="G8" s="52"/>
      <x:c r="H8" t="n">
        <x:f>SUMIFS('Monthly Project Activity'!$K$2:$K$101,'Monthly Project Activity'!$A$2:$A$101,$A8,'Monthly Project Activity'!$D$2:$D$101,$B8,'Monthly Project Activity'!$F$2:$F$101,$C8)</x:f>
        <x:v>11000</x:v>
      </x:c>
      <x:c r="I8" s="52"/>
      <x:c r="J8" t="str">
        <x:f>IF(COUNTIFS('Monthly Project Activity'!$A$2:$A$101,A8,'Monthly Project Activity'!$D$2:$D$101,B8,'Monthly Project Activity'!$F$2:$F$101,C8)=0,"NO ACTIVITY","ERP SUMMARY / REVIEW")</x:f>
        <x:v>ERP SUMMARY / REVIEW</x:v>
      </x:c>
      <x:c r="K8" s="25" t="str">
        <x:f>IF(A8="","",IF(COUNTIFS('Monthly Project Activity'!$A$2:$A$101,A8,'Monthly Project Activity'!$D$2:$D$101,B8,'Monthly Project Activity'!$F$2:$F$101,C8,'Monthly Project Activity'!$O$2:$O$101,"FX HOLD")&gt;0,"FX HOLD - PROVISIONAL USD",IF(COUNTIFS('Monthly Project Activity'!$A$2:$A$101,A8,'Monthly Project Activity'!$D$2:$D$101,B8,'Monthly Project Activity'!$F$2:$F$101,C8,'Monthly Project Activity'!$O$2:$O$101,"SOURCE REVIEW")&gt;0,"SOURCE REVIEW",IF(COUNTIFS('Monthly Project Activity'!$A$2:$A$101,A8,'Monthly Project Activity'!$D$2:$D$101,B8,'Monthly Project Activity'!$F$2:$F$101,C8,'Monthly Project Activity'!$O$2:$O$101,"APPROVED")&gt;0,"FX APPROVED (METADATA)","NO FX EXCEPTION"))))</x:f>
        <x:v>FX HOLD - PROVISIONAL USD</x:v>
      </x:c>
    </x:row>
    <x:row r="9">
      <x:c r="A9" t="str">
        <x:v>2026-10</x:v>
      </x:c>
      <x:c r="B9" t="str">
        <x:v>Brands</x:v>
      </x:c>
      <x:c r="C9" t="str">
        <x:v>US</x:v>
      </x:c>
      <x:c r="D9" t="n">
        <x:f>SUMIFS('Monthly Project Activity'!$G$2:$G$101,'Monthly Project Activity'!$A$2:$A$101,$A9,'Monthly Project Activity'!$D$2:$D$101,$B9,'Monthly Project Activity'!$F$2:$F$101,$C9)</x:f>
        <x:v>0</x:v>
      </x:c>
      <x:c r="E9"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Register'!$M$2:$M$501,$A9)+COUNTIFS('Invoice Register'!$L$2:$L$501,"CANCELLED",'Invoice Register'!$M$2:$M$501,$A9)=0,"INVOICE DATA REQUIRED",SUMIFS('Invoice Register'!$N$2:$N$501,'Invoice Register'!$M$2:$M$501,$A9,'Invoice Register'!$E$2:$E$501,$B9,'Invoice Register'!$D$2:$D$501,$C9)))</x:f>
        <x:v>INVOICE DATA REQUIRED</x:v>
      </x:c>
      <x:c r="F9" s="52"/>
      <x:c r="G9" s="52"/>
      <x:c r="H9" t="n">
        <x:f>SUMIFS('Monthly Project Activity'!$K$2:$K$101,'Monthly Project Activity'!$A$2:$A$101,$A9,'Monthly Project Activity'!$D$2:$D$101,$B9,'Monthly Project Activity'!$F$2:$F$101,$C9)</x:f>
        <x:v>12000</x:v>
      </x:c>
      <x:c r="I9" s="52"/>
      <x:c r="J9" t="str">
        <x:f>IF(COUNTIFS('Monthly Project Activity'!$A$2:$A$101,A9,'Monthly Project Activity'!$D$2:$D$101,B9,'Monthly Project Activity'!$F$2:$F$101,C9)=0,"NO ACTIVITY","ERP SUMMARY / REVIEW")</x:f>
        <x:v>ERP SUMMARY / REVIEW</x:v>
      </x:c>
      <x:c r="K9" s="25" t="str">
        <x:f>IF(A9="","",IF(COUNTIFS('Monthly Project Activity'!$A$2:$A$101,A9,'Monthly Project Activity'!$D$2:$D$101,B9,'Monthly Project Activity'!$F$2:$F$101,C9,'Monthly Project Activity'!$O$2:$O$101,"FX HOLD")&gt;0,"FX HOLD - PROVISIONAL USD",IF(COUNTIFS('Monthly Project Activity'!$A$2:$A$101,A9,'Monthly Project Activity'!$D$2:$D$101,B9,'Monthly Project Activity'!$F$2:$F$101,C9,'Monthly Project Activity'!$O$2:$O$101,"SOURCE REVIEW")&gt;0,"SOURCE REVIEW",IF(COUNTIFS('Monthly Project Activity'!$A$2:$A$101,A9,'Monthly Project Activity'!$D$2:$D$101,B9,'Monthly Project Activity'!$F$2:$F$101,C9,'Monthly Project Activity'!$O$2:$O$101,"APPROVED")&gt;0,"FX APPROVED (METADATA)","NO FX EXCEPTION"))))</x:f>
        <x:v>NO FX EXCEPTION</x:v>
      </x:c>
    </x:row>
    <x:row r="10">
      <x:c r="K10" s="25" t="str">
        <x:f>IF(A10="","",IF(COUNTIFS('Monthly Project Activity'!$A$2:$A$101,A10,'Monthly Project Activity'!$D$2:$D$101,B10,'Monthly Project Activity'!$F$2:$F$101,C10,'Monthly Project Activity'!$O$2:$O$101,"FX HOLD")&gt;0,"FX HOLD - PROVISIONAL USD",IF(COUNTIFS('Monthly Project Activity'!$A$2:$A$101,A10,'Monthly Project Activity'!$D$2:$D$101,B10,'Monthly Project Activity'!$F$2:$F$101,C10,'Monthly Project Activity'!$O$2:$O$101,"SOURCE REVIEW")&gt;0,"SOURCE REVIEW",IF(COUNTIFS('Monthly Project Activity'!$A$2:$A$101,A10,'Monthly Project Activity'!$D$2:$D$101,B10,'Monthly Project Activity'!$F$2:$F$101,C10,'Monthly Project Activity'!$O$2:$O$101,"APPROVED")&gt;0,"FX APPROVED (METADATA)","NO FX EXCEPTION"))))</x:f>
      </x:c>
    </x:row>
    <x:row r="11">
      <x:c r="K11" s="25" t="str">
        <x:f>IF(A11="","",IF(COUNTIFS('Monthly Project Activity'!$A$2:$A$101,A11,'Monthly Project Activity'!$D$2:$D$101,B11,'Monthly Project Activity'!$F$2:$F$101,C11,'Monthly Project Activity'!$O$2:$O$101,"FX HOLD")&gt;0,"FX HOLD - PROVISIONAL USD",IF(COUNTIFS('Monthly Project Activity'!$A$2:$A$101,A11,'Monthly Project Activity'!$D$2:$D$101,B11,'Monthly Project Activity'!$F$2:$F$101,C11,'Monthly Project Activity'!$O$2:$O$101,"SOURCE REVIEW")&gt;0,"SOURCE REVIEW",IF(COUNTIFS('Monthly Project Activity'!$A$2:$A$101,A11,'Monthly Project Activity'!$D$2:$D$101,B11,'Monthly Project Activity'!$F$2:$F$101,C11,'Monthly Project Activity'!$O$2:$O$101,"APPROVED")&gt;0,"FX APPROVED (METADATA)","NO FX EXCEPTION"))))</x:f>
      </x:c>
    </x:row>
    <x:row r="12">
      <x:c r="K12" s="25" t="str">
        <x:f>IF(A12="","",IF(COUNTIFS('Monthly Project Activity'!$A$2:$A$101,A12,'Monthly Project Activity'!$D$2:$D$101,B12,'Monthly Project Activity'!$F$2:$F$101,C12,'Monthly Project Activity'!$O$2:$O$101,"FX HOLD")&gt;0,"FX HOLD - PROVISIONAL USD",IF(COUNTIFS('Monthly Project Activity'!$A$2:$A$101,A12,'Monthly Project Activity'!$D$2:$D$101,B12,'Monthly Project Activity'!$F$2:$F$101,C12,'Monthly Project Activity'!$O$2:$O$101,"SOURCE REVIEW")&gt;0,"SOURCE REVIEW",IF(COUNTIFS('Monthly Project Activity'!$A$2:$A$101,A12,'Monthly Project Activity'!$D$2:$D$101,B12,'Monthly Project Activity'!$F$2:$F$101,C12,'Monthly Project Activity'!$O$2:$O$101,"APPROVED")&gt;0,"FX APPROVED (METADATA)","NO FX EXCEPTION"))))</x:f>
      </x:c>
    </x:row>
    <x:row r="13">
      <x:c r="K13" s="25" t="str">
        <x:f>IF(A13="","",IF(COUNTIFS('Monthly Project Activity'!$A$2:$A$101,A13,'Monthly Project Activity'!$D$2:$D$101,B13,'Monthly Project Activity'!$F$2:$F$101,C13,'Monthly Project Activity'!$O$2:$O$101,"FX HOLD")&gt;0,"FX HOLD - PROVISIONAL USD",IF(COUNTIFS('Monthly Project Activity'!$A$2:$A$101,A13,'Monthly Project Activity'!$D$2:$D$101,B13,'Monthly Project Activity'!$F$2:$F$101,C13,'Monthly Project Activity'!$O$2:$O$101,"SOURCE REVIEW")&gt;0,"SOURCE REVIEW",IF(COUNTIFS('Monthly Project Activity'!$A$2:$A$101,A13,'Monthly Project Activity'!$D$2:$D$101,B13,'Monthly Project Activity'!$F$2:$F$101,C13,'Monthly Project Activity'!$O$2:$O$101,"APPROVED")&gt;0,"FX APPROVED (METADATA)","NO FX EXCEPTION"))))</x:f>
      </x:c>
    </x:row>
    <x:row r="14">
      <x:c r="K14" s="25" t="str">
        <x:f>IF(A14="","",IF(COUNTIFS('Monthly Project Activity'!$A$2:$A$101,A14,'Monthly Project Activity'!$D$2:$D$101,B14,'Monthly Project Activity'!$F$2:$F$101,C14,'Monthly Project Activity'!$O$2:$O$101,"FX HOLD")&gt;0,"FX HOLD - PROVISIONAL USD",IF(COUNTIFS('Monthly Project Activity'!$A$2:$A$101,A14,'Monthly Project Activity'!$D$2:$D$101,B14,'Monthly Project Activity'!$F$2:$F$101,C14,'Monthly Project Activity'!$O$2:$O$101,"SOURCE REVIEW")&gt;0,"SOURCE REVIEW",IF(COUNTIFS('Monthly Project Activity'!$A$2:$A$101,A14,'Monthly Project Activity'!$D$2:$D$101,B14,'Monthly Project Activity'!$F$2:$F$101,C14,'Monthly Project Activity'!$O$2:$O$101,"APPROVED")&gt;0,"FX APPROVED (METADATA)","NO FX EXCEPTION"))))</x:f>
      </x:c>
    </x:row>
    <x:row r="15">
      <x:c r="K15" s="25" t="str">
        <x:f>IF(A15="","",IF(COUNTIFS('Monthly Project Activity'!$A$2:$A$101,A15,'Monthly Project Activity'!$D$2:$D$101,B15,'Monthly Project Activity'!$F$2:$F$101,C15,'Monthly Project Activity'!$O$2:$O$101,"FX HOLD")&gt;0,"FX HOLD - PROVISIONAL USD",IF(COUNTIFS('Monthly Project Activity'!$A$2:$A$101,A15,'Monthly Project Activity'!$D$2:$D$101,B15,'Monthly Project Activity'!$F$2:$F$101,C15,'Monthly Project Activity'!$O$2:$O$101,"SOURCE REVIEW")&gt;0,"SOURCE REVIEW",IF(COUNTIFS('Monthly Project Activity'!$A$2:$A$101,A15,'Monthly Project Activity'!$D$2:$D$101,B15,'Monthly Project Activity'!$F$2:$F$101,C15,'Monthly Project Activity'!$O$2:$O$101,"APPROVED")&gt;0,"FX APPROVED (METADATA)","NO FX EXCEPTION"))))</x:f>
      </x:c>
    </x:row>
    <x:row r="16">
      <x:c r="K16" s="25" t="str">
        <x:f>IF(A16="","",IF(COUNTIFS('Monthly Project Activity'!$A$2:$A$101,A16,'Monthly Project Activity'!$D$2:$D$101,B16,'Monthly Project Activity'!$F$2:$F$101,C16,'Monthly Project Activity'!$O$2:$O$101,"FX HOLD")&gt;0,"FX HOLD - PROVISIONAL USD",IF(COUNTIFS('Monthly Project Activity'!$A$2:$A$101,A16,'Monthly Project Activity'!$D$2:$D$101,B16,'Monthly Project Activity'!$F$2:$F$101,C16,'Monthly Project Activity'!$O$2:$O$101,"SOURCE REVIEW")&gt;0,"SOURCE REVIEW",IF(COUNTIFS('Monthly Project Activity'!$A$2:$A$101,A16,'Monthly Project Activity'!$D$2:$D$101,B16,'Monthly Project Activity'!$F$2:$F$101,C16,'Monthly Project Activity'!$O$2:$O$101,"APPROVED")&gt;0,"FX APPROVED (METADATA)","NO FX EXCEPTION"))))</x:f>
      </x:c>
    </x:row>
    <x:row r="17">
      <x:c r="K17" s="25" t="str">
        <x:f>IF(A17="","",IF(COUNTIFS('Monthly Project Activity'!$A$2:$A$101,A17,'Monthly Project Activity'!$D$2:$D$101,B17,'Monthly Project Activity'!$F$2:$F$101,C17,'Monthly Project Activity'!$O$2:$O$101,"FX HOLD")&gt;0,"FX HOLD - PROVISIONAL USD",IF(COUNTIFS('Monthly Project Activity'!$A$2:$A$101,A17,'Monthly Project Activity'!$D$2:$D$101,B17,'Monthly Project Activity'!$F$2:$F$101,C17,'Monthly Project Activity'!$O$2:$O$101,"SOURCE REVIEW")&gt;0,"SOURCE REVIEW",IF(COUNTIFS('Monthly Project Activity'!$A$2:$A$101,A17,'Monthly Project Activity'!$D$2:$D$101,B17,'Monthly Project Activity'!$F$2:$F$101,C17,'Monthly Project Activity'!$O$2:$O$101,"APPROVED")&gt;0,"FX APPROVED (METADATA)","NO FX EXCEPTION"))))</x:f>
      </x:c>
    </x:row>
    <x:row r="18">
      <x:c r="K18" s="25" t="str">
        <x:f>IF(A18="","",IF(COUNTIFS('Monthly Project Activity'!$A$2:$A$101,A18,'Monthly Project Activity'!$D$2:$D$101,B18,'Monthly Project Activity'!$F$2:$F$101,C18,'Monthly Project Activity'!$O$2:$O$101,"FX HOLD")&gt;0,"FX HOLD - PROVISIONAL USD",IF(COUNTIFS('Monthly Project Activity'!$A$2:$A$101,A18,'Monthly Project Activity'!$D$2:$D$101,B18,'Monthly Project Activity'!$F$2:$F$101,C18,'Monthly Project Activity'!$O$2:$O$101,"SOURCE REVIEW")&gt;0,"SOURCE REVIEW",IF(COUNTIFS('Monthly Project Activity'!$A$2:$A$101,A18,'Monthly Project Activity'!$D$2:$D$101,B18,'Monthly Project Activity'!$F$2:$F$101,C18,'Monthly Project Activity'!$O$2:$O$101,"APPROVED")&gt;0,"FX APPROVED (METADATA)","NO FX EXCEPTION"))))</x:f>
      </x:c>
    </x:row>
    <x:row r="19">
      <x:c r="K19" s="25" t="str">
        <x:f>IF(A19="","",IF(COUNTIFS('Monthly Project Activity'!$A$2:$A$101,A19,'Monthly Project Activity'!$D$2:$D$101,B19,'Monthly Project Activity'!$F$2:$F$101,C19,'Monthly Project Activity'!$O$2:$O$101,"FX HOLD")&gt;0,"FX HOLD - PROVISIONAL USD",IF(COUNTIFS('Monthly Project Activity'!$A$2:$A$101,A19,'Monthly Project Activity'!$D$2:$D$101,B19,'Monthly Project Activity'!$F$2:$F$101,C19,'Monthly Project Activity'!$O$2:$O$101,"SOURCE REVIEW")&gt;0,"SOURCE REVIEW",IF(COUNTIFS('Monthly Project Activity'!$A$2:$A$101,A19,'Monthly Project Activity'!$D$2:$D$101,B19,'Monthly Project Activity'!$F$2:$F$101,C19,'Monthly Project Activity'!$O$2:$O$101,"APPROVED")&gt;0,"FX APPROVED (METADATA)","NO FX EXCEPTION"))))</x:f>
      </x:c>
    </x:row>
    <x:row r="20">
      <x:c r="K20" s="25" t="str">
        <x:f>IF(A20="","",IF(COUNTIFS('Monthly Project Activity'!$A$2:$A$101,A20,'Monthly Project Activity'!$D$2:$D$101,B20,'Monthly Project Activity'!$F$2:$F$101,C20,'Monthly Project Activity'!$O$2:$O$101,"FX HOLD")&gt;0,"FX HOLD - PROVISIONAL USD",IF(COUNTIFS('Monthly Project Activity'!$A$2:$A$101,A20,'Monthly Project Activity'!$D$2:$D$101,B20,'Monthly Project Activity'!$F$2:$F$101,C20,'Monthly Project Activity'!$O$2:$O$101,"SOURCE REVIEW")&gt;0,"SOURCE REVIEW",IF(COUNTIFS('Monthly Project Activity'!$A$2:$A$101,A20,'Monthly Project Activity'!$D$2:$D$101,B20,'Monthly Project Activity'!$F$2:$F$101,C20,'Monthly Project Activity'!$O$2:$O$101,"APPROVED")&gt;0,"FX APPROVED (METADATA)","NO FX EXCEPTION"))))</x:f>
      </x:c>
    </x:row>
    <x:row r="21">
      <x:c r="K21" s="25" t="str">
        <x:f>IF(A21="","",IF(COUNTIFS('Monthly Project Activity'!$A$2:$A$101,A21,'Monthly Project Activity'!$D$2:$D$101,B21,'Monthly Project Activity'!$F$2:$F$101,C21,'Monthly Project Activity'!$O$2:$O$101,"FX HOLD")&gt;0,"FX HOLD - PROVISIONAL USD",IF(COUNTIFS('Monthly Project Activity'!$A$2:$A$101,A21,'Monthly Project Activity'!$D$2:$D$101,B21,'Monthly Project Activity'!$F$2:$F$101,C21,'Monthly Project Activity'!$O$2:$O$101,"SOURCE REVIEW")&gt;0,"SOURCE REVIEW",IF(COUNTIFS('Monthly Project Activity'!$A$2:$A$101,A21,'Monthly Project Activity'!$D$2:$D$101,B21,'Monthly Project Activity'!$F$2:$F$101,C21,'Monthly Project Activity'!$O$2:$O$101,"APPROVED")&gt;0,"FX APPROVED (METADATA)","NO FX EXCEPTION"))))</x:f>
      </x:c>
    </x:row>
    <x:row r="22">
      <x:c r="K22" s="25" t="str">
        <x:f>IF(A22="","",IF(COUNTIFS('Monthly Project Activity'!$A$2:$A$101,A22,'Monthly Project Activity'!$D$2:$D$101,B22,'Monthly Project Activity'!$F$2:$F$101,C22,'Monthly Project Activity'!$O$2:$O$101,"FX HOLD")&gt;0,"FX HOLD - PROVISIONAL USD",IF(COUNTIFS('Monthly Project Activity'!$A$2:$A$101,A22,'Monthly Project Activity'!$D$2:$D$101,B22,'Monthly Project Activity'!$F$2:$F$101,C22,'Monthly Project Activity'!$O$2:$O$101,"SOURCE REVIEW")&gt;0,"SOURCE REVIEW",IF(COUNTIFS('Monthly Project Activity'!$A$2:$A$101,A22,'Monthly Project Activity'!$D$2:$D$101,B22,'Monthly Project Activity'!$F$2:$F$101,C22,'Monthly Project Activity'!$O$2:$O$101,"APPROVED")&gt;0,"FX APPROVED (METADATA)","NO FX EXCEPTION"))))</x:f>
      </x:c>
    </x:row>
    <x:row r="23">
      <x:c r="K23" s="25" t="str">
        <x:f>IF(A23="","",IF(COUNTIFS('Monthly Project Activity'!$A$2:$A$101,A23,'Monthly Project Activity'!$D$2:$D$101,B23,'Monthly Project Activity'!$F$2:$F$101,C23,'Monthly Project Activity'!$O$2:$O$101,"FX HOLD")&gt;0,"FX HOLD - PROVISIONAL USD",IF(COUNTIFS('Monthly Project Activity'!$A$2:$A$101,A23,'Monthly Project Activity'!$D$2:$D$101,B23,'Monthly Project Activity'!$F$2:$F$101,C23,'Monthly Project Activity'!$O$2:$O$101,"SOURCE REVIEW")&gt;0,"SOURCE REVIEW",IF(COUNTIFS('Monthly Project Activity'!$A$2:$A$101,A23,'Monthly Project Activity'!$D$2:$D$101,B23,'Monthly Project Activity'!$F$2:$F$101,C23,'Monthly Project Activity'!$O$2:$O$101,"APPROVED")&gt;0,"FX APPROVED (METADATA)","NO FX EXCEPTION"))))</x:f>
      </x:c>
    </x:row>
    <x:row r="24">
      <x:c r="K24" s="25" t="str">
        <x:f>IF(A24="","",IF(COUNTIFS('Monthly Project Activity'!$A$2:$A$101,A24,'Monthly Project Activity'!$D$2:$D$101,B24,'Monthly Project Activity'!$F$2:$F$101,C24,'Monthly Project Activity'!$O$2:$O$101,"FX HOLD")&gt;0,"FX HOLD - PROVISIONAL USD",IF(COUNTIFS('Monthly Project Activity'!$A$2:$A$101,A24,'Monthly Project Activity'!$D$2:$D$101,B24,'Monthly Project Activity'!$F$2:$F$101,C24,'Monthly Project Activity'!$O$2:$O$101,"SOURCE REVIEW")&gt;0,"SOURCE REVIEW",IF(COUNTIFS('Monthly Project Activity'!$A$2:$A$101,A24,'Monthly Project Activity'!$D$2:$D$101,B24,'Monthly Project Activity'!$F$2:$F$101,C24,'Monthly Project Activity'!$O$2:$O$101,"APPROVED")&gt;0,"FX APPROVED (METADATA)","NO FX EXCEPTION"))))</x:f>
      </x:c>
    </x:row>
    <x:row r="25">
      <x:c r="K25" s="25" t="str">
        <x:f>IF(A25="","",IF(COUNTIFS('Monthly Project Activity'!$A$2:$A$101,A25,'Monthly Project Activity'!$D$2:$D$101,B25,'Monthly Project Activity'!$F$2:$F$101,C25,'Monthly Project Activity'!$O$2:$O$101,"FX HOLD")&gt;0,"FX HOLD - PROVISIONAL USD",IF(COUNTIFS('Monthly Project Activity'!$A$2:$A$101,A25,'Monthly Project Activity'!$D$2:$D$101,B25,'Monthly Project Activity'!$F$2:$F$101,C25,'Monthly Project Activity'!$O$2:$O$101,"SOURCE REVIEW")&gt;0,"SOURCE REVIEW",IF(COUNTIFS('Monthly Project Activity'!$A$2:$A$101,A25,'Monthly Project Activity'!$D$2:$D$101,B25,'Monthly Project Activity'!$F$2:$F$101,C25,'Monthly Project Activity'!$O$2:$O$101,"APPROVED")&gt;0,"FX APPROVED (METADATA)","NO FX EXCEPTION"))))</x:f>
      </x:c>
    </x:row>
    <x:row r="26">
      <x:c r="K26" s="25" t="str">
        <x:f>IF(A26="","",IF(COUNTIFS('Monthly Project Activity'!$A$2:$A$101,A26,'Monthly Project Activity'!$D$2:$D$101,B26,'Monthly Project Activity'!$F$2:$F$101,C26,'Monthly Project Activity'!$O$2:$O$101,"FX HOLD")&gt;0,"FX HOLD - PROVISIONAL USD",IF(COUNTIFS('Monthly Project Activity'!$A$2:$A$101,A26,'Monthly Project Activity'!$D$2:$D$101,B26,'Monthly Project Activity'!$F$2:$F$101,C26,'Monthly Project Activity'!$O$2:$O$101,"SOURCE REVIEW")&gt;0,"SOURCE REVIEW",IF(COUNTIFS('Monthly Project Activity'!$A$2:$A$101,A26,'Monthly Project Activity'!$D$2:$D$101,B26,'Monthly Project Activity'!$F$2:$F$101,C26,'Monthly Project Activity'!$O$2:$O$101,"APPROVED")&gt;0,"FX APPROVED (METADATA)","NO FX EXCEPTION"))))</x:f>
      </x:c>
    </x:row>
    <x:row r="27">
      <x:c r="K27" s="25" t="str">
        <x:f>IF(A27="","",IF(COUNTIFS('Monthly Project Activity'!$A$2:$A$101,A27,'Monthly Project Activity'!$D$2:$D$101,B27,'Monthly Project Activity'!$F$2:$F$101,C27,'Monthly Project Activity'!$O$2:$O$101,"FX HOLD")&gt;0,"FX HOLD - PROVISIONAL USD",IF(COUNTIFS('Monthly Project Activity'!$A$2:$A$101,A27,'Monthly Project Activity'!$D$2:$D$101,B27,'Monthly Project Activity'!$F$2:$F$101,C27,'Monthly Project Activity'!$O$2:$O$101,"SOURCE REVIEW")&gt;0,"SOURCE REVIEW",IF(COUNTIFS('Monthly Project Activity'!$A$2:$A$101,A27,'Monthly Project Activity'!$D$2:$D$101,B27,'Monthly Project Activity'!$F$2:$F$101,C27,'Monthly Project Activity'!$O$2:$O$101,"APPROVED")&gt;0,"FX APPROVED (METADATA)","NO FX EXCEPTION"))))</x:f>
      </x:c>
    </x:row>
    <x:row r="28">
      <x:c r="K28" s="25" t="str">
        <x:f>IF(A28="","",IF(COUNTIFS('Monthly Project Activity'!$A$2:$A$101,A28,'Monthly Project Activity'!$D$2:$D$101,B28,'Monthly Project Activity'!$F$2:$F$101,C28,'Monthly Project Activity'!$O$2:$O$101,"FX HOLD")&gt;0,"FX HOLD - PROVISIONAL USD",IF(COUNTIFS('Monthly Project Activity'!$A$2:$A$101,A28,'Monthly Project Activity'!$D$2:$D$101,B28,'Monthly Project Activity'!$F$2:$F$101,C28,'Monthly Project Activity'!$O$2:$O$101,"SOURCE REVIEW")&gt;0,"SOURCE REVIEW",IF(COUNTIFS('Monthly Project Activity'!$A$2:$A$101,A28,'Monthly Project Activity'!$D$2:$D$101,B28,'Monthly Project Activity'!$F$2:$F$101,C28,'Monthly Project Activity'!$O$2:$O$101,"APPROVED")&gt;0,"FX APPROVED (METADATA)","NO FX EXCEPTION"))))</x:f>
      </x:c>
    </x:row>
    <x:row r="29">
      <x:c r="K29" s="25" t="str">
        <x:f>IF(A29="","",IF(COUNTIFS('Monthly Project Activity'!$A$2:$A$101,A29,'Monthly Project Activity'!$D$2:$D$101,B29,'Monthly Project Activity'!$F$2:$F$101,C29,'Monthly Project Activity'!$O$2:$O$101,"FX HOLD")&gt;0,"FX HOLD - PROVISIONAL USD",IF(COUNTIFS('Monthly Project Activity'!$A$2:$A$101,A29,'Monthly Project Activity'!$D$2:$D$101,B29,'Monthly Project Activity'!$F$2:$F$101,C29,'Monthly Project Activity'!$O$2:$O$101,"SOURCE REVIEW")&gt;0,"SOURCE REVIEW",IF(COUNTIFS('Monthly Project Activity'!$A$2:$A$101,A29,'Monthly Project Activity'!$D$2:$D$101,B29,'Monthly Project Activity'!$F$2:$F$101,C29,'Monthly Project Activity'!$O$2:$O$101,"APPROVED")&gt;0,"FX APPROVED (METADATA)","NO FX EXCEPTION"))))</x:f>
      </x:c>
    </x:row>
    <x:row r="30">
      <x:c r="K30" s="25" t="str">
        <x:f>IF(A30="","",IF(COUNTIFS('Monthly Project Activity'!$A$2:$A$101,A30,'Monthly Project Activity'!$D$2:$D$101,B30,'Monthly Project Activity'!$F$2:$F$101,C30,'Monthly Project Activity'!$O$2:$O$101,"FX HOLD")&gt;0,"FX HOLD - PROVISIONAL USD",IF(COUNTIFS('Monthly Project Activity'!$A$2:$A$101,A30,'Monthly Project Activity'!$D$2:$D$101,B30,'Monthly Project Activity'!$F$2:$F$101,C30,'Monthly Project Activity'!$O$2:$O$101,"SOURCE REVIEW")&gt;0,"SOURCE REVIEW",IF(COUNTIFS('Monthly Project Activity'!$A$2:$A$101,A30,'Monthly Project Activity'!$D$2:$D$101,B30,'Monthly Project Activity'!$F$2:$F$101,C30,'Monthly Project Activity'!$O$2:$O$101,"APPROVED")&gt;0,"FX APPROVED (METADATA)","NO FX EXCEPTION"))))</x:f>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ht="42" customHeight="1">
      <x:c r="A1" s="13" t="str">
        <x:v>Month YYYY-MM</x:v>
      </x:c>
      <x:c r="B1" s="13" t="str">
        <x:v>Brand</x:v>
      </x:c>
      <x:c r="C1" s="13" t="str">
        <x:v>Selling Entity</x:v>
      </x:c>
      <x:c r="D1" s="13" t="str">
        <x:v>PO intake USD</x:v>
      </x:c>
      <x:c r="E1" s="13" t="str">
        <x:v>Invoiced USD</x:v>
      </x:c>
      <x:c r="F1" s="66" t="str">
        <x:v>REMOVED - payment metric</x:v>
      </x:c>
      <x:c r="G1" s="66" t="str">
        <x:v>REMOVED - payment metric</x:v>
      </x:c>
      <x:c r="H1" s="13" t="str">
        <x:v>ERP cost recognized USD</x:v>
      </x:c>
    </x:row>
    <x:row r="2">
      <x:c r="A2" t="str">
        <x:v>2026-09</x:v>
      </x:c>
      <x:c r="B2" t="str">
        <x:v>Desoutter</x:v>
      </x:c>
      <x:c r="C2" t="str">
        <x:v>MX</x:v>
      </x:c>
      <x:c r="D2" t="n">
        <x:f>SUMIFS('Monthly Project Activity'!$G$2:$G$101,'Monthly Project Activity'!$A$2:$A$101,$A2,'Monthly Project Activity'!$E$2:$E$101,$B2,'Monthly Project Activity'!$F$2:$F$101,$C2,'Monthly Project Activity'!$D$2:$D$101,"Brands")</x:f>
        <x:v>41000</x:v>
      </x:c>
      <x:c r="E2"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Register'!$M$2:$M$501,$A2)+COUNTIFS('Invoice Register'!$L$2:$L$501,"CANCELLED",'Invoice Register'!$M$2:$M$501,$A2)=0,"INVOICE DATA REQUIRED",SUMIFS('Invoice Register'!$N$2:$N$501,'Invoice Register'!$M$2:$M$501,$A2,'Invoice Register'!$F$2:$F$501,$B2,'Invoice Register'!$D$2:$D$501,$C2)))</x:f>
        <x:v>INVOICE DATA REQUIRED</x:v>
      </x:c>
      <x:c r="F2" s="52"/>
      <x:c r="G2" s="52"/>
      <x:c r="H2" t="n">
        <x:f>SUMIFS('Monthly Project Activity'!$K$2:$K$101,'Monthly Project Activity'!$A$2:$A$101,$A2,'Monthly Project Activity'!$E$2:$E$101,$B2,'Monthly Project Activity'!$F$2:$F$101,$C2,'Monthly Project Activity'!$D$2:$D$101,"Brands")</x:f>
        <x:v>18000</x:v>
      </x:c>
    </x:row>
    <x:row r="3">
      <x:c r="A3" t="str">
        <x:v>2026-09</x:v>
      </x:c>
      <x:c r="B3" t="str">
        <x:v>Desoutter</x:v>
      </x:c>
      <x:c r="C3" t="str">
        <x:v>US</x:v>
      </x:c>
      <x:c r="D3" t="n">
        <x:f>SUMIFS('Monthly Project Activity'!$G$2:$G$101,'Monthly Project Activity'!$A$2:$A$101,$A3,'Monthly Project Activity'!$E$2:$E$101,$B3,'Monthly Project Activity'!$F$2:$F$101,$C3,'Monthly Project Activity'!$D$2:$D$101,"Brands")</x:f>
        <x:v>0</x:v>
      </x:c>
      <x:c r="E3"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Register'!$M$2:$M$501,$A3)+COUNTIFS('Invoice Register'!$L$2:$L$501,"CANCELLED",'Invoice Register'!$M$2:$M$501,$A3)=0,"INVOICE DATA REQUIRED",SUMIFS('Invoice Register'!$N$2:$N$501,'Invoice Register'!$M$2:$M$501,$A3,'Invoice Register'!$F$2:$F$501,$B3,'Invoice Register'!$D$2:$D$501,$C3)))</x:f>
        <x:v>INVOICE DATA REQUIRED</x:v>
      </x:c>
      <x:c r="F3" s="52"/>
      <x:c r="G3" s="52"/>
      <x:c r="H3" t="n">
        <x:f>SUMIFS('Monthly Project Activity'!$K$2:$K$101,'Monthly Project Activity'!$A$2:$A$101,$A3,'Monthly Project Activity'!$E$2:$E$101,$B3,'Monthly Project Activity'!$F$2:$F$101,$C3,'Monthly Project Activity'!$D$2:$D$101,"Brands")</x:f>
        <x:v>0</x:v>
      </x:c>
    </x:row>
    <x:row r="4">
      <x:c r="A4" t="str">
        <x:v>2026-09</x:v>
      </x:c>
      <x:c r="B4" t="str">
        <x:v>Datalogic</x:v>
      </x:c>
      <x:c r="C4" t="str">
        <x:v>MX</x:v>
      </x:c>
      <x:c r="D4" t="n">
        <x:f>SUMIFS('Monthly Project Activity'!$G$2:$G$101,'Monthly Project Activity'!$A$2:$A$101,$A4,'Monthly Project Activity'!$E$2:$E$101,$B4,'Monthly Project Activity'!$F$2:$F$101,$C4,'Monthly Project Activity'!$D$2:$D$101,"Brands")</x:f>
        <x:v>0</x:v>
      </x:c>
      <x:c r="E4"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Register'!$M$2:$M$501,$A4)+COUNTIFS('Invoice Register'!$L$2:$L$501,"CANCELLED",'Invoice Register'!$M$2:$M$501,$A4)=0,"INVOICE DATA REQUIRED",SUMIFS('Invoice Register'!$N$2:$N$501,'Invoice Register'!$M$2:$M$501,$A4,'Invoice Register'!$F$2:$F$501,$B4,'Invoice Register'!$D$2:$D$501,$C4)))</x:f>
        <x:v>INVOICE DATA REQUIRED</x:v>
      </x:c>
      <x:c r="F4" s="52"/>
      <x:c r="G4" s="52"/>
      <x:c r="H4" t="n">
        <x:f>SUMIFS('Monthly Project Activity'!$K$2:$K$101,'Monthly Project Activity'!$A$2:$A$101,$A4,'Monthly Project Activity'!$E$2:$E$101,$B4,'Monthly Project Activity'!$F$2:$F$101,$C4,'Monthly Project Activity'!$D$2:$D$101,"Brands")</x:f>
        <x:v>0</x:v>
      </x:c>
    </x:row>
    <x:row r="5">
      <x:c r="A5" t="str">
        <x:v>2026-09</x:v>
      </x:c>
      <x:c r="B5" t="str">
        <x:v>Datalogic</x:v>
      </x:c>
      <x:c r="C5" t="str">
        <x:v>US</x:v>
      </x:c>
      <x:c r="D5" t="n">
        <x:f>SUMIFS('Monthly Project Activity'!$G$2:$G$101,'Monthly Project Activity'!$A$2:$A$101,$A5,'Monthly Project Activity'!$E$2:$E$101,$B5,'Monthly Project Activity'!$F$2:$F$101,$C5,'Monthly Project Activity'!$D$2:$D$101,"Brands")</x:f>
        <x:v>34000</x:v>
      </x:c>
      <x:c r="E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Register'!$M$2:$M$501,$A5)+COUNTIFS('Invoice Register'!$L$2:$L$501,"CANCELLED",'Invoice Register'!$M$2:$M$501,$A5)=0,"INVOICE DATA REQUIRED",SUMIFS('Invoice Register'!$N$2:$N$501,'Invoice Register'!$M$2:$M$501,$A5,'Invoice Register'!$F$2:$F$501,$B5,'Invoice Register'!$D$2:$D$501,$C5)))</x:f>
        <x:v>INVOICE DATA REQUIRED</x:v>
      </x:c>
      <x:c r="F5" s="52"/>
      <x:c r="G5" s="52"/>
      <x:c r="H5" t="n">
        <x:f>SUMIFS('Monthly Project Activity'!$K$2:$K$101,'Monthly Project Activity'!$A$2:$A$101,$A5,'Monthly Project Activity'!$E$2:$E$101,$B5,'Monthly Project Activity'!$F$2:$F$101,$C5,'Monthly Project Activity'!$D$2:$D$101,"Brands")</x:f>
        <x:v>9000</x:v>
      </x:c>
    </x:row>
    <x:row r="6">
      <x:c r="A6" t="str">
        <x:v>2026-09</x:v>
      </x:c>
      <x:c r="B6" t="str">
        <x:v>Graco</x:v>
      </x:c>
      <x:c r="C6" t="str">
        <x:v>MX</x:v>
      </x:c>
      <x:c r="D6" t="n">
        <x:f>SUMIFS('Monthly Project Activity'!$G$2:$G$101,'Monthly Project Activity'!$A$2:$A$101,$A6,'Monthly Project Activity'!$E$2:$E$101,$B6,'Monthly Project Activity'!$F$2:$F$101,$C6,'Monthly Project Activity'!$D$2:$D$101,"Brands")</x:f>
        <x:v>0</x:v>
      </x:c>
      <x:c r="E6"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Register'!$M$2:$M$501,$A6)+COUNTIFS('Invoice Register'!$L$2:$L$501,"CANCELLED",'Invoice Register'!$M$2:$M$501,$A6)=0,"INVOICE DATA REQUIRED",SUMIFS('Invoice Register'!$N$2:$N$501,'Invoice Register'!$M$2:$M$501,$A6,'Invoice Register'!$F$2:$F$501,$B6,'Invoice Register'!$D$2:$D$501,$C6)))</x:f>
        <x:v>INVOICE DATA REQUIRED</x:v>
      </x:c>
      <x:c r="F6" s="52"/>
      <x:c r="G6" s="52"/>
      <x:c r="H6" t="n">
        <x:f>SUMIFS('Monthly Project Activity'!$K$2:$K$101,'Monthly Project Activity'!$A$2:$A$101,$A6,'Monthly Project Activity'!$E$2:$E$101,$B6,'Monthly Project Activity'!$F$2:$F$101,$C6,'Monthly Project Activity'!$D$2:$D$101,"Brands")</x:f>
        <x:v>0</x:v>
      </x:c>
    </x:row>
    <x:row r="7">
      <x:c r="A7" t="str">
        <x:v>2026-09</x:v>
      </x:c>
      <x:c r="B7" t="str">
        <x:v>Graco</x:v>
      </x:c>
      <x:c r="C7" t="str">
        <x:v>US</x:v>
      </x:c>
      <x:c r="D7" t="n">
        <x:f>SUMIFS('Monthly Project Activity'!$G$2:$G$101,'Monthly Project Activity'!$A$2:$A$101,$A7,'Monthly Project Activity'!$E$2:$E$101,$B7,'Monthly Project Activity'!$F$2:$F$101,$C7,'Monthly Project Activity'!$D$2:$D$101,"Brands")</x:f>
        <x:v>0</x:v>
      </x:c>
      <x:c r="E7"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Register'!$M$2:$M$501,$A7)+COUNTIFS('Invoice Register'!$L$2:$L$501,"CANCELLED",'Invoice Register'!$M$2:$M$501,$A7)=0,"INVOICE DATA REQUIRED",SUMIFS('Invoice Register'!$N$2:$N$501,'Invoice Register'!$M$2:$M$501,$A7,'Invoice Register'!$F$2:$F$501,$B7,'Invoice Register'!$D$2:$D$501,$C7)))</x:f>
        <x:v>INVOICE DATA REQUIRED</x:v>
      </x:c>
      <x:c r="F7" s="52"/>
      <x:c r="G7" s="52"/>
      <x:c r="H7" t="n">
        <x:f>SUMIFS('Monthly Project Activity'!$K$2:$K$101,'Monthly Project Activity'!$A$2:$A$101,$A7,'Monthly Project Activity'!$E$2:$E$101,$B7,'Monthly Project Activity'!$F$2:$F$101,$C7,'Monthly Project Activity'!$D$2:$D$101,"Brands")</x:f>
        <x:v>0</x:v>
      </x:c>
    </x:row>
    <x:row r="8">
      <x:c r="A8" t="str">
        <x:v>2026-09</x:v>
      </x:c>
      <x:c r="B8" t="str">
        <x:v>Chicago Pneumatic</x:v>
      </x:c>
      <x:c r="C8" t="str">
        <x:v>MX</x:v>
      </x:c>
      <x:c r="D8" t="n">
        <x:f>SUMIFS('Monthly Project Activity'!$G$2:$G$101,'Monthly Project Activity'!$A$2:$A$101,$A8,'Monthly Project Activity'!$E$2:$E$101,$B8,'Monthly Project Activity'!$F$2:$F$101,$C8,'Monthly Project Activity'!$D$2:$D$101,"Brands")</x:f>
        <x:v>0</x:v>
      </x:c>
      <x:c r="E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Register'!$M$2:$M$501,$A8)+COUNTIFS('Invoice Register'!$L$2:$L$501,"CANCELLED",'Invoice Register'!$M$2:$M$501,$A8)=0,"INVOICE DATA REQUIRED",SUMIFS('Invoice Register'!$N$2:$N$501,'Invoice Register'!$M$2:$M$501,$A8,'Invoice Register'!$F$2:$F$501,$B8,'Invoice Register'!$D$2:$D$501,$C8)))</x:f>
        <x:v>INVOICE DATA REQUIRED</x:v>
      </x:c>
      <x:c r="F8" s="52"/>
      <x:c r="G8" s="52"/>
      <x:c r="H8" t="n">
        <x:f>SUMIFS('Monthly Project Activity'!$K$2:$K$101,'Monthly Project Activity'!$A$2:$A$101,$A8,'Monthly Project Activity'!$E$2:$E$101,$B8,'Monthly Project Activity'!$F$2:$F$101,$C8,'Monthly Project Activity'!$D$2:$D$101,"Brands")</x:f>
        <x:v>0</x:v>
      </x:c>
    </x:row>
    <x:row r="9">
      <x:c r="A9" t="str">
        <x:v>2026-09</x:v>
      </x:c>
      <x:c r="B9" t="str">
        <x:v>Chicago Pneumatic</x:v>
      </x:c>
      <x:c r="C9" t="str">
        <x:v>US</x:v>
      </x:c>
      <x:c r="D9" t="n">
        <x:f>SUMIFS('Monthly Project Activity'!$G$2:$G$101,'Monthly Project Activity'!$A$2:$A$101,$A9,'Monthly Project Activity'!$E$2:$E$101,$B9,'Monthly Project Activity'!$F$2:$F$101,$C9,'Monthly Project Activity'!$D$2:$D$101,"Brands")</x:f>
        <x:v>0</x:v>
      </x:c>
      <x:c r="E9"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Register'!$M$2:$M$501,$A9)+COUNTIFS('Invoice Register'!$L$2:$L$501,"CANCELLED",'Invoice Register'!$M$2:$M$501,$A9)=0,"INVOICE DATA REQUIRED",SUMIFS('Invoice Register'!$N$2:$N$501,'Invoice Register'!$M$2:$M$501,$A9,'Invoice Register'!$F$2:$F$501,$B9,'Invoice Register'!$D$2:$D$501,$C9)))</x:f>
        <x:v>INVOICE DATA REQUIRED</x:v>
      </x:c>
      <x:c r="F9" s="52"/>
      <x:c r="G9" s="52"/>
      <x:c r="H9" t="n">
        <x:f>SUMIFS('Monthly Project Activity'!$K$2:$K$101,'Monthly Project Activity'!$A$2:$A$101,$A9,'Monthly Project Activity'!$E$2:$E$101,$B9,'Monthly Project Activity'!$F$2:$F$101,$C9,'Monthly Project Activity'!$D$2:$D$101,"Brands")</x:f>
        <x:v>0</x:v>
      </x:c>
    </x:row>
    <x:row r="10">
      <x:c r="A10" t="str">
        <x:v>2026-09</x:v>
      </x:c>
      <x:c r="B10" t="str">
        <x:v>Ohtake</x:v>
      </x:c>
      <x:c r="C10" t="str">
        <x:v>MX</x:v>
      </x:c>
      <x:c r="D10" t="n">
        <x:f>SUMIFS('Monthly Project Activity'!$G$2:$G$101,'Monthly Project Activity'!$A$2:$A$101,$A10,'Monthly Project Activity'!$E$2:$E$101,$B10,'Monthly Project Activity'!$F$2:$F$101,$C10,'Monthly Project Activity'!$D$2:$D$101,"Brands")</x:f>
        <x:v>0</x:v>
      </x:c>
      <x:c r="E10"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Register'!$M$2:$M$501,$A10)+COUNTIFS('Invoice Register'!$L$2:$L$501,"CANCELLED",'Invoice Register'!$M$2:$M$501,$A10)=0,"INVOICE DATA REQUIRED",SUMIFS('Invoice Register'!$N$2:$N$501,'Invoice Register'!$M$2:$M$501,$A10,'Invoice Register'!$F$2:$F$501,$B10,'Invoice Register'!$D$2:$D$501,$C10)))</x:f>
        <x:v>INVOICE DATA REQUIRED</x:v>
      </x:c>
      <x:c r="F10" s="52"/>
      <x:c r="G10" s="52"/>
      <x:c r="H10" t="n">
        <x:f>SUMIFS('Monthly Project Activity'!$K$2:$K$101,'Monthly Project Activity'!$A$2:$A$101,$A10,'Monthly Project Activity'!$E$2:$E$101,$B10,'Monthly Project Activity'!$F$2:$F$101,$C10,'Monthly Project Activity'!$D$2:$D$101,"Brands")</x:f>
        <x:v>0</x:v>
      </x:c>
    </x:row>
    <x:row r="11">
      <x:c r="A11" t="str">
        <x:v>2026-09</x:v>
      </x:c>
      <x:c r="B11" t="str">
        <x:v>Ohtake</x:v>
      </x:c>
      <x:c r="C11" t="str">
        <x:v>US</x:v>
      </x:c>
      <x:c r="D11" t="n">
        <x:f>SUMIFS('Monthly Project Activity'!$G$2:$G$101,'Monthly Project Activity'!$A$2:$A$101,$A11,'Monthly Project Activity'!$E$2:$E$101,$B11,'Monthly Project Activity'!$F$2:$F$101,$C11,'Monthly Project Activity'!$D$2:$D$101,"Brands")</x:f>
        <x:v>0</x:v>
      </x:c>
      <x:c r="E11"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Register'!$M$2:$M$501,$A11)+COUNTIFS('Invoice Register'!$L$2:$L$501,"CANCELLED",'Invoice Register'!$M$2:$M$501,$A11)=0,"INVOICE DATA REQUIRED",SUMIFS('Invoice Register'!$N$2:$N$501,'Invoice Register'!$M$2:$M$501,$A11,'Invoice Register'!$F$2:$F$501,$B11,'Invoice Register'!$D$2:$D$501,$C11)))</x:f>
        <x:v>INVOICE DATA REQUIRED</x:v>
      </x:c>
      <x:c r="F11" s="52"/>
      <x:c r="G11" s="52"/>
      <x:c r="H11" t="n">
        <x:f>SUMIFS('Monthly Project Activity'!$K$2:$K$101,'Monthly Project Activity'!$A$2:$A$101,$A11,'Monthly Project Activity'!$E$2:$E$101,$B11,'Monthly Project Activity'!$F$2:$F$101,$C11,'Monthly Project Activity'!$D$2:$D$101,"Brands")</x:f>
        <x:v>0</x:v>
      </x:c>
    </x:row>
    <x:row r="12">
      <x:c r="A12" t="str">
        <x:v>2026-09</x:v>
      </x:c>
      <x:c r="B12" t="str">
        <x:v>Other / configurable</x:v>
      </x:c>
      <x:c r="C12" t="str">
        <x:v>MX</x:v>
      </x:c>
      <x:c r="D12" t="n">
        <x:f>SUMIFS('Monthly Project Activity'!$G$2:$G$101,'Monthly Project Activity'!$A$2:$A$101,$A12,'Monthly Project Activity'!$E$2:$E$101,$B12,'Monthly Project Activity'!$F$2:$F$101,$C12,'Monthly Project Activity'!$D$2:$D$101,"Brands")</x:f>
        <x:v>0</x:v>
      </x:c>
      <x:c r="E12"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Register'!$M$2:$M$501,$A12)+COUNTIFS('Invoice Register'!$L$2:$L$501,"CANCELLED",'Invoice Register'!$M$2:$M$501,$A12)=0,"INVOICE DATA REQUIRED",SUMIFS('Invoice Register'!$N$2:$N$501,'Invoice Register'!$M$2:$M$501,$A12,'Invoice Register'!$F$2:$F$501,$B12,'Invoice Register'!$D$2:$D$501,$C12)))</x:f>
        <x:v>INVOICE DATA REQUIRED</x:v>
      </x:c>
      <x:c r="F12" s="52"/>
      <x:c r="G12" s="52"/>
      <x:c r="H12" t="n">
        <x:f>SUMIFS('Monthly Project Activity'!$K$2:$K$101,'Monthly Project Activity'!$A$2:$A$101,$A12,'Monthly Project Activity'!$E$2:$E$101,$B12,'Monthly Project Activity'!$F$2:$F$101,$C12,'Monthly Project Activity'!$D$2:$D$101,"Brands")</x:f>
        <x:v>0</x:v>
      </x:c>
    </x:row>
    <x:row r="13">
      <x:c r="A13" t="str">
        <x:v>2026-09</x:v>
      </x:c>
      <x:c r="B13" t="str">
        <x:v>Other / configurable</x:v>
      </x:c>
      <x:c r="C13" t="str">
        <x:v>US</x:v>
      </x:c>
      <x:c r="D13" t="n">
        <x:f>SUMIFS('Monthly Project Activity'!$G$2:$G$101,'Monthly Project Activity'!$A$2:$A$101,$A13,'Monthly Project Activity'!$E$2:$E$101,$B13,'Monthly Project Activity'!$F$2:$F$101,$C13,'Monthly Project Activity'!$D$2:$D$101,"Brands")</x:f>
        <x:v>0</x:v>
      </x:c>
      <x:c r="E13"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Register'!$M$2:$M$501,$A13)+COUNTIFS('Invoice Register'!$L$2:$L$501,"CANCELLED",'Invoice Register'!$M$2:$M$501,$A13)=0,"INVOICE DATA REQUIRED",SUMIFS('Invoice Register'!$N$2:$N$501,'Invoice Register'!$M$2:$M$501,$A13,'Invoice Register'!$F$2:$F$501,$B13,'Invoice Register'!$D$2:$D$501,$C13)))</x:f>
        <x:v>INVOICE DATA REQUIRED</x:v>
      </x:c>
      <x:c r="F13" s="52"/>
      <x:c r="G13" s="52"/>
      <x:c r="H13" t="n">
        <x:f>SUMIFS('Monthly Project Activity'!$K$2:$K$101,'Monthly Project Activity'!$A$2:$A$101,$A13,'Monthly Project Activity'!$E$2:$E$101,$B13,'Monthly Project Activity'!$F$2:$F$101,$C13,'Monthly Project Activity'!$D$2:$D$101,"Brands")</x:f>
        <x:v>0</x:v>
      </x:c>
    </x:row>
    <x:row r="14">
      <x:c r="A14" t="str">
        <x:v>2026-10</x:v>
      </x:c>
      <x:c r="B14" t="str">
        <x:v>Desoutter</x:v>
      </x:c>
      <x:c r="C14" t="str">
        <x:v>MX</x:v>
      </x:c>
      <x:c r="D14" t="n">
        <x:f>SUMIFS('Monthly Project Activity'!$G$2:$G$101,'Monthly Project Activity'!$A$2:$A$101,$A14,'Monthly Project Activity'!$E$2:$E$101,$B14,'Monthly Project Activity'!$F$2:$F$101,$C14,'Monthly Project Activity'!$D$2:$D$101,"Brands")</x:f>
        <x:v>0</x:v>
      </x:c>
      <x:c r="E14"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Register'!$M$2:$M$501,$A14)+COUNTIFS('Invoice Register'!$L$2:$L$501,"CANCELLED",'Invoice Register'!$M$2:$M$501,$A14)=0,"INVOICE DATA REQUIRED",SUMIFS('Invoice Register'!$N$2:$N$501,'Invoice Register'!$M$2:$M$501,$A14,'Invoice Register'!$F$2:$F$501,$B14,'Invoice Register'!$D$2:$D$501,$C14)))</x:f>
        <x:v>INVOICE DATA REQUIRED</x:v>
      </x:c>
      <x:c r="F14" s="52"/>
      <x:c r="G14" s="52"/>
      <x:c r="H14" t="n">
        <x:f>SUMIFS('Monthly Project Activity'!$K$2:$K$101,'Monthly Project Activity'!$A$2:$A$101,$A14,'Monthly Project Activity'!$E$2:$E$101,$B14,'Monthly Project Activity'!$F$2:$F$101,$C14,'Monthly Project Activity'!$D$2:$D$101,"Brands")</x:f>
        <x:v>11000</x:v>
      </x:c>
    </x:row>
    <x:row r="15">
      <x:c r="A15" t="str">
        <x:v>2026-10</x:v>
      </x:c>
      <x:c r="B15" t="str">
        <x:v>Desoutter</x:v>
      </x:c>
      <x:c r="C15" t="str">
        <x:v>US</x:v>
      </x:c>
      <x:c r="D15" t="n">
        <x:f>SUMIFS('Monthly Project Activity'!$G$2:$G$101,'Monthly Project Activity'!$A$2:$A$101,$A15,'Monthly Project Activity'!$E$2:$E$101,$B15,'Monthly Project Activity'!$F$2:$F$101,$C15,'Monthly Project Activity'!$D$2:$D$101,"Brands")</x:f>
        <x:v>0</x:v>
      </x:c>
      <x:c r="E1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Register'!$M$2:$M$501,$A15)+COUNTIFS('Invoice Register'!$L$2:$L$501,"CANCELLED",'Invoice Register'!$M$2:$M$501,$A15)=0,"INVOICE DATA REQUIRED",SUMIFS('Invoice Register'!$N$2:$N$501,'Invoice Register'!$M$2:$M$501,$A15,'Invoice Register'!$F$2:$F$501,$B15,'Invoice Register'!$D$2:$D$501,$C15)))</x:f>
        <x:v>INVOICE DATA REQUIRED</x:v>
      </x:c>
      <x:c r="F15" s="52"/>
      <x:c r="G15" s="52"/>
      <x:c r="H15" t="n">
        <x:f>SUMIFS('Monthly Project Activity'!$K$2:$K$101,'Monthly Project Activity'!$A$2:$A$101,$A15,'Monthly Project Activity'!$E$2:$E$101,$B15,'Monthly Project Activity'!$F$2:$F$101,$C15,'Monthly Project Activity'!$D$2:$D$101,"Brands")</x:f>
        <x:v>0</x:v>
      </x:c>
    </x:row>
    <x:row r="16">
      <x:c r="A16" t="str">
        <x:v>2026-10</x:v>
      </x:c>
      <x:c r="B16" t="str">
        <x:v>Datalogic</x:v>
      </x:c>
      <x:c r="C16" t="str">
        <x:v>MX</x:v>
      </x:c>
      <x:c r="D16" t="n">
        <x:f>SUMIFS('Monthly Project Activity'!$G$2:$G$101,'Monthly Project Activity'!$A$2:$A$101,$A16,'Monthly Project Activity'!$E$2:$E$101,$B16,'Monthly Project Activity'!$F$2:$F$101,$C16,'Monthly Project Activity'!$D$2:$D$101,"Brands")</x:f>
        <x:v>0</x:v>
      </x:c>
      <x:c r="E16"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Register'!$M$2:$M$501,$A16)+COUNTIFS('Invoice Register'!$L$2:$L$501,"CANCELLED",'Invoice Register'!$M$2:$M$501,$A16)=0,"INVOICE DATA REQUIRED",SUMIFS('Invoice Register'!$N$2:$N$501,'Invoice Register'!$M$2:$M$501,$A16,'Invoice Register'!$F$2:$F$501,$B16,'Invoice Register'!$D$2:$D$501,$C16)))</x:f>
        <x:v>INVOICE DATA REQUIRED</x:v>
      </x:c>
      <x:c r="F16" s="52"/>
      <x:c r="G16" s="52"/>
      <x:c r="H16" t="n">
        <x:f>SUMIFS('Monthly Project Activity'!$K$2:$K$101,'Monthly Project Activity'!$A$2:$A$101,$A16,'Monthly Project Activity'!$E$2:$E$101,$B16,'Monthly Project Activity'!$F$2:$F$101,$C16,'Monthly Project Activity'!$D$2:$D$101,"Brands")</x:f>
        <x:v>0</x:v>
      </x:c>
    </x:row>
    <x:row r="17">
      <x:c r="A17" t="str">
        <x:v>2026-10</x:v>
      </x:c>
      <x:c r="B17" t="str">
        <x:v>Datalogic</x:v>
      </x:c>
      <x:c r="C17" t="str">
        <x:v>US</x:v>
      </x:c>
      <x:c r="D17" t="n">
        <x:f>SUMIFS('Monthly Project Activity'!$G$2:$G$101,'Monthly Project Activity'!$A$2:$A$101,$A17,'Monthly Project Activity'!$E$2:$E$101,$B17,'Monthly Project Activity'!$F$2:$F$101,$C17,'Monthly Project Activity'!$D$2:$D$101,"Brands")</x:f>
        <x:v>0</x:v>
      </x:c>
      <x:c r="E17"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Register'!$M$2:$M$501,$A17)+COUNTIFS('Invoice Register'!$L$2:$L$501,"CANCELLED",'Invoice Register'!$M$2:$M$501,$A17)=0,"INVOICE DATA REQUIRED",SUMIFS('Invoice Register'!$N$2:$N$501,'Invoice Register'!$M$2:$M$501,$A17,'Invoice Register'!$F$2:$F$501,$B17,'Invoice Register'!$D$2:$D$501,$C17)))</x:f>
        <x:v>INVOICE DATA REQUIRED</x:v>
      </x:c>
      <x:c r="F17" s="52"/>
      <x:c r="G17" s="52"/>
      <x:c r="H17" t="n">
        <x:f>SUMIFS('Monthly Project Activity'!$K$2:$K$101,'Monthly Project Activity'!$A$2:$A$101,$A17,'Monthly Project Activity'!$E$2:$E$101,$B17,'Monthly Project Activity'!$F$2:$F$101,$C17,'Monthly Project Activity'!$D$2:$D$101,"Brands")</x:f>
        <x:v>12000</x:v>
      </x:c>
    </x:row>
    <x:row r="18">
      <x:c r="A18" t="str">
        <x:v>2026-10</x:v>
      </x:c>
      <x:c r="B18" t="str">
        <x:v>Graco</x:v>
      </x:c>
      <x:c r="C18" t="str">
        <x:v>MX</x:v>
      </x:c>
      <x:c r="D18" t="n">
        <x:f>SUMIFS('Monthly Project Activity'!$G$2:$G$101,'Monthly Project Activity'!$A$2:$A$101,$A18,'Monthly Project Activity'!$E$2:$E$101,$B18,'Monthly Project Activity'!$F$2:$F$101,$C18,'Monthly Project Activity'!$D$2:$D$101,"Brands")</x:f>
        <x:v>0</x:v>
      </x:c>
      <x:c r="E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Register'!$M$2:$M$501,$A18)+COUNTIFS('Invoice Register'!$L$2:$L$501,"CANCELLED",'Invoice Register'!$M$2:$M$501,$A18)=0,"INVOICE DATA REQUIRED",SUMIFS('Invoice Register'!$N$2:$N$501,'Invoice Register'!$M$2:$M$501,$A18,'Invoice Register'!$F$2:$F$501,$B18,'Invoice Register'!$D$2:$D$501,$C18)))</x:f>
        <x:v>INVOICE DATA REQUIRED</x:v>
      </x:c>
      <x:c r="F18" s="52"/>
      <x:c r="G18" s="52"/>
      <x:c r="H18" t="n">
        <x:f>SUMIFS('Monthly Project Activity'!$K$2:$K$101,'Monthly Project Activity'!$A$2:$A$101,$A18,'Monthly Project Activity'!$E$2:$E$101,$B18,'Monthly Project Activity'!$F$2:$F$101,$C18,'Monthly Project Activity'!$D$2:$D$101,"Brands")</x:f>
        <x:v>0</x:v>
      </x:c>
    </x:row>
    <x:row r="19">
      <x:c r="A19" t="str">
        <x:v>2026-10</x:v>
      </x:c>
      <x:c r="B19" t="str">
        <x:v>Graco</x:v>
      </x:c>
      <x:c r="C19" t="str">
        <x:v>US</x:v>
      </x:c>
      <x:c r="D19" t="n">
        <x:f>SUMIFS('Monthly Project Activity'!$G$2:$G$101,'Monthly Project Activity'!$A$2:$A$101,$A19,'Monthly Project Activity'!$E$2:$E$101,$B19,'Monthly Project Activity'!$F$2:$F$101,$C19,'Monthly Project Activity'!$D$2:$D$101,"Brands")</x:f>
        <x:v>0</x:v>
      </x:c>
      <x:c r="E19"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Register'!$M$2:$M$501,$A19)+COUNTIFS('Invoice Register'!$L$2:$L$501,"CANCELLED",'Invoice Register'!$M$2:$M$501,$A19)=0,"INVOICE DATA REQUIRED",SUMIFS('Invoice Register'!$N$2:$N$501,'Invoice Register'!$M$2:$M$501,$A19,'Invoice Register'!$F$2:$F$501,$B19,'Invoice Register'!$D$2:$D$501,$C19)))</x:f>
        <x:v>INVOICE DATA REQUIRED</x:v>
      </x:c>
      <x:c r="F19" s="52"/>
      <x:c r="G19" s="52"/>
      <x:c r="H19" t="n">
        <x:f>SUMIFS('Monthly Project Activity'!$K$2:$K$101,'Monthly Project Activity'!$A$2:$A$101,$A19,'Monthly Project Activity'!$E$2:$E$101,$B19,'Monthly Project Activity'!$F$2:$F$101,$C19,'Monthly Project Activity'!$D$2:$D$101,"Brands")</x:f>
        <x:v>0</x:v>
      </x:c>
    </x:row>
    <x:row r="20">
      <x:c r="A20" t="str">
        <x:v>2026-10</x:v>
      </x:c>
      <x:c r="B20" t="str">
        <x:v>Chicago Pneumatic</x:v>
      </x:c>
      <x:c r="C20" t="str">
        <x:v>MX</x:v>
      </x:c>
      <x:c r="D20" t="n">
        <x:f>SUMIFS('Monthly Project Activity'!$G$2:$G$101,'Monthly Project Activity'!$A$2:$A$101,$A20,'Monthly Project Activity'!$E$2:$E$101,$B20,'Monthly Project Activity'!$F$2:$F$101,$C20,'Monthly Project Activity'!$D$2:$D$101,"Brands")</x:f>
        <x:v>0</x:v>
      </x:c>
      <x:c r="E20"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Register'!$M$2:$M$501,$A20)+COUNTIFS('Invoice Register'!$L$2:$L$501,"CANCELLED",'Invoice Register'!$M$2:$M$501,$A20)=0,"INVOICE DATA REQUIRED",SUMIFS('Invoice Register'!$N$2:$N$501,'Invoice Register'!$M$2:$M$501,$A20,'Invoice Register'!$F$2:$F$501,$B20,'Invoice Register'!$D$2:$D$501,$C20)))</x:f>
        <x:v>INVOICE DATA REQUIRED</x:v>
      </x:c>
      <x:c r="F20" s="52"/>
      <x:c r="G20" s="52"/>
      <x:c r="H20" t="n">
        <x:f>SUMIFS('Monthly Project Activity'!$K$2:$K$101,'Monthly Project Activity'!$A$2:$A$101,$A20,'Monthly Project Activity'!$E$2:$E$101,$B20,'Monthly Project Activity'!$F$2:$F$101,$C20,'Monthly Project Activity'!$D$2:$D$101,"Brands")</x:f>
        <x:v>0</x:v>
      </x:c>
    </x:row>
    <x:row r="21">
      <x:c r="A21" t="str">
        <x:v>2026-10</x:v>
      </x:c>
      <x:c r="B21" t="str">
        <x:v>Chicago Pneumatic</x:v>
      </x:c>
      <x:c r="C21" t="str">
        <x:v>US</x:v>
      </x:c>
      <x:c r="D21" t="n">
        <x:f>SUMIFS('Monthly Project Activity'!$G$2:$G$101,'Monthly Project Activity'!$A$2:$A$101,$A21,'Monthly Project Activity'!$E$2:$E$101,$B21,'Monthly Project Activity'!$F$2:$F$101,$C21,'Monthly Project Activity'!$D$2:$D$101,"Brands")</x:f>
        <x:v>0</x:v>
      </x:c>
      <x:c r="E21"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Register'!$M$2:$M$501,$A21)+COUNTIFS('Invoice Register'!$L$2:$L$501,"CANCELLED",'Invoice Register'!$M$2:$M$501,$A21)=0,"INVOICE DATA REQUIRED",SUMIFS('Invoice Register'!$N$2:$N$501,'Invoice Register'!$M$2:$M$501,$A21,'Invoice Register'!$F$2:$F$501,$B21,'Invoice Register'!$D$2:$D$501,$C21)))</x:f>
        <x:v>INVOICE DATA REQUIRED</x:v>
      </x:c>
      <x:c r="F21" s="52"/>
      <x:c r="G21" s="52"/>
      <x:c r="H21" t="n">
        <x:f>SUMIFS('Monthly Project Activity'!$K$2:$K$101,'Monthly Project Activity'!$A$2:$A$101,$A21,'Monthly Project Activity'!$E$2:$E$101,$B21,'Monthly Project Activity'!$F$2:$F$101,$C21,'Monthly Project Activity'!$D$2:$D$101,"Brands")</x:f>
        <x:v>0</x:v>
      </x:c>
    </x:row>
    <x:row r="22">
      <x:c r="A22" t="str">
        <x:v>2026-10</x:v>
      </x:c>
      <x:c r="B22" t="str">
        <x:v>Ohtake</x:v>
      </x:c>
      <x:c r="C22" t="str">
        <x:v>MX</x:v>
      </x:c>
      <x:c r="D22" t="n">
        <x:f>SUMIFS('Monthly Project Activity'!$G$2:$G$101,'Monthly Project Activity'!$A$2:$A$101,$A22,'Monthly Project Activity'!$E$2:$E$101,$B22,'Monthly Project Activity'!$F$2:$F$101,$C22,'Monthly Project Activity'!$D$2:$D$101,"Brands")</x:f>
        <x:v>0</x:v>
      </x:c>
      <x:c r="E22"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Register'!$M$2:$M$501,$A22)+COUNTIFS('Invoice Register'!$L$2:$L$501,"CANCELLED",'Invoice Register'!$M$2:$M$501,$A22)=0,"INVOICE DATA REQUIRED",SUMIFS('Invoice Register'!$N$2:$N$501,'Invoice Register'!$M$2:$M$501,$A22,'Invoice Register'!$F$2:$F$501,$B22,'Invoice Register'!$D$2:$D$501,$C22)))</x:f>
        <x:v>INVOICE DATA REQUIRED</x:v>
      </x:c>
      <x:c r="F22" s="52"/>
      <x:c r="G22" s="52"/>
      <x:c r="H22" t="n">
        <x:f>SUMIFS('Monthly Project Activity'!$K$2:$K$101,'Monthly Project Activity'!$A$2:$A$101,$A22,'Monthly Project Activity'!$E$2:$E$101,$B22,'Monthly Project Activity'!$F$2:$F$101,$C22,'Monthly Project Activity'!$D$2:$D$101,"Brands")</x:f>
        <x:v>0</x:v>
      </x:c>
    </x:row>
    <x:row r="23">
      <x:c r="A23" t="str">
        <x:v>2026-10</x:v>
      </x:c>
      <x:c r="B23" t="str">
        <x:v>Ohtake</x:v>
      </x:c>
      <x:c r="C23" t="str">
        <x:v>US</x:v>
      </x:c>
      <x:c r="D23" t="n">
        <x:f>SUMIFS('Monthly Project Activity'!$G$2:$G$101,'Monthly Project Activity'!$A$2:$A$101,$A23,'Monthly Project Activity'!$E$2:$E$101,$B23,'Monthly Project Activity'!$F$2:$F$101,$C23,'Monthly Project Activity'!$D$2:$D$101,"Brands")</x:f>
        <x:v>0</x:v>
      </x:c>
      <x:c r="E23"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Register'!$M$2:$M$501,$A23)+COUNTIFS('Invoice Register'!$L$2:$L$501,"CANCELLED",'Invoice Register'!$M$2:$M$501,$A23)=0,"INVOICE DATA REQUIRED",SUMIFS('Invoice Register'!$N$2:$N$501,'Invoice Register'!$M$2:$M$501,$A23,'Invoice Register'!$F$2:$F$501,$B23,'Invoice Register'!$D$2:$D$501,$C23)))</x:f>
        <x:v>INVOICE DATA REQUIRED</x:v>
      </x:c>
      <x:c r="F23" s="52"/>
      <x:c r="G23" s="52"/>
      <x:c r="H23" t="n">
        <x:f>SUMIFS('Monthly Project Activity'!$K$2:$K$101,'Monthly Project Activity'!$A$2:$A$101,$A23,'Monthly Project Activity'!$E$2:$E$101,$B23,'Monthly Project Activity'!$F$2:$F$101,$C23,'Monthly Project Activity'!$D$2:$D$101,"Brands")</x:f>
        <x:v>0</x:v>
      </x:c>
    </x:row>
    <x:row r="24">
      <x:c r="A24" t="str">
        <x:v>2026-10</x:v>
      </x:c>
      <x:c r="B24" t="str">
        <x:v>Other / configurable</x:v>
      </x:c>
      <x:c r="C24" t="str">
        <x:v>MX</x:v>
      </x:c>
      <x:c r="D24" t="n">
        <x:f>SUMIFS('Monthly Project Activity'!$G$2:$G$101,'Monthly Project Activity'!$A$2:$A$101,$A24,'Monthly Project Activity'!$E$2:$E$101,$B24,'Monthly Project Activity'!$F$2:$F$101,$C24,'Monthly Project Activity'!$D$2:$D$101,"Brands")</x:f>
        <x:v>0</x:v>
      </x:c>
      <x:c r="E24"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Register'!$M$2:$M$501,$A24)+COUNTIFS('Invoice Register'!$L$2:$L$501,"CANCELLED",'Invoice Register'!$M$2:$M$501,$A24)=0,"INVOICE DATA REQUIRED",SUMIFS('Invoice Register'!$N$2:$N$501,'Invoice Register'!$M$2:$M$501,$A24,'Invoice Register'!$F$2:$F$501,$B24,'Invoice Register'!$D$2:$D$501,$C24)))</x:f>
        <x:v>INVOICE DATA REQUIRED</x:v>
      </x:c>
      <x:c r="F24" s="52"/>
      <x:c r="G24" s="52"/>
      <x:c r="H24" t="n">
        <x:f>SUMIFS('Monthly Project Activity'!$K$2:$K$101,'Monthly Project Activity'!$A$2:$A$101,$A24,'Monthly Project Activity'!$E$2:$E$101,$B24,'Monthly Project Activity'!$F$2:$F$101,$C24,'Monthly Project Activity'!$D$2:$D$101,"Brands")</x:f>
        <x:v>0</x:v>
      </x:c>
    </x:row>
    <x:row r="25">
      <x:c r="A25" t="str">
        <x:v>2026-10</x:v>
      </x:c>
      <x:c r="B25" t="str">
        <x:v>Other / configurable</x:v>
      </x:c>
      <x:c r="C25" t="str">
        <x:v>US</x:v>
      </x:c>
      <x:c r="D25" t="n">
        <x:f>SUMIFS('Monthly Project Activity'!$G$2:$G$101,'Monthly Project Activity'!$A$2:$A$101,$A25,'Monthly Project Activity'!$E$2:$E$101,$B25,'Monthly Project Activity'!$F$2:$F$101,$C25,'Monthly Project Activity'!$D$2:$D$101,"Brands")</x:f>
        <x:v>0</x:v>
      </x:c>
      <x:c r="E2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Register'!$M$2:$M$501,$A25)+COUNTIFS('Invoice Register'!$L$2:$L$501,"CANCELLED",'Invoice Register'!$M$2:$M$501,$A25)=0,"INVOICE DATA REQUIRED",SUMIFS('Invoice Register'!$N$2:$N$501,'Invoice Register'!$M$2:$M$501,$A25,'Invoice Register'!$F$2:$F$501,$B25,'Invoice Register'!$D$2:$D$501,$C25)))</x:f>
        <x:v>INVOICE DATA REQUIRED</x:v>
      </x:c>
      <x:c r="F25" s="52"/>
      <x:c r="G25" s="52"/>
      <x:c r="H25" t="n">
        <x:f>SUMIFS('Monthly Project Activity'!$K$2:$K$101,'Monthly Project Activity'!$A$2:$A$101,$A25,'Monthly Project Activity'!$E$2:$E$101,$B25,'Monthly Project Activity'!$F$2:$F$101,$C25,'Monthly Project Activity'!$D$2:$D$101,"Brands")</x:f>
        <x:v>0</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100" hidden="0" customWidth="1"/>
    <x:col min="3" max="3" width="26" hidden="0" customWidth="1"/>
  </x:cols>
  <x:sheetData>
    <x:row r="1" ht="15" hidden="0" customHeight="1">
      <x:c r="A1" s="4" t="str">
        <x:v>ID</x:v>
      </x:c>
      <x:c r="B1" s="4" t="str">
        <x:v>Rule / clarification</x:v>
      </x:c>
      <x:c r="C1" s="4" t="str">
        <x:v>Decision</x:v>
      </x:c>
    </x:row>
    <x:row r="2" ht="15" hidden="0" customHeight="1">
      <x:c r="A2" s="25" t="str">
        <x:v>SCOPE</x:v>
      </x:c>
      <x:c r="B2" s="25" t="str">
        <x:v>Operational project control and monthly management reporting; payments and accounting outside scope.</x:v>
      </x:c>
      <x:c r="C2" s="25" t="str">
        <x:v>APPROVED</x:v>
      </x:c>
    </x:row>
    <x:row r="3" ht="15" hidden="0" customHeight="1">
      <x:c r="A3" s="25" t="str">
        <x:v>BU</x:v>
      </x:c>
      <x:c r="B3" s="25" t="str">
        <x:v>Business Units: Strategic Services, Brands; Automation and Machining recognized but out of scope.</x:v>
      </x:c>
      <x:c r="C3" s="25" t="str">
        <x:v>APPROVED</x:v>
      </x:c>
    </x:row>
    <x:row r="4" ht="15" hidden="0" customHeight="1">
      <x:c r="A4" s="25" t="str">
        <x:v>BRAND</x:v>
      </x:c>
      <x:c r="B4" s="25" t="str">
        <x:v>One brand per quotation; customer consolidated PO may reference several quotes/projects without duplicating order intake.</x:v>
      </x:c>
      <x:c r="C4" s="25" t="str">
        <x:v>APPROVED</x:v>
      </x:c>
    </x:row>
    <x:row r="5" ht="15" hidden="0" customHeight="1">
      <x:c r="A5" s="25" t="str">
        <x:v>ENTITY</x:v>
      </x:c>
      <x:c r="B5" s="25" t="str">
        <x:v>Selling Entity MX/US independent of Business Unit and Brand; monthly reporting by both dimensions.</x:v>
      </x:c>
      <x:c r="C5" s="25" t="str">
        <x:v>APPROVED</x:v>
      </x:c>
    </x:row>
    <x:row r="6" ht="26.399999618530273" hidden="0" customHeight="1">
      <x:c r="A6" s="25" t="str">
        <x:v>INTERCO</x:v>
      </x:c>
      <x:c r="B6" s="25" t="str">
        <x:v>For MX sale sourced via USA, USA is supplier to MX; use MX ERP purchase/cost for MX project, never double-count USA external purchase.</x:v>
      </x:c>
      <x:c r="C6" s="25" t="str">
        <x:v>APPROVED</x:v>
      </x:c>
    </x:row>
    <x:row r="7" ht="15" hidden="0" customHeight="1">
      <x:c r="A7" s="25" t="str">
        <x:v>MONTHLY</x:v>
      </x:c>
      <x:c r="B7" s="25" t="str">
        <x:v>ERP-derived monthly project activity preserved historically; weekly latest snapshot must not overwrite monthly close.</x:v>
      </x:c>
      <x:c r="C7" s="25" t="str">
        <x:v>APPROVED</x:v>
      </x:c>
    </x:row>
    <x:row r="8" ht="15" hidden="0" customHeight="1">
      <x:c r="A8" s="25" t="str">
        <x:v>PO INTAKE</x:v>
      </x:c>
      <x:c r="B8" s="25" t="str">
        <x:v>Count newly authorized customer PO value and approved incremental revisions in effective month, once only.</x:v>
      </x:c>
      <x:c r="C8" s="25" t="str">
        <x:v>PROPOSED / TEST</x:v>
      </x:c>
    </x:row>
    <x:row r="9" ht="26.399999618530273" hidden="0" customHeight="1">
      <x:c r="A9" s="25" t="str">
        <x:v>PURCHASING</x:v>
      </x:c>
      <x:c r="B9" s="25" t="str">
        <x:v>For the goods-sale operating scenario, mandatory project PO is an internal-policy premise. Budget vs supplier PO is complete only for matching cost coverage. PO values are authorized commitments, not actual cost, receipt, liability or profit.</x:v>
      </x:c>
      <x:c r="C9" s="25" t="str">
        <x:v>APPROVED</x:v>
      </x:c>
    </x:row>
    <x:row r="10" ht="15" hidden="0" customHeight="1">
      <x:c r="A10" s="25" t="str">
        <x:v>BOUNDARY</x:v>
      </x:c>
      <x:c r="B10" s="25" t="str">
        <x:v>No invoice-cost profit calculation. ERP recognized costs may be displayed separately.</x:v>
      </x:c>
      <x:c r="C10" s="25" t="str">
        <x:v>APPROVED</x:v>
      </x:c>
    </x:row>
    <x:row r="11" ht="15" hidden="0" customHeight="1">
      <x:c r="A11" s="25" t="str">
        <x:v>FX</x:v>
      </x:c>
      <x:c r="B11" s="25" t="str">
        <x:v>USD reporting; demo values normalized. Official conversion basis from ERP/Finance remains to be confirmed.</x:v>
      </x:c>
      <x:c r="C11" s="25" t="str">
        <x:v>OPEN PL-001</x:v>
      </x:c>
    </x:row>
    <x:row r="12" ht="15" hidden="0" customHeight="1">
      <x:c r="A12" s="25" t="str">
        <x:v>ERP MAPPING</x:v>
      </x:c>
      <x:c r="B12" s="25" t="str">
        <x:v>Sample monthly ledger is fictional; requires actual ERP export field mapping and reconciliation.</x:v>
      </x:c>
      <x:c r="C12" s="25" t="str">
        <x:v>OPEN</x:v>
      </x:c>
    </x:row>
    <x:row r="13" ht="15" hidden="0" customHeight="1">
      <x:c r="A13" s="25" t="str">
        <x:v>PROJECT ID</x:v>
      </x:c>
      <x:c r="B13" s="25" t="str">
        <x:v>ERP generates official consecutive project identifier, Excel never assigns it.</x:v>
      </x:c>
      <x:c r="C13" s="25" t="str">
        <x:v>APPROVED</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3" hidden="0" customWidth="1"/>
    <x:col min="2" max="2" width="23" hidden="0" customWidth="1"/>
    <x:col min="3" max="3" width="91" hidden="0" customWidth="1"/>
    <x:col min="4" max="4" width="3"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30" customHeight="1">
      <x:c r="A1" s="17" t="str">
        <x:v>BUD v0.7 | MANAGEMENT REPORT</x:v>
      </x:c>
      <x:c r="B1" s="17" t="str">
        <x:v>VALUE / PERIOD</x:v>
      </x:c>
      <x:c r="C1" s="17" t="str">
        <x:v>BUSINESS INTERPRETATION</x:v>
      </x:c>
      <x:c r="E1" s="32" t="str">
        <x:v>YEAR HISTORY</x:v>
      </x:c>
      <x:c r="F1" s="32" t="str">
        <x:v>Cut-off: B2</x:v>
      </x:c>
      <x:c r="G1" s="32"/>
      <x:c r="H1" s="32"/>
      <x:c r="I1" s="32"/>
      <x:c r="J1" s="32"/>
      <x:c r="K1" s="32"/>
      <x:c r="L1" s="32"/>
      <x:c r="M1" s="32"/>
      <x:c r="N1" s="32"/>
      <x:c r="O1" s="32"/>
      <x:c r="P1" s="32"/>
      <x:c r="Q1" s="32"/>
    </x:row>
    <x:row r="2" ht="30" customHeight="1">
      <x:c r="A2" t="str">
        <x:v>Reporting month</x:v>
      </x:c>
      <x:c r="B2" t="str">
        <x:v>2026-10</x:v>
      </x:c>
      <x:c r="C2" t="str">
        <x:v>Change B2 to YYYY-MM. Billing: Invoice Register by Invoice date; other monthly inputs: Monthly Project Activity.</x:v>
      </x:c>
      <x:c r="E2" s="37" t="str">
        <x:f>IF(1&lt;=VALUE(RIGHT($B$2,2)),LEFT($B$2,4)&amp;"-"&amp;TEXT(1,"00"),IF(1=VALUE(RIGHT($B$2,2))+1,"YTD TO CUT-OFF",""))</x:f>
        <x:v>2026-01</x:v>
      </x:c>
      <x:c r="F2" s="37" t="str">
        <x:f>IF(2&lt;=VALUE(RIGHT($B$2,2)),LEFT($B$2,4)&amp;"-"&amp;TEXT(2,"00"),IF(2=VALUE(RIGHT($B$2,2))+1,"YTD TO CUT-OFF",""))</x:f>
        <x:v>2026-02</x:v>
      </x:c>
      <x:c r="G2" s="37" t="str">
        <x:f>IF(3&lt;=VALUE(RIGHT($B$2,2)),LEFT($B$2,4)&amp;"-"&amp;TEXT(3,"00"),IF(3=VALUE(RIGHT($B$2,2))+1,"YTD TO CUT-OFF",""))</x:f>
        <x:v>2026-03</x:v>
      </x:c>
      <x:c r="H2" s="37" t="str">
        <x:f>IF(4&lt;=VALUE(RIGHT($B$2,2)),LEFT($B$2,4)&amp;"-"&amp;TEXT(4,"00"),IF(4=VALUE(RIGHT($B$2,2))+1,"YTD TO CUT-OFF",""))</x:f>
        <x:v>2026-04</x:v>
      </x:c>
      <x:c r="I2" s="37" t="str">
        <x:f>IF(5&lt;=VALUE(RIGHT($B$2,2)),LEFT($B$2,4)&amp;"-"&amp;TEXT(5,"00"),IF(5=VALUE(RIGHT($B$2,2))+1,"YTD TO CUT-OFF",""))</x:f>
        <x:v>2026-05</x:v>
      </x:c>
      <x:c r="J2" s="37" t="str">
        <x:f>IF(6&lt;=VALUE(RIGHT($B$2,2)),LEFT($B$2,4)&amp;"-"&amp;TEXT(6,"00"),IF(6=VALUE(RIGHT($B$2,2))+1,"YTD TO CUT-OFF",""))</x:f>
        <x:v>2026-06</x:v>
      </x:c>
      <x:c r="K2" s="37" t="str">
        <x:f>IF(7&lt;=VALUE(RIGHT($B$2,2)),LEFT($B$2,4)&amp;"-"&amp;TEXT(7,"00"),IF(7=VALUE(RIGHT($B$2,2))+1,"YTD TO CUT-OFF",""))</x:f>
        <x:v>2026-07</x:v>
      </x:c>
      <x:c r="L2" s="37" t="str">
        <x:f>IF(8&lt;=VALUE(RIGHT($B$2,2)),LEFT($B$2,4)&amp;"-"&amp;TEXT(8,"00"),IF(8=VALUE(RIGHT($B$2,2))+1,"YTD TO CUT-OFF",""))</x:f>
        <x:v>2026-08</x:v>
      </x:c>
      <x:c r="M2" s="37" t="str">
        <x:f>IF(9&lt;=VALUE(RIGHT($B$2,2)),LEFT($B$2,4)&amp;"-"&amp;TEXT(9,"00"),IF(9=VALUE(RIGHT($B$2,2))+1,"YTD TO CUT-OFF",""))</x:f>
        <x:v>2026-09</x:v>
      </x:c>
      <x:c r="N2" s="37" t="str">
        <x:f>IF(10&lt;=VALUE(RIGHT($B$2,2)),LEFT($B$2,4)&amp;"-"&amp;TEXT(10,"00"),IF(10=VALUE(RIGHT($B$2,2))+1,"YTD TO CUT-OFF",""))</x:f>
        <x:v>2026-10</x:v>
      </x:c>
      <x:c r="O2" s="37" t="str">
        <x:f>IF(11&lt;=VALUE(RIGHT($B$2,2)),LEFT($B$2,4)&amp;"-"&amp;TEXT(11,"00"),IF(11=VALUE(RIGHT($B$2,2))+1,"YTD TO CUT-OFF",""))</x:f>
        <x:v>YTD TO CUT-OFF</x:v>
      </x:c>
      <x:c r="P2" s="37" t="str">
        <x:f>IF(12&lt;=VALUE(RIGHT($B$2,2)),LEFT($B$2,4)&amp;"-"&amp;TEXT(12,"00"),IF(12=VALUE(RIGHT($B$2,2))+1,"YTD TO CUT-OFF",""))</x:f>
      </x:c>
      <x:c r="Q2" s="37" t="str">
        <x:f>IF(13&lt;=VALUE(RIGHT($B$2,2)),LEFT($B$2,4)&amp;"-"&amp;TEXT(13,"00"),IF(13=VALUE(RIGHT($B$2,2))+1,"YTD TO CUT-OFF",""))</x:f>
      </x:c>
    </x:row>
    <x:row r="3" ht="42" customHeight="1">
      <x:c r="E3" s="38" t="str">
        <x:f>IF(E$2="","",IF(1=VALUE(RIGHT($B$2,2))+1,"",IF(COUNTIFS('Monthly Project Activity'!$A$2:$A$101,E$2)=0,"NO DATA",IF(COUNTIFS('Monthly Project Activity'!$A$2:$A$101,E$2,'Monthly Project Activity'!$O$2:$O$101,"FX HOLD")&gt;0,"PROVISIONAL / FX HOLD","DATA AVAILABLE"))))</x:f>
        <x:v>NO DATA</x:v>
      </x:c>
      <x:c r="F3" s="38" t="str">
        <x:f>IF(F$2="","",IF(2=VALUE(RIGHT($B$2,2))+1,IF(COUNTIFS($E$3:E$3,"NO DATA")&gt;0,"INCOMPLETE", "DATA AVAILABLE")&amp;IF(COUNTIFS($E$3:E$3,"PROVISIONAL / FX HOLD")&gt;0," / FX HOLD",""),IF(COUNTIFS('Monthly Project Activity'!$A$2:$A$101,F$2)=0,"NO DATA",IF(COUNTIFS('Monthly Project Activity'!$A$2:$A$101,F$2,'Monthly Project Activity'!$O$2:$O$101,"FX HOLD")&gt;0,"PROVISIONAL / FX HOLD","DATA AVAILABLE"))))</x:f>
        <x:v>NO DATA</x:v>
      </x:c>
      <x:c r="G3" s="38" t="str">
        <x:f>IF(G$2="","",IF(3=VALUE(RIGHT($B$2,2))+1,IF(COUNTIFS($E$3:F$3,"NO DATA")&gt;0,"INCOMPLETE", "DATA AVAILABLE")&amp;IF(COUNTIFS($E$3:F$3,"PROVISIONAL / FX HOLD")&gt;0," / FX HOLD",""),IF(COUNTIFS('Monthly Project Activity'!$A$2:$A$101,G$2)=0,"NO DATA",IF(COUNTIFS('Monthly Project Activity'!$A$2:$A$101,G$2,'Monthly Project Activity'!$O$2:$O$101,"FX HOLD")&gt;0,"PROVISIONAL / FX HOLD","DATA AVAILABLE"))))</x:f>
        <x:v>NO DATA</x:v>
      </x:c>
      <x:c r="H3" s="38" t="str">
        <x:f>IF(H$2="","",IF(4=VALUE(RIGHT($B$2,2))+1,IF(COUNTIFS($E$3:G$3,"NO DATA")&gt;0,"INCOMPLETE", "DATA AVAILABLE")&amp;IF(COUNTIFS($E$3:G$3,"PROVISIONAL / FX HOLD")&gt;0," / FX HOLD",""),IF(COUNTIFS('Monthly Project Activity'!$A$2:$A$101,H$2)=0,"NO DATA",IF(COUNTIFS('Monthly Project Activity'!$A$2:$A$101,H$2,'Monthly Project Activity'!$O$2:$O$101,"FX HOLD")&gt;0,"PROVISIONAL / FX HOLD","DATA AVAILABLE"))))</x:f>
        <x:v>NO DATA</x:v>
      </x:c>
      <x:c r="I3" s="38" t="str">
        <x:f>IF(I$2="","",IF(5=VALUE(RIGHT($B$2,2))+1,IF(COUNTIFS($E$3:H$3,"NO DATA")&gt;0,"INCOMPLETE", "DATA AVAILABLE")&amp;IF(COUNTIFS($E$3:H$3,"PROVISIONAL / FX HOLD")&gt;0," / FX HOLD",""),IF(COUNTIFS('Monthly Project Activity'!$A$2:$A$101,I$2)=0,"NO DATA",IF(COUNTIFS('Monthly Project Activity'!$A$2:$A$101,I$2,'Monthly Project Activity'!$O$2:$O$101,"FX HOLD")&gt;0,"PROVISIONAL / FX HOLD","DATA AVAILABLE"))))</x:f>
        <x:v>NO DATA</x:v>
      </x:c>
      <x:c r="J3" s="38" t="str">
        <x:f>IF(J$2="","",IF(6=VALUE(RIGHT($B$2,2))+1,IF(COUNTIFS($E$3:I$3,"NO DATA")&gt;0,"INCOMPLETE", "DATA AVAILABLE")&amp;IF(COUNTIFS($E$3:I$3,"PROVISIONAL / FX HOLD")&gt;0," / FX HOLD",""),IF(COUNTIFS('Monthly Project Activity'!$A$2:$A$101,J$2)=0,"NO DATA",IF(COUNTIFS('Monthly Project Activity'!$A$2:$A$101,J$2,'Monthly Project Activity'!$O$2:$O$101,"FX HOLD")&gt;0,"PROVISIONAL / FX HOLD","DATA AVAILABLE"))))</x:f>
        <x:v>NO DATA</x:v>
      </x:c>
      <x:c r="K3" s="38" t="str">
        <x:f>IF(K$2="","",IF(7=VALUE(RIGHT($B$2,2))+1,IF(COUNTIFS($E$3:J$3,"NO DATA")&gt;0,"INCOMPLETE", "DATA AVAILABLE")&amp;IF(COUNTIFS($E$3:J$3,"PROVISIONAL / FX HOLD")&gt;0," / FX HOLD",""),IF(COUNTIFS('Monthly Project Activity'!$A$2:$A$101,K$2)=0,"NO DATA",IF(COUNTIFS('Monthly Project Activity'!$A$2:$A$101,K$2,'Monthly Project Activity'!$O$2:$O$101,"FX HOLD")&gt;0,"PROVISIONAL / FX HOLD","DATA AVAILABLE"))))</x:f>
        <x:v>NO DATA</x:v>
      </x:c>
      <x:c r="L3" s="38" t="str">
        <x:f>IF(L$2="","",IF(8=VALUE(RIGHT($B$2,2))+1,IF(COUNTIFS($E$3:K$3,"NO DATA")&gt;0,"INCOMPLETE", "DATA AVAILABLE")&amp;IF(COUNTIFS($E$3:K$3,"PROVISIONAL / FX HOLD")&gt;0," / FX HOLD",""),IF(COUNTIFS('Monthly Project Activity'!$A$2:$A$101,L$2)=0,"NO DATA",IF(COUNTIFS('Monthly Project Activity'!$A$2:$A$101,L$2,'Monthly Project Activity'!$O$2:$O$101,"FX HOLD")&gt;0,"PROVISIONAL / FX HOLD","DATA AVAILABLE"))))</x:f>
        <x:v>NO DATA</x:v>
      </x:c>
      <x:c r="M3" s="38" t="str">
        <x:f>IF(M$2="","",IF(9=VALUE(RIGHT($B$2,2))+1,IF(COUNTIFS($E$3:L$3,"NO DATA")&gt;0,"INCOMPLETE", "DATA AVAILABLE")&amp;IF(COUNTIFS($E$3:L$3,"PROVISIONAL / FX HOLD")&gt;0," / FX HOLD",""),IF(COUNTIFS('Monthly Project Activity'!$A$2:$A$101,M$2)=0,"NO DATA",IF(COUNTIFS('Monthly Project Activity'!$A$2:$A$101,M$2,'Monthly Project Activity'!$O$2:$O$101,"FX HOLD")&gt;0,"PROVISIONAL / FX HOLD","DATA AVAILABLE"))))</x:f>
        <x:v>PROVISIONAL / FX HOLD</x:v>
      </x:c>
      <x:c r="N3" s="38" t="str">
        <x:f>IF(N$2="","",IF(10=VALUE(RIGHT($B$2,2))+1,IF(COUNTIFS($E$3:M$3,"NO DATA")&gt;0,"INCOMPLETE", "DATA AVAILABLE")&amp;IF(COUNTIFS($E$3:M$3,"PROVISIONAL / FX HOLD")&gt;0," / FX HOLD",""),IF(COUNTIFS('Monthly Project Activity'!$A$2:$A$101,N$2)=0,"NO DATA",IF(COUNTIFS('Monthly Project Activity'!$A$2:$A$101,N$2,'Monthly Project Activity'!$O$2:$O$101,"FX HOLD")&gt;0,"PROVISIONAL / FX HOLD","DATA AVAILABLE"))))</x:f>
        <x:v>PROVISIONAL / FX HOLD</x:v>
      </x:c>
      <x:c r="O3" s="38" t="str">
        <x:f>IF(O$2="","",IF(11=VALUE(RIGHT($B$2,2))+1,IF(COUNTIFS($E$3:N$3,"NO DATA")&gt;0,"INCOMPLETE", "DATA AVAILABLE")&amp;IF(COUNTIFS($E$3:N$3,"PROVISIONAL / FX HOLD")&gt;0," / FX HOLD",""),IF(COUNTIFS('Monthly Project Activity'!$A$2:$A$101,O$2)=0,"NO DATA",IF(COUNTIFS('Monthly Project Activity'!$A$2:$A$101,O$2,'Monthly Project Activity'!$O$2:$O$101,"FX HOLD")&gt;0,"PROVISIONAL / FX HOLD","DATA AVAILABLE"))))</x:f>
        <x:v>INCOMPLETE / FX HOLD</x:v>
      </x:c>
      <x:c r="P3" s="38" t="str">
        <x:f>IF(P$2="","",IF(12=VALUE(RIGHT($B$2,2))+1,IF(COUNTIFS($E$3:O$3,"NO DATA")&gt;0,"INCOMPLETE", "DATA AVAILABLE")&amp;IF(COUNTIFS($E$3:O$3,"PROVISIONAL / FX HOLD")&gt;0," / FX HOLD",""),IF(COUNTIFS('Monthly Project Activity'!$A$2:$A$101,P$2)=0,"NO DATA",IF(COUNTIFS('Monthly Project Activity'!$A$2:$A$101,P$2,'Monthly Project Activity'!$O$2:$O$101,"FX HOLD")&gt;0,"PROVISIONAL / FX HOLD","DATA AVAILABLE"))))</x:f>
      </x:c>
      <x:c r="Q3" s="38" t="str">
        <x:f>IF(Q$2="","",IF(13=VALUE(RIGHT($B$2,2))+1,IF(COUNTIFS($E$3:P$3,"NO DATA")&gt;0,"INCOMPLETE", "DATA AVAILABLE")&amp;IF(COUNTIFS($E$3:P$3,"PROVISIONAL / FX HOLD")&gt;0," / FX HOLD",""),IF(COUNTIFS('Monthly Project Activity'!$A$2:$A$101,Q$2)=0,"NO DATA",IF(COUNTIFS('Monthly Project Activity'!$A$2:$A$101,Q$2,'Monthly Project Activity'!$O$2:$O$101,"FX HOLD")&gt;0,"PROVISIONAL / FX HOLD","DATA AVAILABLE"))))</x:f>
      </x:c>
    </x:row>
    <x:row r="4">
      <x:c r="A4" s="15" t="str">
        <x:v>MONTHLY COMMERCIAL PERFORMANCE</x:v>
      </x:c>
      <x:c r="B4" s="15" t="str">
        <x:v>USD</x:v>
      </x:c>
      <x:c r="C4" s="15" t="str">
        <x:v>Reporting by invoice entity; not statutory revenue</x:v>
      </x:c>
      <x:c r="E4" s="42"/>
      <x:c r="F4" s="42"/>
      <x:c r="G4" s="42"/>
      <x:c r="H4" s="42"/>
      <x:c r="I4" s="42"/>
      <x:c r="J4" s="42"/>
      <x:c r="K4" s="42"/>
      <x:c r="L4" s="42"/>
      <x:c r="M4" s="42"/>
      <x:c r="N4" s="42"/>
      <x:c r="O4" s="42"/>
      <x:c r="P4" s="42"/>
      <x:c r="Q4" s="42"/>
    </x:row>
    <x:row r="5">
      <x:c r="A5" t="str">
        <x:v>Customer PO intake</x:v>
      </x:c>
      <x:c r="B5" s="18" t="n">
        <x:f>SUMIF('Monthly Project Activity'!$A$2:$A$101,$B$2,'Monthly Project Activity'!$G$2:$G$101)</x:f>
        <x:v>24000</x:v>
      </x:c>
      <x:c r="C5" t="str">
        <x:v>Authorized new POs and net approved revisions received this month</x:v>
      </x:c>
      <x:c r="E5" s="40" t="str">
        <x:f>IF(E$2="","",IF(1=VALUE(RIGHT($B$2,2))+1,IF(FALSE,"NO DATA",""),IF(E$3="NO DATA","NO DATA",SUMIFS('Monthly Project Activity'!$G$2:$G$101,'Monthly Project Activity'!$A$2:$A$101,E$2))))</x:f>
        <x:v>NO DATA</x:v>
      </x:c>
      <x:c r="F5" s="40" t="str">
        <x:f>IF(F$2="","",IF(2=VALUE(RIGHT($B$2,2))+1,IF(COUNTIFS($E$3:E$3,"&lt;&gt;NO DATA")=0,"NO DATA",SUM($E5:E5)),IF(F$3="NO DATA","NO DATA",SUMIFS('Monthly Project Activity'!$G$2:$G$101,'Monthly Project Activity'!$A$2:$A$101,F$2))))</x:f>
        <x:v>NO DATA</x:v>
      </x:c>
      <x:c r="G5" s="40" t="str">
        <x:f>IF(G$2="","",IF(3=VALUE(RIGHT($B$2,2))+1,IF(COUNTIFS($E$3:F$3,"&lt;&gt;NO DATA")=0,"NO DATA",SUM($E5:F5)),IF(G$3="NO DATA","NO DATA",SUMIFS('Monthly Project Activity'!$G$2:$G$101,'Monthly Project Activity'!$A$2:$A$101,G$2))))</x:f>
        <x:v>NO DATA</x:v>
      </x:c>
      <x:c r="H5" s="40" t="str">
        <x:f>IF(H$2="","",IF(4=VALUE(RIGHT($B$2,2))+1,IF(COUNTIFS($E$3:G$3,"&lt;&gt;NO DATA")=0,"NO DATA",SUM($E5:G5)),IF(H$3="NO DATA","NO DATA",SUMIFS('Monthly Project Activity'!$G$2:$G$101,'Monthly Project Activity'!$A$2:$A$101,H$2))))</x:f>
        <x:v>NO DATA</x:v>
      </x:c>
      <x:c r="I5" s="40" t="str">
        <x:f>IF(I$2="","",IF(5=VALUE(RIGHT($B$2,2))+1,IF(COUNTIFS($E$3:H$3,"&lt;&gt;NO DATA")=0,"NO DATA",SUM($E5:H5)),IF(I$3="NO DATA","NO DATA",SUMIFS('Monthly Project Activity'!$G$2:$G$101,'Monthly Project Activity'!$A$2:$A$101,I$2))))</x:f>
        <x:v>NO DATA</x:v>
      </x:c>
      <x:c r="J5" s="40" t="str">
        <x:f>IF(J$2="","",IF(6=VALUE(RIGHT($B$2,2))+1,IF(COUNTIFS($E$3:I$3,"&lt;&gt;NO DATA")=0,"NO DATA",SUM($E5:I5)),IF(J$3="NO DATA","NO DATA",SUMIFS('Monthly Project Activity'!$G$2:$G$101,'Monthly Project Activity'!$A$2:$A$101,J$2))))</x:f>
        <x:v>NO DATA</x:v>
      </x:c>
      <x:c r="K5" s="40" t="str">
        <x:f>IF(K$2="","",IF(7=VALUE(RIGHT($B$2,2))+1,IF(COUNTIFS($E$3:J$3,"&lt;&gt;NO DATA")=0,"NO DATA",SUM($E5:J5)),IF(K$3="NO DATA","NO DATA",SUMIFS('Monthly Project Activity'!$G$2:$G$101,'Monthly Project Activity'!$A$2:$A$101,K$2))))</x:f>
        <x:v>NO DATA</x:v>
      </x:c>
      <x:c r="L5" s="40" t="str">
        <x:f>IF(L$2="","",IF(8=VALUE(RIGHT($B$2,2))+1,IF(COUNTIFS($E$3:K$3,"&lt;&gt;NO DATA")=0,"NO DATA",SUM($E5:K5)),IF(L$3="NO DATA","NO DATA",SUMIFS('Monthly Project Activity'!$G$2:$G$101,'Monthly Project Activity'!$A$2:$A$101,L$2))))</x:f>
        <x:v>NO DATA</x:v>
      </x:c>
      <x:c r="M5" s="40" t="n">
        <x:f>IF(M$2="","",IF(9=VALUE(RIGHT($B$2,2))+1,IF(COUNTIFS($E$3:L$3,"&lt;&gt;NO DATA")=0,"NO DATA",SUM($E5:L5)),IF(M$3="NO DATA","NO DATA",SUMIFS('Monthly Project Activity'!$G$2:$G$101,'Monthly Project Activity'!$A$2:$A$101,M$2))))</x:f>
        <x:v>125000</x:v>
      </x:c>
      <x:c r="N5" s="40" t="n">
        <x:f>IF(N$2="","",IF(10=VALUE(RIGHT($B$2,2))+1,IF(COUNTIFS($E$3:M$3,"&lt;&gt;NO DATA")=0,"NO DATA",SUM($E5:M5)),IF(N$3="NO DATA","NO DATA",SUMIFS('Monthly Project Activity'!$G$2:$G$101,'Monthly Project Activity'!$A$2:$A$101,N$2))))</x:f>
        <x:v>24000</x:v>
      </x:c>
      <x:c r="O5" s="40" t="n">
        <x:f>IF(O$2="","",IF(11=VALUE(RIGHT($B$2,2))+1,IF(COUNTIFS($E$3:N$3,"&lt;&gt;NO DATA")=0,"NO DATA",SUM($E5:N5)),IF(O$3="NO DATA","NO DATA",SUMIFS('Monthly Project Activity'!$G$2:$G$101,'Monthly Project Activity'!$A$2:$A$101,O$2))))</x:f>
        <x:v>149000</x:v>
      </x:c>
      <x:c r="P5" s="40" t="str">
        <x:f>IF(P$2="","",IF(12=VALUE(RIGHT($B$2,2))+1,IF(COUNTIFS($E$3:O$3,"&lt;&gt;NO DATA")=0,"NO DATA",SUM($E5:O5)),IF(P$3="NO DATA","NO DATA",SUMIFS('Monthly Project Activity'!$G$2:$G$101,'Monthly Project Activity'!$A$2:$A$101,P$2))))</x:f>
      </x:c>
      <x:c r="Q5" s="40" t="str">
        <x:f>IF(Q$2="","",IF(13=VALUE(RIGHT($B$2,2))+1,IF(COUNTIFS($E$3:P$3,"&lt;&gt;NO DATA")=0,"NO DATA",SUM($E5:P5)),IF(Q$3="NO DATA","NO DATA",SUMIFS('Monthly Project Activity'!$G$2:$G$101,'Monthly Project Activity'!$A$2:$A$101,Q$2))))</x:f>
      </x:c>
    </x:row>
    <x:row r="6">
      <x:c r="A6" t="str">
        <x:v>Invoiced this month</x:v>
      </x:c>
      <x:c r="B6"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Register'!$M$2:$M$501,$B$2)+COUNTIFS('Invoice Register'!$L$2:$L$501,"CANCELLED",'Invoice Register'!$M$2:$M$501,$B$2)=0,"INVOICE DATA REQUIRED",SUMIFS('Invoice Register'!$N$2:$N$501,'Invoice Register'!$M$2:$M$501,$B$2)))</x:f>
        <x:v>INVOICE DATA REQUIRED</x:v>
      </x:c>
      <x:c r="C6" t="str">
        <x:v>Issued ERP invoices grouped by validated Invoice date, not by a manually assigned month.</x:v>
      </x:c>
      <x:c r="E6" s="40" t="str">
        <x:f>IF(E$2="","",IF(1=VALUE(RIGHT($B$2,2))+1,"",IF((COUNTIFS('Invoice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Register'!$M$2:$M$501,E$2)+COUNTIFS('Invoice Register'!$L$2:$L$501,"CANCELLED",'Invoice Register'!$M$2:$M$501,E$2)=0,"INVOICE DATA REQUIRED",SUMIFS('Invoice Register'!$N$2:$N$501,'Invoice Register'!$M$2:$M$501,E$2)))))</x:f>
        <x:v>INVOICE DATA REQUIRED</x:v>
      </x:c>
      <x:c r="F6" s="40" t="str">
        <x:f>IF(F$2="","",IF(2=VALUE(RIGHT($B$2,2))+1,IF(COUNTIFS($E6:E6,"INVOICE REVIEW")&gt;0,"INVOICE REVIEW",IF(COUNT($E6:E6)=0,"INVOICE DATA REQUIRED",SUM($E6:E6))),IF((COUNTIFS('Invoice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Register'!$M$2:$M$501,F$2)+COUNTIFS('Invoice Register'!$L$2:$L$501,"CANCELLED",'Invoice Register'!$M$2:$M$501,F$2)=0,"INVOICE DATA REQUIRED",SUMIFS('Invoice Register'!$N$2:$N$501,'Invoice Register'!$M$2:$M$501,F$2)))))</x:f>
        <x:v>INVOICE DATA REQUIRED</x:v>
      </x:c>
      <x:c r="G6" s="40" t="str">
        <x:f>IF(G$2="","",IF(3=VALUE(RIGHT($B$2,2))+1,IF(COUNTIFS($E6:F6,"INVOICE REVIEW")&gt;0,"INVOICE REVIEW",IF(COUNT($E6:F6)=0,"INVOICE DATA REQUIRED",SUM($E6:F6))),IF((COUNTIFS('Invoice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Register'!$M$2:$M$501,G$2)+COUNTIFS('Invoice Register'!$L$2:$L$501,"CANCELLED",'Invoice Register'!$M$2:$M$501,G$2)=0,"INVOICE DATA REQUIRED",SUMIFS('Invoice Register'!$N$2:$N$501,'Invoice Register'!$M$2:$M$501,G$2)))))</x:f>
        <x:v>INVOICE DATA REQUIRED</x:v>
      </x:c>
      <x:c r="H6" s="40" t="str">
        <x:f>IF(H$2="","",IF(4=VALUE(RIGHT($B$2,2))+1,IF(COUNTIFS($E6:G6,"INVOICE REVIEW")&gt;0,"INVOICE REVIEW",IF(COUNT($E6:G6)=0,"INVOICE DATA REQUIRED",SUM($E6:G6))),IF((COUNTIFS('Invoice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Register'!$M$2:$M$501,H$2)+COUNTIFS('Invoice Register'!$L$2:$L$501,"CANCELLED",'Invoice Register'!$M$2:$M$501,H$2)=0,"INVOICE DATA REQUIRED",SUMIFS('Invoice Register'!$N$2:$N$501,'Invoice Register'!$M$2:$M$501,H$2)))))</x:f>
        <x:v>INVOICE DATA REQUIRED</x:v>
      </x:c>
      <x:c r="I6" s="40" t="str">
        <x:f>IF(I$2="","",IF(5=VALUE(RIGHT($B$2,2))+1,IF(COUNTIFS($E6:H6,"INVOICE REVIEW")&gt;0,"INVOICE REVIEW",IF(COUNT($E6:H6)=0,"INVOICE DATA REQUIRED",SUM($E6:H6))),IF((COUNTIFS('Invoice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Register'!$M$2:$M$501,I$2)+COUNTIFS('Invoice Register'!$L$2:$L$501,"CANCELLED",'Invoice Register'!$M$2:$M$501,I$2)=0,"INVOICE DATA REQUIRED",SUMIFS('Invoice Register'!$N$2:$N$501,'Invoice Register'!$M$2:$M$501,I$2)))))</x:f>
        <x:v>INVOICE DATA REQUIRED</x:v>
      </x:c>
      <x:c r="J6" s="40" t="str">
        <x:f>IF(J$2="","",IF(6=VALUE(RIGHT($B$2,2))+1,IF(COUNTIFS($E6:I6,"INVOICE REVIEW")&gt;0,"INVOICE REVIEW",IF(COUNT($E6:I6)=0,"INVOICE DATA REQUIRED",SUM($E6:I6))),IF((COUNTIFS('Invoice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Register'!$M$2:$M$501,J$2)+COUNTIFS('Invoice Register'!$L$2:$L$501,"CANCELLED",'Invoice Register'!$M$2:$M$501,J$2)=0,"INVOICE DATA REQUIRED",SUMIFS('Invoice Register'!$N$2:$N$501,'Invoice Register'!$M$2:$M$501,J$2)))))</x:f>
        <x:v>INVOICE DATA REQUIRED</x:v>
      </x:c>
      <x:c r="K6" s="40" t="str">
        <x:f>IF(K$2="","",IF(7=VALUE(RIGHT($B$2,2))+1,IF(COUNTIFS($E6:J6,"INVOICE REVIEW")&gt;0,"INVOICE REVIEW",IF(COUNT($E6:J6)=0,"INVOICE DATA REQUIRED",SUM($E6:J6))),IF((COUNTIFS('Invoice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Register'!$M$2:$M$501,K$2)+COUNTIFS('Invoice Register'!$L$2:$L$501,"CANCELLED",'Invoice Register'!$M$2:$M$501,K$2)=0,"INVOICE DATA REQUIRED",SUMIFS('Invoice Register'!$N$2:$N$501,'Invoice Register'!$M$2:$M$501,K$2)))))</x:f>
        <x:v>INVOICE DATA REQUIRED</x:v>
      </x:c>
      <x:c r="L6" s="40" t="str">
        <x:f>IF(L$2="","",IF(8=VALUE(RIGHT($B$2,2))+1,IF(COUNTIFS($E6:K6,"INVOICE REVIEW")&gt;0,"INVOICE REVIEW",IF(COUNT($E6:K6)=0,"INVOICE DATA REQUIRED",SUM($E6:K6))),IF((COUNTIFS('Invoice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Register'!$M$2:$M$501,L$2)+COUNTIFS('Invoice Register'!$L$2:$L$501,"CANCELLED",'Invoice Register'!$M$2:$M$501,L$2)=0,"INVOICE DATA REQUIRED",SUMIFS('Invoice Register'!$N$2:$N$501,'Invoice Register'!$M$2:$M$501,L$2)))))</x:f>
        <x:v>INVOICE DATA REQUIRED</x:v>
      </x:c>
      <x:c r="M6" s="40" t="str">
        <x:f>IF(M$2="","",IF(9=VALUE(RIGHT($B$2,2))+1,IF(COUNTIFS($E6:L6,"INVOICE REVIEW")&gt;0,"INVOICE REVIEW",IF(COUNT($E6:L6)=0,"INVOICE DATA REQUIRED",SUM($E6:L6))),IF((COUNTIFS('Invoice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Register'!$M$2:$M$501,M$2)+COUNTIFS('Invoice Register'!$L$2:$L$501,"CANCELLED",'Invoice Register'!$M$2:$M$501,M$2)=0,"INVOICE DATA REQUIRED",SUMIFS('Invoice Register'!$N$2:$N$501,'Invoice Register'!$M$2:$M$501,M$2)))))</x:f>
        <x:v>INVOICE DATA REQUIRED</x:v>
      </x:c>
      <x:c r="N6" s="40" t="str">
        <x:f>IF(N$2="","",IF(10=VALUE(RIGHT($B$2,2))+1,IF(COUNTIFS($E6:M6,"INVOICE REVIEW")&gt;0,"INVOICE REVIEW",IF(COUNT($E6:M6)=0,"INVOICE DATA REQUIRED",SUM($E6:M6))),IF((COUNTIFS('Invoice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Register'!$M$2:$M$501,N$2)+COUNTIFS('Invoice Register'!$L$2:$L$501,"CANCELLED",'Invoice Register'!$M$2:$M$501,N$2)=0,"INVOICE DATA REQUIRED",SUMIFS('Invoice Register'!$N$2:$N$501,'Invoice Register'!$M$2:$M$501,N$2)))))</x:f>
        <x:v>INVOICE DATA REQUIRED</x:v>
      </x:c>
      <x:c r="O6" s="40" t="str">
        <x:f>IF(O$2="","",IF(11=VALUE(RIGHT($B$2,2))+1,IF(COUNTIFS($E6:N6,"INVOICE REVIEW")&gt;0,"INVOICE REVIEW",IF(COUNT($E6:N6)=0,"INVOICE DATA REQUIRED",SUM($E6:N6))),IF((COUNTIFS('Invoice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Register'!$M$2:$M$501,O$2)+COUNTIFS('Invoice Register'!$L$2:$L$501,"CANCELLED",'Invoice Register'!$M$2:$M$501,O$2)=0,"INVOICE DATA REQUIRED",SUMIFS('Invoice Register'!$N$2:$N$501,'Invoice Register'!$M$2:$M$501,O$2)))))</x:f>
        <x:v>INVOICE DATA REQUIRED</x:v>
      </x:c>
      <x:c r="P6" s="40" t="str">
        <x:f>IF(P$2="","",IF(12=VALUE(RIGHT($B$2,2))+1,IF(COUNTIFS($E6:O6,"INVOICE REVIEW")&gt;0,"INVOICE REVIEW",IF(COUNT($E6:O6)=0,"INVOICE DATA REQUIRED",SUM($E6:O6))),IF((COUNTIFS('Invoice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Register'!$M$2:$M$501,P$2)+COUNTIFS('Invoice Register'!$L$2:$L$501,"CANCELLED",'Invoice Register'!$M$2:$M$501,P$2)=0,"INVOICE DATA REQUIRED",SUMIFS('Invoice Register'!$N$2:$N$501,'Invoice Register'!$M$2:$M$501,P$2)))))</x:f>
      </x:c>
      <x:c r="Q6" s="40" t="str">
        <x:f>IF(Q$2="","",IF(13=VALUE(RIGHT($B$2,2))+1,IF(COUNTIFS($E6:P6,"INVOICE REVIEW")&gt;0,"INVOICE REVIEW",IF(COUNT($E6:P6)=0,"INVOICE DATA REQUIRED",SUM($E6:P6))),IF((COUNTIFS('Invoice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Register'!$M$2:$M$501,Q$2)+COUNTIFS('Invoice Register'!$L$2:$L$501,"CANCELLED",'Invoice Register'!$M$2:$M$501,Q$2)=0,"INVOICE DATA REQUIRED",SUMIFS('Invoice Register'!$N$2:$N$501,'Invoice Register'!$M$2:$M$501,Q$2)))))</x:f>
      </x:c>
    </x:row>
    <x:row r="7">
      <x:c r="A7" t="str">
        <x:v>Payments outside operational scope</x:v>
      </x:c>
      <x:c r="B7" s="18"/>
      <x:c r="C7" t="str">
        <x:v>Retired from operational BUD; no payment or accounting inference.</x:v>
      </x:c>
      <x:c r="E7" s="40"/>
      <x:c r="F7" s="40"/>
      <x:c r="G7" s="40"/>
      <x:c r="H7" s="40"/>
      <x:c r="I7" s="40"/>
      <x:c r="J7" s="40"/>
      <x:c r="K7" s="40"/>
      <x:c r="L7" s="40"/>
      <x:c r="M7" s="40"/>
      <x:c r="N7" s="40"/>
      <x:c r="O7" s="40"/>
      <x:c r="P7" s="40"/>
      <x:c r="Q7" s="40"/>
    </x:row>
    <x:row r="8">
      <x:c r="A8" t="str">
        <x:v>Payables outside operational scope</x:v>
      </x:c>
      <x:c r="B8" s="18"/>
      <x:c r="C8" t="str">
        <x:v>Retired from operational BUD; no payment or accounting inference.</x:v>
      </x:c>
      <x:c r="E8" s="40"/>
      <x:c r="F8" s="40"/>
      <x:c r="G8" s="40"/>
      <x:c r="H8" s="40"/>
      <x:c r="I8" s="40"/>
      <x:c r="J8" s="40"/>
      <x:c r="K8" s="40"/>
      <x:c r="L8" s="40"/>
      <x:c r="M8" s="40"/>
      <x:c r="N8" s="40"/>
      <x:c r="O8" s="40"/>
      <x:c r="P8" s="40"/>
      <x:c r="Q8" s="40"/>
    </x:row>
    <x:row r="9">
      <x:c r="A9" t="str">
        <x:v>ERP recognized cost this month</x:v>
      </x:c>
      <x:c r="B9" s="18" t="n">
        <x:f>SUMIF('Monthly Project Activity'!$A$2:$A$101,$B$2,'Monthly Project Activity'!$K$2:$K$101)</x:f>
        <x:v>43000</x:v>
      </x:c>
      <x:c r="C9" t="str">
        <x:v>Accounting-sourced cost measure for operational monitoring</x:v>
      </x:c>
      <x:c r="E9" s="40" t="str">
        <x:f>IF(E$2="","",IF(1=VALUE(RIGHT($B$2,2))+1,IF(FALSE,"NO DATA",""),IF(E$3="NO DATA","NO DATA",SUMIFS('Monthly Project Activity'!$K$2:$K$101,'Monthly Project Activity'!$A$2:$A$101,E$2))))</x:f>
        <x:v>NO DATA</x:v>
      </x:c>
      <x:c r="F9" s="40" t="str">
        <x:f>IF(F$2="","",IF(2=VALUE(RIGHT($B$2,2))+1,IF(COUNTIFS($E$3:E$3,"&lt;&gt;NO DATA")=0,"NO DATA",SUM($E9:E9)),IF(F$3="NO DATA","NO DATA",SUMIFS('Monthly Project Activity'!$K$2:$K$101,'Monthly Project Activity'!$A$2:$A$101,F$2))))</x:f>
        <x:v>NO DATA</x:v>
      </x:c>
      <x:c r="G9" s="40" t="str">
        <x:f>IF(G$2="","",IF(3=VALUE(RIGHT($B$2,2))+1,IF(COUNTIFS($E$3:F$3,"&lt;&gt;NO DATA")=0,"NO DATA",SUM($E9:F9)),IF(G$3="NO DATA","NO DATA",SUMIFS('Monthly Project Activity'!$K$2:$K$101,'Monthly Project Activity'!$A$2:$A$101,G$2))))</x:f>
        <x:v>NO DATA</x:v>
      </x:c>
      <x:c r="H9" s="40" t="str">
        <x:f>IF(H$2="","",IF(4=VALUE(RIGHT($B$2,2))+1,IF(COUNTIFS($E$3:G$3,"&lt;&gt;NO DATA")=0,"NO DATA",SUM($E9:G9)),IF(H$3="NO DATA","NO DATA",SUMIFS('Monthly Project Activity'!$K$2:$K$101,'Monthly Project Activity'!$A$2:$A$101,H$2))))</x:f>
        <x:v>NO DATA</x:v>
      </x:c>
      <x:c r="I9" s="40" t="str">
        <x:f>IF(I$2="","",IF(5=VALUE(RIGHT($B$2,2))+1,IF(COUNTIFS($E$3:H$3,"&lt;&gt;NO DATA")=0,"NO DATA",SUM($E9:H9)),IF(I$3="NO DATA","NO DATA",SUMIFS('Monthly Project Activity'!$K$2:$K$101,'Monthly Project Activity'!$A$2:$A$101,I$2))))</x:f>
        <x:v>NO DATA</x:v>
      </x:c>
      <x:c r="J9" s="40" t="str">
        <x:f>IF(J$2="","",IF(6=VALUE(RIGHT($B$2,2))+1,IF(COUNTIFS($E$3:I$3,"&lt;&gt;NO DATA")=0,"NO DATA",SUM($E9:I9)),IF(J$3="NO DATA","NO DATA",SUMIFS('Monthly Project Activity'!$K$2:$K$101,'Monthly Project Activity'!$A$2:$A$101,J$2))))</x:f>
        <x:v>NO DATA</x:v>
      </x:c>
      <x:c r="K9" s="40" t="str">
        <x:f>IF(K$2="","",IF(7=VALUE(RIGHT($B$2,2))+1,IF(COUNTIFS($E$3:J$3,"&lt;&gt;NO DATA")=0,"NO DATA",SUM($E9:J9)),IF(K$3="NO DATA","NO DATA",SUMIFS('Monthly Project Activity'!$K$2:$K$101,'Monthly Project Activity'!$A$2:$A$101,K$2))))</x:f>
        <x:v>NO DATA</x:v>
      </x:c>
      <x:c r="L9" s="40" t="str">
        <x:f>IF(L$2="","",IF(8=VALUE(RIGHT($B$2,2))+1,IF(COUNTIFS($E$3:K$3,"&lt;&gt;NO DATA")=0,"NO DATA",SUM($E9:K9)),IF(L$3="NO DATA","NO DATA",SUMIFS('Monthly Project Activity'!$K$2:$K$101,'Monthly Project Activity'!$A$2:$A$101,L$2))))</x:f>
        <x:v>NO DATA</x:v>
      </x:c>
      <x:c r="M9" s="40" t="n">
        <x:f>IF(M$2="","",IF(9=VALUE(RIGHT($B$2,2))+1,IF(COUNTIFS($E$3:L$3,"&lt;&gt;NO DATA")=0,"NO DATA",SUM($E9:L9)),IF(M$3="NO DATA","NO DATA",SUMIFS('Monthly Project Activity'!$K$2:$K$101,'Monthly Project Activity'!$A$2:$A$101,M$2))))</x:f>
        <x:v>43000</x:v>
      </x:c>
      <x:c r="N9" s="40" t="n">
        <x:f>IF(N$2="","",IF(10=VALUE(RIGHT($B$2,2))+1,IF(COUNTIFS($E$3:M$3,"&lt;&gt;NO DATA")=0,"NO DATA",SUM($E9:M9)),IF(N$3="NO DATA","NO DATA",SUMIFS('Monthly Project Activity'!$K$2:$K$101,'Monthly Project Activity'!$A$2:$A$101,N$2))))</x:f>
        <x:v>43000</x:v>
      </x:c>
      <x:c r="O9" s="40" t="n">
        <x:f>IF(O$2="","",IF(11=VALUE(RIGHT($B$2,2))+1,IF(COUNTIFS($E$3:N$3,"&lt;&gt;NO DATA")=0,"NO DATA",SUM($E9:N9)),IF(O$3="NO DATA","NO DATA",SUMIFS('Monthly Project Activity'!$K$2:$K$101,'Monthly Project Activity'!$A$2:$A$101,O$2))))</x:f>
        <x:v>86000</x:v>
      </x:c>
      <x:c r="P9" s="40" t="str">
        <x:f>IF(P$2="","",IF(12=VALUE(RIGHT($B$2,2))+1,IF(COUNTIFS($E$3:O$3,"&lt;&gt;NO DATA")=0,"NO DATA",SUM($E9:O9)),IF(P$3="NO DATA","NO DATA",SUMIFS('Monthly Project Activity'!$K$2:$K$101,'Monthly Project Activity'!$A$2:$A$101,P$2))))</x:f>
      </x:c>
      <x:c r="Q9" s="40" t="str">
        <x:f>IF(Q$2="","",IF(13=VALUE(RIGHT($B$2,2))+1,IF(COUNTIFS($E$3:P$3,"&lt;&gt;NO DATA")=0,"NO DATA",SUM($E9:P9)),IF(Q$3="NO DATA","NO DATA",SUMIFS('Monthly Project Activity'!$K$2:$K$101,'Monthly Project Activity'!$A$2:$A$101,Q$2))))</x:f>
      </x:c>
    </x:row>
    <x:row r="10">
      <x:c r="A10" t="str">
        <x:v>No invoice/cost profit inference</x:v>
      </x:c>
      <x:c r="B10" s="18"/>
      <x:c r="C10" t="str">
        <x:v>Retired from operational BUD; no payment or accounting inference.</x:v>
      </x:c>
      <x:c r="E10" s="44"/>
      <x:c r="F10" s="44"/>
      <x:c r="G10" s="44"/>
      <x:c r="H10" s="44"/>
      <x:c r="I10" s="44"/>
      <x:c r="J10" s="44"/>
      <x:c r="K10" s="44"/>
      <x:c r="L10" s="44"/>
      <x:c r="M10" s="44"/>
      <x:c r="N10" s="44"/>
      <x:c r="O10" s="44"/>
      <x:c r="P10" s="44"/>
      <x:c r="Q10" s="44"/>
    </x:row>
    <x:row r="11">
      <x:c r="A11" t="str">
        <x:v>Projects invoiced this month</x:v>
      </x:c>
      <x:c r="B11"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Register'!$M$2:$M$501,$B$2,'Invoice Register'!$L$2:$L$501,"VALID")=0,"INVOICE DATA REQUIRED",SUMIFS('Invoice Register'!$O$2:$O$501,'Invoice Register'!$M$2:$M$501,$B$2)))</x:f>
        <x:v>INVOICE DATA REQUIRED</x:v>
      </x:c>
      <x:c r="C11" t="str">
        <x:v>Unique Project IDs with invoicing &gt;0 in selected month</x:v>
      </x:c>
      <x:c r="E11" s="41" t="str">
        <x:f>IF(E$2="","",IF(1=VALUE(RIGHT($B$2,2))+1,"n.a.",IF((COUNTIFS('Invoice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Register'!$M$2:$M$501,E$2,'Invoice Register'!$L$2:$L$501,"VALID")=0,"INVOICE DATA REQUIRED",SUMIFS('Invoice Register'!$O$2:$O$501,'Invoice Register'!$M$2:$M$501,E$2)))))</x:f>
        <x:v>INVOICE DATA REQUIRED</x:v>
      </x:c>
      <x:c r="F11" s="41" t="str">
        <x:f>IF(F$2="","",IF(2=VALUE(RIGHT($B$2,2))+1,"n.a.",IF((COUNTIFS('Invoice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Register'!$M$2:$M$501,F$2,'Invoice Register'!$L$2:$L$501,"VALID")=0,"INVOICE DATA REQUIRED",SUMIFS('Invoice Register'!$O$2:$O$501,'Invoice Register'!$M$2:$M$501,F$2)))))</x:f>
        <x:v>INVOICE DATA REQUIRED</x:v>
      </x:c>
      <x:c r="G11" s="41" t="str">
        <x:f>IF(G$2="","",IF(3=VALUE(RIGHT($B$2,2))+1,"n.a.",IF((COUNTIFS('Invoice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Register'!$M$2:$M$501,G$2,'Invoice Register'!$L$2:$L$501,"VALID")=0,"INVOICE DATA REQUIRED",SUMIFS('Invoice Register'!$O$2:$O$501,'Invoice Register'!$M$2:$M$501,G$2)))))</x:f>
        <x:v>INVOICE DATA REQUIRED</x:v>
      </x:c>
      <x:c r="H11" s="41" t="str">
        <x:f>IF(H$2="","",IF(4=VALUE(RIGHT($B$2,2))+1,"n.a.",IF((COUNTIFS('Invoice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Register'!$M$2:$M$501,H$2,'Invoice Register'!$L$2:$L$501,"VALID")=0,"INVOICE DATA REQUIRED",SUMIFS('Invoice Register'!$O$2:$O$501,'Invoice Register'!$M$2:$M$501,H$2)))))</x:f>
        <x:v>INVOICE DATA REQUIRED</x:v>
      </x:c>
      <x:c r="I11" s="41" t="str">
        <x:f>IF(I$2="","",IF(5=VALUE(RIGHT($B$2,2))+1,"n.a.",IF((COUNTIFS('Invoice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Register'!$M$2:$M$501,I$2,'Invoice Register'!$L$2:$L$501,"VALID")=0,"INVOICE DATA REQUIRED",SUMIFS('Invoice Register'!$O$2:$O$501,'Invoice Register'!$M$2:$M$501,I$2)))))</x:f>
        <x:v>INVOICE DATA REQUIRED</x:v>
      </x:c>
      <x:c r="J11" s="41" t="str">
        <x:f>IF(J$2="","",IF(6=VALUE(RIGHT($B$2,2))+1,"n.a.",IF((COUNTIFS('Invoice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Register'!$M$2:$M$501,J$2,'Invoice Register'!$L$2:$L$501,"VALID")=0,"INVOICE DATA REQUIRED",SUMIFS('Invoice Register'!$O$2:$O$501,'Invoice Register'!$M$2:$M$501,J$2)))))</x:f>
        <x:v>INVOICE DATA REQUIRED</x:v>
      </x:c>
      <x:c r="K11" s="41" t="str">
        <x:f>IF(K$2="","",IF(7=VALUE(RIGHT($B$2,2))+1,"n.a.",IF((COUNTIFS('Invoice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Register'!$M$2:$M$501,K$2,'Invoice Register'!$L$2:$L$501,"VALID")=0,"INVOICE DATA REQUIRED",SUMIFS('Invoice Register'!$O$2:$O$501,'Invoice Register'!$M$2:$M$501,K$2)))))</x:f>
        <x:v>INVOICE DATA REQUIRED</x:v>
      </x:c>
      <x:c r="L11" s="41" t="str">
        <x:f>IF(L$2="","",IF(8=VALUE(RIGHT($B$2,2))+1,"n.a.",IF((COUNTIFS('Invoice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Register'!$M$2:$M$501,L$2,'Invoice Register'!$L$2:$L$501,"VALID")=0,"INVOICE DATA REQUIRED",SUMIFS('Invoice Register'!$O$2:$O$501,'Invoice Register'!$M$2:$M$501,L$2)))))</x:f>
        <x:v>INVOICE DATA REQUIRED</x:v>
      </x:c>
      <x:c r="M11" s="41" t="str">
        <x:f>IF(M$2="","",IF(9=VALUE(RIGHT($B$2,2))+1,"n.a.",IF((COUNTIFS('Invoice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Register'!$M$2:$M$501,M$2,'Invoice Register'!$L$2:$L$501,"VALID")=0,"INVOICE DATA REQUIRED",SUMIFS('Invoice Register'!$O$2:$O$501,'Invoice Register'!$M$2:$M$501,M$2)))))</x:f>
        <x:v>INVOICE DATA REQUIRED</x:v>
      </x:c>
      <x:c r="N11" s="41" t="str">
        <x:f>IF(N$2="","",IF(10=VALUE(RIGHT($B$2,2))+1,"n.a.",IF((COUNTIFS('Invoice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Register'!$M$2:$M$501,N$2,'Invoice Register'!$L$2:$L$501,"VALID")=0,"INVOICE DATA REQUIRED",SUMIFS('Invoice Register'!$O$2:$O$501,'Invoice Register'!$M$2:$M$501,N$2)))))</x:f>
        <x:v>INVOICE DATA REQUIRED</x:v>
      </x:c>
      <x:c r="O11" s="41" t="str">
        <x:f>IF(O$2="","",IF(11=VALUE(RIGHT($B$2,2))+1,"n.a.",IF((COUNTIFS('Invoice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Register'!$M$2:$M$501,O$2,'Invoice Register'!$L$2:$L$501,"VALID")=0,"INVOICE DATA REQUIRED",SUMIFS('Invoice Register'!$O$2:$O$501,'Invoice Register'!$M$2:$M$501,O$2)))))</x:f>
        <x:v>n.a.</x:v>
      </x:c>
      <x:c r="P11" s="41" t="str">
        <x:f>IF(P$2="","",IF(12=VALUE(RIGHT($B$2,2))+1,"n.a.",IF((COUNTIFS('Invoice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Register'!$M$2:$M$501,P$2,'Invoice Register'!$L$2:$L$501,"VALID")=0,"INVOICE DATA REQUIRED",SUMIFS('Invoice Register'!$O$2:$O$501,'Invoice Register'!$M$2:$M$501,P$2)))))</x:f>
      </x:c>
      <x:c r="Q11" s="41" t="str">
        <x:f>IF(Q$2="","",IF(13=VALUE(RIGHT($B$2,2))+1,"n.a.",IF((COUNTIFS('Invoice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Register'!$M$2:$M$501,Q$2,'Invoice Register'!$L$2:$L$501,"VALID")=0,"INVOICE DATA REQUIRED",SUMIFS('Invoice Register'!$O$2:$O$501,'Invoice Register'!$M$2:$M$501,Q$2)))))</x:f>
      </x:c>
    </x:row>
    <x:row r="12">
      <x:c r="A12" t="str">
        <x:v>Projects with PO intake this month</x:v>
      </x:c>
      <x:c r="B12" t="n">
        <x:f>COUNTIFS('Monthly Project Activity'!$A$2:$A$101,$B$2,'Monthly Project Activity'!$G$2:$G$101,"&gt;0")</x:f>
        <x:v>1</x:v>
      </x:c>
      <x:c r="C12" t="str">
        <x:v>Unique Project IDs with new/adjusted authorized customer POs</x:v>
      </x:c>
      <x:c r="E12" s="41" t="str">
        <x:f>IF(E$2="","",IF(1=VALUE(RIGHT($B$2,2))+1,IF(FALSE,"NO DATA","n.a."),IF(E$3="NO DATA","NO DATA",COUNTIFS('Monthly Project Activity'!$A$2:$A$101,E$2,'Monthly Project Activity'!$G$2:$G$101,"&gt;0"))))</x:f>
        <x:v>NO DATA</x:v>
      </x:c>
      <x:c r="F12" s="41" t="str">
        <x:f>IF(F$2="","",IF(2=VALUE(RIGHT($B$2,2))+1,IF(COUNTIFS($E$3:E$3,"&lt;&gt;NO DATA")=0,"NO DATA","n.a."),IF(F$3="NO DATA","NO DATA",COUNTIFS('Monthly Project Activity'!$A$2:$A$101,F$2,'Monthly Project Activity'!$G$2:$G$101,"&gt;0"))))</x:f>
        <x:v>NO DATA</x:v>
      </x:c>
      <x:c r="G12" s="41" t="str">
        <x:f>IF(G$2="","",IF(3=VALUE(RIGHT($B$2,2))+1,IF(COUNTIFS($E$3:F$3,"&lt;&gt;NO DATA")=0,"NO DATA","n.a."),IF(G$3="NO DATA","NO DATA",COUNTIFS('Monthly Project Activity'!$A$2:$A$101,G$2,'Monthly Project Activity'!$G$2:$G$101,"&gt;0"))))</x:f>
        <x:v>NO DATA</x:v>
      </x:c>
      <x:c r="H12" s="41" t="str">
        <x:f>IF(H$2="","",IF(4=VALUE(RIGHT($B$2,2))+1,IF(COUNTIFS($E$3:G$3,"&lt;&gt;NO DATA")=0,"NO DATA","n.a."),IF(H$3="NO DATA","NO DATA",COUNTIFS('Monthly Project Activity'!$A$2:$A$101,H$2,'Monthly Project Activity'!$G$2:$G$101,"&gt;0"))))</x:f>
        <x:v>NO DATA</x:v>
      </x:c>
      <x:c r="I12" s="41" t="str">
        <x:f>IF(I$2="","",IF(5=VALUE(RIGHT($B$2,2))+1,IF(COUNTIFS($E$3:H$3,"&lt;&gt;NO DATA")=0,"NO DATA","n.a."),IF(I$3="NO DATA","NO DATA",COUNTIFS('Monthly Project Activity'!$A$2:$A$101,I$2,'Monthly Project Activity'!$G$2:$G$101,"&gt;0"))))</x:f>
        <x:v>NO DATA</x:v>
      </x:c>
      <x:c r="J12" s="41" t="str">
        <x:f>IF(J$2="","",IF(6=VALUE(RIGHT($B$2,2))+1,IF(COUNTIFS($E$3:I$3,"&lt;&gt;NO DATA")=0,"NO DATA","n.a."),IF(J$3="NO DATA","NO DATA",COUNTIFS('Monthly Project Activity'!$A$2:$A$101,J$2,'Monthly Project Activity'!$G$2:$G$101,"&gt;0"))))</x:f>
        <x:v>NO DATA</x:v>
      </x:c>
      <x:c r="K12" s="41" t="str">
        <x:f>IF(K$2="","",IF(7=VALUE(RIGHT($B$2,2))+1,IF(COUNTIFS($E$3:J$3,"&lt;&gt;NO DATA")=0,"NO DATA","n.a."),IF(K$3="NO DATA","NO DATA",COUNTIFS('Monthly Project Activity'!$A$2:$A$101,K$2,'Monthly Project Activity'!$G$2:$G$101,"&gt;0"))))</x:f>
        <x:v>NO DATA</x:v>
      </x:c>
      <x:c r="L12" s="41" t="str">
        <x:f>IF(L$2="","",IF(8=VALUE(RIGHT($B$2,2))+1,IF(COUNTIFS($E$3:K$3,"&lt;&gt;NO DATA")=0,"NO DATA","n.a."),IF(L$3="NO DATA","NO DATA",COUNTIFS('Monthly Project Activity'!$A$2:$A$101,L$2,'Monthly Project Activity'!$G$2:$G$101,"&gt;0"))))</x:f>
        <x:v>NO DATA</x:v>
      </x:c>
      <x:c r="M12" s="41" t="n">
        <x:f>IF(M$2="","",IF(9=VALUE(RIGHT($B$2,2))+1,IF(COUNTIFS($E$3:L$3,"&lt;&gt;NO DATA")=0,"NO DATA","n.a."),IF(M$3="NO DATA","NO DATA",COUNTIFS('Monthly Project Activity'!$A$2:$A$101,M$2,'Monthly Project Activity'!$G$2:$G$101,"&gt;0"))))</x:f>
        <x:v>3</x:v>
      </x:c>
      <x:c r="N12" s="41" t="n">
        <x:f>IF(N$2="","",IF(10=VALUE(RIGHT($B$2,2))+1,IF(COUNTIFS($E$3:M$3,"&lt;&gt;NO DATA")=0,"NO DATA","n.a."),IF(N$3="NO DATA","NO DATA",COUNTIFS('Monthly Project Activity'!$A$2:$A$101,N$2,'Monthly Project Activity'!$G$2:$G$101,"&gt;0"))))</x:f>
        <x:v>1</x:v>
      </x:c>
      <x:c r="O12" s="41" t="str">
        <x:f>IF(O$2="","",IF(11=VALUE(RIGHT($B$2,2))+1,IF(COUNTIFS($E$3:N$3,"&lt;&gt;NO DATA")=0,"NO DATA","n.a."),IF(O$3="NO DATA","NO DATA",COUNTIFS('Monthly Project Activity'!$A$2:$A$101,O$2,'Monthly Project Activity'!$G$2:$G$101,"&gt;0"))))</x:f>
        <x:v>n.a.</x:v>
      </x:c>
      <x:c r="P12" s="41" t="str">
        <x:f>IF(P$2="","",IF(12=VALUE(RIGHT($B$2,2))+1,IF(COUNTIFS($E$3:O$3,"&lt;&gt;NO DATA")=0,"NO DATA","n.a."),IF(P$3="NO DATA","NO DATA",COUNTIFS('Monthly Project Activity'!$A$2:$A$101,P$2,'Monthly Project Activity'!$G$2:$G$101,"&gt;0"))))</x:f>
      </x:c>
      <x:c r="Q12" s="41" t="str">
        <x:f>IF(Q$2="","",IF(13=VALUE(RIGHT($B$2,2))+1,IF(COUNTIFS($E$3:P$3,"&lt;&gt;NO DATA")=0,"NO DATA","n.a."),IF(Q$3="NO DATA","NO DATA",COUNTIFS('Monthly Project Activity'!$A$2:$A$101,Q$2,'Monthly Project Activity'!$G$2:$G$101,"&gt;0"))))</x:f>
      </x:c>
    </x:row>
    <x:row r="13">
      <x:c r="E13" s="40"/>
      <x:c r="F13" s="40"/>
      <x:c r="G13" s="40"/>
      <x:c r="H13" s="40"/>
      <x:c r="I13" s="40"/>
      <x:c r="J13" s="40"/>
      <x:c r="K13" s="40"/>
      <x:c r="L13" s="40"/>
      <x:c r="M13" s="40"/>
      <x:c r="N13" s="40"/>
      <x:c r="O13" s="40"/>
      <x:c r="P13" s="40"/>
      <x:c r="Q13" s="40"/>
    </x:row>
    <x:row r="14">
      <x:c r="A14" s="15" t="str">
        <x:v>MONTHLY INVOICE BY SELLING ENTITY</x:v>
      </x:c>
      <x:c r="B14" s="15" t="str">
        <x:v>USD</x:v>
      </x:c>
      <x:c r="C14" s="15" t="str">
        <x:v>MX and US must reconcile to total invoiced</x:v>
      </x:c>
      <x:c r="E14" s="43"/>
      <x:c r="F14" s="43"/>
      <x:c r="G14" s="43"/>
      <x:c r="H14" s="43"/>
      <x:c r="I14" s="43"/>
      <x:c r="J14" s="43"/>
      <x:c r="K14" s="43"/>
      <x:c r="L14" s="43"/>
      <x:c r="M14" s="43"/>
      <x:c r="N14" s="43"/>
      <x:c r="O14" s="43"/>
      <x:c r="P14" s="43"/>
      <x:c r="Q14" s="43"/>
    </x:row>
    <x:row r="15">
      <x:c r="A15" t="str">
        <x:v>Selling entity MX</x:v>
      </x:c>
      <x:c r="B15"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Register'!$M$2:$M$501,$B$2)+COUNTIFS('Invoice Register'!$L$2:$L$501,"CANCELLED",'Invoice Register'!$M$2:$M$501,$B$2)=0,"INVOICE DATA REQUIRED",SUMIFS('Invoice Register'!$N$2:$N$501,'Invoice Register'!$M$2:$M$501,$B$2,'Invoice Register'!$D$2:$D$501,"MX")))</x:f>
        <x:v>INVOICE DATA REQUIRED</x:v>
      </x:c>
      <x:c r="E15" s="40" t="str">
        <x:f>IF(E$2="","",IF(1=VALUE(RIGHT($B$2,2))+1,"",IF((COUNTIFS('Invoice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Register'!$M$2:$M$501,E$2)+COUNTIFS('Invoice Register'!$L$2:$L$501,"CANCELLED",'Invoice Register'!$M$2:$M$501,E$2)=0,"INVOICE DATA REQUIRED",SUMIFS('Invoice Register'!$N$2:$N$501,'Invoice Register'!$M$2:$M$501,E$2,'Invoice Register'!$D$2:$D$501,"MX")))))</x:f>
        <x:v>INVOICE DATA REQUIRED</x:v>
      </x:c>
      <x:c r="F15" s="40" t="str">
        <x:f>IF(F$2="","",IF(2=VALUE(RIGHT($B$2,2))+1,IF(COUNTIFS($E15:E15,"INVOICE REVIEW")&gt;0,"INVOICE REVIEW",IF(COUNT($E15:E15)=0,"INVOICE DATA REQUIRED",SUM($E15:E15))),IF((COUNTIFS('Invoice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Register'!$M$2:$M$501,F$2)+COUNTIFS('Invoice Register'!$L$2:$L$501,"CANCELLED",'Invoice Register'!$M$2:$M$501,F$2)=0,"INVOICE DATA REQUIRED",SUMIFS('Invoice Register'!$N$2:$N$501,'Invoice Register'!$M$2:$M$501,F$2,'Invoice Register'!$D$2:$D$501,"MX")))))</x:f>
        <x:v>INVOICE DATA REQUIRED</x:v>
      </x:c>
      <x:c r="G15" s="40" t="str">
        <x:f>IF(G$2="","",IF(3=VALUE(RIGHT($B$2,2))+1,IF(COUNTIFS($E15:F15,"INVOICE REVIEW")&gt;0,"INVOICE REVIEW",IF(COUNT($E15:F15)=0,"INVOICE DATA REQUIRED",SUM($E15:F15))),IF((COUNTIFS('Invoice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Register'!$M$2:$M$501,G$2)+COUNTIFS('Invoice Register'!$L$2:$L$501,"CANCELLED",'Invoice Register'!$M$2:$M$501,G$2)=0,"INVOICE DATA REQUIRED",SUMIFS('Invoice Register'!$N$2:$N$501,'Invoice Register'!$M$2:$M$501,G$2,'Invoice Register'!$D$2:$D$501,"MX")))))</x:f>
        <x:v>INVOICE DATA REQUIRED</x:v>
      </x:c>
      <x:c r="H15" s="40" t="str">
        <x:f>IF(H$2="","",IF(4=VALUE(RIGHT($B$2,2))+1,IF(COUNTIFS($E15:G15,"INVOICE REVIEW")&gt;0,"INVOICE REVIEW",IF(COUNT($E15:G15)=0,"INVOICE DATA REQUIRED",SUM($E15:G15))),IF((COUNTIFS('Invoice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Register'!$M$2:$M$501,H$2)+COUNTIFS('Invoice Register'!$L$2:$L$501,"CANCELLED",'Invoice Register'!$M$2:$M$501,H$2)=0,"INVOICE DATA REQUIRED",SUMIFS('Invoice Register'!$N$2:$N$501,'Invoice Register'!$M$2:$M$501,H$2,'Invoice Register'!$D$2:$D$501,"MX")))))</x:f>
        <x:v>INVOICE DATA REQUIRED</x:v>
      </x:c>
      <x:c r="I15" s="40" t="str">
        <x:f>IF(I$2="","",IF(5=VALUE(RIGHT($B$2,2))+1,IF(COUNTIFS($E15:H15,"INVOICE REVIEW")&gt;0,"INVOICE REVIEW",IF(COUNT($E15:H15)=0,"INVOICE DATA REQUIRED",SUM($E15:H15))),IF((COUNTIFS('Invoice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Register'!$M$2:$M$501,I$2)+COUNTIFS('Invoice Register'!$L$2:$L$501,"CANCELLED",'Invoice Register'!$M$2:$M$501,I$2)=0,"INVOICE DATA REQUIRED",SUMIFS('Invoice Register'!$N$2:$N$501,'Invoice Register'!$M$2:$M$501,I$2,'Invoice Register'!$D$2:$D$501,"MX")))))</x:f>
        <x:v>INVOICE DATA REQUIRED</x:v>
      </x:c>
      <x:c r="J15" s="40" t="str">
        <x:f>IF(J$2="","",IF(6=VALUE(RIGHT($B$2,2))+1,IF(COUNTIFS($E15:I15,"INVOICE REVIEW")&gt;0,"INVOICE REVIEW",IF(COUNT($E15:I15)=0,"INVOICE DATA REQUIRED",SUM($E15:I15))),IF((COUNTIFS('Invoice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Register'!$M$2:$M$501,J$2)+COUNTIFS('Invoice Register'!$L$2:$L$501,"CANCELLED",'Invoice Register'!$M$2:$M$501,J$2)=0,"INVOICE DATA REQUIRED",SUMIFS('Invoice Register'!$N$2:$N$501,'Invoice Register'!$M$2:$M$501,J$2,'Invoice Register'!$D$2:$D$501,"MX")))))</x:f>
        <x:v>INVOICE DATA REQUIRED</x:v>
      </x:c>
      <x:c r="K15" s="40" t="str">
        <x:f>IF(K$2="","",IF(7=VALUE(RIGHT($B$2,2))+1,IF(COUNTIFS($E15:J15,"INVOICE REVIEW")&gt;0,"INVOICE REVIEW",IF(COUNT($E15:J15)=0,"INVOICE DATA REQUIRED",SUM($E15:J15))),IF((COUNTIFS('Invoice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Register'!$M$2:$M$501,K$2)+COUNTIFS('Invoice Register'!$L$2:$L$501,"CANCELLED",'Invoice Register'!$M$2:$M$501,K$2)=0,"INVOICE DATA REQUIRED",SUMIFS('Invoice Register'!$N$2:$N$501,'Invoice Register'!$M$2:$M$501,K$2,'Invoice Register'!$D$2:$D$501,"MX")))))</x:f>
        <x:v>INVOICE DATA REQUIRED</x:v>
      </x:c>
      <x:c r="L15" s="40" t="str">
        <x:f>IF(L$2="","",IF(8=VALUE(RIGHT($B$2,2))+1,IF(COUNTIFS($E15:K15,"INVOICE REVIEW")&gt;0,"INVOICE REVIEW",IF(COUNT($E15:K15)=0,"INVOICE DATA REQUIRED",SUM($E15:K15))),IF((COUNTIFS('Invoice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Register'!$M$2:$M$501,L$2)+COUNTIFS('Invoice Register'!$L$2:$L$501,"CANCELLED",'Invoice Register'!$M$2:$M$501,L$2)=0,"INVOICE DATA REQUIRED",SUMIFS('Invoice Register'!$N$2:$N$501,'Invoice Register'!$M$2:$M$501,L$2,'Invoice Register'!$D$2:$D$501,"MX")))))</x:f>
        <x:v>INVOICE DATA REQUIRED</x:v>
      </x:c>
      <x:c r="M15" s="40" t="str">
        <x:f>IF(M$2="","",IF(9=VALUE(RIGHT($B$2,2))+1,IF(COUNTIFS($E15:L15,"INVOICE REVIEW")&gt;0,"INVOICE REVIEW",IF(COUNT($E15:L15)=0,"INVOICE DATA REQUIRED",SUM($E15:L15))),IF((COUNTIFS('Invoice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Register'!$M$2:$M$501,M$2)+COUNTIFS('Invoice Register'!$L$2:$L$501,"CANCELLED",'Invoice Register'!$M$2:$M$501,M$2)=0,"INVOICE DATA REQUIRED",SUMIFS('Invoice Register'!$N$2:$N$501,'Invoice Register'!$M$2:$M$501,M$2,'Invoice Register'!$D$2:$D$501,"MX")))))</x:f>
        <x:v>INVOICE DATA REQUIRED</x:v>
      </x:c>
      <x:c r="N15" s="40" t="str">
        <x:f>IF(N$2="","",IF(10=VALUE(RIGHT($B$2,2))+1,IF(COUNTIFS($E15:M15,"INVOICE REVIEW")&gt;0,"INVOICE REVIEW",IF(COUNT($E15:M15)=0,"INVOICE DATA REQUIRED",SUM($E15:M15))),IF((COUNTIFS('Invoice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Register'!$M$2:$M$501,N$2)+COUNTIFS('Invoice Register'!$L$2:$L$501,"CANCELLED",'Invoice Register'!$M$2:$M$501,N$2)=0,"INVOICE DATA REQUIRED",SUMIFS('Invoice Register'!$N$2:$N$501,'Invoice Register'!$M$2:$M$501,N$2,'Invoice Register'!$D$2:$D$501,"MX")))))</x:f>
        <x:v>INVOICE DATA REQUIRED</x:v>
      </x:c>
      <x:c r="O15" s="40" t="str">
        <x:f>IF(O$2="","",IF(11=VALUE(RIGHT($B$2,2))+1,IF(COUNTIFS($E15:N15,"INVOICE REVIEW")&gt;0,"INVOICE REVIEW",IF(COUNT($E15:N15)=0,"INVOICE DATA REQUIRED",SUM($E15:N15))),IF((COUNTIFS('Invoice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Register'!$M$2:$M$501,O$2)+COUNTIFS('Invoice Register'!$L$2:$L$501,"CANCELLED",'Invoice Register'!$M$2:$M$501,O$2)=0,"INVOICE DATA REQUIRED",SUMIFS('Invoice Register'!$N$2:$N$501,'Invoice Register'!$M$2:$M$501,O$2,'Invoice Register'!$D$2:$D$501,"MX")))))</x:f>
        <x:v>INVOICE DATA REQUIRED</x:v>
      </x:c>
      <x:c r="P15" s="40" t="str">
        <x:f>IF(P$2="","",IF(12=VALUE(RIGHT($B$2,2))+1,IF(COUNTIFS($E15:O15,"INVOICE REVIEW")&gt;0,"INVOICE REVIEW",IF(COUNT($E15:O15)=0,"INVOICE DATA REQUIRED",SUM($E15:O15))),IF((COUNTIFS('Invoice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Register'!$M$2:$M$501,P$2)+COUNTIFS('Invoice Register'!$L$2:$L$501,"CANCELLED",'Invoice Register'!$M$2:$M$501,P$2)=0,"INVOICE DATA REQUIRED",SUMIFS('Invoice Register'!$N$2:$N$501,'Invoice Register'!$M$2:$M$501,P$2,'Invoice Register'!$D$2:$D$501,"MX")))))</x:f>
      </x:c>
      <x:c r="Q15" s="40" t="str">
        <x:f>IF(Q$2="","",IF(13=VALUE(RIGHT($B$2,2))+1,IF(COUNTIFS($E15:P15,"INVOICE REVIEW")&gt;0,"INVOICE REVIEW",IF(COUNT($E15:P15)=0,"INVOICE DATA REQUIRED",SUM($E15:P15))),IF((COUNTIFS('Invoice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Register'!$M$2:$M$501,Q$2)+COUNTIFS('Invoice Register'!$L$2:$L$501,"CANCELLED",'Invoice Register'!$M$2:$M$501,Q$2)=0,"INVOICE DATA REQUIRED",SUMIFS('Invoice Register'!$N$2:$N$501,'Invoice Register'!$M$2:$M$501,Q$2,'Invoice Register'!$D$2:$D$501,"MX")))))</x:f>
      </x:c>
    </x:row>
    <x:row r="16">
      <x:c r="A16" t="str">
        <x:v>Selling entity US</x:v>
      </x:c>
      <x:c r="B16"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Register'!$M$2:$M$501,$B$2)+COUNTIFS('Invoice Register'!$L$2:$L$501,"CANCELLED",'Invoice Register'!$M$2:$M$501,$B$2)=0,"INVOICE DATA REQUIRED",SUMIFS('Invoice Register'!$N$2:$N$501,'Invoice Register'!$M$2:$M$501,$B$2,'Invoice Register'!$D$2:$D$501,"US")))</x:f>
        <x:v>INVOICE DATA REQUIRED</x:v>
      </x:c>
      <x:c r="E16" s="40" t="str">
        <x:f>IF(E$2="","",IF(1=VALUE(RIGHT($B$2,2))+1,"",IF((COUNTIFS('Invoice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Register'!$M$2:$M$501,E$2)+COUNTIFS('Invoice Register'!$L$2:$L$501,"CANCELLED",'Invoice Register'!$M$2:$M$501,E$2)=0,"INVOICE DATA REQUIRED",SUMIFS('Invoice Register'!$N$2:$N$501,'Invoice Register'!$M$2:$M$501,E$2,'Invoice Register'!$D$2:$D$501,"US")))))</x:f>
        <x:v>INVOICE DATA REQUIRED</x:v>
      </x:c>
      <x:c r="F16" s="40" t="str">
        <x:f>IF(F$2="","",IF(2=VALUE(RIGHT($B$2,2))+1,IF(COUNTIFS($E16:E16,"INVOICE REVIEW")&gt;0,"INVOICE REVIEW",IF(COUNT($E16:E16)=0,"INVOICE DATA REQUIRED",SUM($E16:E16))),IF((COUNTIFS('Invoice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Register'!$M$2:$M$501,F$2)+COUNTIFS('Invoice Register'!$L$2:$L$501,"CANCELLED",'Invoice Register'!$M$2:$M$501,F$2)=0,"INVOICE DATA REQUIRED",SUMIFS('Invoice Register'!$N$2:$N$501,'Invoice Register'!$M$2:$M$501,F$2,'Invoice Register'!$D$2:$D$501,"US")))))</x:f>
        <x:v>INVOICE DATA REQUIRED</x:v>
      </x:c>
      <x:c r="G16" s="40" t="str">
        <x:f>IF(G$2="","",IF(3=VALUE(RIGHT($B$2,2))+1,IF(COUNTIFS($E16:F16,"INVOICE REVIEW")&gt;0,"INVOICE REVIEW",IF(COUNT($E16:F16)=0,"INVOICE DATA REQUIRED",SUM($E16:F16))),IF((COUNTIFS('Invoice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Register'!$M$2:$M$501,G$2)+COUNTIFS('Invoice Register'!$L$2:$L$501,"CANCELLED",'Invoice Register'!$M$2:$M$501,G$2)=0,"INVOICE DATA REQUIRED",SUMIFS('Invoice Register'!$N$2:$N$501,'Invoice Register'!$M$2:$M$501,G$2,'Invoice Register'!$D$2:$D$501,"US")))))</x:f>
        <x:v>INVOICE DATA REQUIRED</x:v>
      </x:c>
      <x:c r="H16" s="40" t="str">
        <x:f>IF(H$2="","",IF(4=VALUE(RIGHT($B$2,2))+1,IF(COUNTIFS($E16:G16,"INVOICE REVIEW")&gt;0,"INVOICE REVIEW",IF(COUNT($E16:G16)=0,"INVOICE DATA REQUIRED",SUM($E16:G16))),IF((COUNTIFS('Invoice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Register'!$M$2:$M$501,H$2)+COUNTIFS('Invoice Register'!$L$2:$L$501,"CANCELLED",'Invoice Register'!$M$2:$M$501,H$2)=0,"INVOICE DATA REQUIRED",SUMIFS('Invoice Register'!$N$2:$N$501,'Invoice Register'!$M$2:$M$501,H$2,'Invoice Register'!$D$2:$D$501,"US")))))</x:f>
        <x:v>INVOICE DATA REQUIRED</x:v>
      </x:c>
      <x:c r="I16" s="40" t="str">
        <x:f>IF(I$2="","",IF(5=VALUE(RIGHT($B$2,2))+1,IF(COUNTIFS($E16:H16,"INVOICE REVIEW")&gt;0,"INVOICE REVIEW",IF(COUNT($E16:H16)=0,"INVOICE DATA REQUIRED",SUM($E16:H16))),IF((COUNTIFS('Invoice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Register'!$M$2:$M$501,I$2)+COUNTIFS('Invoice Register'!$L$2:$L$501,"CANCELLED",'Invoice Register'!$M$2:$M$501,I$2)=0,"INVOICE DATA REQUIRED",SUMIFS('Invoice Register'!$N$2:$N$501,'Invoice Register'!$M$2:$M$501,I$2,'Invoice Register'!$D$2:$D$501,"US")))))</x:f>
        <x:v>INVOICE DATA REQUIRED</x:v>
      </x:c>
      <x:c r="J16" s="40" t="str">
        <x:f>IF(J$2="","",IF(6=VALUE(RIGHT($B$2,2))+1,IF(COUNTIFS($E16:I16,"INVOICE REVIEW")&gt;0,"INVOICE REVIEW",IF(COUNT($E16:I16)=0,"INVOICE DATA REQUIRED",SUM($E16:I16))),IF((COUNTIFS('Invoice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Register'!$M$2:$M$501,J$2)+COUNTIFS('Invoice Register'!$L$2:$L$501,"CANCELLED",'Invoice Register'!$M$2:$M$501,J$2)=0,"INVOICE DATA REQUIRED",SUMIFS('Invoice Register'!$N$2:$N$501,'Invoice Register'!$M$2:$M$501,J$2,'Invoice Register'!$D$2:$D$501,"US")))))</x:f>
        <x:v>INVOICE DATA REQUIRED</x:v>
      </x:c>
      <x:c r="K16" s="40" t="str">
        <x:f>IF(K$2="","",IF(7=VALUE(RIGHT($B$2,2))+1,IF(COUNTIFS($E16:J16,"INVOICE REVIEW")&gt;0,"INVOICE REVIEW",IF(COUNT($E16:J16)=0,"INVOICE DATA REQUIRED",SUM($E16:J16))),IF((COUNTIFS('Invoice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Register'!$M$2:$M$501,K$2)+COUNTIFS('Invoice Register'!$L$2:$L$501,"CANCELLED",'Invoice Register'!$M$2:$M$501,K$2)=0,"INVOICE DATA REQUIRED",SUMIFS('Invoice Register'!$N$2:$N$501,'Invoice Register'!$M$2:$M$501,K$2,'Invoice Register'!$D$2:$D$501,"US")))))</x:f>
        <x:v>INVOICE DATA REQUIRED</x:v>
      </x:c>
      <x:c r="L16" s="40" t="str">
        <x:f>IF(L$2="","",IF(8=VALUE(RIGHT($B$2,2))+1,IF(COUNTIFS($E16:K16,"INVOICE REVIEW")&gt;0,"INVOICE REVIEW",IF(COUNT($E16:K16)=0,"INVOICE DATA REQUIRED",SUM($E16:K16))),IF((COUNTIFS('Invoice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Register'!$M$2:$M$501,L$2)+COUNTIFS('Invoice Register'!$L$2:$L$501,"CANCELLED",'Invoice Register'!$M$2:$M$501,L$2)=0,"INVOICE DATA REQUIRED",SUMIFS('Invoice Register'!$N$2:$N$501,'Invoice Register'!$M$2:$M$501,L$2,'Invoice Register'!$D$2:$D$501,"US")))))</x:f>
        <x:v>INVOICE DATA REQUIRED</x:v>
      </x:c>
      <x:c r="M16" s="40" t="str">
        <x:f>IF(M$2="","",IF(9=VALUE(RIGHT($B$2,2))+1,IF(COUNTIFS($E16:L16,"INVOICE REVIEW")&gt;0,"INVOICE REVIEW",IF(COUNT($E16:L16)=0,"INVOICE DATA REQUIRED",SUM($E16:L16))),IF((COUNTIFS('Invoice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Register'!$M$2:$M$501,M$2)+COUNTIFS('Invoice Register'!$L$2:$L$501,"CANCELLED",'Invoice Register'!$M$2:$M$501,M$2)=0,"INVOICE DATA REQUIRED",SUMIFS('Invoice Register'!$N$2:$N$501,'Invoice Register'!$M$2:$M$501,M$2,'Invoice Register'!$D$2:$D$501,"US")))))</x:f>
        <x:v>INVOICE DATA REQUIRED</x:v>
      </x:c>
      <x:c r="N16" s="40" t="str">
        <x:f>IF(N$2="","",IF(10=VALUE(RIGHT($B$2,2))+1,IF(COUNTIFS($E16:M16,"INVOICE REVIEW")&gt;0,"INVOICE REVIEW",IF(COUNT($E16:M16)=0,"INVOICE DATA REQUIRED",SUM($E16:M16))),IF((COUNTIFS('Invoice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Register'!$M$2:$M$501,N$2)+COUNTIFS('Invoice Register'!$L$2:$L$501,"CANCELLED",'Invoice Register'!$M$2:$M$501,N$2)=0,"INVOICE DATA REQUIRED",SUMIFS('Invoice Register'!$N$2:$N$501,'Invoice Register'!$M$2:$M$501,N$2,'Invoice Register'!$D$2:$D$501,"US")))))</x:f>
        <x:v>INVOICE DATA REQUIRED</x:v>
      </x:c>
      <x:c r="O16" s="40" t="str">
        <x:f>IF(O$2="","",IF(11=VALUE(RIGHT($B$2,2))+1,IF(COUNTIFS($E16:N16,"INVOICE REVIEW")&gt;0,"INVOICE REVIEW",IF(COUNT($E16:N16)=0,"INVOICE DATA REQUIRED",SUM($E16:N16))),IF((COUNTIFS('Invoice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Register'!$M$2:$M$501,O$2)+COUNTIFS('Invoice Register'!$L$2:$L$501,"CANCELLED",'Invoice Register'!$M$2:$M$501,O$2)=0,"INVOICE DATA REQUIRED",SUMIFS('Invoice Register'!$N$2:$N$501,'Invoice Register'!$M$2:$M$501,O$2,'Invoice Register'!$D$2:$D$501,"US")))))</x:f>
        <x:v>INVOICE DATA REQUIRED</x:v>
      </x:c>
      <x:c r="P16" s="40" t="str">
        <x:f>IF(P$2="","",IF(12=VALUE(RIGHT($B$2,2))+1,IF(COUNTIFS($E16:O16,"INVOICE REVIEW")&gt;0,"INVOICE REVIEW",IF(COUNT($E16:O16)=0,"INVOICE DATA REQUIRED",SUM($E16:O16))),IF((COUNTIFS('Invoice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Register'!$M$2:$M$501,P$2)+COUNTIFS('Invoice Register'!$L$2:$L$501,"CANCELLED",'Invoice Register'!$M$2:$M$501,P$2)=0,"INVOICE DATA REQUIRED",SUMIFS('Invoice Register'!$N$2:$N$501,'Invoice Register'!$M$2:$M$501,P$2,'Invoice Register'!$D$2:$D$501,"US")))))</x:f>
      </x:c>
      <x:c r="Q16" s="40" t="str">
        <x:f>IF(Q$2="","",IF(13=VALUE(RIGHT($B$2,2))+1,IF(COUNTIFS($E16:P16,"INVOICE REVIEW")&gt;0,"INVOICE REVIEW",IF(COUNT($E16:P16)=0,"INVOICE DATA REQUIRED",SUM($E16:P16))),IF((COUNTIFS('Invoice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Register'!$M$2:$M$501,Q$2)+COUNTIFS('Invoice Register'!$L$2:$L$501,"CANCELLED",'Invoice Register'!$M$2:$M$501,Q$2)=0,"INVOICE DATA REQUIRED",SUMIFS('Invoice Register'!$N$2:$N$501,'Invoice Register'!$M$2:$M$501,Q$2,'Invoice Register'!$D$2:$D$501,"US")))))</x:f>
      </x:c>
    </x:row>
    <x:row r="17">
      <x:c r="A17" t="str">
        <x:v>Entity reconciliation</x:v>
      </x:c>
      <x:c r="B17" s="18" t="str">
        <x:f>IF(AND(ISNUMBER(B6),ISNUMBER(B15),ISNUMBER(B16)),B6-SUM(B15:B16),"INVOICE REVIEW")</x:f>
        <x:v>INVOICE REVIEW</x:v>
      </x:c>
      <x:c r="C17" t="str">
        <x:v>Expected zero; flags missing or unknown selling entities</x:v>
      </x:c>
      <x:c r="E17" s="44" t="str">
        <x:f>IF(E$2="","",IF(AND(ISNUMBER(E6),ISNUMBER(E15),ISNUMBER(E16)),E6-E15-E16,"INVOICE REVIEW"))</x:f>
        <x:v>INVOICE REVIEW</x:v>
      </x:c>
      <x:c r="F17" s="44" t="str">
        <x:f>IF(F$2="","",IF(AND(ISNUMBER(F6),ISNUMBER(F15),ISNUMBER(F16)),F6-F15-F16,"INVOICE REVIEW"))</x:f>
        <x:v>INVOICE REVIEW</x:v>
      </x:c>
      <x:c r="G17" s="44" t="str">
        <x:f>IF(G$2="","",IF(AND(ISNUMBER(G6),ISNUMBER(G15),ISNUMBER(G16)),G6-G15-G16,"INVOICE REVIEW"))</x:f>
        <x:v>INVOICE REVIEW</x:v>
      </x:c>
      <x:c r="H17" s="44" t="str">
        <x:f>IF(H$2="","",IF(AND(ISNUMBER(H6),ISNUMBER(H15),ISNUMBER(H16)),H6-H15-H16,"INVOICE REVIEW"))</x:f>
        <x:v>INVOICE REVIEW</x:v>
      </x:c>
      <x:c r="I17" s="44" t="str">
        <x:f>IF(I$2="","",IF(AND(ISNUMBER(I6),ISNUMBER(I15),ISNUMBER(I16)),I6-I15-I16,"INVOICE REVIEW"))</x:f>
        <x:v>INVOICE REVIEW</x:v>
      </x:c>
      <x:c r="J17" s="44" t="str">
        <x:f>IF(J$2="","",IF(AND(ISNUMBER(J6),ISNUMBER(J15),ISNUMBER(J16)),J6-J15-J16,"INVOICE REVIEW"))</x:f>
        <x:v>INVOICE REVIEW</x:v>
      </x:c>
      <x:c r="K17" s="44" t="str">
        <x:f>IF(K$2="","",IF(AND(ISNUMBER(K6),ISNUMBER(K15),ISNUMBER(K16)),K6-K15-K16,"INVOICE REVIEW"))</x:f>
        <x:v>INVOICE REVIEW</x:v>
      </x:c>
      <x:c r="L17" s="44" t="str">
        <x:f>IF(L$2="","",IF(AND(ISNUMBER(L6),ISNUMBER(L15),ISNUMBER(L16)),L6-L15-L16,"INVOICE REVIEW"))</x:f>
        <x:v>INVOICE REVIEW</x:v>
      </x:c>
      <x:c r="M17" s="44" t="str">
        <x:f>IF(M$2="","",IF(AND(ISNUMBER(M6),ISNUMBER(M15),ISNUMBER(M16)),M6-M15-M16,"INVOICE REVIEW"))</x:f>
        <x:v>INVOICE REVIEW</x:v>
      </x:c>
      <x:c r="N17" s="44" t="str">
        <x:f>IF(N$2="","",IF(AND(ISNUMBER(N6),ISNUMBER(N15),ISNUMBER(N16)),N6-N15-N16,"INVOICE REVIEW"))</x:f>
        <x:v>INVOICE REVIEW</x:v>
      </x:c>
      <x:c r="O17" s="44" t="str">
        <x:f>IF(O$2="","",IF(AND(ISNUMBER(O6),ISNUMBER(O15),ISNUMBER(O16)),O6-O15-O16,"INVOICE REVIEW"))</x:f>
        <x:v>INVOICE REVIEW</x:v>
      </x:c>
      <x:c r="P17" s="44" t="str">
        <x:f>IF(P$2="","",IF(AND(ISNUMBER(P6),ISNUMBER(P15),ISNUMBER(P16)),P6-P15-P16,"INVOICE REVIEW"))</x:f>
      </x:c>
      <x:c r="Q17" s="44" t="str">
        <x:f>IF(Q$2="","",IF(AND(ISNUMBER(Q6),ISNUMBER(Q15),ISNUMBER(Q16)),Q6-Q15-Q16,"INVOICE REVIEW"))</x:f>
      </x:c>
    </x:row>
    <x:row r="18">
      <x:c r="B18" s="18"/>
      <x:c r="E18" s="40"/>
      <x:c r="F18" s="40"/>
      <x:c r="G18" s="40"/>
      <x:c r="H18" s="40"/>
      <x:c r="I18" s="40"/>
      <x:c r="J18" s="40"/>
      <x:c r="K18" s="40"/>
      <x:c r="L18" s="40"/>
      <x:c r="M18" s="40"/>
      <x:c r="N18" s="40"/>
      <x:c r="O18" s="40"/>
      <x:c r="P18" s="40"/>
      <x:c r="Q18" s="40"/>
    </x:row>
    <x:row r="19">
      <x:c r="A19" s="15" t="str">
        <x:v>MONTHLY INVOICE BY BUSINESS UNIT</x:v>
      </x:c>
      <x:c r="B19" s="19" t="str">
        <x:v>USD</x:v>
      </x:c>
      <x:c r="C19" s="15" t="str">
        <x:v>Only the two business units in scope</x:v>
      </x:c>
      <x:c r="E19" s="43"/>
      <x:c r="F19" s="43"/>
      <x:c r="G19" s="43"/>
      <x:c r="H19" s="43"/>
      <x:c r="I19" s="43"/>
      <x:c r="J19" s="43"/>
      <x:c r="K19" s="43"/>
      <x:c r="L19" s="43"/>
      <x:c r="M19" s="43"/>
      <x:c r="N19" s="43"/>
      <x:c r="O19" s="43"/>
      <x:c r="P19" s="43"/>
      <x:c r="Q19" s="43"/>
    </x:row>
    <x:row r="20">
      <x:c r="A20" t="str">
        <x:v>Strategic Services</x:v>
      </x:c>
      <x:c r="B20"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Register'!$M$2:$M$501,$B$2)+COUNTIFS('Invoice Register'!$L$2:$L$501,"CANCELLED",'Invoice Register'!$M$2:$M$501,$B$2)=0,"INVOICE DATA REQUIRED",SUMIFS('Invoice Register'!$N$2:$N$501,'Invoice Register'!$M$2:$M$501,$B$2,'Invoice Register'!$E$2:$E$501,"Strategic Services")))</x:f>
        <x:v>INVOICE DATA REQUIRED</x:v>
      </x:c>
      <x:c r="E20" s="40" t="str">
        <x:f>IF(E$2="","",IF(1=VALUE(RIGHT($B$2,2))+1,"",IF((COUNTIFS('Invoice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Register'!$M$2:$M$501,E$2)+COUNTIFS('Invoice Register'!$L$2:$L$501,"CANCELLED",'Invoice Register'!$M$2:$M$501,E$2)=0,"INVOICE DATA REQUIRED",SUMIFS('Invoice Register'!$N$2:$N$501,'Invoice Register'!$M$2:$M$501,E$2,'Invoice Register'!$E$2:$E$501,"Strategic Services")))))</x:f>
        <x:v>INVOICE DATA REQUIRED</x:v>
      </x:c>
      <x:c r="F20" s="40" t="str">
        <x:f>IF(F$2="","",IF(2=VALUE(RIGHT($B$2,2))+1,IF(COUNTIFS($E20:E20,"INVOICE REVIEW")&gt;0,"INVOICE REVIEW",IF(COUNT($E20:E20)=0,"INVOICE DATA REQUIRED",SUM($E20:E20))),IF((COUNTIFS('Invoice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Register'!$M$2:$M$501,F$2)+COUNTIFS('Invoice Register'!$L$2:$L$501,"CANCELLED",'Invoice Register'!$M$2:$M$501,F$2)=0,"INVOICE DATA REQUIRED",SUMIFS('Invoice Register'!$N$2:$N$501,'Invoice Register'!$M$2:$M$501,F$2,'Invoice Register'!$E$2:$E$501,"Strategic Services")))))</x:f>
        <x:v>INVOICE DATA REQUIRED</x:v>
      </x:c>
      <x:c r="G20" s="40" t="str">
        <x:f>IF(G$2="","",IF(3=VALUE(RIGHT($B$2,2))+1,IF(COUNTIFS($E20:F20,"INVOICE REVIEW")&gt;0,"INVOICE REVIEW",IF(COUNT($E20:F20)=0,"INVOICE DATA REQUIRED",SUM($E20:F20))),IF((COUNTIFS('Invoice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Register'!$M$2:$M$501,G$2)+COUNTIFS('Invoice Register'!$L$2:$L$501,"CANCELLED",'Invoice Register'!$M$2:$M$501,G$2)=0,"INVOICE DATA REQUIRED",SUMIFS('Invoice Register'!$N$2:$N$501,'Invoice Register'!$M$2:$M$501,G$2,'Invoice Register'!$E$2:$E$501,"Strategic Services")))))</x:f>
        <x:v>INVOICE DATA REQUIRED</x:v>
      </x:c>
      <x:c r="H20" s="40" t="str">
        <x:f>IF(H$2="","",IF(4=VALUE(RIGHT($B$2,2))+1,IF(COUNTIFS($E20:G20,"INVOICE REVIEW")&gt;0,"INVOICE REVIEW",IF(COUNT($E20:G20)=0,"INVOICE DATA REQUIRED",SUM($E20:G20))),IF((COUNTIFS('Invoice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Register'!$M$2:$M$501,H$2)+COUNTIFS('Invoice Register'!$L$2:$L$501,"CANCELLED",'Invoice Register'!$M$2:$M$501,H$2)=0,"INVOICE DATA REQUIRED",SUMIFS('Invoice Register'!$N$2:$N$501,'Invoice Register'!$M$2:$M$501,H$2,'Invoice Register'!$E$2:$E$501,"Strategic Services")))))</x:f>
        <x:v>INVOICE DATA REQUIRED</x:v>
      </x:c>
      <x:c r="I20" s="40" t="str">
        <x:f>IF(I$2="","",IF(5=VALUE(RIGHT($B$2,2))+1,IF(COUNTIFS($E20:H20,"INVOICE REVIEW")&gt;0,"INVOICE REVIEW",IF(COUNT($E20:H20)=0,"INVOICE DATA REQUIRED",SUM($E20:H20))),IF((COUNTIFS('Invoice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Register'!$M$2:$M$501,I$2)+COUNTIFS('Invoice Register'!$L$2:$L$501,"CANCELLED",'Invoice Register'!$M$2:$M$501,I$2)=0,"INVOICE DATA REQUIRED",SUMIFS('Invoice Register'!$N$2:$N$501,'Invoice Register'!$M$2:$M$501,I$2,'Invoice Register'!$E$2:$E$501,"Strategic Services")))))</x:f>
        <x:v>INVOICE DATA REQUIRED</x:v>
      </x:c>
      <x:c r="J20" s="40" t="str">
        <x:f>IF(J$2="","",IF(6=VALUE(RIGHT($B$2,2))+1,IF(COUNTIFS($E20:I20,"INVOICE REVIEW")&gt;0,"INVOICE REVIEW",IF(COUNT($E20:I20)=0,"INVOICE DATA REQUIRED",SUM($E20:I20))),IF((COUNTIFS('Invoice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Register'!$M$2:$M$501,J$2)+COUNTIFS('Invoice Register'!$L$2:$L$501,"CANCELLED",'Invoice Register'!$M$2:$M$501,J$2)=0,"INVOICE DATA REQUIRED",SUMIFS('Invoice Register'!$N$2:$N$501,'Invoice Register'!$M$2:$M$501,J$2,'Invoice Register'!$E$2:$E$501,"Strategic Services")))))</x:f>
        <x:v>INVOICE DATA REQUIRED</x:v>
      </x:c>
      <x:c r="K20" s="40" t="str">
        <x:f>IF(K$2="","",IF(7=VALUE(RIGHT($B$2,2))+1,IF(COUNTIFS($E20:J20,"INVOICE REVIEW")&gt;0,"INVOICE REVIEW",IF(COUNT($E20:J20)=0,"INVOICE DATA REQUIRED",SUM($E20:J20))),IF((COUNTIFS('Invoice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Register'!$M$2:$M$501,K$2)+COUNTIFS('Invoice Register'!$L$2:$L$501,"CANCELLED",'Invoice Register'!$M$2:$M$501,K$2)=0,"INVOICE DATA REQUIRED",SUMIFS('Invoice Register'!$N$2:$N$501,'Invoice Register'!$M$2:$M$501,K$2,'Invoice Register'!$E$2:$E$501,"Strategic Services")))))</x:f>
        <x:v>INVOICE DATA REQUIRED</x:v>
      </x:c>
      <x:c r="L20" s="40" t="str">
        <x:f>IF(L$2="","",IF(8=VALUE(RIGHT($B$2,2))+1,IF(COUNTIFS($E20:K20,"INVOICE REVIEW")&gt;0,"INVOICE REVIEW",IF(COUNT($E20:K20)=0,"INVOICE DATA REQUIRED",SUM($E20:K20))),IF((COUNTIFS('Invoice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Register'!$M$2:$M$501,L$2)+COUNTIFS('Invoice Register'!$L$2:$L$501,"CANCELLED",'Invoice Register'!$M$2:$M$501,L$2)=0,"INVOICE DATA REQUIRED",SUMIFS('Invoice Register'!$N$2:$N$501,'Invoice Register'!$M$2:$M$501,L$2,'Invoice Register'!$E$2:$E$501,"Strategic Services")))))</x:f>
        <x:v>INVOICE DATA REQUIRED</x:v>
      </x:c>
      <x:c r="M20" s="40" t="str">
        <x:f>IF(M$2="","",IF(9=VALUE(RIGHT($B$2,2))+1,IF(COUNTIFS($E20:L20,"INVOICE REVIEW")&gt;0,"INVOICE REVIEW",IF(COUNT($E20:L20)=0,"INVOICE DATA REQUIRED",SUM($E20:L20))),IF((COUNTIFS('Invoice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Register'!$M$2:$M$501,M$2)+COUNTIFS('Invoice Register'!$L$2:$L$501,"CANCELLED",'Invoice Register'!$M$2:$M$501,M$2)=0,"INVOICE DATA REQUIRED",SUMIFS('Invoice Register'!$N$2:$N$501,'Invoice Register'!$M$2:$M$501,M$2,'Invoice Register'!$E$2:$E$501,"Strategic Services")))))</x:f>
        <x:v>INVOICE DATA REQUIRED</x:v>
      </x:c>
      <x:c r="N20" s="40" t="str">
        <x:f>IF(N$2="","",IF(10=VALUE(RIGHT($B$2,2))+1,IF(COUNTIFS($E20:M20,"INVOICE REVIEW")&gt;0,"INVOICE REVIEW",IF(COUNT($E20:M20)=0,"INVOICE DATA REQUIRED",SUM($E20:M20))),IF((COUNTIFS('Invoice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Register'!$M$2:$M$501,N$2)+COUNTIFS('Invoice Register'!$L$2:$L$501,"CANCELLED",'Invoice Register'!$M$2:$M$501,N$2)=0,"INVOICE DATA REQUIRED",SUMIFS('Invoice Register'!$N$2:$N$501,'Invoice Register'!$M$2:$M$501,N$2,'Invoice Register'!$E$2:$E$501,"Strategic Services")))))</x:f>
        <x:v>INVOICE DATA REQUIRED</x:v>
      </x:c>
      <x:c r="O20" s="40" t="str">
        <x:f>IF(O$2="","",IF(11=VALUE(RIGHT($B$2,2))+1,IF(COUNTIFS($E20:N20,"INVOICE REVIEW")&gt;0,"INVOICE REVIEW",IF(COUNT($E20:N20)=0,"INVOICE DATA REQUIRED",SUM($E20:N20))),IF((COUNTIFS('Invoice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Register'!$M$2:$M$501,O$2)+COUNTIFS('Invoice Register'!$L$2:$L$501,"CANCELLED",'Invoice Register'!$M$2:$M$501,O$2)=0,"INVOICE DATA REQUIRED",SUMIFS('Invoice Register'!$N$2:$N$501,'Invoice Register'!$M$2:$M$501,O$2,'Invoice Register'!$E$2:$E$501,"Strategic Services")))))</x:f>
        <x:v>INVOICE DATA REQUIRED</x:v>
      </x:c>
      <x:c r="P20" s="40" t="str">
        <x:f>IF(P$2="","",IF(12=VALUE(RIGHT($B$2,2))+1,IF(COUNTIFS($E20:O20,"INVOICE REVIEW")&gt;0,"INVOICE REVIEW",IF(COUNT($E20:O20)=0,"INVOICE DATA REQUIRED",SUM($E20:O20))),IF((COUNTIFS('Invoice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Register'!$M$2:$M$501,P$2)+COUNTIFS('Invoice Register'!$L$2:$L$501,"CANCELLED",'Invoice Register'!$M$2:$M$501,P$2)=0,"INVOICE DATA REQUIRED",SUMIFS('Invoice Register'!$N$2:$N$501,'Invoice Register'!$M$2:$M$501,P$2,'Invoice Register'!$E$2:$E$501,"Strategic Services")))))</x:f>
      </x:c>
      <x:c r="Q20" s="40" t="str">
        <x:f>IF(Q$2="","",IF(13=VALUE(RIGHT($B$2,2))+1,IF(COUNTIFS($E20:P20,"INVOICE REVIEW")&gt;0,"INVOICE REVIEW",IF(COUNT($E20:P20)=0,"INVOICE DATA REQUIRED",SUM($E20:P20))),IF((COUNTIFS('Invoice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Register'!$M$2:$M$501,Q$2)+COUNTIFS('Invoice Register'!$L$2:$L$501,"CANCELLED",'Invoice Register'!$M$2:$M$501,Q$2)=0,"INVOICE DATA REQUIRED",SUMIFS('Invoice Register'!$N$2:$N$501,'Invoice Register'!$M$2:$M$501,Q$2,'Invoice Register'!$E$2:$E$501,"Strategic Services")))))</x:f>
      </x:c>
    </x:row>
    <x:row r="21">
      <x:c r="A21" t="str">
        <x:v>Brands</x:v>
      </x:c>
      <x:c r="B21"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Register'!$M$2:$M$501,$B$2)+COUNTIFS('Invoice Register'!$L$2:$L$501,"CANCELLED",'Invoice Register'!$M$2:$M$501,$B$2)=0,"INVOICE DATA REQUIRED",SUMIFS('Invoice Register'!$N$2:$N$501,'Invoice Register'!$M$2:$M$501,$B$2,'Invoice Register'!$E$2:$E$501,"Brands")))</x:f>
        <x:v>INVOICE DATA REQUIRED</x:v>
      </x:c>
      <x:c r="E21" s="40" t="str">
        <x:f>IF(E$2="","",IF(1=VALUE(RIGHT($B$2,2))+1,"",IF((COUNTIFS('Invoice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Register'!$M$2:$M$501,E$2)+COUNTIFS('Invoice Register'!$L$2:$L$501,"CANCELLED",'Invoice Register'!$M$2:$M$501,E$2)=0,"INVOICE DATA REQUIRED",SUMIFS('Invoice Register'!$N$2:$N$501,'Invoice Register'!$M$2:$M$501,E$2,'Invoice Register'!$E$2:$E$501,"Brands")))))</x:f>
        <x:v>INVOICE DATA REQUIRED</x:v>
      </x:c>
      <x:c r="F21" s="40" t="str">
        <x:f>IF(F$2="","",IF(2=VALUE(RIGHT($B$2,2))+1,IF(COUNTIFS($E21:E21,"INVOICE REVIEW")&gt;0,"INVOICE REVIEW",IF(COUNT($E21:E21)=0,"INVOICE DATA REQUIRED",SUM($E21:E21))),IF((COUNTIFS('Invoice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Register'!$M$2:$M$501,F$2)+COUNTIFS('Invoice Register'!$L$2:$L$501,"CANCELLED",'Invoice Register'!$M$2:$M$501,F$2)=0,"INVOICE DATA REQUIRED",SUMIFS('Invoice Register'!$N$2:$N$501,'Invoice Register'!$M$2:$M$501,F$2,'Invoice Register'!$E$2:$E$501,"Brands")))))</x:f>
        <x:v>INVOICE DATA REQUIRED</x:v>
      </x:c>
      <x:c r="G21" s="40" t="str">
        <x:f>IF(G$2="","",IF(3=VALUE(RIGHT($B$2,2))+1,IF(COUNTIFS($E21:F21,"INVOICE REVIEW")&gt;0,"INVOICE REVIEW",IF(COUNT($E21:F21)=0,"INVOICE DATA REQUIRED",SUM($E21:F21))),IF((COUNTIFS('Invoice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Register'!$M$2:$M$501,G$2)+COUNTIFS('Invoice Register'!$L$2:$L$501,"CANCELLED",'Invoice Register'!$M$2:$M$501,G$2)=0,"INVOICE DATA REQUIRED",SUMIFS('Invoice Register'!$N$2:$N$501,'Invoice Register'!$M$2:$M$501,G$2,'Invoice Register'!$E$2:$E$501,"Brands")))))</x:f>
        <x:v>INVOICE DATA REQUIRED</x:v>
      </x:c>
      <x:c r="H21" s="40" t="str">
        <x:f>IF(H$2="","",IF(4=VALUE(RIGHT($B$2,2))+1,IF(COUNTIFS($E21:G21,"INVOICE REVIEW")&gt;0,"INVOICE REVIEW",IF(COUNT($E21:G21)=0,"INVOICE DATA REQUIRED",SUM($E21:G21))),IF((COUNTIFS('Invoice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Register'!$M$2:$M$501,H$2)+COUNTIFS('Invoice Register'!$L$2:$L$501,"CANCELLED",'Invoice Register'!$M$2:$M$501,H$2)=0,"INVOICE DATA REQUIRED",SUMIFS('Invoice Register'!$N$2:$N$501,'Invoice Register'!$M$2:$M$501,H$2,'Invoice Register'!$E$2:$E$501,"Brands")))))</x:f>
        <x:v>INVOICE DATA REQUIRED</x:v>
      </x:c>
      <x:c r="I21" s="40" t="str">
        <x:f>IF(I$2="","",IF(5=VALUE(RIGHT($B$2,2))+1,IF(COUNTIFS($E21:H21,"INVOICE REVIEW")&gt;0,"INVOICE REVIEW",IF(COUNT($E21:H21)=0,"INVOICE DATA REQUIRED",SUM($E21:H21))),IF((COUNTIFS('Invoice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Register'!$M$2:$M$501,I$2)+COUNTIFS('Invoice Register'!$L$2:$L$501,"CANCELLED",'Invoice Register'!$M$2:$M$501,I$2)=0,"INVOICE DATA REQUIRED",SUMIFS('Invoice Register'!$N$2:$N$501,'Invoice Register'!$M$2:$M$501,I$2,'Invoice Register'!$E$2:$E$501,"Brands")))))</x:f>
        <x:v>INVOICE DATA REQUIRED</x:v>
      </x:c>
      <x:c r="J21" s="40" t="str">
        <x:f>IF(J$2="","",IF(6=VALUE(RIGHT($B$2,2))+1,IF(COUNTIFS($E21:I21,"INVOICE REVIEW")&gt;0,"INVOICE REVIEW",IF(COUNT($E21:I21)=0,"INVOICE DATA REQUIRED",SUM($E21:I21))),IF((COUNTIFS('Invoice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Register'!$M$2:$M$501,J$2)+COUNTIFS('Invoice Register'!$L$2:$L$501,"CANCELLED",'Invoice Register'!$M$2:$M$501,J$2)=0,"INVOICE DATA REQUIRED",SUMIFS('Invoice Register'!$N$2:$N$501,'Invoice Register'!$M$2:$M$501,J$2,'Invoice Register'!$E$2:$E$501,"Brands")))))</x:f>
        <x:v>INVOICE DATA REQUIRED</x:v>
      </x:c>
      <x:c r="K21" s="40" t="str">
        <x:f>IF(K$2="","",IF(7=VALUE(RIGHT($B$2,2))+1,IF(COUNTIFS($E21:J21,"INVOICE REVIEW")&gt;0,"INVOICE REVIEW",IF(COUNT($E21:J21)=0,"INVOICE DATA REQUIRED",SUM($E21:J21))),IF((COUNTIFS('Invoice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Register'!$M$2:$M$501,K$2)+COUNTIFS('Invoice Register'!$L$2:$L$501,"CANCELLED",'Invoice Register'!$M$2:$M$501,K$2)=0,"INVOICE DATA REQUIRED",SUMIFS('Invoice Register'!$N$2:$N$501,'Invoice Register'!$M$2:$M$501,K$2,'Invoice Register'!$E$2:$E$501,"Brands")))))</x:f>
        <x:v>INVOICE DATA REQUIRED</x:v>
      </x:c>
      <x:c r="L21" s="40" t="str">
        <x:f>IF(L$2="","",IF(8=VALUE(RIGHT($B$2,2))+1,IF(COUNTIFS($E21:K21,"INVOICE REVIEW")&gt;0,"INVOICE REVIEW",IF(COUNT($E21:K21)=0,"INVOICE DATA REQUIRED",SUM($E21:K21))),IF((COUNTIFS('Invoice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Register'!$M$2:$M$501,L$2)+COUNTIFS('Invoice Register'!$L$2:$L$501,"CANCELLED",'Invoice Register'!$M$2:$M$501,L$2)=0,"INVOICE DATA REQUIRED",SUMIFS('Invoice Register'!$N$2:$N$501,'Invoice Register'!$M$2:$M$501,L$2,'Invoice Register'!$E$2:$E$501,"Brands")))))</x:f>
        <x:v>INVOICE DATA REQUIRED</x:v>
      </x:c>
      <x:c r="M21" s="40" t="str">
        <x:f>IF(M$2="","",IF(9=VALUE(RIGHT($B$2,2))+1,IF(COUNTIFS($E21:L21,"INVOICE REVIEW")&gt;0,"INVOICE REVIEW",IF(COUNT($E21:L21)=0,"INVOICE DATA REQUIRED",SUM($E21:L21))),IF((COUNTIFS('Invoice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Register'!$M$2:$M$501,M$2)+COUNTIFS('Invoice Register'!$L$2:$L$501,"CANCELLED",'Invoice Register'!$M$2:$M$501,M$2)=0,"INVOICE DATA REQUIRED",SUMIFS('Invoice Register'!$N$2:$N$501,'Invoice Register'!$M$2:$M$501,M$2,'Invoice Register'!$E$2:$E$501,"Brands")))))</x:f>
        <x:v>INVOICE DATA REQUIRED</x:v>
      </x:c>
      <x:c r="N21" s="40" t="str">
        <x:f>IF(N$2="","",IF(10=VALUE(RIGHT($B$2,2))+1,IF(COUNTIFS($E21:M21,"INVOICE REVIEW")&gt;0,"INVOICE REVIEW",IF(COUNT($E21:M21)=0,"INVOICE DATA REQUIRED",SUM($E21:M21))),IF((COUNTIFS('Invoice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Register'!$M$2:$M$501,N$2)+COUNTIFS('Invoice Register'!$L$2:$L$501,"CANCELLED",'Invoice Register'!$M$2:$M$501,N$2)=0,"INVOICE DATA REQUIRED",SUMIFS('Invoice Register'!$N$2:$N$501,'Invoice Register'!$M$2:$M$501,N$2,'Invoice Register'!$E$2:$E$501,"Brands")))))</x:f>
        <x:v>INVOICE DATA REQUIRED</x:v>
      </x:c>
      <x:c r="O21" s="40" t="str">
        <x:f>IF(O$2="","",IF(11=VALUE(RIGHT($B$2,2))+1,IF(COUNTIFS($E21:N21,"INVOICE REVIEW")&gt;0,"INVOICE REVIEW",IF(COUNT($E21:N21)=0,"INVOICE DATA REQUIRED",SUM($E21:N21))),IF((COUNTIFS('Invoice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Register'!$M$2:$M$501,O$2)+COUNTIFS('Invoice Register'!$L$2:$L$501,"CANCELLED",'Invoice Register'!$M$2:$M$501,O$2)=0,"INVOICE DATA REQUIRED",SUMIFS('Invoice Register'!$N$2:$N$501,'Invoice Register'!$M$2:$M$501,O$2,'Invoice Register'!$E$2:$E$501,"Brands")))))</x:f>
        <x:v>INVOICE DATA REQUIRED</x:v>
      </x:c>
      <x:c r="P21" s="40" t="str">
        <x:f>IF(P$2="","",IF(12=VALUE(RIGHT($B$2,2))+1,IF(COUNTIFS($E21:O21,"INVOICE REVIEW")&gt;0,"INVOICE REVIEW",IF(COUNT($E21:O21)=0,"INVOICE DATA REQUIRED",SUM($E21:O21))),IF((COUNTIFS('Invoice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Register'!$M$2:$M$501,P$2)+COUNTIFS('Invoice Register'!$L$2:$L$501,"CANCELLED",'Invoice Register'!$M$2:$M$501,P$2)=0,"INVOICE DATA REQUIRED",SUMIFS('Invoice Register'!$N$2:$N$501,'Invoice Register'!$M$2:$M$501,P$2,'Invoice Register'!$E$2:$E$501,"Brands")))))</x:f>
      </x:c>
      <x:c r="Q21" s="40" t="str">
        <x:f>IF(Q$2="","",IF(13=VALUE(RIGHT($B$2,2))+1,IF(COUNTIFS($E21:P21,"INVOICE REVIEW")&gt;0,"INVOICE REVIEW",IF(COUNT($E21:P21)=0,"INVOICE DATA REQUIRED",SUM($E21:P21))),IF((COUNTIFS('Invoice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Register'!$M$2:$M$501,Q$2)+COUNTIFS('Invoice Register'!$L$2:$L$501,"CANCELLED",'Invoice Register'!$M$2:$M$501,Q$2)=0,"INVOICE DATA REQUIRED",SUMIFS('Invoice Register'!$N$2:$N$501,'Invoice Register'!$M$2:$M$501,Q$2,'Invoice Register'!$E$2:$E$501,"Brands")))))</x:f>
      </x:c>
    </x:row>
    <x:row r="22">
      <x:c r="A22" t="str">
        <x:v>BU reconciliation</x:v>
      </x:c>
      <x:c r="B22" s="18" t="str">
        <x:f>IF(AND(ISNUMBER(B6),ISNUMBER(B20),ISNUMBER(B21)),B6-SUM(B20:B21),"INVOICE REVIEW")</x:f>
        <x:v>INVOICE REVIEW</x:v>
      </x:c>
      <x:c r="C22" t="str">
        <x:v>Expected zero; flags out-of-scope/unclassified entries</x:v>
      </x:c>
      <x:c r="E22" s="44" t="str">
        <x:f>IF(E$2="","",IF(AND(ISNUMBER(E6),ISNUMBER(E20),ISNUMBER(E21)),E6-E20-E21,"INVOICE REVIEW"))</x:f>
        <x:v>INVOICE REVIEW</x:v>
      </x:c>
      <x:c r="F22" s="44" t="str">
        <x:f>IF(F$2="","",IF(AND(ISNUMBER(F6),ISNUMBER(F20),ISNUMBER(F21)),F6-F20-F21,"INVOICE REVIEW"))</x:f>
        <x:v>INVOICE REVIEW</x:v>
      </x:c>
      <x:c r="G22" s="44" t="str">
        <x:f>IF(G$2="","",IF(AND(ISNUMBER(G6),ISNUMBER(G20),ISNUMBER(G21)),G6-G20-G21,"INVOICE REVIEW"))</x:f>
        <x:v>INVOICE REVIEW</x:v>
      </x:c>
      <x:c r="H22" s="44" t="str">
        <x:f>IF(H$2="","",IF(AND(ISNUMBER(H6),ISNUMBER(H20),ISNUMBER(H21)),H6-H20-H21,"INVOICE REVIEW"))</x:f>
        <x:v>INVOICE REVIEW</x:v>
      </x:c>
      <x:c r="I22" s="44" t="str">
        <x:f>IF(I$2="","",IF(AND(ISNUMBER(I6),ISNUMBER(I20),ISNUMBER(I21)),I6-I20-I21,"INVOICE REVIEW"))</x:f>
        <x:v>INVOICE REVIEW</x:v>
      </x:c>
      <x:c r="J22" s="44" t="str">
        <x:f>IF(J$2="","",IF(AND(ISNUMBER(J6),ISNUMBER(J20),ISNUMBER(J21)),J6-J20-J21,"INVOICE REVIEW"))</x:f>
        <x:v>INVOICE REVIEW</x:v>
      </x:c>
      <x:c r="K22" s="44" t="str">
        <x:f>IF(K$2="","",IF(AND(ISNUMBER(K6),ISNUMBER(K20),ISNUMBER(K21)),K6-K20-K21,"INVOICE REVIEW"))</x:f>
        <x:v>INVOICE REVIEW</x:v>
      </x:c>
      <x:c r="L22" s="44" t="str">
        <x:f>IF(L$2="","",IF(AND(ISNUMBER(L6),ISNUMBER(L20),ISNUMBER(L21)),L6-L20-L21,"INVOICE REVIEW"))</x:f>
        <x:v>INVOICE REVIEW</x:v>
      </x:c>
      <x:c r="M22" s="44" t="str">
        <x:f>IF(M$2="","",IF(AND(ISNUMBER(M6),ISNUMBER(M20),ISNUMBER(M21)),M6-M20-M21,"INVOICE REVIEW"))</x:f>
        <x:v>INVOICE REVIEW</x:v>
      </x:c>
      <x:c r="N22" s="44" t="str">
        <x:f>IF(N$2="","",IF(AND(ISNUMBER(N6),ISNUMBER(N20),ISNUMBER(N21)),N6-N20-N21,"INVOICE REVIEW"))</x:f>
        <x:v>INVOICE REVIEW</x:v>
      </x:c>
      <x:c r="O22" s="44" t="str">
        <x:f>IF(O$2="","",IF(AND(ISNUMBER(O6),ISNUMBER(O20),ISNUMBER(O21)),O6-O20-O21,"INVOICE REVIEW"))</x:f>
        <x:v>INVOICE REVIEW</x:v>
      </x:c>
      <x:c r="P22" s="44" t="str">
        <x:f>IF(P$2="","",IF(AND(ISNUMBER(P6),ISNUMBER(P20),ISNUMBER(P21)),P6-P20-P21,"INVOICE REVIEW"))</x:f>
      </x:c>
      <x:c r="Q22" s="44" t="str">
        <x:f>IF(Q$2="","",IF(AND(ISNUMBER(Q6),ISNUMBER(Q20),ISNUMBER(Q21)),Q6-Q20-Q21,"INVOICE REVIEW"))</x:f>
      </x:c>
    </x:row>
    <x:row r="23" ht="42" customHeight="1">
      <x:c r="A23" s="25" t="str">
        <x:v>Invoice date coverage</x:v>
      </x:c>
      <x:c r="B23" s="2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Register'!$M$2:$M$501,$B$2,'Invoice Register'!$L$2:$L$501,"VALID")=0,"INVOICE DATA REQUIRED","DATED INVOICE SOURCE"))</x:f>
        <x:v>INVOICE DATA REQUIRED</x:v>
      </x:c>
      <x:c r="C23" s="25" t="str">
        <x:v>Load Invoice Register A:K. Missing dates are not replaced by a reporting-month assumption.</x:v>
      </x:c>
      <x:c r="D23" s="25"/>
      <x:c r="E23" s="34" t="str">
        <x:f>IF(E$2="","",IF((COUNTIFS('Invoice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REVIEW",IF(1=VALUE(RIGHT($B$2,2))+1,IF(COUNTIFS($E6:D6,"INVOICE DATA REQUIRED")&gt;0,"INCOMPLETE INVOICE DATES","DATED INVOICE SOURCE"),IF(COUNTIFS('Invoice Register'!$M$2:$M$501,E$2,'Invoice Register'!$L$2:$L$501,"VALID")=0,"NO DATED INVOICES","DATED INVOICE SOURCE"))))</x:f>
        <x:v>NO DATED INVOICES</x:v>
      </x:c>
      <x:c r="F23" s="34" t="str">
        <x:f>IF(F$2="","",IF((COUNTIFS('Invoice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REVIEW",IF(2=VALUE(RIGHT($B$2,2))+1,IF(COUNTIFS($E6:E6,"INVOICE DATA REQUIRED")&gt;0,"INCOMPLETE INVOICE DATES","DATED INVOICE SOURCE"),IF(COUNTIFS('Invoice Register'!$M$2:$M$501,F$2,'Invoice Register'!$L$2:$L$501,"VALID")=0,"NO DATED INVOICES","DATED INVOICE SOURCE"))))</x:f>
        <x:v>NO DATED INVOICES</x:v>
      </x:c>
      <x:c r="G23" s="34" t="str">
        <x:f>IF(G$2="","",IF((COUNTIFS('Invoice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REVIEW",IF(3=VALUE(RIGHT($B$2,2))+1,IF(COUNTIFS($E6:F6,"INVOICE DATA REQUIRED")&gt;0,"INCOMPLETE INVOICE DATES","DATED INVOICE SOURCE"),IF(COUNTIFS('Invoice Register'!$M$2:$M$501,G$2,'Invoice Register'!$L$2:$L$501,"VALID")=0,"NO DATED INVOICES","DATED INVOICE SOURCE"))))</x:f>
        <x:v>NO DATED INVOICES</x:v>
      </x:c>
      <x:c r="H23" s="34" t="str">
        <x:f>IF(H$2="","",IF((COUNTIFS('Invoice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REVIEW",IF(4=VALUE(RIGHT($B$2,2))+1,IF(COUNTIFS($E6:G6,"INVOICE DATA REQUIRED")&gt;0,"INCOMPLETE INVOICE DATES","DATED INVOICE SOURCE"),IF(COUNTIFS('Invoice Register'!$M$2:$M$501,H$2,'Invoice Register'!$L$2:$L$501,"VALID")=0,"NO DATED INVOICES","DATED INVOICE SOURCE"))))</x:f>
        <x:v>NO DATED INVOICES</x:v>
      </x:c>
      <x:c r="I23" s="34" t="str">
        <x:f>IF(I$2="","",IF((COUNTIFS('Invoice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REVIEW",IF(5=VALUE(RIGHT($B$2,2))+1,IF(COUNTIFS($E6:H6,"INVOICE DATA REQUIRED")&gt;0,"INCOMPLETE INVOICE DATES","DATED INVOICE SOURCE"),IF(COUNTIFS('Invoice Register'!$M$2:$M$501,I$2,'Invoice Register'!$L$2:$L$501,"VALID")=0,"NO DATED INVOICES","DATED INVOICE SOURCE"))))</x:f>
        <x:v>NO DATED INVOICES</x:v>
      </x:c>
      <x:c r="J23" s="34" t="str">
        <x:f>IF(J$2="","",IF((COUNTIFS('Invoice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REVIEW",IF(6=VALUE(RIGHT($B$2,2))+1,IF(COUNTIFS($E6:I6,"INVOICE DATA REQUIRED")&gt;0,"INCOMPLETE INVOICE DATES","DATED INVOICE SOURCE"),IF(COUNTIFS('Invoice Register'!$M$2:$M$501,J$2,'Invoice Register'!$L$2:$L$501,"VALID")=0,"NO DATED INVOICES","DATED INVOICE SOURCE"))))</x:f>
        <x:v>NO DATED INVOICES</x:v>
      </x:c>
      <x:c r="K23" s="34" t="str">
        <x:f>IF(K$2="","",IF((COUNTIFS('Invoice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REVIEW",IF(7=VALUE(RIGHT($B$2,2))+1,IF(COUNTIFS($E6:J6,"INVOICE DATA REQUIRED")&gt;0,"INCOMPLETE INVOICE DATES","DATED INVOICE SOURCE"),IF(COUNTIFS('Invoice Register'!$M$2:$M$501,K$2,'Invoice Register'!$L$2:$L$501,"VALID")=0,"NO DATED INVOICES","DATED INVOICE SOURCE"))))</x:f>
        <x:v>NO DATED INVOICES</x:v>
      </x:c>
      <x:c r="L23" s="34" t="str">
        <x:f>IF(L$2="","",IF((COUNTIFS('Invoice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REVIEW",IF(8=VALUE(RIGHT($B$2,2))+1,IF(COUNTIFS($E6:K6,"INVOICE DATA REQUIRED")&gt;0,"INCOMPLETE INVOICE DATES","DATED INVOICE SOURCE"),IF(COUNTIFS('Invoice Register'!$M$2:$M$501,L$2,'Invoice Register'!$L$2:$L$501,"VALID")=0,"NO DATED INVOICES","DATED INVOICE SOURCE"))))</x:f>
        <x:v>NO DATED INVOICES</x:v>
      </x:c>
      <x:c r="M23" s="34" t="str">
        <x:f>IF(M$2="","",IF((COUNTIFS('Invoice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REVIEW",IF(9=VALUE(RIGHT($B$2,2))+1,IF(COUNTIFS($E6:L6,"INVOICE DATA REQUIRED")&gt;0,"INCOMPLETE INVOICE DATES","DATED INVOICE SOURCE"),IF(COUNTIFS('Invoice Register'!$M$2:$M$501,M$2,'Invoice Register'!$L$2:$L$501,"VALID")=0,"NO DATED INVOICES","DATED INVOICE SOURCE"))))</x:f>
        <x:v>NO DATED INVOICES</x:v>
      </x:c>
      <x:c r="N23" s="34" t="str">
        <x:f>IF(N$2="","",IF((COUNTIFS('Invoice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REVIEW",IF(10=VALUE(RIGHT($B$2,2))+1,IF(COUNTIFS($E6:M6,"INVOICE DATA REQUIRED")&gt;0,"INCOMPLETE INVOICE DATES","DATED INVOICE SOURCE"),IF(COUNTIFS('Invoice Register'!$M$2:$M$501,N$2,'Invoice Register'!$L$2:$L$501,"VALID")=0,"NO DATED INVOICES","DATED INVOICE SOURCE"))))</x:f>
        <x:v>NO DATED INVOICES</x:v>
      </x:c>
      <x:c r="O23" s="34" t="str">
        <x:f>IF(O$2="","",IF((COUNTIFS('Invoice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REVIEW",IF(11=VALUE(RIGHT($B$2,2))+1,IF(COUNTIFS($E6:N6,"INVOICE DATA REQUIRED")&gt;0,"INCOMPLETE INVOICE DATES","DATED INVOICE SOURCE"),IF(COUNTIFS('Invoice Register'!$M$2:$M$501,O$2,'Invoice Register'!$L$2:$L$501,"VALID")=0,"NO DATED INVOICES","DATED INVOICE SOURCE"))))</x:f>
        <x:v>INCOMPLETE INVOICE DATES</x:v>
      </x:c>
      <x:c r="P23" s="34" t="str">
        <x:f>IF(P$2="","",IF((COUNTIFS('Invoice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REVIEW",IF(12=VALUE(RIGHT($B$2,2))+1,IF(COUNTIFS($E6:O6,"INVOICE DATA REQUIRED")&gt;0,"INCOMPLETE INVOICE DATES","DATED INVOICE SOURCE"),IF(COUNTIFS('Invoice Register'!$M$2:$M$501,P$2,'Invoice Register'!$L$2:$L$501,"VALID")=0,"NO DATED INVOICES","DATED INVOICE SOURCE"))))</x:f>
      </x:c>
      <x:c r="Q23" s="34" t="str">
        <x:f>IF(Q$2="","",IF((COUNTIFS('Invoice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REVIEW",IF(13=VALUE(RIGHT($B$2,2))+1,IF(COUNTIFS($E6:P6,"INVOICE DATA REQUIRED")&gt;0,"INCOMPLETE INVOICE DATES","DATED INVOICE SOURCE"),IF(COUNTIFS('Invoice Register'!$M$2:$M$501,Q$2,'Invoice Register'!$L$2:$L$501,"VALID")=0,"NO DATED INVOICES","DATED INVOICE SOURCE"))))</x:f>
      </x:c>
    </x:row>
    <x:row r="24">
      <x:c r="A24" s="15" t="str">
        <x:v>REPORTING CONSTRAINTS</x:v>
      </x:c>
      <x:c r="B24" s="15" t="str">
        <x:v>Status</x:v>
      </x:c>
      <x:c r="C24" s="15" t="str">
        <x:v>Meaning</x:v>
      </x:c>
      <x:c r="E24" s="42"/>
      <x:c r="F24" s="42"/>
      <x:c r="G24" s="42"/>
      <x:c r="H24" s="42"/>
      <x:c r="I24" s="42"/>
      <x:c r="J24" s="42"/>
      <x:c r="K24" s="42"/>
      <x:c r="L24" s="42"/>
      <x:c r="M24" s="42"/>
      <x:c r="N24" s="42"/>
      <x:c r="O24" s="42"/>
      <x:c r="P24" s="42"/>
      <x:c r="Q24" s="42"/>
    </x:row>
    <x:row r="25" ht="38" customHeight="1">
      <x:c r="A25" t="str">
        <x:v>ERP linkage</x:v>
      </x:c>
      <x:c r="B25" t="str">
        <x:v>NOT CONNECTED</x:v>
      </x:c>
      <x:c r="C25" t="str">
        <x:v>ERP exports are loaded as values; no automated ERP connection.</x:v>
      </x:c>
      <x:c r="E25" s="46" t="str">
        <x:v>Select YYYY-MM in B2. Facturación comes from Invoice Register, grouped by validated Invoice date. Customer PO intake keeps its own authorization month.</x:v>
      </x:c>
      <x:c r="F25" s="46"/>
      <x:c r="G25" s="46"/>
      <x:c r="H25" s="46"/>
      <x:c r="I25" s="46"/>
      <x:c r="J25" s="46"/>
      <x:c r="K25" s="46"/>
      <x:c r="L25" s="46"/>
      <x:c r="M25" s="46"/>
      <x:c r="N25" s="46"/>
      <x:c r="O25" s="46"/>
      <x:c r="P25" s="46"/>
      <x:c r="Q25" s="46"/>
    </x:row>
    <x:row r="26" ht="38" customHeight="1">
      <x:c r="A26" t="str">
        <x:v>FX policy</x:v>
      </x:c>
      <x:c r="B26" t="str">
        <x:v>OPEN</x:v>
      </x:c>
      <x:c r="C26" t="str">
        <x:v>Original currencies remain separate. Normalized invoice USD requires ERP amount and approved FX metadata.</x:v>
      </x:c>
      <x:c r="E26" s="46" t="str">
        <x:v>NO DATA refers to monthly operational records. Missing dated invoices appear as INVOICE DATA REQUIRED / INVOICE REVIEW; old monthly amounts remain in Monthly Project Activity T for reference only.</x:v>
      </x:c>
      <x:c r="F26" s="46"/>
      <x:c r="G26" s="46"/>
      <x:c r="H26" s="46"/>
      <x:c r="I26" s="46"/>
      <x:c r="J26" s="46"/>
      <x:c r="K26" s="46"/>
      <x:c r="L26" s="46"/>
      <x:c r="M26" s="46"/>
      <x:c r="N26" s="46"/>
      <x:c r="O26" s="46"/>
      <x:c r="P26" s="46"/>
      <x:c r="Q26" s="46"/>
    </x:row>
    <x:row r="27" ht="38" customHeight="1">
      <x:c r="A27" t="str">
        <x:v>Monthly close</x:v>
      </x:c>
      <x:c r="B27" t="str">
        <x:v>PROTOTYPE</x:v>
      </x:c>
      <x:c r="C27" t="str">
        <x:v>Period records are not locked, approved, or reconciled to an actual ERP</x:v>
      </x:c>
      <x:c r="E27" s="46" t="str">
        <x:v>Payment metrics retired. Costs recognized in ERP remain separate information. YTD adds available monthly flows; no project-count summation.</x:v>
      </x:c>
      <x:c r="F27" s="46"/>
      <x:c r="G27" s="46"/>
      <x:c r="H27" s="46"/>
      <x:c r="I27" s="46"/>
      <x:c r="J27" s="46"/>
      <x:c r="K27" s="46"/>
      <x:c r="L27" s="46"/>
      <x:c r="M27" s="46"/>
      <x:c r="N27" s="46"/>
      <x:c r="O27" s="46"/>
      <x:c r="P27" s="46"/>
      <x:c r="Q27" s="46"/>
    </x:row>
    <x:row r="28">
      <x:c r="A28" t="str">
        <x:v>Operational scope</x:v>
      </x:c>
      <x:c r="B28" t="str">
        <x:v>BUDGET / PO</x:v>
      </x:c>
      <x:c r="C28" t="str">
        <x:v>Operational budget versus supplier PO control. No receipt, payable, payment or profit calculation.</x:v>
      </x:c>
      <x:c r="E28" s="33"/>
      <x:c r="F28" s="33"/>
      <x:c r="G28" s="33"/>
      <x:c r="H28" s="33"/>
      <x:c r="I28" s="33"/>
      <x:c r="J28" s="33"/>
      <x:c r="K28" s="33"/>
      <x:c r="L28" s="33"/>
      <x:c r="M28" s="33"/>
      <x:c r="N28" s="33"/>
      <x:c r="O28" s="33"/>
      <x:c r="P28" s="33"/>
      <x:c r="Q28" s="33"/>
    </x:row>
    <x:row r="29">
      <x:c r="A29" t="str">
        <x:v>Granularity</x:v>
      </x:c>
      <x:c r="B29" t="str">
        <x:v>PROJECT / MONTH + INVOICE</x:v>
      </x:c>
      <x:c r="C29" t="str">
        <x:v>Operating inputs: one project/month. Billing source: one ERP invoice/project allocation.</x:v>
      </x:c>
      <x:c r="E29" s="33"/>
      <x:c r="F29" s="33"/>
      <x:c r="G29" s="33"/>
      <x:c r="H29" s="33"/>
      <x:c r="I29" s="33"/>
      <x:c r="J29" s="33"/>
      <x:c r="K29" s="33"/>
      <x:c r="L29" s="33"/>
      <x:c r="M29" s="33"/>
      <x:c r="N29" s="33"/>
      <x:c r="O29" s="33"/>
      <x:c r="P29" s="33"/>
      <x:c r="Q29" s="33"/>
    </x:row>
    <x:row r="31" ht="32" customHeight="1">
      <x:c r="A31" s="64" t="str">
        <x:v>FACTURACIÓN EN MONEDA ORIGINAL</x:v>
      </x:c>
      <x:c r="B31" s="64" t="str">
        <x:v>MES / MONEDA</x:v>
      </x:c>
      <x:c r="C31" s="64" t="str">
        <x:v>Fecha real de factura; sin sumar ni convertir monedas.</x:v>
      </x:c>
      <x:c r="D31" s="64"/>
      <x:c r="E31" s="64" t="str">
        <x:f>E2</x:f>
        <x:v>2026-01</x:v>
      </x:c>
      <x:c r="F31" s="64" t="str">
        <x:f>F2</x:f>
        <x:v>2026-02</x:v>
      </x:c>
      <x:c r="G31" s="64" t="str">
        <x:f>G2</x:f>
        <x:v>2026-03</x:v>
      </x:c>
      <x:c r="H31" s="64" t="str">
        <x:f>H2</x:f>
        <x:v>2026-04</x:v>
      </x:c>
      <x:c r="I31" s="64" t="str">
        <x:f>I2</x:f>
        <x:v>2026-05</x:v>
      </x:c>
      <x:c r="J31" s="64" t="str">
        <x:f>J2</x:f>
        <x:v>2026-06</x:v>
      </x:c>
      <x:c r="K31" s="64" t="str">
        <x:f>K2</x:f>
        <x:v>2026-07</x:v>
      </x:c>
      <x:c r="L31" s="64" t="str">
        <x:f>L2</x:f>
        <x:v>2026-08</x:v>
      </x:c>
      <x:c r="M31" s="64" t="str">
        <x:f>M2</x:f>
        <x:v>2026-09</x:v>
      </x:c>
      <x:c r="N31" s="64" t="str">
        <x:f>N2</x:f>
        <x:v>2026-10</x:v>
      </x:c>
      <x:c r="O31" s="64" t="str">
        <x:f>O2</x:f>
        <x:v>YTD TO CUT-OFF</x:v>
      </x:c>
      <x:c r="P31" s="64" t="str">
        <x:f>P2</x:f>
      </x:c>
      <x:c r="Q31" s="64" t="n">
        <x:f>Q2</x:f>
        <x:v>0</x:v>
      </x:c>
    </x:row>
    <x:row r="32" ht="42" customHeight="1">
      <x:c r="A32" s="25" t="str">
        <x:v>Facturación USD original</x:v>
      </x:c>
      <x:c r="B32" s="6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Register'!$M$2:$M$501,$B$2,'Invoice Register'!$L$2:$L$501,"VALID")+COUNTIFS('Invoice Register'!$M$2:$M$501,$B$2,'Invoice Register'!$L$2:$L$501,"FX HOLD")+COUNTIFS('Invoice Register'!$M$2:$M$501,$B$2,'Invoice Register'!$L$2:$L$501,"CANCELLED")=0,"INVOICE DATA REQUIRED",SUMIFS('Invoice Register'!$H$2:$H$501,'Invoice Register'!$M$2:$M$501,$B$2,'Invoice Register'!$G$2:$G$501,"USD",'Invoice Register'!$L$2:$L$501,"VALID")+SUMIFS('Invoice Register'!$H$2:$H$501,'Invoice Register'!$M$2:$M$501,$B$2,'Invoice Register'!$G$2:$G$501,"USD",'Invoice Register'!$L$2:$L$501,"FX HOLD")))</x:f>
        <x:v>INVOICE DATA REQUIRED</x:v>
      </x:c>
      <x:c r="C32" s="25" t="str">
        <x:v>Facturas emitidas originalmente en USD.</x:v>
      </x:c>
      <x:c r="D32" s="25"/>
      <x:c r="E32" s="65" t="str">
        <x:f>IF(E$2="","",IF(1=VALUE(RIGHT($B$2,2))+1,"",IF((COUNTIFS('Invoice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Register'!$M$2:$M$501,E$2,'Invoice Register'!$L$2:$L$501,"VALID")+COUNTIFS('Invoice Register'!$M$2:$M$501,E$2,'Invoice Register'!$L$2:$L$501,"FX HOLD")+COUNTIFS('Invoice Register'!$M$2:$M$501,E$2,'Invoice Register'!$L$2:$L$501,"CANCELLED")=0,"INVOICE DATA REQUIRED",SUMIFS('Invoice Register'!$H$2:$H$501,'Invoice Register'!$M$2:$M$501,E$2,'Invoice Register'!$G$2:$G$501,"USD",'Invoice Register'!$L$2:$L$501,"VALID")+SUMIFS('Invoice Register'!$H$2:$H$501,'Invoice Register'!$M$2:$M$501,E$2,'Invoice Register'!$G$2:$G$501,"USD",'Invoice Register'!$L$2:$L$501,"FX HOLD")))))</x:f>
        <x:v>INVOICE DATA REQUIRED</x:v>
      </x:c>
      <x:c r="F32" s="65" t="str">
        <x:f>IF(F$2="","",IF(2=VALUE(RIGHT($B$2,2))+1,IF(COUNTIFS($E32:E32,"INVOICE REVIEW")&gt;0,"INVOICE REVIEW",IF(COUNT($E32:E32)=0,"INVOICE DATA REQUIRED",SUM($E32:E32))),IF((COUNTIFS('Invoice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Register'!$M$2:$M$501,F$2,'Invoice Register'!$L$2:$L$501,"VALID")+COUNTIFS('Invoice Register'!$M$2:$M$501,F$2,'Invoice Register'!$L$2:$L$501,"FX HOLD")+COUNTIFS('Invoice Register'!$M$2:$M$501,F$2,'Invoice Register'!$L$2:$L$501,"CANCELLED")=0,"INVOICE DATA REQUIRED",SUMIFS('Invoice Register'!$H$2:$H$501,'Invoice Register'!$M$2:$M$501,F$2,'Invoice Register'!$G$2:$G$501,"USD",'Invoice Register'!$L$2:$L$501,"VALID")+SUMIFS('Invoice Register'!$H$2:$H$501,'Invoice Register'!$M$2:$M$501,F$2,'Invoice Register'!$G$2:$G$501,"USD",'Invoice Register'!$L$2:$L$501,"FX HOLD")))))</x:f>
        <x:v>INVOICE DATA REQUIRED</x:v>
      </x:c>
      <x:c r="G32" s="65" t="str">
        <x:f>IF(G$2="","",IF(3=VALUE(RIGHT($B$2,2))+1,IF(COUNTIFS($E32:F32,"INVOICE REVIEW")&gt;0,"INVOICE REVIEW",IF(COUNT($E32:F32)=0,"INVOICE DATA REQUIRED",SUM($E32:F32))),IF((COUNTIFS('Invoice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Register'!$M$2:$M$501,G$2,'Invoice Register'!$L$2:$L$501,"VALID")+COUNTIFS('Invoice Register'!$M$2:$M$501,G$2,'Invoice Register'!$L$2:$L$501,"FX HOLD")+COUNTIFS('Invoice Register'!$M$2:$M$501,G$2,'Invoice Register'!$L$2:$L$501,"CANCELLED")=0,"INVOICE DATA REQUIRED",SUMIFS('Invoice Register'!$H$2:$H$501,'Invoice Register'!$M$2:$M$501,G$2,'Invoice Register'!$G$2:$G$501,"USD",'Invoice Register'!$L$2:$L$501,"VALID")+SUMIFS('Invoice Register'!$H$2:$H$501,'Invoice Register'!$M$2:$M$501,G$2,'Invoice Register'!$G$2:$G$501,"USD",'Invoice Register'!$L$2:$L$501,"FX HOLD")))))</x:f>
        <x:v>INVOICE DATA REQUIRED</x:v>
      </x:c>
      <x:c r="H32" s="65" t="str">
        <x:f>IF(H$2="","",IF(4=VALUE(RIGHT($B$2,2))+1,IF(COUNTIFS($E32:G32,"INVOICE REVIEW")&gt;0,"INVOICE REVIEW",IF(COUNT($E32:G32)=0,"INVOICE DATA REQUIRED",SUM($E32:G32))),IF((COUNTIFS('Invoice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Register'!$M$2:$M$501,H$2,'Invoice Register'!$L$2:$L$501,"VALID")+COUNTIFS('Invoice Register'!$M$2:$M$501,H$2,'Invoice Register'!$L$2:$L$501,"FX HOLD")+COUNTIFS('Invoice Register'!$M$2:$M$501,H$2,'Invoice Register'!$L$2:$L$501,"CANCELLED")=0,"INVOICE DATA REQUIRED",SUMIFS('Invoice Register'!$H$2:$H$501,'Invoice Register'!$M$2:$M$501,H$2,'Invoice Register'!$G$2:$G$501,"USD",'Invoice Register'!$L$2:$L$501,"VALID")+SUMIFS('Invoice Register'!$H$2:$H$501,'Invoice Register'!$M$2:$M$501,H$2,'Invoice Register'!$G$2:$G$501,"USD",'Invoice Register'!$L$2:$L$501,"FX HOLD")))))</x:f>
        <x:v>INVOICE DATA REQUIRED</x:v>
      </x:c>
      <x:c r="I32" s="65" t="str">
        <x:f>IF(I$2="","",IF(5=VALUE(RIGHT($B$2,2))+1,IF(COUNTIFS($E32:H32,"INVOICE REVIEW")&gt;0,"INVOICE REVIEW",IF(COUNT($E32:H32)=0,"INVOICE DATA REQUIRED",SUM($E32:H32))),IF((COUNTIFS('Invoice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Register'!$M$2:$M$501,I$2,'Invoice Register'!$L$2:$L$501,"VALID")+COUNTIFS('Invoice Register'!$M$2:$M$501,I$2,'Invoice Register'!$L$2:$L$501,"FX HOLD")+COUNTIFS('Invoice Register'!$M$2:$M$501,I$2,'Invoice Register'!$L$2:$L$501,"CANCELLED")=0,"INVOICE DATA REQUIRED",SUMIFS('Invoice Register'!$H$2:$H$501,'Invoice Register'!$M$2:$M$501,I$2,'Invoice Register'!$G$2:$G$501,"USD",'Invoice Register'!$L$2:$L$501,"VALID")+SUMIFS('Invoice Register'!$H$2:$H$501,'Invoice Register'!$M$2:$M$501,I$2,'Invoice Register'!$G$2:$G$501,"USD",'Invoice Register'!$L$2:$L$501,"FX HOLD")))))</x:f>
        <x:v>INVOICE DATA REQUIRED</x:v>
      </x:c>
      <x:c r="J32" s="65" t="str">
        <x:f>IF(J$2="","",IF(6=VALUE(RIGHT($B$2,2))+1,IF(COUNTIFS($E32:I32,"INVOICE REVIEW")&gt;0,"INVOICE REVIEW",IF(COUNT($E32:I32)=0,"INVOICE DATA REQUIRED",SUM($E32:I32))),IF((COUNTIFS('Invoice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Register'!$M$2:$M$501,J$2,'Invoice Register'!$L$2:$L$501,"VALID")+COUNTIFS('Invoice Register'!$M$2:$M$501,J$2,'Invoice Register'!$L$2:$L$501,"FX HOLD")+COUNTIFS('Invoice Register'!$M$2:$M$501,J$2,'Invoice Register'!$L$2:$L$501,"CANCELLED")=0,"INVOICE DATA REQUIRED",SUMIFS('Invoice Register'!$H$2:$H$501,'Invoice Register'!$M$2:$M$501,J$2,'Invoice Register'!$G$2:$G$501,"USD",'Invoice Register'!$L$2:$L$501,"VALID")+SUMIFS('Invoice Register'!$H$2:$H$501,'Invoice Register'!$M$2:$M$501,J$2,'Invoice Register'!$G$2:$G$501,"USD",'Invoice Register'!$L$2:$L$501,"FX HOLD")))))</x:f>
        <x:v>INVOICE DATA REQUIRED</x:v>
      </x:c>
      <x:c r="K32" s="65" t="str">
        <x:f>IF(K$2="","",IF(7=VALUE(RIGHT($B$2,2))+1,IF(COUNTIFS($E32:J32,"INVOICE REVIEW")&gt;0,"INVOICE REVIEW",IF(COUNT($E32:J32)=0,"INVOICE DATA REQUIRED",SUM($E32:J32))),IF((COUNTIFS('Invoice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Register'!$M$2:$M$501,K$2,'Invoice Register'!$L$2:$L$501,"VALID")+COUNTIFS('Invoice Register'!$M$2:$M$501,K$2,'Invoice Register'!$L$2:$L$501,"FX HOLD")+COUNTIFS('Invoice Register'!$M$2:$M$501,K$2,'Invoice Register'!$L$2:$L$501,"CANCELLED")=0,"INVOICE DATA REQUIRED",SUMIFS('Invoice Register'!$H$2:$H$501,'Invoice Register'!$M$2:$M$501,K$2,'Invoice Register'!$G$2:$G$501,"USD",'Invoice Register'!$L$2:$L$501,"VALID")+SUMIFS('Invoice Register'!$H$2:$H$501,'Invoice Register'!$M$2:$M$501,K$2,'Invoice Register'!$G$2:$G$501,"USD",'Invoice Register'!$L$2:$L$501,"FX HOLD")))))</x:f>
        <x:v>INVOICE DATA REQUIRED</x:v>
      </x:c>
      <x:c r="L32" s="65" t="str">
        <x:f>IF(L$2="","",IF(8=VALUE(RIGHT($B$2,2))+1,IF(COUNTIFS($E32:K32,"INVOICE REVIEW")&gt;0,"INVOICE REVIEW",IF(COUNT($E32:K32)=0,"INVOICE DATA REQUIRED",SUM($E32:K32))),IF((COUNTIFS('Invoice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Register'!$M$2:$M$501,L$2,'Invoice Register'!$L$2:$L$501,"VALID")+COUNTIFS('Invoice Register'!$M$2:$M$501,L$2,'Invoice Register'!$L$2:$L$501,"FX HOLD")+COUNTIFS('Invoice Register'!$M$2:$M$501,L$2,'Invoice Register'!$L$2:$L$501,"CANCELLED")=0,"INVOICE DATA REQUIRED",SUMIFS('Invoice Register'!$H$2:$H$501,'Invoice Register'!$M$2:$M$501,L$2,'Invoice Register'!$G$2:$G$501,"USD",'Invoice Register'!$L$2:$L$501,"VALID")+SUMIFS('Invoice Register'!$H$2:$H$501,'Invoice Register'!$M$2:$M$501,L$2,'Invoice Register'!$G$2:$G$501,"USD",'Invoice Register'!$L$2:$L$501,"FX HOLD")))))</x:f>
        <x:v>INVOICE DATA REQUIRED</x:v>
      </x:c>
      <x:c r="M32" s="65" t="str">
        <x:f>IF(M$2="","",IF(9=VALUE(RIGHT($B$2,2))+1,IF(COUNTIFS($E32:L32,"INVOICE REVIEW")&gt;0,"INVOICE REVIEW",IF(COUNT($E32:L32)=0,"INVOICE DATA REQUIRED",SUM($E32:L32))),IF((COUNTIFS('Invoice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Register'!$M$2:$M$501,M$2,'Invoice Register'!$L$2:$L$501,"VALID")+COUNTIFS('Invoice Register'!$M$2:$M$501,M$2,'Invoice Register'!$L$2:$L$501,"FX HOLD")+COUNTIFS('Invoice Register'!$M$2:$M$501,M$2,'Invoice Register'!$L$2:$L$501,"CANCELLED")=0,"INVOICE DATA REQUIRED",SUMIFS('Invoice Register'!$H$2:$H$501,'Invoice Register'!$M$2:$M$501,M$2,'Invoice Register'!$G$2:$G$501,"USD",'Invoice Register'!$L$2:$L$501,"VALID")+SUMIFS('Invoice Register'!$H$2:$H$501,'Invoice Register'!$M$2:$M$501,M$2,'Invoice Register'!$G$2:$G$501,"USD",'Invoice Register'!$L$2:$L$501,"FX HOLD")))))</x:f>
        <x:v>INVOICE DATA REQUIRED</x:v>
      </x:c>
      <x:c r="N32" s="65" t="str">
        <x:f>IF(N$2="","",IF(10=VALUE(RIGHT($B$2,2))+1,IF(COUNTIFS($E32:M32,"INVOICE REVIEW")&gt;0,"INVOICE REVIEW",IF(COUNT($E32:M32)=0,"INVOICE DATA REQUIRED",SUM($E32:M32))),IF((COUNTIFS('Invoice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Register'!$M$2:$M$501,N$2,'Invoice Register'!$L$2:$L$501,"VALID")+COUNTIFS('Invoice Register'!$M$2:$M$501,N$2,'Invoice Register'!$L$2:$L$501,"FX HOLD")+COUNTIFS('Invoice Register'!$M$2:$M$501,N$2,'Invoice Register'!$L$2:$L$501,"CANCELLED")=0,"INVOICE DATA REQUIRED",SUMIFS('Invoice Register'!$H$2:$H$501,'Invoice Register'!$M$2:$M$501,N$2,'Invoice Register'!$G$2:$G$501,"USD",'Invoice Register'!$L$2:$L$501,"VALID")+SUMIFS('Invoice Register'!$H$2:$H$501,'Invoice Register'!$M$2:$M$501,N$2,'Invoice Register'!$G$2:$G$501,"USD",'Invoice Register'!$L$2:$L$501,"FX HOLD")))))</x:f>
        <x:v>INVOICE DATA REQUIRED</x:v>
      </x:c>
      <x:c r="O32" s="65" t="str">
        <x:f>IF(O$2="","",IF(11=VALUE(RIGHT($B$2,2))+1,IF(COUNTIFS($E32:N32,"INVOICE REVIEW")&gt;0,"INVOICE REVIEW",IF(COUNT($E32:N32)=0,"INVOICE DATA REQUIRED",SUM($E32:N32))),IF((COUNTIFS('Invoice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Register'!$M$2:$M$501,O$2,'Invoice Register'!$L$2:$L$501,"VALID")+COUNTIFS('Invoice Register'!$M$2:$M$501,O$2,'Invoice Register'!$L$2:$L$501,"FX HOLD")+COUNTIFS('Invoice Register'!$M$2:$M$501,O$2,'Invoice Register'!$L$2:$L$501,"CANCELLED")=0,"INVOICE DATA REQUIRED",SUMIFS('Invoice Register'!$H$2:$H$501,'Invoice Register'!$M$2:$M$501,O$2,'Invoice Register'!$G$2:$G$501,"USD",'Invoice Register'!$L$2:$L$501,"VALID")+SUMIFS('Invoice Register'!$H$2:$H$501,'Invoice Register'!$M$2:$M$501,O$2,'Invoice Register'!$G$2:$G$501,"USD",'Invoice Register'!$L$2:$L$501,"FX HOLD")))))</x:f>
        <x:v>INVOICE DATA REQUIRED</x:v>
      </x:c>
      <x:c r="P32" s="65" t="str">
        <x:f>IF(P$2="","",IF(12=VALUE(RIGHT($B$2,2))+1,IF(COUNTIFS($E32:O32,"INVOICE REVIEW")&gt;0,"INVOICE REVIEW",IF(COUNT($E32:O32)=0,"INVOICE DATA REQUIRED",SUM($E32:O32))),IF((COUNTIFS('Invoice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Register'!$M$2:$M$501,P$2,'Invoice Register'!$L$2:$L$501,"VALID")+COUNTIFS('Invoice Register'!$M$2:$M$501,P$2,'Invoice Register'!$L$2:$L$501,"FX HOLD")+COUNTIFS('Invoice Register'!$M$2:$M$501,P$2,'Invoice Register'!$L$2:$L$501,"CANCELLED")=0,"INVOICE DATA REQUIRED",SUMIFS('Invoice Register'!$H$2:$H$501,'Invoice Register'!$M$2:$M$501,P$2,'Invoice Register'!$G$2:$G$501,"USD",'Invoice Register'!$L$2:$L$501,"VALID")+SUMIFS('Invoice Register'!$H$2:$H$501,'Invoice Register'!$M$2:$M$501,P$2,'Invoice Register'!$G$2:$G$501,"USD",'Invoice Register'!$L$2:$L$501,"FX HOLD")))))</x:f>
      </x:c>
      <x:c r="Q32" s="65" t="str">
        <x:f>IF(Q$2="","",IF(13=VALUE(RIGHT($B$2,2))+1,IF(COUNTIFS($E32:P32,"INVOICE REVIEW")&gt;0,"INVOICE REVIEW",IF(COUNT($E32:P32)=0,"INVOICE DATA REQUIRED",SUM($E32:P32))),IF((COUNTIFS('Invoice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Register'!$M$2:$M$501,Q$2,'Invoice Register'!$L$2:$L$501,"VALID")+COUNTIFS('Invoice Register'!$M$2:$M$501,Q$2,'Invoice Register'!$L$2:$L$501,"FX HOLD")+COUNTIFS('Invoice Register'!$M$2:$M$501,Q$2,'Invoice Register'!$L$2:$L$501,"CANCELLED")=0,"INVOICE DATA REQUIRED",SUMIFS('Invoice Register'!$H$2:$H$501,'Invoice Register'!$M$2:$M$501,Q$2,'Invoice Register'!$G$2:$G$501,"USD",'Invoice Register'!$L$2:$L$501,"VALID")+SUMIFS('Invoice Register'!$H$2:$H$501,'Invoice Register'!$M$2:$M$501,Q$2,'Invoice Register'!$G$2:$G$501,"USD",'Invoice Register'!$L$2:$L$501,"FX HOLD")))))</x:f>
      </x:c>
    </x:row>
    <x:row r="33" ht="42" customHeight="1">
      <x:c r="A33" s="25" t="str">
        <x:v>Facturación MXN original</x:v>
      </x:c>
      <x:c r="B33" s="6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Register'!$M$2:$M$501,$B$2,'Invoice Register'!$L$2:$L$501,"VALID")+COUNTIFS('Invoice Register'!$M$2:$M$501,$B$2,'Invoice Register'!$L$2:$L$501,"FX HOLD")+COUNTIFS('Invoice Register'!$M$2:$M$501,$B$2,'Invoice Register'!$L$2:$L$501,"CANCELLED")=0,"INVOICE DATA REQUIRED",SUMIFS('Invoice Register'!$H$2:$H$501,'Invoice Register'!$M$2:$M$501,$B$2,'Invoice Register'!$G$2:$G$501,"MXN",'Invoice Register'!$L$2:$L$501,"VALID")+SUMIFS('Invoice Register'!$H$2:$H$501,'Invoice Register'!$M$2:$M$501,$B$2,'Invoice Register'!$G$2:$G$501,"MXN",'Invoice Register'!$L$2:$L$501,"FX HOLD")))</x:f>
        <x:v>INVOICE DATA REQUIRED</x:v>
      </x:c>
      <x:c r="C33" s="25" t="str">
        <x:v>Facturas emitidas originalmente en MXN; visibles aunque exista FX HOLD.</x:v>
      </x:c>
      <x:c r="D33" s="25"/>
      <x:c r="E33" s="65" t="str">
        <x:f>IF(E$2="","",IF(1=VALUE(RIGHT($B$2,2))+1,"",IF((COUNTIFS('Invoice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Register'!$M$2:$M$501,E$2,'Invoice Register'!$L$2:$L$501,"VALID")+COUNTIFS('Invoice Register'!$M$2:$M$501,E$2,'Invoice Register'!$L$2:$L$501,"FX HOLD")+COUNTIFS('Invoice Register'!$M$2:$M$501,E$2,'Invoice Register'!$L$2:$L$501,"CANCELLED")=0,"INVOICE DATA REQUIRED",SUMIFS('Invoice Register'!$H$2:$H$501,'Invoice Register'!$M$2:$M$501,E$2,'Invoice Register'!$G$2:$G$501,"MXN",'Invoice Register'!$L$2:$L$501,"VALID")+SUMIFS('Invoice Register'!$H$2:$H$501,'Invoice Register'!$M$2:$M$501,E$2,'Invoice Register'!$G$2:$G$501,"MXN",'Invoice Register'!$L$2:$L$501,"FX HOLD")))))</x:f>
        <x:v>INVOICE DATA REQUIRED</x:v>
      </x:c>
      <x:c r="F33" s="65" t="str">
        <x:f>IF(F$2="","",IF(2=VALUE(RIGHT($B$2,2))+1,IF(COUNTIFS($E33:E33,"INVOICE REVIEW")&gt;0,"INVOICE REVIEW",IF(COUNT($E33:E33)=0,"INVOICE DATA REQUIRED",SUM($E33:E33))),IF((COUNTIFS('Invoice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Register'!$M$2:$M$501,F$2,'Invoice Register'!$L$2:$L$501,"VALID")+COUNTIFS('Invoice Register'!$M$2:$M$501,F$2,'Invoice Register'!$L$2:$L$501,"FX HOLD")+COUNTIFS('Invoice Register'!$M$2:$M$501,F$2,'Invoice Register'!$L$2:$L$501,"CANCELLED")=0,"INVOICE DATA REQUIRED",SUMIFS('Invoice Register'!$H$2:$H$501,'Invoice Register'!$M$2:$M$501,F$2,'Invoice Register'!$G$2:$G$501,"MXN",'Invoice Register'!$L$2:$L$501,"VALID")+SUMIFS('Invoice Register'!$H$2:$H$501,'Invoice Register'!$M$2:$M$501,F$2,'Invoice Register'!$G$2:$G$501,"MXN",'Invoice Register'!$L$2:$L$501,"FX HOLD")))))</x:f>
        <x:v>INVOICE DATA REQUIRED</x:v>
      </x:c>
      <x:c r="G33" s="65" t="str">
        <x:f>IF(G$2="","",IF(3=VALUE(RIGHT($B$2,2))+1,IF(COUNTIFS($E33:F33,"INVOICE REVIEW")&gt;0,"INVOICE REVIEW",IF(COUNT($E33:F33)=0,"INVOICE DATA REQUIRED",SUM($E33:F33))),IF((COUNTIFS('Invoice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Register'!$M$2:$M$501,G$2,'Invoice Register'!$L$2:$L$501,"VALID")+COUNTIFS('Invoice Register'!$M$2:$M$501,G$2,'Invoice Register'!$L$2:$L$501,"FX HOLD")+COUNTIFS('Invoice Register'!$M$2:$M$501,G$2,'Invoice Register'!$L$2:$L$501,"CANCELLED")=0,"INVOICE DATA REQUIRED",SUMIFS('Invoice Register'!$H$2:$H$501,'Invoice Register'!$M$2:$M$501,G$2,'Invoice Register'!$G$2:$G$501,"MXN",'Invoice Register'!$L$2:$L$501,"VALID")+SUMIFS('Invoice Register'!$H$2:$H$501,'Invoice Register'!$M$2:$M$501,G$2,'Invoice Register'!$G$2:$G$501,"MXN",'Invoice Register'!$L$2:$L$501,"FX HOLD")))))</x:f>
        <x:v>INVOICE DATA REQUIRED</x:v>
      </x:c>
      <x:c r="H33" s="65" t="str">
        <x:f>IF(H$2="","",IF(4=VALUE(RIGHT($B$2,2))+1,IF(COUNTIFS($E33:G33,"INVOICE REVIEW")&gt;0,"INVOICE REVIEW",IF(COUNT($E33:G33)=0,"INVOICE DATA REQUIRED",SUM($E33:G33))),IF((COUNTIFS('Invoice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Register'!$M$2:$M$501,H$2,'Invoice Register'!$L$2:$L$501,"VALID")+COUNTIFS('Invoice Register'!$M$2:$M$501,H$2,'Invoice Register'!$L$2:$L$501,"FX HOLD")+COUNTIFS('Invoice Register'!$M$2:$M$501,H$2,'Invoice Register'!$L$2:$L$501,"CANCELLED")=0,"INVOICE DATA REQUIRED",SUMIFS('Invoice Register'!$H$2:$H$501,'Invoice Register'!$M$2:$M$501,H$2,'Invoice Register'!$G$2:$G$501,"MXN",'Invoice Register'!$L$2:$L$501,"VALID")+SUMIFS('Invoice Register'!$H$2:$H$501,'Invoice Register'!$M$2:$M$501,H$2,'Invoice Register'!$G$2:$G$501,"MXN",'Invoice Register'!$L$2:$L$501,"FX HOLD")))))</x:f>
        <x:v>INVOICE DATA REQUIRED</x:v>
      </x:c>
      <x:c r="I33" s="65" t="str">
        <x:f>IF(I$2="","",IF(5=VALUE(RIGHT($B$2,2))+1,IF(COUNTIFS($E33:H33,"INVOICE REVIEW")&gt;0,"INVOICE REVIEW",IF(COUNT($E33:H33)=0,"INVOICE DATA REQUIRED",SUM($E33:H33))),IF((COUNTIFS('Invoice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Register'!$M$2:$M$501,I$2,'Invoice Register'!$L$2:$L$501,"VALID")+COUNTIFS('Invoice Register'!$M$2:$M$501,I$2,'Invoice Register'!$L$2:$L$501,"FX HOLD")+COUNTIFS('Invoice Register'!$M$2:$M$501,I$2,'Invoice Register'!$L$2:$L$501,"CANCELLED")=0,"INVOICE DATA REQUIRED",SUMIFS('Invoice Register'!$H$2:$H$501,'Invoice Register'!$M$2:$M$501,I$2,'Invoice Register'!$G$2:$G$501,"MXN",'Invoice Register'!$L$2:$L$501,"VALID")+SUMIFS('Invoice Register'!$H$2:$H$501,'Invoice Register'!$M$2:$M$501,I$2,'Invoice Register'!$G$2:$G$501,"MXN",'Invoice Register'!$L$2:$L$501,"FX HOLD")))))</x:f>
        <x:v>INVOICE DATA REQUIRED</x:v>
      </x:c>
      <x:c r="J33" s="65" t="str">
        <x:f>IF(J$2="","",IF(6=VALUE(RIGHT($B$2,2))+1,IF(COUNTIFS($E33:I33,"INVOICE REVIEW")&gt;0,"INVOICE REVIEW",IF(COUNT($E33:I33)=0,"INVOICE DATA REQUIRED",SUM($E33:I33))),IF((COUNTIFS('Invoice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Register'!$M$2:$M$501,J$2,'Invoice Register'!$L$2:$L$501,"VALID")+COUNTIFS('Invoice Register'!$M$2:$M$501,J$2,'Invoice Register'!$L$2:$L$501,"FX HOLD")+COUNTIFS('Invoice Register'!$M$2:$M$501,J$2,'Invoice Register'!$L$2:$L$501,"CANCELLED")=0,"INVOICE DATA REQUIRED",SUMIFS('Invoice Register'!$H$2:$H$501,'Invoice Register'!$M$2:$M$501,J$2,'Invoice Register'!$G$2:$G$501,"MXN",'Invoice Register'!$L$2:$L$501,"VALID")+SUMIFS('Invoice Register'!$H$2:$H$501,'Invoice Register'!$M$2:$M$501,J$2,'Invoice Register'!$G$2:$G$501,"MXN",'Invoice Register'!$L$2:$L$501,"FX HOLD")))))</x:f>
        <x:v>INVOICE DATA REQUIRED</x:v>
      </x:c>
      <x:c r="K33" s="65" t="str">
        <x:f>IF(K$2="","",IF(7=VALUE(RIGHT($B$2,2))+1,IF(COUNTIFS($E33:J33,"INVOICE REVIEW")&gt;0,"INVOICE REVIEW",IF(COUNT($E33:J33)=0,"INVOICE DATA REQUIRED",SUM($E33:J33))),IF((COUNTIFS('Invoice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Register'!$M$2:$M$501,K$2,'Invoice Register'!$L$2:$L$501,"VALID")+COUNTIFS('Invoice Register'!$M$2:$M$501,K$2,'Invoice Register'!$L$2:$L$501,"FX HOLD")+COUNTIFS('Invoice Register'!$M$2:$M$501,K$2,'Invoice Register'!$L$2:$L$501,"CANCELLED")=0,"INVOICE DATA REQUIRED",SUMIFS('Invoice Register'!$H$2:$H$501,'Invoice Register'!$M$2:$M$501,K$2,'Invoice Register'!$G$2:$G$501,"MXN",'Invoice Register'!$L$2:$L$501,"VALID")+SUMIFS('Invoice Register'!$H$2:$H$501,'Invoice Register'!$M$2:$M$501,K$2,'Invoice Register'!$G$2:$G$501,"MXN",'Invoice Register'!$L$2:$L$501,"FX HOLD")))))</x:f>
        <x:v>INVOICE DATA REQUIRED</x:v>
      </x:c>
      <x:c r="L33" s="65" t="str">
        <x:f>IF(L$2="","",IF(8=VALUE(RIGHT($B$2,2))+1,IF(COUNTIFS($E33:K33,"INVOICE REVIEW")&gt;0,"INVOICE REVIEW",IF(COUNT($E33:K33)=0,"INVOICE DATA REQUIRED",SUM($E33:K33))),IF((COUNTIFS('Invoice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Register'!$M$2:$M$501,L$2,'Invoice Register'!$L$2:$L$501,"VALID")+COUNTIFS('Invoice Register'!$M$2:$M$501,L$2,'Invoice Register'!$L$2:$L$501,"FX HOLD")+COUNTIFS('Invoice Register'!$M$2:$M$501,L$2,'Invoice Register'!$L$2:$L$501,"CANCELLED")=0,"INVOICE DATA REQUIRED",SUMIFS('Invoice Register'!$H$2:$H$501,'Invoice Register'!$M$2:$M$501,L$2,'Invoice Register'!$G$2:$G$501,"MXN",'Invoice Register'!$L$2:$L$501,"VALID")+SUMIFS('Invoice Register'!$H$2:$H$501,'Invoice Register'!$M$2:$M$501,L$2,'Invoice Register'!$G$2:$G$501,"MXN",'Invoice Register'!$L$2:$L$501,"FX HOLD")))))</x:f>
        <x:v>INVOICE DATA REQUIRED</x:v>
      </x:c>
      <x:c r="M33" s="65" t="str">
        <x:f>IF(M$2="","",IF(9=VALUE(RIGHT($B$2,2))+1,IF(COUNTIFS($E33:L33,"INVOICE REVIEW")&gt;0,"INVOICE REVIEW",IF(COUNT($E33:L33)=0,"INVOICE DATA REQUIRED",SUM($E33:L33))),IF((COUNTIFS('Invoice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Register'!$M$2:$M$501,M$2,'Invoice Register'!$L$2:$L$501,"VALID")+COUNTIFS('Invoice Register'!$M$2:$M$501,M$2,'Invoice Register'!$L$2:$L$501,"FX HOLD")+COUNTIFS('Invoice Register'!$M$2:$M$501,M$2,'Invoice Register'!$L$2:$L$501,"CANCELLED")=0,"INVOICE DATA REQUIRED",SUMIFS('Invoice Register'!$H$2:$H$501,'Invoice Register'!$M$2:$M$501,M$2,'Invoice Register'!$G$2:$G$501,"MXN",'Invoice Register'!$L$2:$L$501,"VALID")+SUMIFS('Invoice Register'!$H$2:$H$501,'Invoice Register'!$M$2:$M$501,M$2,'Invoice Register'!$G$2:$G$501,"MXN",'Invoice Register'!$L$2:$L$501,"FX HOLD")))))</x:f>
        <x:v>INVOICE DATA REQUIRED</x:v>
      </x:c>
      <x:c r="N33" s="65" t="str">
        <x:f>IF(N$2="","",IF(10=VALUE(RIGHT($B$2,2))+1,IF(COUNTIFS($E33:M33,"INVOICE REVIEW")&gt;0,"INVOICE REVIEW",IF(COUNT($E33:M33)=0,"INVOICE DATA REQUIRED",SUM($E33:M33))),IF((COUNTIFS('Invoice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Register'!$M$2:$M$501,N$2,'Invoice Register'!$L$2:$L$501,"VALID")+COUNTIFS('Invoice Register'!$M$2:$M$501,N$2,'Invoice Register'!$L$2:$L$501,"FX HOLD")+COUNTIFS('Invoice Register'!$M$2:$M$501,N$2,'Invoice Register'!$L$2:$L$501,"CANCELLED")=0,"INVOICE DATA REQUIRED",SUMIFS('Invoice Register'!$H$2:$H$501,'Invoice Register'!$M$2:$M$501,N$2,'Invoice Register'!$G$2:$G$501,"MXN",'Invoice Register'!$L$2:$L$501,"VALID")+SUMIFS('Invoice Register'!$H$2:$H$501,'Invoice Register'!$M$2:$M$501,N$2,'Invoice Register'!$G$2:$G$501,"MXN",'Invoice Register'!$L$2:$L$501,"FX HOLD")))))</x:f>
        <x:v>INVOICE DATA REQUIRED</x:v>
      </x:c>
      <x:c r="O33" s="65" t="str">
        <x:f>IF(O$2="","",IF(11=VALUE(RIGHT($B$2,2))+1,IF(COUNTIFS($E33:N33,"INVOICE REVIEW")&gt;0,"INVOICE REVIEW",IF(COUNT($E33:N33)=0,"INVOICE DATA REQUIRED",SUM($E33:N33))),IF((COUNTIFS('Invoice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Register'!$M$2:$M$501,O$2,'Invoice Register'!$L$2:$L$501,"VALID")+COUNTIFS('Invoice Register'!$M$2:$M$501,O$2,'Invoice Register'!$L$2:$L$501,"FX HOLD")+COUNTIFS('Invoice Register'!$M$2:$M$501,O$2,'Invoice Register'!$L$2:$L$501,"CANCELLED")=0,"INVOICE DATA REQUIRED",SUMIFS('Invoice Register'!$H$2:$H$501,'Invoice Register'!$M$2:$M$501,O$2,'Invoice Register'!$G$2:$G$501,"MXN",'Invoice Register'!$L$2:$L$501,"VALID")+SUMIFS('Invoice Register'!$H$2:$H$501,'Invoice Register'!$M$2:$M$501,O$2,'Invoice Register'!$G$2:$G$501,"MXN",'Invoice Register'!$L$2:$L$501,"FX HOLD")))))</x:f>
        <x:v>INVOICE DATA REQUIRED</x:v>
      </x:c>
      <x:c r="P33" s="65" t="str">
        <x:f>IF(P$2="","",IF(12=VALUE(RIGHT($B$2,2))+1,IF(COUNTIFS($E33:O33,"INVOICE REVIEW")&gt;0,"INVOICE REVIEW",IF(COUNT($E33:O33)=0,"INVOICE DATA REQUIRED",SUM($E33:O33))),IF((COUNTIFS('Invoice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Register'!$M$2:$M$501,P$2,'Invoice Register'!$L$2:$L$501,"VALID")+COUNTIFS('Invoice Register'!$M$2:$M$501,P$2,'Invoice Register'!$L$2:$L$501,"FX HOLD")+COUNTIFS('Invoice Register'!$M$2:$M$501,P$2,'Invoice Register'!$L$2:$L$501,"CANCELLED")=0,"INVOICE DATA REQUIRED",SUMIFS('Invoice Register'!$H$2:$H$501,'Invoice Register'!$M$2:$M$501,P$2,'Invoice Register'!$G$2:$G$501,"MXN",'Invoice Register'!$L$2:$L$501,"VALID")+SUMIFS('Invoice Register'!$H$2:$H$501,'Invoice Register'!$M$2:$M$501,P$2,'Invoice Register'!$G$2:$G$501,"MXN",'Invoice Register'!$L$2:$L$501,"FX HOLD")))))</x:f>
      </x:c>
      <x:c r="Q33" s="65" t="str">
        <x:f>IF(Q$2="","",IF(13=VALUE(RIGHT($B$2,2))+1,IF(COUNTIFS($E33:P33,"INVOICE REVIEW")&gt;0,"INVOICE REVIEW",IF(COUNT($E33:P33)=0,"INVOICE DATA REQUIRED",SUM($E33:P33))),IF((COUNTIFS('Invoice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Register'!$M$2:$M$501,Q$2,'Invoice Register'!$L$2:$L$501,"VALID")+COUNTIFS('Invoice Register'!$M$2:$M$501,Q$2,'Invoice Register'!$L$2:$L$501,"FX HOLD")+COUNTIFS('Invoice Register'!$M$2:$M$501,Q$2,'Invoice Register'!$L$2:$L$501,"CANCELLED")=0,"INVOICE DATA REQUIRED",SUMIFS('Invoice Register'!$H$2:$H$501,'Invoice Register'!$M$2:$M$501,Q$2,'Invoice Register'!$G$2:$G$501,"MXN",'Invoice Register'!$L$2:$L$501,"VALID")+SUMIFS('Invoice Register'!$H$2:$H$501,'Invoice Register'!$M$2:$M$501,Q$2,'Invoice Register'!$G$2:$G$501,"MXN",'Invoice Register'!$L$2:$L$501,"FX HOLD")))))</x:f>
      </x:c>
    </x:row>
    <x:row r="34" ht="42" customHeight="1">
      <x:c r="A34" s="25" t="str">
        <x:v>Validación de fechas de factura</x:v>
      </x:c>
      <x:c r="B34" s="2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REVIEW",IF(ISNUMBER(B32),"DATED INVOICE SOURCE","INVOICE DATA REQUIRED"))</x:f>
        <x:v>INVOICE DATA REQUIRED</x:v>
      </x:c>
      <x:c r="C34" s="25" t="str">
        <x:v>Las fechas inválidas y los duplicados bloquean ambas monedas; FX HOLD solo afecta normalización.</x:v>
      </x:c>
      <x:c r="D34" s="25"/>
      <x:c r="E34" s="25" t="str">
        <x:f>IF(E$2="","",IF((COUNTIFS('Invoice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REVIEW",IF(1=VALUE(RIGHT($B$2,2))+1,"",IF(ISNUMBER(E32),"DATED INVOICE SOURCE","INVOICE DATA REQUIRED"))))</x:f>
        <x:v>INVOICE DATA REQUIRED</x:v>
      </x:c>
      <x:c r="F34" s="25" t="str">
        <x:f>IF(F$2="","",IF((COUNTIFS('Invoice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REVIEW",IF(2=VALUE(RIGHT($B$2,2))+1,IF(COUNTIFS($E32:E32,"INVOICE DATA REQUIRED")&gt;0,"INCOMPLETE INVOICE DATES","DATED INVOICE SOURCE"),IF(ISNUMBER(F32),"DATED INVOICE SOURCE","INVOICE DATA REQUIRED"))))</x:f>
        <x:v>INVOICE DATA REQUIRED</x:v>
      </x:c>
      <x:c r="G34" s="25" t="str">
        <x:f>IF(G$2="","",IF((COUNTIFS('Invoice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REVIEW",IF(3=VALUE(RIGHT($B$2,2))+1,IF(COUNTIFS($E32:F32,"INVOICE DATA REQUIRED")&gt;0,"INCOMPLETE INVOICE DATES","DATED INVOICE SOURCE"),IF(ISNUMBER(G32),"DATED INVOICE SOURCE","INVOICE DATA REQUIRED"))))</x:f>
        <x:v>INVOICE DATA REQUIRED</x:v>
      </x:c>
      <x:c r="H34" s="25" t="str">
        <x:f>IF(H$2="","",IF((COUNTIFS('Invoice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REVIEW",IF(4=VALUE(RIGHT($B$2,2))+1,IF(COUNTIFS($E32:G32,"INVOICE DATA REQUIRED")&gt;0,"INCOMPLETE INVOICE DATES","DATED INVOICE SOURCE"),IF(ISNUMBER(H32),"DATED INVOICE SOURCE","INVOICE DATA REQUIRED"))))</x:f>
        <x:v>INVOICE DATA REQUIRED</x:v>
      </x:c>
      <x:c r="I34" s="25" t="str">
        <x:f>IF(I$2="","",IF((COUNTIFS('Invoice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REVIEW",IF(5=VALUE(RIGHT($B$2,2))+1,IF(COUNTIFS($E32:H32,"INVOICE DATA REQUIRED")&gt;0,"INCOMPLETE INVOICE DATES","DATED INVOICE SOURCE"),IF(ISNUMBER(I32),"DATED INVOICE SOURCE","INVOICE DATA REQUIRED"))))</x:f>
        <x:v>INVOICE DATA REQUIRED</x:v>
      </x:c>
      <x:c r="J34" s="25" t="str">
        <x:f>IF(J$2="","",IF((COUNTIFS('Invoice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REVIEW",IF(6=VALUE(RIGHT($B$2,2))+1,IF(COUNTIFS($E32:I32,"INVOICE DATA REQUIRED")&gt;0,"INCOMPLETE INVOICE DATES","DATED INVOICE SOURCE"),IF(ISNUMBER(J32),"DATED INVOICE SOURCE","INVOICE DATA REQUIRED"))))</x:f>
        <x:v>INVOICE DATA REQUIRED</x:v>
      </x:c>
      <x:c r="K34" s="25" t="str">
        <x:f>IF(K$2="","",IF((COUNTIFS('Invoice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REVIEW",IF(7=VALUE(RIGHT($B$2,2))+1,IF(COUNTIFS($E32:J32,"INVOICE DATA REQUIRED")&gt;0,"INCOMPLETE INVOICE DATES","DATED INVOICE SOURCE"),IF(ISNUMBER(K32),"DATED INVOICE SOURCE","INVOICE DATA REQUIRED"))))</x:f>
        <x:v>INVOICE DATA REQUIRED</x:v>
      </x:c>
      <x:c r="L34" s="25" t="str">
        <x:f>IF(L$2="","",IF((COUNTIFS('Invoice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REVIEW",IF(8=VALUE(RIGHT($B$2,2))+1,IF(COUNTIFS($E32:K32,"INVOICE DATA REQUIRED")&gt;0,"INCOMPLETE INVOICE DATES","DATED INVOICE SOURCE"),IF(ISNUMBER(L32),"DATED INVOICE SOURCE","INVOICE DATA REQUIRED"))))</x:f>
        <x:v>INVOICE DATA REQUIRED</x:v>
      </x:c>
      <x:c r="M34" s="25" t="str">
        <x:f>IF(M$2="","",IF((COUNTIFS('Invoice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REVIEW",IF(9=VALUE(RIGHT($B$2,2))+1,IF(COUNTIFS($E32:L32,"INVOICE DATA REQUIRED")&gt;0,"INCOMPLETE INVOICE DATES","DATED INVOICE SOURCE"),IF(ISNUMBER(M32),"DATED INVOICE SOURCE","INVOICE DATA REQUIRED"))))</x:f>
        <x:v>INVOICE DATA REQUIRED</x:v>
      </x:c>
      <x:c r="N34" s="25" t="str">
        <x:f>IF(N$2="","",IF((COUNTIFS('Invoice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REVIEW",IF(10=VALUE(RIGHT($B$2,2))+1,IF(COUNTIFS($E32:M32,"INVOICE DATA REQUIRED")&gt;0,"INCOMPLETE INVOICE DATES","DATED INVOICE SOURCE"),IF(ISNUMBER(N32),"DATED INVOICE SOURCE","INVOICE DATA REQUIRED"))))</x:f>
        <x:v>INVOICE DATA REQUIRED</x:v>
      </x:c>
      <x:c r="O34" s="25" t="str">
        <x:f>IF(O$2="","",IF((COUNTIFS('Invoice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REVIEW",IF(11=VALUE(RIGHT($B$2,2))+1,IF(COUNTIFS($E32:N32,"INVOICE DATA REQUIRED")&gt;0,"INCOMPLETE INVOICE DATES","DATED INVOICE SOURCE"),IF(ISNUMBER(O32),"DATED INVOICE SOURCE","INVOICE DATA REQUIRED"))))</x:f>
        <x:v>INCOMPLETE INVOICE DATES</x:v>
      </x:c>
      <x:c r="P34" s="25" t="str">
        <x:f>IF(P$2="","",IF((COUNTIFS('Invoice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REVIEW",IF(12=VALUE(RIGHT($B$2,2))+1,IF(COUNTIFS($E32:O32,"INVOICE DATA REQUIRED")&gt;0,"INCOMPLETE INVOICE DATES","DATED INVOICE SOURCE"),IF(ISNUMBER(P32),"DATED INVOICE SOURCE","INVOICE DATA REQUIRED"))))</x:f>
      </x:c>
      <x:c r="Q34" s="25" t="str">
        <x:f>IF(Q$2="","",IF((COUNTIFS('Invoice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REVIEW",IF(13=VALUE(RIGHT($B$2,2))+1,IF(COUNTIFS($E32:P32,"INVOICE DATA REQUIRED")&gt;0,"INCOMPLETE INVOICE DATES","DATED INVOICE SOURCE"),IF(ISNUMBER(Q32),"DATED INVOICE SOURCE","INVOICE DATA REQUIRED"))))</x:f>
      </x:c>
    </x:row>
  </x:sheetData>
  <x:mergeCells>
    <x:mergeCell ref="E25:Q25"/>
    <x:mergeCell ref="E26:Q26"/>
    <x:mergeCell ref="E27:Q27"/>
  </x:mergeCells>
  <x:dataValidations count="1">
    <x:dataValidation type="list" sqref="B2">
      <x:formula1>"2026-09,2026-10"</x:formula1>
    </x:dataValidation>
  </x:dataValidations>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35" hidden="0" customWidth="1"/>
    <x:col min="12" max="12" width="25" hidden="0" customWidth="1"/>
    <x:col min="13" max="13" width="25" hidden="0" customWidth="1"/>
  </x:cols>
  <x:sheetData>
    <x:row r="1" ht="44" customHeight="1">
      <x:c r="A1" s="16" t="str">
        <x:v>Month YYYY-MM</x:v>
      </x:c>
      <x:c r="B1" s="16" t="str">
        <x:v>PO intake USD</x:v>
      </x:c>
      <x:c r="C1" s="16" t="str">
        <x:v>Invoiced USD</x:v>
      </x:c>
      <x:c r="D1" s="66" t="str">
        <x:v>REMOVED - payment metric</x:v>
      </x:c>
      <x:c r="E1" s="66" t="str">
        <x:v>REMOVED - payment metric</x:v>
      </x:c>
      <x:c r="F1" s="16" t="str">
        <x:v>ERP recognized cost USD</x:v>
      </x:c>
      <x:c r="G1" s="66" t="str">
        <x:v>REMOVED - payment metric</x:v>
      </x:c>
      <x:c r="H1" s="16" t="str">
        <x:v>MX invoiced USD</x:v>
      </x:c>
      <x:c r="I1" s="16" t="str">
        <x:v>US invoiced USD</x:v>
      </x:c>
      <x:c r="J1" s="16" t="str">
        <x:v>Reconciliation USD</x:v>
      </x:c>
      <x:c r="K1" s="29" t="str">
        <x:v>FX reporting status</x:v>
      </x:c>
      <x:c r="L1" s="64" t="str">
        <x:v>Invoiced original USD</x:v>
      </x:c>
      <x:c r="M1" s="64" t="str">
        <x:v>Invoiced original MXN</x:v>
      </x:c>
    </x:row>
    <x:row r="2">
      <x:c r="A2" t="str">
        <x:v>2026-09</x:v>
      </x:c>
      <x:c r="B2" s="18" t="n">
        <x:f>SUMIF('Monthly Project Activity'!$A$2:$A$101,$A2,'Monthly Project Activity'!$G$2:$G$101)</x:f>
        <x:v>125000</x:v>
      </x:c>
      <x:c r="C2"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Register'!$M$2:$M$501,$A2)+COUNTIFS('Invoice Register'!$L$2:$L$501,"CANCELLED",'Invoice Register'!$M$2:$M$501,$A2)=0,"INVOICE DATA REQUIRED",SUMIFS('Invoice Register'!$N$2:$N$501,'Invoice Register'!$M$2:$M$501,$A2)))</x:f>
        <x:v>INVOICE DATA REQUIRED</x:v>
      </x:c>
      <x:c r="D2" s="53"/>
      <x:c r="E2" s="53"/>
      <x:c r="F2" s="18" t="n">
        <x:f>SUMIF('Monthly Project Activity'!$A$2:$A$101,$A2,'Monthly Project Activity'!$K$2:$K$101)</x:f>
        <x:v>43000</x:v>
      </x:c>
      <x:c r="G2" s="53"/>
      <x:c r="H2"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Register'!$M$2:$M$501,$A2)+COUNTIFS('Invoice Register'!$L$2:$L$501,"CANCELLED",'Invoice Register'!$M$2:$M$501,$A2)=0,"INVOICE DATA REQUIRED",SUMIFS('Invoice Register'!$N$2:$N$501,'Invoice Register'!$M$2:$M$501,$A2,'Invoice Register'!$D$2:$D$501,"MX")))</x:f>
        <x:v>INVOICE DATA REQUIRED</x:v>
      </x:c>
      <x:c r="I2"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Register'!$M$2:$M$501,$A2)+COUNTIFS('Invoice Register'!$L$2:$L$501,"CANCELLED",'Invoice Register'!$M$2:$M$501,$A2)=0,"INVOICE DATA REQUIRED",SUMIFS('Invoice Register'!$N$2:$N$501,'Invoice Register'!$M$2:$M$501,$A2,'Invoice Register'!$D$2:$D$501,"US")))</x:f>
        <x:v>INVOICE DATA REQUIRED</x:v>
      </x:c>
      <x:c r="J2" s="18" t="str">
        <x:f>IF(AND(ISNUMBER(C2),ISNUMBER(H2),ISNUMBER(I2)),C2-H2-I2,"INVOICE REVIEW")</x:f>
        <x:v>INVOICE REVIEW</x:v>
      </x:c>
      <x:c r="K2" s="25" t="str">
        <x:f>IF(A2="","",IF(COUNTIFS('Monthly Project Activity'!$A$2:$A$101,A2,'Monthly Project Activity'!$O$2:$O$101,"FX HOLD")&gt;0,"FX HOLD - PROVISIONAL USD",IF(COUNTIFS('Monthly Project Activity'!$A$2:$A$101,A2,'Monthly Project Activity'!$O$2:$O$101,"SOURCE REVIEW")&gt;0,"SOURCE REVIEW",IF(COUNTIFS('Monthly Project Activity'!$A$2:$A$101,A2,'Monthly Project Activity'!$O$2:$O$101,"APPROVED")&gt;0,"FX APPROVED (METADATA)","NO FX EXCEPTION"))))</x:f>
        <x:v>FX HOLD - PROVISIONAL USD</x:v>
      </x:c>
      <x:c r="L2" s="49"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Register'!$M$2:$M$501,$A2,'Invoice Register'!$L$2:$L$501,"VALID")+COUNTIFS('Invoice Register'!$M$2:$M$501,$A2,'Invoice Register'!$L$2:$L$501,"FX HOLD")+COUNTIFS('Invoice Register'!$M$2:$M$501,$A2,'Invoice Register'!$L$2:$L$501,"CANCELLED")=0,"INVOICE DATA REQUIRED",SUMIFS('Invoice Register'!$H$2:$H$501,'Invoice Register'!$M$2:$M$501,$A2,'Invoice Register'!$G$2:$G$501,"USD",'Invoice Register'!$L$2:$L$501,"VALID")+SUMIFS('Invoice Register'!$H$2:$H$501,'Invoice Register'!$M$2:$M$501,$A2,'Invoice Register'!$G$2:$G$501,"USD",'Invoice Register'!$L$2:$L$501,"FX HOLD")))</x:f>
        <x:v>INVOICE DATA REQUIRED</x:v>
      </x:c>
      <x:c r="M2" s="49"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Register'!$M$2:$M$501,$A2,'Invoice Register'!$L$2:$L$501,"VALID")+COUNTIFS('Invoice Register'!$M$2:$M$501,$A2,'Invoice Register'!$L$2:$L$501,"FX HOLD")+COUNTIFS('Invoice Register'!$M$2:$M$501,$A2,'Invoice Register'!$L$2:$L$501,"CANCELLED")=0,"INVOICE DATA REQUIRED",SUMIFS('Invoice Register'!$H$2:$H$501,'Invoice Register'!$M$2:$M$501,$A2,'Invoice Register'!$G$2:$G$501,"MXN",'Invoice Register'!$L$2:$L$501,"VALID")+SUMIFS('Invoice Register'!$H$2:$H$501,'Invoice Register'!$M$2:$M$501,$A2,'Invoice Register'!$G$2:$G$501,"MXN",'Invoice Register'!$L$2:$L$501,"FX HOLD")))</x:f>
        <x:v>INVOICE DATA REQUIRED</x:v>
      </x:c>
    </x:row>
    <x:row r="3">
      <x:c r="A3" t="str">
        <x:v>2026-10</x:v>
      </x:c>
      <x:c r="B3" s="18" t="n">
        <x:f>SUMIF('Monthly Project Activity'!$A$2:$A$101,$A3,'Monthly Project Activity'!$G$2:$G$101)</x:f>
        <x:v>24000</x:v>
      </x:c>
      <x:c r="C3"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Register'!$M$2:$M$501,$A3)+COUNTIFS('Invoice Register'!$L$2:$L$501,"CANCELLED",'Invoice Register'!$M$2:$M$501,$A3)=0,"INVOICE DATA REQUIRED",SUMIFS('Invoice Register'!$N$2:$N$501,'Invoice Register'!$M$2:$M$501,$A3)))</x:f>
        <x:v>INVOICE DATA REQUIRED</x:v>
      </x:c>
      <x:c r="D3" s="53"/>
      <x:c r="E3" s="53"/>
      <x:c r="F3" s="18" t="n">
        <x:f>SUMIF('Monthly Project Activity'!$A$2:$A$101,$A3,'Monthly Project Activity'!$K$2:$K$101)</x:f>
        <x:v>43000</x:v>
      </x:c>
      <x:c r="G3" s="53"/>
      <x:c r="H3"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Register'!$M$2:$M$501,$A3)+COUNTIFS('Invoice Register'!$L$2:$L$501,"CANCELLED",'Invoice Register'!$M$2:$M$501,$A3)=0,"INVOICE DATA REQUIRED",SUMIFS('Invoice Register'!$N$2:$N$501,'Invoice Register'!$M$2:$M$501,$A3,'Invoice Register'!$D$2:$D$501,"MX")))</x:f>
        <x:v>INVOICE DATA REQUIRED</x:v>
      </x:c>
      <x:c r="I3" s="18"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Register'!$M$2:$M$501,$A3)+COUNTIFS('Invoice Register'!$L$2:$L$501,"CANCELLED",'Invoice Register'!$M$2:$M$501,$A3)=0,"INVOICE DATA REQUIRED",SUMIFS('Invoice Register'!$N$2:$N$501,'Invoice Register'!$M$2:$M$501,$A3,'Invoice Register'!$D$2:$D$501,"US")))</x:f>
        <x:v>INVOICE DATA REQUIRED</x:v>
      </x:c>
      <x:c r="J3" s="18" t="str">
        <x:f>IF(AND(ISNUMBER(C3),ISNUMBER(H3),ISNUMBER(I3)),C3-H3-I3,"INVOICE REVIEW")</x:f>
        <x:v>INVOICE REVIEW</x:v>
      </x:c>
      <x:c r="K3" s="25" t="str">
        <x:f>IF(A3="","",IF(COUNTIFS('Monthly Project Activity'!$A$2:$A$101,A3,'Monthly Project Activity'!$O$2:$O$101,"FX HOLD")&gt;0,"FX HOLD - PROVISIONAL USD",IF(COUNTIFS('Monthly Project Activity'!$A$2:$A$101,A3,'Monthly Project Activity'!$O$2:$O$101,"SOURCE REVIEW")&gt;0,"SOURCE REVIEW",IF(COUNTIFS('Monthly Project Activity'!$A$2:$A$101,A3,'Monthly Project Activity'!$O$2:$O$101,"APPROVED")&gt;0,"FX APPROVED (METADATA)","NO FX EXCEPTION"))))</x:f>
        <x:v>FX HOLD - PROVISIONAL USD</x:v>
      </x:c>
      <x:c r="L3" s="49"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Register'!$M$2:$M$501,$A3,'Invoice Register'!$L$2:$L$501,"VALID")+COUNTIFS('Invoice Register'!$M$2:$M$501,$A3,'Invoice Register'!$L$2:$L$501,"FX HOLD")+COUNTIFS('Invoice Register'!$M$2:$M$501,$A3,'Invoice Register'!$L$2:$L$501,"CANCELLED")=0,"INVOICE DATA REQUIRED",SUMIFS('Invoice Register'!$H$2:$H$501,'Invoice Register'!$M$2:$M$501,$A3,'Invoice Register'!$G$2:$G$501,"USD",'Invoice Register'!$L$2:$L$501,"VALID")+SUMIFS('Invoice Register'!$H$2:$H$501,'Invoice Register'!$M$2:$M$501,$A3,'Invoice Register'!$G$2:$G$501,"USD",'Invoice Register'!$L$2:$L$501,"FX HOLD")))</x:f>
        <x:v>INVOICE DATA REQUIRED</x:v>
      </x:c>
      <x:c r="M3" s="49"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PROJECT"))&gt;0,"INVOICE REVIEW",IF(COUNTIFS('Invoice Register'!$M$2:$M$501,$A3,'Invoice Register'!$L$2:$L$501,"VALID")+COUNTIFS('Invoice Register'!$M$2:$M$501,$A3,'Invoice Register'!$L$2:$L$501,"FX HOLD")+COUNTIFS('Invoice Register'!$M$2:$M$501,$A3,'Invoice Register'!$L$2:$L$501,"CANCELLED")=0,"INVOICE DATA REQUIRED",SUMIFS('Invoice Register'!$H$2:$H$501,'Invoice Register'!$M$2:$M$501,$A3,'Invoice Register'!$G$2:$G$501,"MXN",'Invoice Register'!$L$2:$L$501,"VALID")+SUMIFS('Invoice Register'!$H$2:$H$501,'Invoice Register'!$M$2:$M$501,$A3,'Invoice Register'!$G$2:$G$501,"MXN",'Invoice Register'!$L$2:$L$501,"FX HOLD")))</x:f>
        <x:v>INVOICE DATA REQUIRED</x:v>
      </x:c>
    </x:row>
    <x:row r="4">
      <x:c r="K4" s="25" t="str">
        <x:f>IF(A4="","",IF(COUNTIFS('Monthly Project Activity'!$A$2:$A$101,A4,'Monthly Project Activity'!$O$2:$O$101,"FX HOLD")&gt;0,"FX HOLD - PROVISIONAL USD",IF(COUNTIFS('Monthly Project Activity'!$A$2:$A$101,A4,'Monthly Project Activity'!$O$2:$O$101,"SOURCE REVIEW")&gt;0,"SOURCE REVIEW",IF(COUNTIFS('Monthly Project Activity'!$A$2:$A$101,A4,'Monthly Project Activity'!$O$2:$O$101,"APPROVED")&gt;0,"FX APPROVED (METADATA)","NO FX EXCEPTION"))))</x:f>
      </x:c>
      <x:c r="L4" s="49"/>
      <x:c r="M4" s="49"/>
    </x:row>
    <x:row r="5">
      <x:c r="K5" s="25" t="str">
        <x:f>IF(A5="","",IF(COUNTIFS('Monthly Project Activity'!$A$2:$A$101,A5,'Monthly Project Activity'!$O$2:$O$101,"FX HOLD")&gt;0,"FX HOLD - PROVISIONAL USD",IF(COUNTIFS('Monthly Project Activity'!$A$2:$A$101,A5,'Monthly Project Activity'!$O$2:$O$101,"SOURCE REVIEW")&gt;0,"SOURCE REVIEW",IF(COUNTIFS('Monthly Project Activity'!$A$2:$A$101,A5,'Monthly Project Activity'!$O$2:$O$101,"APPROVED")&gt;0,"FX APPROVED (METADATA)","NO FX EXCEPTION"))))</x:f>
      </x:c>
      <x:c r="L5" s="49"/>
      <x:c r="M5" s="49"/>
    </x:row>
    <x:row r="6">
      <x:c r="K6" s="25" t="str">
        <x:f>IF(A6="","",IF(COUNTIFS('Monthly Project Activity'!$A$2:$A$101,A6,'Monthly Project Activity'!$O$2:$O$101,"FX HOLD")&gt;0,"FX HOLD - PROVISIONAL USD",IF(COUNTIFS('Monthly Project Activity'!$A$2:$A$101,A6,'Monthly Project Activity'!$O$2:$O$101,"SOURCE REVIEW")&gt;0,"SOURCE REVIEW",IF(COUNTIFS('Monthly Project Activity'!$A$2:$A$101,A6,'Monthly Project Activity'!$O$2:$O$101,"APPROVED")&gt;0,"FX APPROVED (METADATA)","NO FX EXCEPTION"))))</x:f>
      </x:c>
      <x:c r="L6" s="49"/>
      <x:c r="M6" s="49"/>
    </x:row>
    <x:row r="7">
      <x:c r="K7" s="25" t="str">
        <x:f>IF(A7="","",IF(COUNTIFS('Monthly Project Activity'!$A$2:$A$101,A7,'Monthly Project Activity'!$O$2:$O$101,"FX HOLD")&gt;0,"FX HOLD - PROVISIONAL USD",IF(COUNTIFS('Monthly Project Activity'!$A$2:$A$101,A7,'Monthly Project Activity'!$O$2:$O$101,"SOURCE REVIEW")&gt;0,"SOURCE REVIEW",IF(COUNTIFS('Monthly Project Activity'!$A$2:$A$101,A7,'Monthly Project Activity'!$O$2:$O$101,"APPROVED")&gt;0,"FX APPROVED (METADATA)","NO FX EXCEPTION"))))</x:f>
      </x:c>
      <x:c r="L7" s="49"/>
      <x:c r="M7" s="49"/>
    </x:row>
    <x:row r="8">
      <x:c r="K8" s="25" t="str">
        <x:f>IF(A8="","",IF(COUNTIFS('Monthly Project Activity'!$A$2:$A$101,A8,'Monthly Project Activity'!$O$2:$O$101,"FX HOLD")&gt;0,"FX HOLD - PROVISIONAL USD",IF(COUNTIFS('Monthly Project Activity'!$A$2:$A$101,A8,'Monthly Project Activity'!$O$2:$O$101,"SOURCE REVIEW")&gt;0,"SOURCE REVIEW",IF(COUNTIFS('Monthly Project Activity'!$A$2:$A$101,A8,'Monthly Project Activity'!$O$2:$O$101,"APPROVED")&gt;0,"FX APPROVED (METADATA)","NO FX EXCEPTION"))))</x:f>
      </x:c>
      <x:c r="L8" s="49"/>
      <x:c r="M8" s="49"/>
    </x:row>
    <x:row r="9">
      <x:c r="K9" s="25" t="str">
        <x:f>IF(A9="","",IF(COUNTIFS('Monthly Project Activity'!$A$2:$A$101,A9,'Monthly Project Activity'!$O$2:$O$101,"FX HOLD")&gt;0,"FX HOLD - PROVISIONAL USD",IF(COUNTIFS('Monthly Project Activity'!$A$2:$A$101,A9,'Monthly Project Activity'!$O$2:$O$101,"SOURCE REVIEW")&gt;0,"SOURCE REVIEW",IF(COUNTIFS('Monthly Project Activity'!$A$2:$A$101,A9,'Monthly Project Activity'!$O$2:$O$101,"APPROVED")&gt;0,"FX APPROVED (METADATA)","NO FX EXCEPTION"))))</x:f>
      </x:c>
      <x:c r="L9" s="49"/>
      <x:c r="M9" s="49"/>
    </x:row>
    <x:row r="10">
      <x:c r="K10" s="25" t="str">
        <x:f>IF(A10="","",IF(COUNTIFS('Monthly Project Activity'!$A$2:$A$101,A10,'Monthly Project Activity'!$O$2:$O$101,"FX HOLD")&gt;0,"FX HOLD - PROVISIONAL USD",IF(COUNTIFS('Monthly Project Activity'!$A$2:$A$101,A10,'Monthly Project Activity'!$O$2:$O$101,"SOURCE REVIEW")&gt;0,"SOURCE REVIEW",IF(COUNTIFS('Monthly Project Activity'!$A$2:$A$101,A10,'Monthly Project Activity'!$O$2:$O$101,"APPROVED")&gt;0,"FX APPROVED (METADATA)","NO FX EXCEPTION"))))</x:f>
      </x:c>
      <x:c r="L10" s="49"/>
      <x:c r="M10" s="49"/>
    </x:row>
    <x:row r="11">
      <x:c r="K11" s="25" t="str">
        <x:f>IF(A11="","",IF(COUNTIFS('Monthly Project Activity'!$A$2:$A$101,A11,'Monthly Project Activity'!$O$2:$O$101,"FX HOLD")&gt;0,"FX HOLD - PROVISIONAL USD",IF(COUNTIFS('Monthly Project Activity'!$A$2:$A$101,A11,'Monthly Project Activity'!$O$2:$O$101,"SOURCE REVIEW")&gt;0,"SOURCE REVIEW",IF(COUNTIFS('Monthly Project Activity'!$A$2:$A$101,A11,'Monthly Project Activity'!$O$2:$O$101,"APPROVED")&gt;0,"FX APPROVED (METADATA)","NO FX EXCEPTION"))))</x:f>
      </x:c>
      <x:c r="L11" s="49"/>
      <x:c r="M11" s="49"/>
    </x:row>
    <x:row r="12">
      <x:c r="K12" s="25" t="str">
        <x:f>IF(A12="","",IF(COUNTIFS('Monthly Project Activity'!$A$2:$A$101,A12,'Monthly Project Activity'!$O$2:$O$101,"FX HOLD")&gt;0,"FX HOLD - PROVISIONAL USD",IF(COUNTIFS('Monthly Project Activity'!$A$2:$A$101,A12,'Monthly Project Activity'!$O$2:$O$101,"SOURCE REVIEW")&gt;0,"SOURCE REVIEW",IF(COUNTIFS('Monthly Project Activity'!$A$2:$A$101,A12,'Monthly Project Activity'!$O$2:$O$101,"APPROVED")&gt;0,"FX APPROVED (METADATA)","NO FX EXCEPTION"))))</x:f>
      </x:c>
      <x:c r="L12" s="49"/>
      <x:c r="M12" s="49"/>
    </x:row>
    <x:row r="13">
      <x:c r="K13" s="25" t="str">
        <x:f>IF(A13="","",IF(COUNTIFS('Monthly Project Activity'!$A$2:$A$101,A13,'Monthly Project Activity'!$O$2:$O$101,"FX HOLD")&gt;0,"FX HOLD - PROVISIONAL USD",IF(COUNTIFS('Monthly Project Activity'!$A$2:$A$101,A13,'Monthly Project Activity'!$O$2:$O$101,"SOURCE REVIEW")&gt;0,"SOURCE REVIEW",IF(COUNTIFS('Monthly Project Activity'!$A$2:$A$101,A13,'Monthly Project Activity'!$O$2:$O$101,"APPROVED")&gt;0,"FX APPROVED (METADATA)","NO FX EXCEPTION"))))</x:f>
      </x:c>
      <x:c r="L13" s="49"/>
      <x:c r="M13" s="49"/>
    </x:row>
    <x:row r="14">
      <x:c r="K14" s="25" t="str">
        <x:f>IF(A14="","",IF(COUNTIFS('Monthly Project Activity'!$A$2:$A$101,A14,'Monthly Project Activity'!$O$2:$O$101,"FX HOLD")&gt;0,"FX HOLD - PROVISIONAL USD",IF(COUNTIFS('Monthly Project Activity'!$A$2:$A$101,A14,'Monthly Project Activity'!$O$2:$O$101,"SOURCE REVIEW")&gt;0,"SOURCE REVIEW",IF(COUNTIFS('Monthly Project Activity'!$A$2:$A$101,A14,'Monthly Project Activity'!$O$2:$O$101,"APPROVED")&gt;0,"FX APPROVED (METADATA)","NO FX EXCEPTION"))))</x:f>
      </x:c>
      <x:c r="L14" s="49"/>
      <x:c r="M14" s="49"/>
    </x:row>
    <x:row r="15">
      <x:c r="K15" s="25" t="str">
        <x:f>IF(A15="","",IF(COUNTIFS('Monthly Project Activity'!$A$2:$A$101,A15,'Monthly Project Activity'!$O$2:$O$101,"FX HOLD")&gt;0,"FX HOLD - PROVISIONAL USD",IF(COUNTIFS('Monthly Project Activity'!$A$2:$A$101,A15,'Monthly Project Activity'!$O$2:$O$101,"SOURCE REVIEW")&gt;0,"SOURCE REVIEW",IF(COUNTIFS('Monthly Project Activity'!$A$2:$A$101,A15,'Monthly Project Activity'!$O$2:$O$101,"APPROVED")&gt;0,"FX APPROVED (METADATA)","NO FX EXCEPTION"))))</x:f>
      </x:c>
      <x:c r="L15" s="49"/>
      <x:c r="M15" s="49"/>
    </x:row>
    <x:row r="16">
      <x:c r="K16" s="25" t="str">
        <x:f>IF(A16="","",IF(COUNTIFS('Monthly Project Activity'!$A$2:$A$101,A16,'Monthly Project Activity'!$O$2:$O$101,"FX HOLD")&gt;0,"FX HOLD - PROVISIONAL USD",IF(COUNTIFS('Monthly Project Activity'!$A$2:$A$101,A16,'Monthly Project Activity'!$O$2:$O$101,"SOURCE REVIEW")&gt;0,"SOURCE REVIEW",IF(COUNTIFS('Monthly Project Activity'!$A$2:$A$101,A16,'Monthly Project Activity'!$O$2:$O$101,"APPROVED")&gt;0,"FX APPROVED (METADATA)","NO FX EXCEPTION"))))</x:f>
      </x:c>
      <x:c r="L16" s="49"/>
      <x:c r="M16" s="49"/>
    </x:row>
    <x:row r="17">
      <x:c r="K17" s="25" t="str">
        <x:f>IF(A17="","",IF(COUNTIFS('Monthly Project Activity'!$A$2:$A$101,A17,'Monthly Project Activity'!$O$2:$O$101,"FX HOLD")&gt;0,"FX HOLD - PROVISIONAL USD",IF(COUNTIFS('Monthly Project Activity'!$A$2:$A$101,A17,'Monthly Project Activity'!$O$2:$O$101,"SOURCE REVIEW")&gt;0,"SOURCE REVIEW",IF(COUNTIFS('Monthly Project Activity'!$A$2:$A$101,A17,'Monthly Project Activity'!$O$2:$O$101,"APPROVED")&gt;0,"FX APPROVED (METADATA)","NO FX EXCEPTION"))))</x:f>
      </x:c>
      <x:c r="L17" s="49"/>
      <x:c r="M17" s="49"/>
    </x:row>
    <x:row r="18">
      <x:c r="K18" s="25" t="str">
        <x:f>IF(A18="","",IF(COUNTIFS('Monthly Project Activity'!$A$2:$A$101,A18,'Monthly Project Activity'!$O$2:$O$101,"FX HOLD")&gt;0,"FX HOLD - PROVISIONAL USD",IF(COUNTIFS('Monthly Project Activity'!$A$2:$A$101,A18,'Monthly Project Activity'!$O$2:$O$101,"SOURCE REVIEW")&gt;0,"SOURCE REVIEW",IF(COUNTIFS('Monthly Project Activity'!$A$2:$A$101,A18,'Monthly Project Activity'!$O$2:$O$101,"APPROVED")&gt;0,"FX APPROVED (METADATA)","NO FX EXCEPTION"))))</x:f>
      </x:c>
      <x:c r="L18" s="49"/>
      <x:c r="M18" s="49"/>
    </x:row>
    <x:row r="19">
      <x:c r="K19" s="25" t="str">
        <x:f>IF(A19="","",IF(COUNTIFS('Monthly Project Activity'!$A$2:$A$101,A19,'Monthly Project Activity'!$O$2:$O$101,"FX HOLD")&gt;0,"FX HOLD - PROVISIONAL USD",IF(COUNTIFS('Monthly Project Activity'!$A$2:$A$101,A19,'Monthly Project Activity'!$O$2:$O$101,"SOURCE REVIEW")&gt;0,"SOURCE REVIEW",IF(COUNTIFS('Monthly Project Activity'!$A$2:$A$101,A19,'Monthly Project Activity'!$O$2:$O$101,"APPROVED")&gt;0,"FX APPROVED (METADATA)","NO FX EXCEPTION"))))</x:f>
      </x:c>
      <x:c r="L19" s="49"/>
      <x:c r="M19" s="49"/>
    </x:row>
    <x:row r="20">
      <x:c r="K20" s="25" t="str">
        <x:f>IF(A20="","",IF(COUNTIFS('Monthly Project Activity'!$A$2:$A$101,A20,'Monthly Project Activity'!$O$2:$O$101,"FX HOLD")&gt;0,"FX HOLD - PROVISIONAL USD",IF(COUNTIFS('Monthly Project Activity'!$A$2:$A$101,A20,'Monthly Project Activity'!$O$2:$O$101,"SOURCE REVIEW")&gt;0,"SOURCE REVIEW",IF(COUNTIFS('Monthly Project Activity'!$A$2:$A$101,A20,'Monthly Project Activity'!$O$2:$O$101,"APPROVED")&gt;0,"FX APPROVED (METADATA)","NO FX EXCEPTION"))))</x:f>
      </x:c>
      <x:c r="L20" s="49"/>
      <x:c r="M20" s="49"/>
    </x:row>
    <x:row r="21">
      <x:c r="K21" s="25" t="str">
        <x:f>IF(A21="","",IF(COUNTIFS('Monthly Project Activity'!$A$2:$A$101,A21,'Monthly Project Activity'!$O$2:$O$101,"FX HOLD")&gt;0,"FX HOLD - PROVISIONAL USD",IF(COUNTIFS('Monthly Project Activity'!$A$2:$A$101,A21,'Monthly Project Activity'!$O$2:$O$101,"SOURCE REVIEW")&gt;0,"SOURCE REVIEW",IF(COUNTIFS('Monthly Project Activity'!$A$2:$A$101,A21,'Monthly Project Activity'!$O$2:$O$101,"APPROVED")&gt;0,"FX APPROVED (METADATA)","NO FX EXCEPTION"))))</x:f>
      </x:c>
      <x:c r="L21" s="49"/>
      <x:c r="M21" s="49"/>
    </x:row>
    <x:row r="22">
      <x:c r="K22" s="25" t="str">
        <x:f>IF(A22="","",IF(COUNTIFS('Monthly Project Activity'!$A$2:$A$101,A22,'Monthly Project Activity'!$O$2:$O$101,"FX HOLD")&gt;0,"FX HOLD - PROVISIONAL USD",IF(COUNTIFS('Monthly Project Activity'!$A$2:$A$101,A22,'Monthly Project Activity'!$O$2:$O$101,"SOURCE REVIEW")&gt;0,"SOURCE REVIEW",IF(COUNTIFS('Monthly Project Activity'!$A$2:$A$101,A22,'Monthly Project Activity'!$O$2:$O$101,"APPROVED")&gt;0,"FX APPROVED (METADATA)","NO FX EXCEPTION"))))</x:f>
      </x:c>
      <x:c r="L22" s="49"/>
      <x:c r="M22" s="49"/>
    </x:row>
    <x:row r="23">
      <x:c r="K23" s="25" t="str">
        <x:f>IF(A23="","",IF(COUNTIFS('Monthly Project Activity'!$A$2:$A$101,A23,'Monthly Project Activity'!$O$2:$O$101,"FX HOLD")&gt;0,"FX HOLD - PROVISIONAL USD",IF(COUNTIFS('Monthly Project Activity'!$A$2:$A$101,A23,'Monthly Project Activity'!$O$2:$O$101,"SOURCE REVIEW")&gt;0,"SOURCE REVIEW",IF(COUNTIFS('Monthly Project Activity'!$A$2:$A$101,A23,'Monthly Project Activity'!$O$2:$O$101,"APPROVED")&gt;0,"FX APPROVED (METADATA)","NO FX EXCEPTION"))))</x:f>
      </x:c>
      <x:c r="L23" s="49"/>
      <x:c r="M23" s="49"/>
    </x:row>
    <x:row r="24">
      <x:c r="K24" s="25" t="str">
        <x:f>IF(A24="","",IF(COUNTIFS('Monthly Project Activity'!$A$2:$A$101,A24,'Monthly Project Activity'!$O$2:$O$101,"FX HOLD")&gt;0,"FX HOLD - PROVISIONAL USD",IF(COUNTIFS('Monthly Project Activity'!$A$2:$A$101,A24,'Monthly Project Activity'!$O$2:$O$101,"SOURCE REVIEW")&gt;0,"SOURCE REVIEW",IF(COUNTIFS('Monthly Project Activity'!$A$2:$A$101,A24,'Monthly Project Activity'!$O$2:$O$101,"APPROVED")&gt;0,"FX APPROVED (METADATA)","NO FX EXCEPTION"))))</x:f>
      </x:c>
      <x:c r="L24" s="49"/>
      <x:c r="M24" s="49"/>
    </x:row>
    <x:row r="25">
      <x:c r="K25" s="25" t="str">
        <x:f>IF(A25="","",IF(COUNTIFS('Monthly Project Activity'!$A$2:$A$101,A25,'Monthly Project Activity'!$O$2:$O$101,"FX HOLD")&gt;0,"FX HOLD - PROVISIONAL USD",IF(COUNTIFS('Monthly Project Activity'!$A$2:$A$101,A25,'Monthly Project Activity'!$O$2:$O$101,"SOURCE REVIEW")&gt;0,"SOURCE REVIEW",IF(COUNTIFS('Monthly Project Activity'!$A$2:$A$101,A25,'Monthly Project Activity'!$O$2:$O$101,"APPROVED")&gt;0,"FX APPROVED (METADATA)","NO FX EXCEPTION"))))</x:f>
      </x:c>
      <x:c r="L25" s="49"/>
      <x:c r="M25" s="49"/>
    </x:row>
    <x:row r="26">
      <x:c r="K26" s="25" t="str">
        <x:f>IF(A26="","",IF(COUNTIFS('Monthly Project Activity'!$A$2:$A$101,A26,'Monthly Project Activity'!$O$2:$O$101,"FX HOLD")&gt;0,"FX HOLD - PROVISIONAL USD",IF(COUNTIFS('Monthly Project Activity'!$A$2:$A$101,A26,'Monthly Project Activity'!$O$2:$O$101,"SOURCE REVIEW")&gt;0,"SOURCE REVIEW",IF(COUNTIFS('Monthly Project Activity'!$A$2:$A$101,A26,'Monthly Project Activity'!$O$2:$O$101,"APPROVED")&gt;0,"FX APPROVED (METADATA)","NO FX EXCEPTION"))))</x:f>
      </x:c>
      <x:c r="L26" s="49"/>
      <x:c r="M26" s="49"/>
    </x:row>
    <x:row r="27">
      <x:c r="K27" s="25" t="str">
        <x:f>IF(A27="","",IF(COUNTIFS('Monthly Project Activity'!$A$2:$A$101,A27,'Monthly Project Activity'!$O$2:$O$101,"FX HOLD")&gt;0,"FX HOLD - PROVISIONAL USD",IF(COUNTIFS('Monthly Project Activity'!$A$2:$A$101,A27,'Monthly Project Activity'!$O$2:$O$101,"SOURCE REVIEW")&gt;0,"SOURCE REVIEW",IF(COUNTIFS('Monthly Project Activity'!$A$2:$A$101,A27,'Monthly Project Activity'!$O$2:$O$101,"APPROVED")&gt;0,"FX APPROVED (METADATA)","NO FX EXCEPTION"))))</x:f>
      </x:c>
      <x:c r="L27" s="49"/>
      <x:c r="M27" s="49"/>
    </x:row>
    <x:row r="28">
      <x:c r="K28" s="25" t="str">
        <x:f>IF(A28="","",IF(COUNTIFS('Monthly Project Activity'!$A$2:$A$101,A28,'Monthly Project Activity'!$O$2:$O$101,"FX HOLD")&gt;0,"FX HOLD - PROVISIONAL USD",IF(COUNTIFS('Monthly Project Activity'!$A$2:$A$101,A28,'Monthly Project Activity'!$O$2:$O$101,"SOURCE REVIEW")&gt;0,"SOURCE REVIEW",IF(COUNTIFS('Monthly Project Activity'!$A$2:$A$101,A28,'Monthly Project Activity'!$O$2:$O$101,"APPROVED")&gt;0,"FX APPROVED (METADATA)","NO FX EXCEPTION"))))</x:f>
      </x:c>
      <x:c r="L28" s="49"/>
      <x:c r="M28" s="49"/>
    </x:row>
    <x:row r="29">
      <x:c r="K29" s="25" t="str">
        <x:f>IF(A29="","",IF(COUNTIFS('Monthly Project Activity'!$A$2:$A$101,A29,'Monthly Project Activity'!$O$2:$O$101,"FX HOLD")&gt;0,"FX HOLD - PROVISIONAL USD",IF(COUNTIFS('Monthly Project Activity'!$A$2:$A$101,A29,'Monthly Project Activity'!$O$2:$O$101,"SOURCE REVIEW")&gt;0,"SOURCE REVIEW",IF(COUNTIFS('Monthly Project Activity'!$A$2:$A$101,A29,'Monthly Project Activity'!$O$2:$O$101,"APPROVED")&gt;0,"FX APPROVED (METADATA)","NO FX EXCEPTION"))))</x:f>
      </x:c>
      <x:c r="L29" s="49"/>
      <x:c r="M29" s="49"/>
    </x:row>
    <x:row r="30">
      <x:c r="K30" s="25" t="str">
        <x:f>IF(A30="","",IF(COUNTIFS('Monthly Project Activity'!$A$2:$A$101,A30,'Monthly Project Activity'!$O$2:$O$101,"FX HOLD")&gt;0,"FX HOLD - PROVISIONAL USD",IF(COUNTIFS('Monthly Project Activity'!$A$2:$A$101,A30,'Monthly Project Activity'!$O$2:$O$101,"SOURCE REVIEW")&gt;0,"SOURCE REVIEW",IF(COUNTIFS('Monthly Project Activity'!$A$2:$A$101,A30,'Monthly Project Activity'!$O$2:$O$101,"APPROVED")&gt;0,"FX APPROVED (METADATA)","NO FX EXCEPTION"))))</x:f>
      </x:c>
      <x:c r="L30" s="49"/>
      <x:c r="M30" s="49"/>
    </x:row>
  </x:sheetData>
  <x:pageMargins left="0.7" right="0.7" top="0.75" bottom="0.75" header="0.3" footer="0.3"/>
  <x:drawing xmlns:r="http://schemas.openxmlformats.org/officeDocument/2006/relationships" r:id="R84901318e1424efc"/>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5"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35" hidden="0" customWidth="1"/>
  </x:cols>
  <x:sheetData>
    <x:row r="1" ht="38" customHeight="1">
      <x:c r="A1" s="16" t="str">
        <x:v>Month YYYY-MM</x:v>
      </x:c>
      <x:c r="B1" s="16" t="str">
        <x:v>Business Unit</x:v>
      </x:c>
      <x:c r="C1" s="16" t="str">
        <x:v>MX invoiced USD</x:v>
      </x:c>
      <x:c r="D1" s="16" t="str">
        <x:v>US invoiced USD</x:v>
      </x:c>
      <x:c r="E1" s="16" t="str">
        <x:v>Total invoiced USD</x:v>
      </x:c>
      <x:c r="F1" s="16" t="str">
        <x:v>MX PO intake USD</x:v>
      </x:c>
      <x:c r="G1" s="16" t="str">
        <x:v>US PO intake USD</x:v>
      </x:c>
      <x:c r="H1" s="16" t="str">
        <x:v>Total PO intake USD</x:v>
      </x:c>
      <x:c r="I1" s="66" t="str">
        <x:v>REMOVED - payment metric</x:v>
      </x:c>
      <x:c r="J1" s="66" t="str">
        <x:v>REMOVED - payment metric</x:v>
      </x:c>
      <x:c r="K1" s="66" t="str">
        <x:v>REMOVED - payment metric</x:v>
      </x:c>
      <x:c r="L1" s="66" t="str">
        <x:v>REMOVED - payment metric</x:v>
      </x:c>
      <x:c r="M1" s="66" t="str">
        <x:v>REMOVED - payment metric</x:v>
      </x:c>
      <x:c r="N1" s="66" t="str">
        <x:v>REMOVED - payment metric</x:v>
      </x:c>
      <x:c r="O1" s="29" t="str">
        <x:v>FX reporting status</x:v>
      </x:c>
    </x:row>
    <x:row r="2">
      <x:c r="A2" t="str">
        <x:v>2026-09</x:v>
      </x:c>
      <x:c r="B2" t="str">
        <x:v>Strategic Services</x:v>
      </x:c>
      <x:c r="C2"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Register'!$M$2:$M$501,$A2)+COUNTIFS('Invoice Register'!$L$2:$L$501,"CANCELLED",'Invoice Register'!$M$2:$M$501,$A2)=0,"INVOICE DATA REQUIRED",SUMIFS('Invoice Register'!$N$2:$N$501,'Invoice Register'!$M$2:$M$501,$A2,'Invoice Register'!$D$2:$D$501,"MX",'Invoice Register'!$E$2:$E$501,$B2)))</x:f>
        <x:v>INVOICE DATA REQUIRED</x:v>
      </x:c>
      <x:c r="D2"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Register'!$M$2:$M$501,$A2)+COUNTIFS('Invoice Register'!$L$2:$L$501,"CANCELLED",'Invoice Register'!$M$2:$M$501,$A2)=0,"INVOICE DATA REQUIRED",SUMIFS('Invoice Register'!$N$2:$N$501,'Invoice Register'!$M$2:$M$501,$A2,'Invoice Register'!$D$2:$D$501,"US",'Invoice Register'!$E$2:$E$501,$B2)))</x:f>
        <x:v>INVOICE DATA REQUIRED</x:v>
      </x:c>
      <x:c r="E2" t="str">
        <x:f>IF(AND(ISNUMBER(C2),ISNUMBER(D2)),C2+D2,"INVOICE REVIEW")</x:f>
        <x:v>INVOICE REVIEW</x:v>
      </x:c>
      <x:c r="F2" t="n">
        <x:f>SUMIFS('Monthly Project Activity'!$G$2:$G$101,'Monthly Project Activity'!$A$2:$A$101,$A2,'Monthly Project Activity'!$D$2:$D$101,$B2,'Monthly Project Activity'!$F$2:$F$101,"MX")</x:f>
        <x:v>50000</x:v>
      </x:c>
      <x:c r="G2" t="n">
        <x:f>SUMIFS('Monthly Project Activity'!$G$2:$G$101,'Monthly Project Activity'!$A$2:$A$101,$A2,'Monthly Project Activity'!$D$2:$D$101,$B2,'Monthly Project Activity'!$F$2:$F$101,"US")</x:f>
        <x:v>0</x:v>
      </x:c>
      <x:c r="H2" t="n">
        <x:f>F2+G2</x:f>
        <x:v>50000</x:v>
      </x:c>
      <x:c r="I2" s="52"/>
      <x:c r="J2" s="52"/>
      <x:c r="K2" s="52"/>
      <x:c r="L2" s="52"/>
      <x:c r="M2" s="52"/>
      <x:c r="N2" s="52"/>
      <x:c r="O2" s="25" t="str">
        <x:f>IF(A2="","",IF(COUNTIFS('Monthly Project Activity'!$A$2:$A$101,A2,'Monthly Project Activity'!$D$2:$D$101,B2,'Monthly Project Activity'!$O$2:$O$101,"FX HOLD")&gt;0,"FX HOLD - PROVISIONAL USD",IF(COUNTIFS('Monthly Project Activity'!$A$2:$A$101,A2,'Monthly Project Activity'!$D$2:$D$101,B2,'Monthly Project Activity'!$O$2:$O$101,"SOURCE REVIEW")&gt;0,"SOURCE REVIEW",IF(COUNTIFS('Monthly Project Activity'!$A$2:$A$101,A2,'Monthly Project Activity'!$D$2:$D$101,B2,'Monthly Project Activity'!$O$2:$O$101,"APPROVED")&gt;0,"FX APPROVED (METADATA)","NO FX EXCEPTION"))))</x:f>
        <x:v>NO FX EXCEPTION</x:v>
      </x:c>
    </x:row>
    <x:row r="3">
      <x:c r="A3" t="str">
        <x:v>2026-09</x:v>
      </x:c>
      <x:c r="B3" t="str">
        <x:v>Brands</x:v>
      </x:c>
      <x:c r="C3"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Register'!$M$2:$M$501,$A3)+COUNTIFS('Invoice Register'!$L$2:$L$501,"CANCELLED",'Invoice Register'!$M$2:$M$501,$A3)=0,"INVOICE DATA REQUIRED",SUMIFS('Invoice Register'!$N$2:$N$501,'Invoice Register'!$M$2:$M$501,$A3,'Invoice Register'!$D$2:$D$501,"MX",'Invoice Register'!$E$2:$E$501,$B3)))</x:f>
        <x:v>INVOICE DATA REQUIRED</x:v>
      </x:c>
      <x:c r="D3"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Register'!$M$2:$M$501,$A3)+COUNTIFS('Invoice Register'!$L$2:$L$501,"CANCELLED",'Invoice Register'!$M$2:$M$501,$A3)=0,"INVOICE DATA REQUIRED",SUMIFS('Invoice Register'!$N$2:$N$501,'Invoice Register'!$M$2:$M$501,$A3,'Invoice Register'!$D$2:$D$501,"US",'Invoice Register'!$E$2:$E$501,$B3)))</x:f>
        <x:v>INVOICE DATA REQUIRED</x:v>
      </x:c>
      <x:c r="E3" t="str">
        <x:f>IF(AND(ISNUMBER(C3),ISNUMBER(D3)),C3+D3,"INVOICE REVIEW")</x:f>
        <x:v>INVOICE REVIEW</x:v>
      </x:c>
      <x:c r="F3" t="n">
        <x:f>SUMIFS('Monthly Project Activity'!$G$2:$G$101,'Monthly Project Activity'!$A$2:$A$101,$A3,'Monthly Project Activity'!$D$2:$D$101,$B3,'Monthly Project Activity'!$F$2:$F$101,"MX")</x:f>
        <x:v>41000</x:v>
      </x:c>
      <x:c r="G3" t="n">
        <x:f>SUMIFS('Monthly Project Activity'!$G$2:$G$101,'Monthly Project Activity'!$A$2:$A$101,$A3,'Monthly Project Activity'!$D$2:$D$101,$B3,'Monthly Project Activity'!$F$2:$F$101,"US")</x:f>
        <x:v>34000</x:v>
      </x:c>
      <x:c r="H3" t="n">
        <x:f>F3+G3</x:f>
        <x:v>75000</x:v>
      </x:c>
      <x:c r="I3" s="52"/>
      <x:c r="J3" s="52"/>
      <x:c r="K3" s="52"/>
      <x:c r="L3" s="52"/>
      <x:c r="M3" s="52"/>
      <x:c r="N3" s="52"/>
      <x:c r="O3" s="25" t="str">
        <x:f>IF(A3="","",IF(COUNTIFS('Monthly Project Activity'!$A$2:$A$101,A3,'Monthly Project Activity'!$D$2:$D$101,B3,'Monthly Project Activity'!$O$2:$O$101,"FX HOLD")&gt;0,"FX HOLD - PROVISIONAL USD",IF(COUNTIFS('Monthly Project Activity'!$A$2:$A$101,A3,'Monthly Project Activity'!$D$2:$D$101,B3,'Monthly Project Activity'!$O$2:$O$101,"SOURCE REVIEW")&gt;0,"SOURCE REVIEW",IF(COUNTIFS('Monthly Project Activity'!$A$2:$A$101,A3,'Monthly Project Activity'!$D$2:$D$101,B3,'Monthly Project Activity'!$O$2:$O$101,"APPROVED")&gt;0,"FX APPROVED (METADATA)","NO FX EXCEPTION"))))</x:f>
        <x:v>FX HOLD - PROVISIONAL USD</x:v>
      </x:c>
    </x:row>
    <x:row r="4">
      <x:c r="A4" t="str">
        <x:v>2026-10</x:v>
      </x:c>
      <x:c r="B4" t="str">
        <x:v>Strategic Services</x:v>
      </x:c>
      <x:c r="C4"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Register'!$M$2:$M$501,$A4)+COUNTIFS('Invoice Register'!$L$2:$L$501,"CANCELLED",'Invoice Register'!$M$2:$M$501,$A4)=0,"INVOICE DATA REQUIRED",SUMIFS('Invoice Register'!$N$2:$N$501,'Invoice Register'!$M$2:$M$501,$A4,'Invoice Register'!$D$2:$D$501,"MX",'Invoice Register'!$E$2:$E$501,$B4)))</x:f>
        <x:v>INVOICE DATA REQUIRED</x:v>
      </x:c>
      <x:c r="D4"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Register'!$M$2:$M$501,$A4)+COUNTIFS('Invoice Register'!$L$2:$L$501,"CANCELLED",'Invoice Register'!$M$2:$M$501,$A4)=0,"INVOICE DATA REQUIRED",SUMIFS('Invoice Register'!$N$2:$N$501,'Invoice Register'!$M$2:$M$501,$A4,'Invoice Register'!$D$2:$D$501,"US",'Invoice Register'!$E$2:$E$501,$B4)))</x:f>
        <x:v>INVOICE DATA REQUIRED</x:v>
      </x:c>
      <x:c r="E4" t="str">
        <x:f>IF(AND(ISNUMBER(C4),ISNUMBER(D4)),C4+D4,"INVOICE REVIEW")</x:f>
        <x:v>INVOICE REVIEW</x:v>
      </x:c>
      <x:c r="F4" t="n">
        <x:f>SUMIFS('Monthly Project Activity'!$G$2:$G$101,'Monthly Project Activity'!$A$2:$A$101,$A4,'Monthly Project Activity'!$D$2:$D$101,$B4,'Monthly Project Activity'!$F$2:$F$101,"MX")</x:f>
        <x:v>24000</x:v>
      </x:c>
      <x:c r="G4" t="n">
        <x:f>SUMIFS('Monthly Project Activity'!$G$2:$G$101,'Monthly Project Activity'!$A$2:$A$101,$A4,'Monthly Project Activity'!$D$2:$D$101,$B4,'Monthly Project Activity'!$F$2:$F$101,"US")</x:f>
        <x:v>0</x:v>
      </x:c>
      <x:c r="H4" t="n">
        <x:f>F4+G4</x:f>
        <x:v>24000</x:v>
      </x:c>
      <x:c r="I4" s="52"/>
      <x:c r="J4" s="52"/>
      <x:c r="K4" s="52"/>
      <x:c r="L4" s="52"/>
      <x:c r="M4" s="52"/>
      <x:c r="N4" s="52"/>
      <x:c r="O4" s="25" t="str">
        <x:f>IF(A4="","",IF(COUNTIFS('Monthly Project Activity'!$A$2:$A$101,A4,'Monthly Project Activity'!$D$2:$D$101,B4,'Monthly Project Activity'!$O$2:$O$101,"FX HOLD")&gt;0,"FX HOLD - PROVISIONAL USD",IF(COUNTIFS('Monthly Project Activity'!$A$2:$A$101,A4,'Monthly Project Activity'!$D$2:$D$101,B4,'Monthly Project Activity'!$O$2:$O$101,"SOURCE REVIEW")&gt;0,"SOURCE REVIEW",IF(COUNTIFS('Monthly Project Activity'!$A$2:$A$101,A4,'Monthly Project Activity'!$D$2:$D$101,B4,'Monthly Project Activity'!$O$2:$O$101,"APPROVED")&gt;0,"FX APPROVED (METADATA)","NO FX EXCEPTION"))))</x:f>
        <x:v>NO FX EXCEPTION</x:v>
      </x:c>
    </x:row>
    <x:row r="5">
      <x:c r="A5" t="str">
        <x:v>2026-10</x:v>
      </x:c>
      <x:c r="B5" t="str">
        <x:v>Brands</x:v>
      </x:c>
      <x:c r="C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Register'!$M$2:$M$501,$A5)+COUNTIFS('Invoice Register'!$L$2:$L$501,"CANCELLED",'Invoice Register'!$M$2:$M$501,$A5)=0,"INVOICE DATA REQUIRED",SUMIFS('Invoice Register'!$N$2:$N$501,'Invoice Register'!$M$2:$M$501,$A5,'Invoice Register'!$D$2:$D$501,"MX",'Invoice Register'!$E$2:$E$501,$B5)))</x:f>
        <x:v>INVOICE DATA REQUIRED</x:v>
      </x:c>
      <x:c r="D5" t="str">
        <x:f>IF((COUNTIFS('Invoice Register'!$L$2:$L$501,"INVALID INVOICE DATE")+COUNTIFS('Invoice Register'!$L$2:$L$501,"INVOICE ID REQUIRED")+COUNTIFS('Invoice Register'!$L$2:$L$501,"PROJECT ID REQUIRED")+COUNTIFS('Invoice Register'!$L$2:$L$501,"ENTITY REQUIRED")+COUNTIFS('Invoice Register'!$L$2:$L$501,"UNIT REQUIRED")+COUNTIFS('Invoice Register'!$L$2:$L$501,"BRAND / N/A REQUIRED")+COUNTIFS('Invoice Register'!$L$2:$L$501,"CURRENCY REQUIRED")+COUNTIFS('Invoice Register'!$L$2:$L$501,"AMOUNT REQUIRED")+COUNTIFS('Invoice Register'!$L$2:$L$501,"ERP SOURCE REQUIRED")+COUNTIFS('Invoice Register'!$L$2:$L$501,"INVOICE STATUS REQUIRED")+COUNTIFS('Invoice Register'!$L$2:$L$501,"DUPLICATE INVOICE / PROJECT")+COUNTIFS('Invoice Register'!$L$2:$L$501,"FX HOLD"))&gt;0,"INVOICE REVIEW",IF(COUNTIFS('Invoice Register'!$L$2:$L$501,"VALID",'Invoice Register'!$M$2:$M$501,$A5)+COUNTIFS('Invoice Register'!$L$2:$L$501,"CANCELLED",'Invoice Register'!$M$2:$M$501,$A5)=0,"INVOICE DATA REQUIRED",SUMIFS('Invoice Register'!$N$2:$N$501,'Invoice Register'!$M$2:$M$501,$A5,'Invoice Register'!$D$2:$D$501,"US",'Invoice Register'!$E$2:$E$501,$B5)))</x:f>
        <x:v>INVOICE DATA REQUIRED</x:v>
      </x:c>
      <x:c r="E5" t="str">
        <x:f>IF(AND(ISNUMBER(C5),ISNUMBER(D5)),C5+D5,"INVOICE REVIEW")</x:f>
        <x:v>INVOICE REVIEW</x:v>
      </x:c>
      <x:c r="F5" t="n">
        <x:f>SUMIFS('Monthly Project Activity'!$G$2:$G$101,'Monthly Project Activity'!$A$2:$A$101,$A5,'Monthly Project Activity'!$D$2:$D$101,$B5,'Monthly Project Activity'!$F$2:$F$101,"MX")</x:f>
        <x:v>0</x:v>
      </x:c>
      <x:c r="G5" t="n">
        <x:f>SUMIFS('Monthly Project Activity'!$G$2:$G$101,'Monthly Project Activity'!$A$2:$A$101,$A5,'Monthly Project Activity'!$D$2:$D$101,$B5,'Monthly Project Activity'!$F$2:$F$101,"US")</x:f>
        <x:v>0</x:v>
      </x:c>
      <x:c r="H5" t="n">
        <x:f>F5+G5</x:f>
        <x:v>0</x:v>
      </x:c>
      <x:c r="I5" s="52"/>
      <x:c r="J5" s="52"/>
      <x:c r="K5" s="52"/>
      <x:c r="L5" s="52"/>
      <x:c r="M5" s="52"/>
      <x:c r="N5" s="52"/>
      <x:c r="O5" s="25" t="str">
        <x:f>IF(A5="","",IF(COUNTIFS('Monthly Project Activity'!$A$2:$A$101,A5,'Monthly Project Activity'!$D$2:$D$101,B5,'Monthly Project Activity'!$O$2:$O$101,"FX HOLD")&gt;0,"FX HOLD - PROVISIONAL USD",IF(COUNTIFS('Monthly Project Activity'!$A$2:$A$101,A5,'Monthly Project Activity'!$D$2:$D$101,B5,'Monthly Project Activity'!$O$2:$O$101,"SOURCE REVIEW")&gt;0,"SOURCE REVIEW",IF(COUNTIFS('Monthly Project Activity'!$A$2:$A$101,A5,'Monthly Project Activity'!$D$2:$D$101,B5,'Monthly Project Activity'!$O$2:$O$101,"APPROVED")&gt;0,"FX APPROVED (METADATA)","NO FX EXCEPTION"))))</x:f>
        <x:v>FX HOLD - PROVISIONAL USD</x:v>
      </x:c>
    </x:row>
    <x:row r="6">
      <x:c r="O6" s="25" t="str">
        <x:f>IF(A6="","",IF(COUNTIFS('Monthly Project Activity'!$A$2:$A$101,A6,'Monthly Project Activity'!$D$2:$D$101,B6,'Monthly Project Activity'!$O$2:$O$101,"FX HOLD")&gt;0,"FX HOLD - PROVISIONAL USD",IF(COUNTIFS('Monthly Project Activity'!$A$2:$A$101,A6,'Monthly Project Activity'!$D$2:$D$101,B6,'Monthly Project Activity'!$O$2:$O$101,"SOURCE REVIEW")&gt;0,"SOURCE REVIEW",IF(COUNTIFS('Monthly Project Activity'!$A$2:$A$101,A6,'Monthly Project Activity'!$D$2:$D$101,B6,'Monthly Project Activity'!$O$2:$O$101,"APPROVED")&gt;0,"FX APPROVED (METADATA)","NO FX EXCEPTION"))))</x:f>
      </x:c>
    </x:row>
    <x:row r="7">
      <x:c r="O7" s="25" t="str">
        <x:f>IF(A7="","",IF(COUNTIFS('Monthly Project Activity'!$A$2:$A$101,A7,'Monthly Project Activity'!$D$2:$D$101,B7,'Monthly Project Activity'!$O$2:$O$101,"FX HOLD")&gt;0,"FX HOLD - PROVISIONAL USD",IF(COUNTIFS('Monthly Project Activity'!$A$2:$A$101,A7,'Monthly Project Activity'!$D$2:$D$101,B7,'Monthly Project Activity'!$O$2:$O$101,"SOURCE REVIEW")&gt;0,"SOURCE REVIEW",IF(COUNTIFS('Monthly Project Activity'!$A$2:$A$101,A7,'Monthly Project Activity'!$D$2:$D$101,B7,'Monthly Project Activity'!$O$2:$O$101,"APPROVED")&gt;0,"FX APPROVED (METADATA)","NO FX EXCEPTION"))))</x:f>
      </x:c>
    </x:row>
    <x:row r="8">
      <x:c r="O8" s="25" t="str">
        <x:f>IF(A8="","",IF(COUNTIFS('Monthly Project Activity'!$A$2:$A$101,A8,'Monthly Project Activity'!$D$2:$D$101,B8,'Monthly Project Activity'!$O$2:$O$101,"FX HOLD")&gt;0,"FX HOLD - PROVISIONAL USD",IF(COUNTIFS('Monthly Project Activity'!$A$2:$A$101,A8,'Monthly Project Activity'!$D$2:$D$101,B8,'Monthly Project Activity'!$O$2:$O$101,"SOURCE REVIEW")&gt;0,"SOURCE REVIEW",IF(COUNTIFS('Monthly Project Activity'!$A$2:$A$101,A8,'Monthly Project Activity'!$D$2:$D$101,B8,'Monthly Project Activity'!$O$2:$O$101,"APPROVED")&gt;0,"FX APPROVED (METADATA)","NO FX EXCEPTION"))))</x:f>
      </x:c>
    </x:row>
    <x:row r="9">
      <x:c r="O9" s="25" t="str">
        <x:f>IF(A9="","",IF(COUNTIFS('Monthly Project Activity'!$A$2:$A$101,A9,'Monthly Project Activity'!$D$2:$D$101,B9,'Monthly Project Activity'!$O$2:$O$101,"FX HOLD")&gt;0,"FX HOLD - PROVISIONAL USD",IF(COUNTIFS('Monthly Project Activity'!$A$2:$A$101,A9,'Monthly Project Activity'!$D$2:$D$101,B9,'Monthly Project Activity'!$O$2:$O$101,"SOURCE REVIEW")&gt;0,"SOURCE REVIEW",IF(COUNTIFS('Monthly Project Activity'!$A$2:$A$101,A9,'Monthly Project Activity'!$D$2:$D$101,B9,'Monthly Project Activity'!$O$2:$O$101,"APPROVED")&gt;0,"FX APPROVED (METADATA)","NO FX EXCEPTION"))))</x:f>
      </x:c>
    </x:row>
    <x:row r="10">
      <x:c r="O10" s="25" t="str">
        <x:f>IF(A10="","",IF(COUNTIFS('Monthly Project Activity'!$A$2:$A$101,A10,'Monthly Project Activity'!$D$2:$D$101,B10,'Monthly Project Activity'!$O$2:$O$101,"FX HOLD")&gt;0,"FX HOLD - PROVISIONAL USD",IF(COUNTIFS('Monthly Project Activity'!$A$2:$A$101,A10,'Monthly Project Activity'!$D$2:$D$101,B10,'Monthly Project Activity'!$O$2:$O$101,"SOURCE REVIEW")&gt;0,"SOURCE REVIEW",IF(COUNTIFS('Monthly Project Activity'!$A$2:$A$101,A10,'Monthly Project Activity'!$D$2:$D$101,B10,'Monthly Project Activity'!$O$2:$O$101,"APPROVED")&gt;0,"FX APPROVED (METADATA)","NO FX EXCEPTION"))))</x:f>
      </x:c>
    </x:row>
    <x:row r="11">
      <x:c r="O11" s="25" t="str">
        <x:f>IF(A11="","",IF(COUNTIFS('Monthly Project Activity'!$A$2:$A$101,A11,'Monthly Project Activity'!$D$2:$D$101,B11,'Monthly Project Activity'!$O$2:$O$101,"FX HOLD")&gt;0,"FX HOLD - PROVISIONAL USD",IF(COUNTIFS('Monthly Project Activity'!$A$2:$A$101,A11,'Monthly Project Activity'!$D$2:$D$101,B11,'Monthly Project Activity'!$O$2:$O$101,"SOURCE REVIEW")&gt;0,"SOURCE REVIEW",IF(COUNTIFS('Monthly Project Activity'!$A$2:$A$101,A11,'Monthly Project Activity'!$D$2:$D$101,B11,'Monthly Project Activity'!$O$2:$O$101,"APPROVED")&gt;0,"FX APPROVED (METADATA)","NO FX EXCEPTION"))))</x:f>
      </x:c>
    </x:row>
    <x:row r="12">
      <x:c r="O12" s="25" t="str">
        <x:f>IF(A12="","",IF(COUNTIFS('Monthly Project Activity'!$A$2:$A$101,A12,'Monthly Project Activity'!$D$2:$D$101,B12,'Monthly Project Activity'!$O$2:$O$101,"FX HOLD")&gt;0,"FX HOLD - PROVISIONAL USD",IF(COUNTIFS('Monthly Project Activity'!$A$2:$A$101,A12,'Monthly Project Activity'!$D$2:$D$101,B12,'Monthly Project Activity'!$O$2:$O$101,"SOURCE REVIEW")&gt;0,"SOURCE REVIEW",IF(COUNTIFS('Monthly Project Activity'!$A$2:$A$101,A12,'Monthly Project Activity'!$D$2:$D$101,B12,'Monthly Project Activity'!$O$2:$O$101,"APPROVED")&gt;0,"FX APPROVED (METADATA)","NO FX EXCEPTION"))))</x:f>
      </x:c>
    </x:row>
    <x:row r="13">
      <x:c r="O13" s="25" t="str">
        <x:f>IF(A13="","",IF(COUNTIFS('Monthly Project Activity'!$A$2:$A$101,A13,'Monthly Project Activity'!$D$2:$D$101,B13,'Monthly Project Activity'!$O$2:$O$101,"FX HOLD")&gt;0,"FX HOLD - PROVISIONAL USD",IF(COUNTIFS('Monthly Project Activity'!$A$2:$A$101,A13,'Monthly Project Activity'!$D$2:$D$101,B13,'Monthly Project Activity'!$O$2:$O$101,"SOURCE REVIEW")&gt;0,"SOURCE REVIEW",IF(COUNTIFS('Monthly Project Activity'!$A$2:$A$101,A13,'Monthly Project Activity'!$D$2:$D$101,B13,'Monthly Project Activity'!$O$2:$O$101,"APPROVED")&gt;0,"FX APPROVED (METADATA)","NO FX EXCEPTION"))))</x:f>
      </x:c>
    </x:row>
    <x:row r="14">
      <x:c r="O14" s="25" t="str">
        <x:f>IF(A14="","",IF(COUNTIFS('Monthly Project Activity'!$A$2:$A$101,A14,'Monthly Project Activity'!$D$2:$D$101,B14,'Monthly Project Activity'!$O$2:$O$101,"FX HOLD")&gt;0,"FX HOLD - PROVISIONAL USD",IF(COUNTIFS('Monthly Project Activity'!$A$2:$A$101,A14,'Monthly Project Activity'!$D$2:$D$101,B14,'Monthly Project Activity'!$O$2:$O$101,"SOURCE REVIEW")&gt;0,"SOURCE REVIEW",IF(COUNTIFS('Monthly Project Activity'!$A$2:$A$101,A14,'Monthly Project Activity'!$D$2:$D$101,B14,'Monthly Project Activity'!$O$2:$O$101,"APPROVED")&gt;0,"FX APPROVED (METADATA)","NO FX EXCEPTION"))))</x:f>
      </x:c>
    </x:row>
    <x:row r="15">
      <x:c r="O15" s="25" t="str">
        <x:f>IF(A15="","",IF(COUNTIFS('Monthly Project Activity'!$A$2:$A$101,A15,'Monthly Project Activity'!$D$2:$D$101,B15,'Monthly Project Activity'!$O$2:$O$101,"FX HOLD")&gt;0,"FX HOLD - PROVISIONAL USD",IF(COUNTIFS('Monthly Project Activity'!$A$2:$A$101,A15,'Monthly Project Activity'!$D$2:$D$101,B15,'Monthly Project Activity'!$O$2:$O$101,"SOURCE REVIEW")&gt;0,"SOURCE REVIEW",IF(COUNTIFS('Monthly Project Activity'!$A$2:$A$101,A15,'Monthly Project Activity'!$D$2:$D$101,B15,'Monthly Project Activity'!$O$2:$O$101,"APPROVED")&gt;0,"FX APPROVED (METADATA)","NO FX EXCEPTION"))))</x:f>
      </x:c>
    </x:row>
    <x:row r="16">
      <x:c r="O16" s="25" t="str">
        <x:f>IF(A16="","",IF(COUNTIFS('Monthly Project Activity'!$A$2:$A$101,A16,'Monthly Project Activity'!$D$2:$D$101,B16,'Monthly Project Activity'!$O$2:$O$101,"FX HOLD")&gt;0,"FX HOLD - PROVISIONAL USD",IF(COUNTIFS('Monthly Project Activity'!$A$2:$A$101,A16,'Monthly Project Activity'!$D$2:$D$101,B16,'Monthly Project Activity'!$O$2:$O$101,"SOURCE REVIEW")&gt;0,"SOURCE REVIEW",IF(COUNTIFS('Monthly Project Activity'!$A$2:$A$101,A16,'Monthly Project Activity'!$D$2:$D$101,B16,'Monthly Project Activity'!$O$2:$O$101,"APPROVED")&gt;0,"FX APPROVED (METADATA)","NO FX EXCEPTION"))))</x:f>
      </x:c>
    </x:row>
    <x:row r="17">
      <x:c r="O17" s="25" t="str">
        <x:f>IF(A17="","",IF(COUNTIFS('Monthly Project Activity'!$A$2:$A$101,A17,'Monthly Project Activity'!$D$2:$D$101,B17,'Monthly Project Activity'!$O$2:$O$101,"FX HOLD")&gt;0,"FX HOLD - PROVISIONAL USD",IF(COUNTIFS('Monthly Project Activity'!$A$2:$A$101,A17,'Monthly Project Activity'!$D$2:$D$101,B17,'Monthly Project Activity'!$O$2:$O$101,"SOURCE REVIEW")&gt;0,"SOURCE REVIEW",IF(COUNTIFS('Monthly Project Activity'!$A$2:$A$101,A17,'Monthly Project Activity'!$D$2:$D$101,B17,'Monthly Project Activity'!$O$2:$O$101,"APPROVED")&gt;0,"FX APPROVED (METADATA)","NO FX EXCEPTION"))))</x:f>
      </x:c>
    </x:row>
    <x:row r="18">
      <x:c r="O18" s="25" t="str">
        <x:f>IF(A18="","",IF(COUNTIFS('Monthly Project Activity'!$A$2:$A$101,A18,'Monthly Project Activity'!$D$2:$D$101,B18,'Monthly Project Activity'!$O$2:$O$101,"FX HOLD")&gt;0,"FX HOLD - PROVISIONAL USD",IF(COUNTIFS('Monthly Project Activity'!$A$2:$A$101,A18,'Monthly Project Activity'!$D$2:$D$101,B18,'Monthly Project Activity'!$O$2:$O$101,"SOURCE REVIEW")&gt;0,"SOURCE REVIEW",IF(COUNTIFS('Monthly Project Activity'!$A$2:$A$101,A18,'Monthly Project Activity'!$D$2:$D$101,B18,'Monthly Project Activity'!$O$2:$O$101,"APPROVED")&gt;0,"FX APPROVED (METADATA)","NO FX EXCEPTION"))))</x:f>
      </x:c>
    </x:row>
    <x:row r="19">
      <x:c r="O19" s="25" t="str">
        <x:f>IF(A19="","",IF(COUNTIFS('Monthly Project Activity'!$A$2:$A$101,A19,'Monthly Project Activity'!$D$2:$D$101,B19,'Monthly Project Activity'!$O$2:$O$101,"FX HOLD")&gt;0,"FX HOLD - PROVISIONAL USD",IF(COUNTIFS('Monthly Project Activity'!$A$2:$A$101,A19,'Monthly Project Activity'!$D$2:$D$101,B19,'Monthly Project Activity'!$O$2:$O$101,"SOURCE REVIEW")&gt;0,"SOURCE REVIEW",IF(COUNTIFS('Monthly Project Activity'!$A$2:$A$101,A19,'Monthly Project Activity'!$D$2:$D$101,B19,'Monthly Project Activity'!$O$2:$O$101,"APPROVED")&gt;0,"FX APPROVED (METADATA)","NO FX EXCEPTION"))))</x:f>
      </x:c>
    </x:row>
    <x:row r="20">
      <x:c r="O20" s="25" t="str">
        <x:f>IF(A20="","",IF(COUNTIFS('Monthly Project Activity'!$A$2:$A$101,A20,'Monthly Project Activity'!$D$2:$D$101,B20,'Monthly Project Activity'!$O$2:$O$101,"FX HOLD")&gt;0,"FX HOLD - PROVISIONAL USD",IF(COUNTIFS('Monthly Project Activity'!$A$2:$A$101,A20,'Monthly Project Activity'!$D$2:$D$101,B20,'Monthly Project Activity'!$O$2:$O$101,"SOURCE REVIEW")&gt;0,"SOURCE REVIEW",IF(COUNTIFS('Monthly Project Activity'!$A$2:$A$101,A20,'Monthly Project Activity'!$D$2:$D$101,B20,'Monthly Project Activity'!$O$2:$O$101,"APPROVED")&gt;0,"FX APPROVED (METADATA)","NO FX EXCEPTION"))))</x:f>
      </x:c>
    </x:row>
    <x:row r="21">
      <x:c r="O21" s="25" t="str">
        <x:f>IF(A21="","",IF(COUNTIFS('Monthly Project Activity'!$A$2:$A$101,A21,'Monthly Project Activity'!$D$2:$D$101,B21,'Monthly Project Activity'!$O$2:$O$101,"FX HOLD")&gt;0,"FX HOLD - PROVISIONAL USD",IF(COUNTIFS('Monthly Project Activity'!$A$2:$A$101,A21,'Monthly Project Activity'!$D$2:$D$101,B21,'Monthly Project Activity'!$O$2:$O$101,"SOURCE REVIEW")&gt;0,"SOURCE REVIEW",IF(COUNTIFS('Monthly Project Activity'!$A$2:$A$101,A21,'Monthly Project Activity'!$D$2:$D$101,B21,'Monthly Project Activity'!$O$2:$O$101,"APPROVED")&gt;0,"FX APPROVED (METADATA)","NO FX EXCEPTION"))))</x:f>
      </x:c>
    </x:row>
    <x:row r="22">
      <x:c r="O22" s="25" t="str">
        <x:f>IF(A22="","",IF(COUNTIFS('Monthly Project Activity'!$A$2:$A$101,A22,'Monthly Project Activity'!$D$2:$D$101,B22,'Monthly Project Activity'!$O$2:$O$101,"FX HOLD")&gt;0,"FX HOLD - PROVISIONAL USD",IF(COUNTIFS('Monthly Project Activity'!$A$2:$A$101,A22,'Monthly Project Activity'!$D$2:$D$101,B22,'Monthly Project Activity'!$O$2:$O$101,"SOURCE REVIEW")&gt;0,"SOURCE REVIEW",IF(COUNTIFS('Monthly Project Activity'!$A$2:$A$101,A22,'Monthly Project Activity'!$D$2:$D$101,B22,'Monthly Project Activity'!$O$2:$O$101,"APPROVED")&gt;0,"FX APPROVED (METADATA)","NO FX EXCEPTION"))))</x:f>
      </x:c>
    </x:row>
    <x:row r="23">
      <x:c r="O23" s="25" t="str">
        <x:f>IF(A23="","",IF(COUNTIFS('Monthly Project Activity'!$A$2:$A$101,A23,'Monthly Project Activity'!$D$2:$D$101,B23,'Monthly Project Activity'!$O$2:$O$101,"FX HOLD")&gt;0,"FX HOLD - PROVISIONAL USD",IF(COUNTIFS('Monthly Project Activity'!$A$2:$A$101,A23,'Monthly Project Activity'!$D$2:$D$101,B23,'Monthly Project Activity'!$O$2:$O$101,"SOURCE REVIEW")&gt;0,"SOURCE REVIEW",IF(COUNTIFS('Monthly Project Activity'!$A$2:$A$101,A23,'Monthly Project Activity'!$D$2:$D$101,B23,'Monthly Project Activity'!$O$2:$O$101,"APPROVED")&gt;0,"FX APPROVED (METADATA)","NO FX EXCEPTION"))))</x:f>
      </x:c>
    </x:row>
    <x:row r="24">
      <x:c r="O24" s="25" t="str">
        <x:f>IF(A24="","",IF(COUNTIFS('Monthly Project Activity'!$A$2:$A$101,A24,'Monthly Project Activity'!$D$2:$D$101,B24,'Monthly Project Activity'!$O$2:$O$101,"FX HOLD")&gt;0,"FX HOLD - PROVISIONAL USD",IF(COUNTIFS('Monthly Project Activity'!$A$2:$A$101,A24,'Monthly Project Activity'!$D$2:$D$101,B24,'Monthly Project Activity'!$O$2:$O$101,"SOURCE REVIEW")&gt;0,"SOURCE REVIEW",IF(COUNTIFS('Monthly Project Activity'!$A$2:$A$101,A24,'Monthly Project Activity'!$D$2:$D$101,B24,'Monthly Project Activity'!$O$2:$O$101,"APPROVED")&gt;0,"FX APPROVED (METADATA)","NO FX EXCEPTION"))))</x:f>
      </x:c>
    </x:row>
    <x:row r="25">
      <x:c r="O25" s="25" t="str">
        <x:f>IF(A25="","",IF(COUNTIFS('Monthly Project Activity'!$A$2:$A$101,A25,'Monthly Project Activity'!$D$2:$D$101,B25,'Monthly Project Activity'!$O$2:$O$101,"FX HOLD")&gt;0,"FX HOLD - PROVISIONAL USD",IF(COUNTIFS('Monthly Project Activity'!$A$2:$A$101,A25,'Monthly Project Activity'!$D$2:$D$101,B25,'Monthly Project Activity'!$O$2:$O$101,"SOURCE REVIEW")&gt;0,"SOURCE REVIEW",IF(COUNTIFS('Monthly Project Activity'!$A$2:$A$101,A25,'Monthly Project Activity'!$D$2:$D$101,B25,'Monthly Project Activity'!$O$2:$O$101,"APPROVED")&gt;0,"FX APPROVED (METADATA)","NO FX EXCEPTION"))))</x:f>
      </x:c>
    </x:row>
    <x:row r="26">
      <x:c r="O26" s="25" t="str">
        <x:f>IF(A26="","",IF(COUNTIFS('Monthly Project Activity'!$A$2:$A$101,A26,'Monthly Project Activity'!$D$2:$D$101,B26,'Monthly Project Activity'!$O$2:$O$101,"FX HOLD")&gt;0,"FX HOLD - PROVISIONAL USD",IF(COUNTIFS('Monthly Project Activity'!$A$2:$A$101,A26,'Monthly Project Activity'!$D$2:$D$101,B26,'Monthly Project Activity'!$O$2:$O$101,"SOURCE REVIEW")&gt;0,"SOURCE REVIEW",IF(COUNTIFS('Monthly Project Activity'!$A$2:$A$101,A26,'Monthly Project Activity'!$D$2:$D$101,B26,'Monthly Project Activity'!$O$2:$O$101,"APPROVED")&gt;0,"FX APPROVED (METADATA)","NO FX EXCEPTION"))))</x:f>
      </x:c>
    </x:row>
    <x:row r="27">
      <x:c r="O27" s="25" t="str">
        <x:f>IF(A27="","",IF(COUNTIFS('Monthly Project Activity'!$A$2:$A$101,A27,'Monthly Project Activity'!$D$2:$D$101,B27,'Monthly Project Activity'!$O$2:$O$101,"FX HOLD")&gt;0,"FX HOLD - PROVISIONAL USD",IF(COUNTIFS('Monthly Project Activity'!$A$2:$A$101,A27,'Monthly Project Activity'!$D$2:$D$101,B27,'Monthly Project Activity'!$O$2:$O$101,"SOURCE REVIEW")&gt;0,"SOURCE REVIEW",IF(COUNTIFS('Monthly Project Activity'!$A$2:$A$101,A27,'Monthly Project Activity'!$D$2:$D$101,B27,'Monthly Project Activity'!$O$2:$O$101,"APPROVED")&gt;0,"FX APPROVED (METADATA)","NO FX EXCEPTION"))))</x:f>
      </x:c>
    </x:row>
    <x:row r="28">
      <x:c r="O28" s="25" t="str">
        <x:f>IF(A28="","",IF(COUNTIFS('Monthly Project Activity'!$A$2:$A$101,A28,'Monthly Project Activity'!$D$2:$D$101,B28,'Monthly Project Activity'!$O$2:$O$101,"FX HOLD")&gt;0,"FX HOLD - PROVISIONAL USD",IF(COUNTIFS('Monthly Project Activity'!$A$2:$A$101,A28,'Monthly Project Activity'!$D$2:$D$101,B28,'Monthly Project Activity'!$O$2:$O$101,"SOURCE REVIEW")&gt;0,"SOURCE REVIEW",IF(COUNTIFS('Monthly Project Activity'!$A$2:$A$101,A28,'Monthly Project Activity'!$D$2:$D$101,B28,'Monthly Project Activity'!$O$2:$O$101,"APPROVED")&gt;0,"FX APPROVED (METADATA)","NO FX EXCEPTION"))))</x:f>
      </x:c>
    </x:row>
    <x:row r="29">
      <x:c r="O29" s="25" t="str">
        <x:f>IF(A29="","",IF(COUNTIFS('Monthly Project Activity'!$A$2:$A$101,A29,'Monthly Project Activity'!$D$2:$D$101,B29,'Monthly Project Activity'!$O$2:$O$101,"FX HOLD")&gt;0,"FX HOLD - PROVISIONAL USD",IF(COUNTIFS('Monthly Project Activity'!$A$2:$A$101,A29,'Monthly Project Activity'!$D$2:$D$101,B29,'Monthly Project Activity'!$O$2:$O$101,"SOURCE REVIEW")&gt;0,"SOURCE REVIEW",IF(COUNTIFS('Monthly Project Activity'!$A$2:$A$101,A29,'Monthly Project Activity'!$D$2:$D$101,B29,'Monthly Project Activity'!$O$2:$O$101,"APPROVED")&gt;0,"FX APPROVED (METADATA)","NO FX EXCEPTION"))))</x:f>
      </x:c>
    </x:row>
    <x:row r="30">
      <x:c r="O30" s="25" t="str">
        <x:f>IF(A30="","",IF(COUNTIFS('Monthly Project Activity'!$A$2:$A$101,A30,'Monthly Project Activity'!$D$2:$D$101,B30,'Monthly Project Activity'!$O$2:$O$101,"FX HOLD")&gt;0,"FX HOLD - PROVISIONAL USD",IF(COUNTIFS('Monthly Project Activity'!$A$2:$A$101,A30,'Monthly Project Activity'!$D$2:$D$101,B30,'Monthly Project Activity'!$O$2:$O$101,"SOURCE REVIEW")&gt;0,"SOURCE REVIEW",IF(COUNTIFS('Monthly Project Activity'!$A$2:$A$101,A30,'Monthly Project Activity'!$D$2:$D$101,B30,'Monthly Project Activity'!$O$2:$O$101,"APPROVED")&gt;0,"FX APPROVED (METADATA)","NO FX EXCEPTION"))))</x:f>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78" hidden="0" customWidth="1"/>
    <x:col min="3" max="3" width="83" hidden="0" customWidth="1"/>
  </x:cols>
  <x:sheetData>
    <x:row r="1" ht="15" hidden="0" customHeight="1">
      <x:c r="A1" s="4" t="str">
        <x:v>Area</x:v>
      </x:c>
      <x:c r="B1" s="4" t="str">
        <x:v>Definition</x:v>
      </x:c>
      <x:c r="C1" s="4" t="str">
        <x:v>Control / caveat</x:v>
      </x:c>
    </x:row>
    <x:row r="2" ht="15" hidden="0" customHeight="1">
      <x:c r="A2" s="25" t="str">
        <x:v>Management Report</x:v>
      </x:c>
      <x:c r="B2" s="25" t="str">
        <x:v>Selected-month operational/commercial performance from ERP data.</x:v>
      </x:c>
      <x:c r="C2" s="25" t="str">
        <x:v>All figures simulated; USD normalization assumed</x:v>
      </x:c>
    </x:row>
    <x:row r="3" ht="15" hidden="0" customHeight="1">
      <x:c r="A3" s="25" t="str">
        <x:v>Monthly Trend</x:v>
      </x:c>
      <x:c r="B3" s="25" t="str">
        <x:v>Calendar-year monthly history; invoice period derives from Invoice date.</x:v>
      </x:c>
      <x:c r="C3" s="25" t="str">
        <x:v>Do not infer invoice dates from manually assigned legacy months.</x:v>
      </x:c>
    </x:row>
    <x:row r="4" ht="15" hidden="0" customHeight="1">
      <x:c r="A4" s="25" t="str">
        <x:v>BU Entity Matrix</x:v>
      </x:c>
      <x:c r="B4" s="25" t="str">
        <x:v>Business unit/entity grouping of authorized sale and dated invoices.</x:v>
      </x:c>
      <x:c r="C4" s="25" t="str">
        <x:v>MX + US equals each business-unit total</x:v>
      </x:c>
    </x:row>
    <x:row r="5" ht="15" hidden="0" customHeight="1">
      <x:c r="A5" s="25" t="str">
        <x:v>Monthly Project Activity</x:v>
      </x:c>
      <x:c r="B5" s="25" t="str">
        <x:v>One row per ERP Project ID per month</x:v>
      </x:c>
      <x:c r="C5" s="25" t="str">
        <x:v>Do not duplicate records or count project IDs twice</x:v>
      </x:c>
    </x:row>
    <x:row r="6" ht="15" hidden="0" customHeight="1">
      <x:c r="A6" s="25" t="str">
        <x:v>Customer PO intake</x:v>
      </x:c>
      <x:c r="B6" s="25" t="str">
        <x:v>New authorized customer PO amounts + approved net revisions in month</x:v>
      </x:c>
      <x:c r="C6" s="25" t="str">
        <x:v>Consolidated customer PO must not duplicate order intake across quotes</x:v>
      </x:c>
    </x:row>
    <x:row r="7" ht="15" hidden="0" customHeight="1">
      <x:c r="A7" s="25" t="str">
        <x:v>Invoiced amount</x:v>
      </x:c>
      <x:c r="B7" s="25" t="str">
        <x:v>Issued invoices assigned to selling entity</x:v>
      </x:c>
      <x:c r="C7" s="25" t="str">
        <x:v>Not equivalent to recognized accounting revenue</x:v>
      </x:c>
    </x:row>
    <x:row r="8" ht="15" hidden="0" customHeight="1">
      <x:c r="A8" s="25" t="str">
        <x:v>Supplier PO authorized value</x:v>
      </x:c>
      <x:c r="B8" s="25" t="str">
        <x:v>Current authorized supplier PO totals issued in ERP; net approved amendments/cancellations.</x:v>
      </x:c>
      <x:c r="C8" s="25" t="str">
        <x:v>Includes completed PO values. No receipt, liability or payment inference.</x:v>
      </x:c>
    </x:row>
    <x:row r="9" ht="15" hidden="0" customHeight="1">
      <x:c r="A9" s="25" t="str">
        <x:v>Payments removed</x:v>
      </x:c>
      <x:c r="B9" s="25" t="str">
        <x:v>Legacy paid/open investment inputs retained only as archived data.</x:v>
      </x:c>
      <x:c r="C9" s="25" t="str">
        <x:v>Excluded from current operational reports.</x:v>
      </x:c>
    </x:row>
    <x:row r="10" ht="15" hidden="0" customHeight="1">
      <x:c r="A10" s="25" t="str">
        <x:v>ERP recognized cost</x:v>
      </x:c>
      <x:c r="B10" s="25" t="str">
        <x:v>Costs ERP has recognized in reporting period</x:v>
      </x:c>
      <x:c r="C10" s="25" t="str">
        <x:v>ERP-sourced information kept separate from authorized PO totals.</x:v>
      </x:c>
    </x:row>
    <x:row r="11" ht="15" hidden="0" customHeight="1">
      <x:c r="A11" s="25" t="str">
        <x:v>Intercompany</x:v>
      </x:c>
      <x:c r="B11" s="25" t="str">
        <x:v>For MX sales, US supplier entity invoices MX; MX project uses MX-side ERP purchase/cost</x:v>
      </x:c>
      <x:c r="C11" s="25" t="str">
        <x:v>Do not double count US original third-party acquisition</x:v>
      </x:c>
    </x:row>
    <x:row r="12" ht="15" hidden="0" customHeight="1">
      <x:c r="A12" s="25" t="str">
        <x:v>Brand control</x:v>
      </x:c>
      <x:c r="B12" s="25" t="str">
        <x:v>One brand per quotation; map brand to awarded ERP project</x:v>
      </x:c>
      <x:c r="C12" s="25" t="str">
        <x:v>Customer can issue consolidated PO: use cross-reference without duplication</x:v>
      </x:c>
    </x:row>
    <x:row r="13" ht="26.399999618530273" hidden="0" customHeight="1">
      <x:c r="A13" s="25" t="str">
        <x:v>Budget control</x:v>
      </x:c>
      <x:c r="B13" s="25" t="str">
        <x:v>Total authorized operating budget versus supplier PO authorized value.</x:v>
      </x:c>
      <x:c r="C13" s="25" t="str">
        <x:v>Same eligible cost perimeter required. The PO-only residual must not be represented as complete available budget where other project costs are outside that coverage.</x:v>
      </x:c>
    </x:row>
    <x:row r="14" ht="15" hidden="0" customHeight="1">
      <x:c r="A14" s="25" t="str">
        <x:v>FX conversion</x:v>
      </x:c>
      <x:c r="B14" s="25" t="str">
        <x:v>ERP/Finance-approved FX mapping to USD</x:v>
      </x:c>
      <x:c r="C14" s="25" t="str">
        <x:v>Not yet specified; simulated USD values only</x:v>
      </x:c>
    </x:row>
    <x:row r="15" ht="15" hidden="0" customHeight="1">
      <x:c r="A15" s="25" t="str">
        <x:v>Close approval</x:v>
      </x:c>
      <x:c r="B15" s="25" t="str">
        <x:v>Internal management review, not accounting signoff</x:v>
      </x:c>
      <x:c r="C15" s="25" t="str">
        <x:v>No actual ERP validation or close-lock workflow implemented</x:v>
      </x:c>
    </x:row>
    <x:row r="16" ht="15" hidden="0" customHeight="1">
      <x:c r="A16" s="25" t="str">
        <x:v>Scope</x:v>
      </x:c>
      <x:c r="B16" s="25" t="str">
        <x:v>Only Strategic Services and Brands managed by portfolio owner</x:v>
      </x:c>
      <x:c r="C16" s="25" t="str">
        <x:v>Automation and Machining excluded from attributable results</x:v>
      </x:c>
    </x:row>
    <x:row r="17" ht="15" hidden="0" customHeight="1">
      <x:c r="A17" s="25"/>
      <x:c r="B17" s="25"/>
      <x:c r="C17" s="25"/>
    </x:row>
    <x:row r="18" ht="15" hidden="0" customHeight="1">
      <x:c r="A18" s="25"/>
      <x:c r="B18" s="25"/>
      <x:c r="C18" s="25"/>
    </x:row>
    <x:row r="19" ht="15" hidden="0" customHeight="1">
      <x:c r="A19" s="25"/>
      <x:c r="B19" s="25"/>
      <x:c r="C19" s="25"/>
    </x:row>
    <x:row r="20" ht="15" hidden="0" customHeight="1">
      <x:c r="A20" s="25"/>
      <x:c r="B20" s="25"/>
      <x:c r="C20" s="25"/>
    </x:row>
    <x:row r="21" ht="15" hidden="0" customHeight="1">
      <x:c r="A21" s="25"/>
      <x:c r="B21" s="25"/>
      <x:c r="C21" s="25"/>
    </x:row>
    <x:row r="22" ht="15" hidden="0" customHeight="1">
      <x:c r="A22" s="25"/>
      <x:c r="B22" s="25"/>
      <x:c r="C22" s="25"/>
    </x:row>
    <x:row r="23" ht="15" hidden="0" customHeight="1">
      <x:c r="A23" s="25"/>
      <x:c r="B23" s="25"/>
      <x:c r="C23" s="25"/>
    </x:row>
    <x:row r="24" ht="26.399999618530273" hidden="0" customHeight="1">
      <x:c r="A24" s="25" t="str">
        <x:v>Scope boundary</x:v>
      </x:c>
      <x:c r="B24" s="25" t="str">
        <x:v>Pre-award quotation, markup, negotiated pricing and quotation margins belong to Sales; exclude from BUD KPI model.</x:v>
      </x:c>
      <x:c r="C24" s="25"/>
    </x:row>
    <x:row r="25" ht="15" hidden="0" customHeight="1">
      <x:c r="A25" s="25" t="str">
        <x:v>Authorized commercial value</x:v>
      </x:c>
      <x:c r="B25" s="25" t="str">
        <x:v>Customer PO plus approved revisions; track separately from invoicing.</x:v>
      </x:c>
      <x:c r="C25" s="25"/>
    </x:row>
    <x:row r="26" ht="15" hidden="0" customHeight="1">
      <x:c r="A26" s="25" t="str">
        <x:v>Operational scope</x:v>
      </x:c>
      <x:c r="B26" s="25" t="str">
        <x:v>No summation of recognized costs and PO totals; no paid/open investment reporting.</x:v>
      </x:c>
      <x:c r="C26" s="25"/>
    </x:row>
    <x:row r="27" ht="52.79999923706055" hidden="0" customHeight="1">
      <x:c r="A27" s="25" t="str">
        <x:v>Conditional scope acceptance</x:v>
      </x:c>
      <x:c r="B27" s="25" t="str">
        <x:v>Goods-sale scenario and internal mandatory-project-PO policy are owner-reported assumptions, not a universal rule or verified ERP configuration. Budget and supplier POs must have the same eligible cost perimeter, currency and tax basis. The residual is available for new commitments only within that perimeter; it is not actual cost or realized profit. A cost without a PO is not automatically a financial/general expense.</x:v>
      </x:c>
      <x:c r="C27" s="25" t="str">
        <x:v>No expansion to receipts, accounts payable, cash flow, engineering-hours services, real ERP reconciliation or completed profitability analysis.</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27" hidden="0" customWidth="1"/>
    <x:col min="3" max="3" width="25" hidden="0" customWidth="1"/>
    <x:col min="4" max="4" width="21" hidden="0" customWidth="1"/>
    <x:col min="5" max="5" width="25" hidden="0" customWidth="1"/>
    <x:col min="6" max="6" width="27" hidden="0" customWidth="1"/>
    <x:col min="7" max="7" width="24" hidden="0" customWidth="1"/>
    <x:col min="8" max="8" width="33" hidden="0" customWidth="1"/>
    <x:col min="9" max="9" width="14" hidden="0" customWidth="1"/>
    <x:col min="10" max="10" width="56" hidden="0" customWidth="1"/>
  </x:cols>
  <x:sheetData>
    <x:row r="1" ht="32" customHeight="1">
      <x:c r="A1" s="24" t="str">
        <x:v>Project ID</x:v>
      </x:c>
      <x:c r="B1" s="24" t="str">
        <x:v>Baseline PO amount original currency</x:v>
      </x:c>
      <x:c r="C1" s="24" t="str">
        <x:v>Proposed amendment delta</x:v>
      </x:c>
      <x:c r="D1" s="24" t="str">
        <x:v>Approval status</x:v>
      </x:c>
      <x:c r="E1" s="24" t="str">
        <x:v>Approval reference</x:v>
      </x:c>
      <x:c r="F1" s="24" t="str">
        <x:v>Authorized total original currency</x:v>
      </x:c>
      <x:c r="G1" s="24" t="str">
        <x:v>Source snapshot PO</x:v>
      </x:c>
      <x:c r="H1" s="24" t="str">
        <x:v>Change control</x:v>
      </x:c>
      <x:c r="I1" s="24" t="str">
        <x:v>Currency</x:v>
      </x:c>
      <x:c r="J1" s="24" t="str">
        <x:v>Notes</x:v>
      </x:c>
    </x:row>
    <x:row r="2" ht="38" customHeight="1">
      <x:c r="A2" s="25" t="str">
        <x:v>100245</x:v>
      </x:c>
      <x:c r="B2" s="25" t="n">
        <x:v>50000</x:v>
      </x:c>
      <x:c r="C2" s="25" t="n">
        <x:v>0</x:v>
      </x:c>
      <x:c r="D2" s="25" t="str">
        <x:v>BASELINE</x:v>
      </x:c>
      <x:c r="E2" s="25" t="str"/>
      <x:c r="F2" s="25" t="n">
        <x:f>IF(AND(D2="APPROVED",E2&lt;&gt;"",ISNUMBER(C2)),B2+C2,B2)</x:f>
        <x:v>50000</x:v>
      </x:c>
      <x:c r="G2" s="25" t="n">
        <x:f>'ERP Snapshot'!E2</x:f>
        <x:v>50000</x:v>
      </x:c>
      <x:c r="H2" s="25" t="str">
        <x:f>IF(G2&lt;&gt;B2,"REVIEW: SNAPSHOT DIFFERS",IF(AND(C2&lt;&gt;0,OR(D2&lt;&gt;"APPROVED",E2="")),"PENDING APPROVAL","BASELINE / CONTROLLED"))</x:f>
        <x:v>BASELINE / CONTROLLED</x:v>
      </x:c>
      <x:c r="I2" s="25" t="str">
        <x:f>'ERP Snapshot'!D2</x:f>
        <x:v>USD</x:v>
      </x:c>
      <x:c r="J2" s="25" t="str">
        <x:v>SIMULATED; approval reference entered by user, not independently authenticated</x:v>
      </x:c>
    </x:row>
    <x:row r="3" ht="38" customHeight="1">
      <x:c r="A3" s="25" t="str">
        <x:v>100246</x:v>
      </x:c>
      <x:c r="B3" s="25" t="n">
        <x:v>820000</x:v>
      </x:c>
      <x:c r="C3" s="25" t="n">
        <x:v>0</x:v>
      </x:c>
      <x:c r="D3" s="25" t="str">
        <x:v>BASELINE</x:v>
      </x:c>
      <x:c r="E3" s="25" t="str"/>
      <x:c r="F3" s="25" t="n">
        <x:f>IF(AND(D3="APPROVED",E3&lt;&gt;"",ISNUMBER(C3)),B3+C3,B3)</x:f>
        <x:v>820000</x:v>
      </x:c>
      <x:c r="G3" s="25" t="n">
        <x:f>'ERP Snapshot'!E3</x:f>
        <x:v>820000</x:v>
      </x:c>
      <x:c r="H3" s="25" t="str">
        <x:f>IF(G3&lt;&gt;B3,"REVIEW: SNAPSHOT DIFFERS",IF(AND(C3&lt;&gt;0,OR(D3&lt;&gt;"APPROVED",E3="")),"PENDING APPROVAL","BASELINE / CONTROLLED"))</x:f>
        <x:v>BASELINE / CONTROLLED</x:v>
      </x:c>
      <x:c r="I3" s="25" t="str">
        <x:f>'ERP Snapshot'!D3</x:f>
        <x:v>MXN</x:v>
      </x:c>
      <x:c r="J3" s="25" t="str">
        <x:v>SIMULATED; approval reference entered by user, not independently authenticated</x:v>
      </x:c>
    </x:row>
    <x:row r="4" ht="38" customHeight="1">
      <x:c r="A4" s="25" t="str">
        <x:v>100247</x:v>
      </x:c>
      <x:c r="B4" s="25" t="n">
        <x:v>34000</x:v>
      </x:c>
      <x:c r="C4" s="25" t="n">
        <x:v>0</x:v>
      </x:c>
      <x:c r="D4" s="25" t="str">
        <x:v>BASELINE</x:v>
      </x:c>
      <x:c r="E4" s="25" t="str"/>
      <x:c r="F4" s="25" t="n">
        <x:f>IF(AND(D4="APPROVED",E4&lt;&gt;"",ISNUMBER(C4)),B4+C4,B4)</x:f>
        <x:v>34000</x:v>
      </x:c>
      <x:c r="G4" s="25" t="n">
        <x:f>'ERP Snapshot'!E4</x:f>
        <x:v>34000</x:v>
      </x:c>
      <x:c r="H4" s="25" t="str">
        <x:f>IF(G4&lt;&gt;B4,"REVIEW: SNAPSHOT DIFFERS",IF(AND(C4&lt;&gt;0,OR(D4&lt;&gt;"APPROVED",E4="")),"PENDING APPROVAL","BASELINE / CONTROLLED"))</x:f>
        <x:v>BASELINE / CONTROLLED</x:v>
      </x:c>
      <x:c r="I4" s="25" t="str">
        <x:f>'ERP Snapshot'!D4</x:f>
        <x:v>USD</x:v>
      </x:c>
      <x:c r="J4" s="25" t="str">
        <x:v>SIMULATED; approval reference entered by user, not independently authenticated</x:v>
      </x:c>
    </x:row>
    <x:row r="5" ht="38" customHeight="1">
      <x:c r="A5" s="25" t="str">
        <x:v>100248</x:v>
      </x:c>
      <x:c r="B5" s="25" t="n">
        <x:v>24000</x:v>
      </x:c>
      <x:c r="C5" s="25" t="n">
        <x:v>0</x:v>
      </x:c>
      <x:c r="D5" s="25" t="str">
        <x:v>BASELINE</x:v>
      </x:c>
      <x:c r="E5" s="25" t="str"/>
      <x:c r="F5" s="25" t="n">
        <x:f>IF(AND(D5="APPROVED",E5&lt;&gt;"",ISNUMBER(C5)),B5+C5,B5)</x:f>
        <x:v>24000</x:v>
      </x:c>
      <x:c r="G5" s="25" t="n">
        <x:f>'ERP Snapshot'!E5</x:f>
        <x:v>24000</x:v>
      </x:c>
      <x:c r="H5" s="25" t="str">
        <x:f>IF(G5&lt;&gt;B5,"REVIEW: SNAPSHOT DIFFERS",IF(AND(C5&lt;&gt;0,OR(D5&lt;&gt;"APPROVED",E5="")),"PENDING APPROVAL","BASELINE / CONTROLLED"))</x:f>
        <x:v>BASELINE / CONTROLLED</x:v>
      </x:c>
      <x:c r="I5" s="25" t="str">
        <x:f>'ERP Snapshot'!D5</x:f>
        <x:v>USD</x:v>
      </x:c>
      <x:c r="J5" s="25" t="str">
        <x:v>SIMULATED; approval reference entered by user, not independently authenticated</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62" hidden="0" customWidth="1"/>
    <x:col min="3" max="3" width="61" hidden="0" customWidth="1"/>
    <x:col min="4" max="4" width="42" hidden="0" customWidth="1"/>
  </x:cols>
  <x:sheetData>
    <x:row r="1">
      <x:c r="A1" s="24" t="str">
        <x:v>ID</x:v>
      </x:c>
      <x:c r="B1" s="24" t="str">
        <x:v>Change</x:v>
      </x:c>
      <x:c r="C1" s="24" t="str">
        <x:v>Reason</x:v>
      </x:c>
      <x:c r="D1" s="24" t="str">
        <x:v>Status</x:v>
      </x:c>
    </x:row>
    <x:row r="2">
      <x:c r="A2" s="25" t="str">
        <x:v>FIX-01</x:v>
      </x:c>
      <x:c r="B2" s="25" t="str">
        <x:v>Authorization baseline isolated; approved delta requires reference</x:v>
      </x:c>
      <x:c r="C2" s="25" t="str">
        <x:v>PO-04 unauthorized edit changed PO amount</x:v>
      </x:c>
      <x:c r="D2" s="25" t="str">
        <x:v>Implemented; testing required</x:v>
      </x:c>
    </x:row>
    <x:row r="3">
      <x:c r="A3" s="25" t="str">
        <x:v>FIX-02</x:v>
      </x:c>
      <x:c r="B3" s="25" t="str">
        <x:v>FX approval gate and hold state</x:v>
      </x:c>
      <x:c r="C3" s="25" t="str">
        <x:v>FIN-05 unapproved illustrative FX was used</x:v>
      </x:c>
      <x:c r="D3" s="25" t="str">
        <x:v>Implemented; testing required</x:v>
      </x:c>
    </x:row>
    <x:row r="4">
      <x:c r="A4" s="25" t="str">
        <x:v>FIX-03</x:v>
      </x:c>
      <x:c r="B4" s="25" t="str">
        <x:v>Dependent financial displays suppress invalid USD amounts</x:v>
      </x:c>
      <x:c r="C4" s="25" t="str">
        <x:v>Prevent misleading zero/negative totals</x:v>
      </x:c>
      <x:c r="D4" s="25" t="str">
        <x:v>Implemented; testing required</x:v>
      </x:c>
    </x:row>
    <x:row r="5">
      <x:c r="A5" s="25" t="str">
        <x:v>LIMIT-01</x:v>
      </x:c>
      <x:c r="B5" s="25" t="str">
        <x:v>No receipt-line, invoice-line or intercompany transaction data</x:v>
      </x:c>
      <x:c r="C5" s="25" t="str">
        <x:v>Six blocked tests remain outside current aggregate model</x:v>
      </x:c>
      <x:c r="D5" s="25" t="str">
        <x:v>Open</x:v>
      </x:c>
    </x:row>
    <x:row r="6">
      <x:c r="A6" t="str">
        <x:v>LIMIT-02</x:v>
      </x:c>
      <x:c r="B6" t="str">
        <x:v>Approval reference is a manually entered claim</x:v>
      </x:c>
      <x:c r="C6" t="str">
        <x:v>No ERP/API verification or permission controls</x:v>
      </x:c>
      <x:c r="D6" t="str">
        <x:v>Open</x:v>
      </x:c>
    </x:row>
    <x:row r="7">
      <x:c r="A7" t="str">
        <x:v>TEST-01</x:v>
      </x:c>
      <x:c r="B7" t="str">
        <x:v>13 scenarios rerun with artifact_tool</x:v>
      </x:c>
      <x:c r="C7" t="str">
        <x:v>9 PASS, 4 BLOCKED; no desktop Excel/ERP validation</x:v>
      </x:c>
      <x:c r="D7" t="str">
        <x:v>Completed 2026-10-20</x:v>
      </x:c>
    </x:row>
    <x:row r="8">
      <x:c r="A8" t="str">
        <x:v>FIX-04</x:v>
      </x:c>
      <x:c r="B8" t="str">
        <x:v>FX status at project-month grain and consolidated reporting</x:v>
      </x:c>
      <x:c r="C8" t="str">
        <x:v>BUD-071-FX-01: monthly USD totals lacked exception status</x:v>
      </x:c>
      <x:c r="D8" t="str">
        <x:v>Implemented; simulated regression PASS</x:v>
      </x:c>
    </x:row>
    <x:row r="9">
      <x:c r="A9" t="str">
        <x:v>LIMIT-03</x:v>
      </x:c>
      <x:c r="B9" t="str">
        <x:v>Approval metadata not independent evidence of Finance authorization</x:v>
      </x:c>
      <x:c r="C9" t="str">
        <x:v>FX policy/rate provenance and ERP mapping still require real validation</x:v>
      </x:c>
      <x:c r="D9" t="str">
        <x:v>Open</x:v>
      </x:c>
    </x:row>
    <x:row r="12">
      <x:c r="A12" s="25" t="str">
        <x:v>OP-01</x:v>
      </x:c>
      <x:c r="B12" s="25" t="str">
        <x:v>Budget versus authorized supplier PO value</x:v>
      </x:c>
      <x:c r="C12" s="25" t="str">
        <x:v>Operational scope; no inference of receipts or payables</x:v>
      </x:c>
      <x:c r="D12" s="25" t="str">
        <x:v>Implemented; focused tests only</x:v>
      </x:c>
    </x:row>
    <x:row r="13">
      <x:c r="A13" s="25" t="str">
        <x:v>OP-02</x:v>
      </x:c>
      <x:c r="B13" s="25" t="str">
        <x:v>Payment metrics retired; legacy inputs preserved</x:v>
      </x:c>
      <x:c r="C13" s="25" t="str">
        <x:v>Treasury/accounts payable outside operational scope</x:v>
      </x:c>
      <x:c r="D13" s="25" t="str">
        <x:v>Implemented</x:v>
      </x:c>
    </x:row>
    <x:row r="14">
      <x:c r="A14" s="25" t="str">
        <x:v>INV-01</x:v>
      </x:c>
      <x:c r="B14" s="25" t="str">
        <x:v>Invoice date drives monthly billed amounts</x:v>
      </x:c>
      <x:c r="C14" s="25" t="str">
        <x:v>ERP invoice/project source with date validation</x:v>
      </x:c>
      <x:c r="D14" s="25" t="str">
        <x:v>Implemented; historical dates required</x:v>
      </x:c>
    </x:row>
    <x:row r="15">
      <x:c r="A15" s="25" t="str">
        <x:v>LIMIT-03</x:v>
      </x:c>
      <x:c r="B15" s="25" t="str">
        <x:v>New source fields remain blank until ERP input</x:v>
      </x:c>
      <x:c r="C15" s="25" t="str">
        <x:v>No invented supplier PO values or invoice dates</x:v>
      </x:c>
      <x:c r="D15" s="25" t="str">
        <x:v>Open: load source data; native Excel regression pending</x:v>
      </x:c>
    </x:row>
    <x:row r="16" ht="60" customHeight="1">
      <x:c r="A16" s="25" t="str">
        <x:v>OP-03</x:v>
      </x:c>
      <x:c r="B16" s="25" t="str">
        <x:v>Authorized budget covers all operating expenses</x:v>
      </x:c>
      <x:c r="C16" s="25" t="str">
        <x:v>User definition 2026-10-23; remaining budget is scoped to POs until non-PO coverage is defined</x:v>
      </x:c>
      <x:c r="D16" s="25" t="str">
        <x:v>Labels/documentation updated; calculations unchanged</x:v>
      </x:c>
    </x:row>
    <x:row r="17" ht="74" customHeight="1">
      <x:c r="A17" s="25" t="str">
        <x:v>DOC-04</x:v>
      </x:c>
      <x:c r="B17" s="25" t="str">
        <x:v>Conditional acceptance of the budget / supplier PO comparison</x:v>
      </x:c>
      <x:c r="C17" s="25" t="str">
        <x:v>Goods-sale scenario and internal PO policy; identical cost perimeter required; no universal-accounting claim</x:v>
      </x:c>
      <x:c r="D17" s="25" t="str">
        <x:v>Documented 2026-10-23; no new feature</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56" hidden="0" customWidth="1"/>
    <x:col min="3" max="3" width="30" hidden="0" customWidth="1"/>
    <x:col min="4" max="4" width="34" hidden="0" customWidth="1"/>
    <x:col min="5" max="5" width="16" hidden="0" customWidth="1"/>
    <x:col min="6" max="6" width="67" hidden="0" customWidth="1"/>
  </x:cols>
  <x:sheetData>
    <x:row r="1">
      <x:c r="A1" s="24" t="str">
        <x:v>Historical test ID (prior model)</x:v>
      </x:c>
      <x:c r="B1" s="24" t="str">
        <x:v>Expected behavior</x:v>
      </x:c>
      <x:c r="C1" s="24" t="str">
        <x:v>Expected result</x:v>
      </x:c>
      <x:c r="D1" s="24" t="str">
        <x:v>Observed result</x:v>
      </x:c>
      <x:c r="E1" s="24" t="str">
        <x:v>Status</x:v>
      </x:c>
      <x:c r="F1" s="24" t="str">
        <x:v>Evidence / boundary</x:v>
      </x:c>
      <x:c r="H1" s="25" t="str">
        <x:v>Historical tests predate operational/Invoice date update; not a current regression result.</x:v>
      </x:c>
      <x:c r="I1" s="25"/>
      <x:c r="J1" s="25"/>
      <x:c r="K1" s="25"/>
      <x:c r="L1" s="25"/>
    </x:row>
    <x:row r="2" ht="44" customHeight="1">
      <x:c r="A2" s="25" t="str">
        <x:v>PO-01</x:v>
      </x:c>
      <x:c r="B2" s="25" t="str">
        <x:v>Baseline PO amount remains authorized</x:v>
      </x:c>
      <x:c r="C2" s="25" t="str">
        <x:v>50000</x:v>
      </x:c>
      <x:c r="D2" s="25" t="str">
        <x:v>50000</x:v>
      </x:c>
      <x:c r="E2" s="26" t="str">
        <x:v>PASS</x:v>
      </x:c>
      <x:c r="F2" s="25" t="str">
        <x:v>Project Control D2; baseline simulated</x:v>
      </x:c>
      <x:c r="H2" s="25"/>
      <x:c r="I2" s="25"/>
      <x:c r="J2" s="25"/>
      <x:c r="K2" s="25"/>
      <x:c r="L2" s="25"/>
    </x:row>
    <x:row r="3" ht="44" customHeight="1">
      <x:c r="A3" s="25" t="str">
        <x:v>PO-02</x:v>
      </x:c>
      <x:c r="B3" s="25" t="str">
        <x:v>Approved +200 with reference</x:v>
      </x:c>
      <x:c r="C3" s="25" t="str">
        <x:v>50200</x:v>
      </x:c>
      <x:c r="D3" s="25" t="str">
        <x:v>50200</x:v>
      </x:c>
      <x:c r="E3" s="26" t="str">
        <x:v>PASS</x:v>
      </x:c>
      <x:c r="F3" s="25" t="str">
        <x:v>PO Authorization C2:E2; D2</x:v>
      </x:c>
      <x:c r="H3" s="25"/>
      <x:c r="I3" s="25"/>
      <x:c r="J3" s="25"/>
      <x:c r="K3" s="25"/>
      <x:c r="L3" s="25"/>
    </x:row>
    <x:row r="4" ht="44" customHeight="1">
      <x:c r="A4" s="25" t="str">
        <x:v>PO-03</x:v>
      </x:c>
      <x:c r="B4" s="25" t="str">
        <x:v>Approved -300 with reference</x:v>
      </x:c>
      <x:c r="C4" s="25" t="str">
        <x:v>49700</x:v>
      </x:c>
      <x:c r="D4" s="25" t="str">
        <x:v>49700</x:v>
      </x:c>
      <x:c r="E4" s="26" t="str">
        <x:v>PASS</x:v>
      </x:c>
      <x:c r="F4" s="25" t="str">
        <x:v>PO Authorization C2:E2; D2</x:v>
      </x:c>
    </x:row>
    <x:row r="5" ht="44" customHeight="1">
      <x:c r="A5" s="25" t="str">
        <x:v>PO-04</x:v>
      </x:c>
      <x:c r="B5" s="25" t="str">
        <x:v>Unapproved +500 must not change authorized</x:v>
      </x:c>
      <x:c r="C5" s="25" t="str">
        <x:v>50000</x:v>
      </x:c>
      <x:c r="D5" s="25" t="str">
        <x:v>50000</x:v>
      </x:c>
      <x:c r="E5" s="26" t="str">
        <x:v>PASS</x:v>
      </x:c>
      <x:c r="F5" s="25" t="str">
        <x:v>PO Authorization status PENDING; D2</x:v>
      </x:c>
    </x:row>
    <x:row r="6" ht="44" customHeight="1">
      <x:c r="A6" s="25" t="str">
        <x:v>PO-05</x:v>
      </x:c>
      <x:c r="B6" s="25" t="str">
        <x:v>20 ordered, 12 received; outstanding 8</x:v>
      </x:c>
      <x:c r="C6" s="25" t="str">
        <x:v>8</x:v>
      </x:c>
      <x:c r="D6" s="25" t="str">
        <x:v>Not available</x:v>
      </x:c>
      <x:c r="E6" s="27" t="str">
        <x:v>BLOCKED</x:v>
      </x:c>
      <x:c r="F6" s="25" t="str">
        <x:v>No supplier PO receipt-line facts</x:v>
      </x:c>
    </x:row>
    <x:row r="7" ht="44" customHeight="1">
      <x:c r="A7" s="25" t="str">
        <x:v>PO-06</x:v>
      </x:c>
      <x:c r="B7" s="25" t="str">
        <x:v>12 delivered, 10 invoiced; balance 2</x:v>
      </x:c>
      <x:c r="C7" s="25" t="str">
        <x:v>2</x:v>
      </x:c>
      <x:c r="D7" s="25" t="str">
        <x:v>Not available</x:v>
      </x:c>
      <x:c r="E7" s="27" t="str">
        <x:v>BLOCKED</x:v>
      </x:c>
      <x:c r="F7" s="25" t="str">
        <x:v>No line-level delivery/invoice facts</x:v>
      </x:c>
    </x:row>
    <x:row r="8" ht="44" customHeight="1">
      <x:c r="A8" s="25" t="str">
        <x:v>PO-07</x:v>
      </x:c>
      <x:c r="B8" s="25" t="str">
        <x:v>Duplicate receipt/invoice ID rejected</x:v>
      </x:c>
      <x:c r="C8" s="25" t="str">
        <x:v>Duplicate flagged</x:v>
      </x:c>
      <x:c r="D8" s="25" t="str">
        <x:v>Not available</x:v>
      </x:c>
      <x:c r="E8" s="27" t="str">
        <x:v>BLOCKED</x:v>
      </x:c>
      <x:c r="F8" s="25" t="str">
        <x:v>No unique transaction IDs</x:v>
      </x:c>
    </x:row>
    <x:row r="9" ht="44" customHeight="1">
      <x:c r="A9" s="25" t="str">
        <x:v>FIN-01</x:v>
      </x:c>
      <x:c r="B9" s="25" t="str">
        <x:v>Paid/open/recognized not additive</x:v>
      </x:c>
      <x:c r="C9" s="25" t="str">
        <x:v>Separate measures</x:v>
      </x:c>
      <x:c r="D9" s="25" t="str">
        <x:v>Separate columns I/J/K</x:v>
      </x:c>
      <x:c r="E9" s="26" t="str">
        <x:v>PASS</x:v>
      </x:c>
      <x:c r="F9" s="25" t="str">
        <x:v>Structural semantic check; not ERP reconciliation</x:v>
      </x:c>
    </x:row>
    <x:row r="10" ht="44" customHeight="1">
      <x:c r="A10" s="25" t="str">
        <x:v>FIN-02</x:v>
      </x:c>
      <x:c r="B10" s="25" t="str">
        <x:v>Paid 650, open 0, recognized 520</x:v>
      </x:c>
      <x:c r="C10" s="25" t="str">
        <x:v>[650,0,520]</x:v>
      </x:c>
      <x:c r="D10" s="25" t="str">
        <x:v>[650,0,520]</x:v>
      </x:c>
      <x:c r="E10" s="26" t="str">
        <x:v>PASS</x:v>
      </x:c>
      <x:c r="F10" s="25" t="str">
        <x:v>Manual mutation Monthly Project Activity I2:K2</x:v>
      </x:c>
    </x:row>
    <x:row r="11" ht="44" customHeight="1">
      <x:c r="A11" s="25" t="str">
        <x:v>FIN-03</x:v>
      </x:c>
      <x:c r="B11" s="25" t="str">
        <x:v>Timing mismatch not final profit</x:v>
      </x:c>
      <x:c r="C11" s="25" t="str">
        <x:v>Caveat present</x:v>
      </x:c>
      <x:c r="D11" s="25" t="str">
        <x:v>Caveat present</x:v>
      </x:c>
      <x:c r="E11" s="26" t="str">
        <x:v>PASS</x:v>
      </x:c>
      <x:c r="F11" s="25" t="str">
        <x:v>Documentary review only</x:v>
      </x:c>
    </x:row>
    <x:row r="12" ht="44" customHeight="1">
      <x:c r="A12" s="25" t="str">
        <x:v>FIN-04</x:v>
      </x:c>
      <x:c r="B12" s="25" t="str">
        <x:v>MX/US intercompany cost no double count</x:v>
      </x:c>
      <x:c r="C12" s="25" t="str">
        <x:v>Traceable unique cost</x:v>
      </x:c>
      <x:c r="D12" s="25" t="str">
        <x:v>Not available</x:v>
      </x:c>
      <x:c r="E12" s="27" t="str">
        <x:v>BLOCKED</x:v>
      </x:c>
      <x:c r="F12" s="25" t="str">
        <x:v>No intercompany transaction IDs</x:v>
      </x:c>
    </x:row>
    <x:row r="13" ht="44" customHeight="1">
      <x:c r="A13" s="25" t="str">
        <x:v>FIN-05</x:v>
      </x:c>
      <x:c r="B13" s="25" t="str">
        <x:v>Unapproved FX blocked; approved FX allowed</x:v>
      </x:c>
      <x:c r="C13" s="25" t="str">
        <x:v>FX HOLD then 41000 USD</x:v>
      </x:c>
      <x:c r="D13" s="25" t="str">
        <x:v>FX HOLD then 41000 USD</x:v>
      </x:c>
      <x:c r="E13" s="26" t="str">
        <x:v>PASS</x:v>
      </x:c>
      <x:c r="F13" s="25" t="str">
        <x:v>Settings B8:B10; Project Control D3/O3</x:v>
      </x:c>
    </x:row>
    <x:row r="14" ht="44" customHeight="1">
      <x:c r="A14" s="25" t="str">
        <x:v>FIN-06</x:v>
      </x:c>
      <x:c r="B14" s="25" t="str">
        <x:v>Invoice above authorized PO raises alert</x:v>
      </x:c>
      <x:c r="C14" s="25" t="str">
        <x:v>REVIEW: ABOVE CUSTOMER PO</x:v>
      </x:c>
      <x:c r="D14" s="25" t="str">
        <x:v>REVIEW: ABOVE CUSTOMER PO</x:v>
      </x:c>
      <x:c r="E14" s="26" t="str">
        <x:v>PASS</x:v>
      </x:c>
      <x:c r="F14" s="25" t="str">
        <x:v>ERP Snapshot I2=60000, Project Control O2</x:v>
      </x:c>
    </x:row>
    <x:row r="15" ht="46" customHeight="1">
      <x:c r="A15" s="25" t="str">
        <x:v>CONS-03A</x:v>
      </x:c>
      <x:c r="B15" s="25" t="str">
        <x:v>Pending FX flags affected BU, month and BU/entity</x:v>
      </x:c>
      <x:c r="C15" s="25" t="str">
        <x:v>FX HOLD</x:v>
      </x:c>
      <x:c r="D15" s="25" t="str">
        <x:v>FX HOLD</x:v>
      </x:c>
      <x:c r="E15" s="30" t="str">
        <x:v>PASS</x:v>
      </x:c>
      <x:c r="F15" s="25" t="str">
        <x:v>Monthly Project Activity O3; Monthly BU Close K4; Monthly Trend K2; BU Entity Matrix O3</x:v>
      </x:c>
    </x:row>
    <x:row r="16" ht="46" customHeight="1">
      <x:c r="A16" s="25" t="str">
        <x:v>CONS-03B</x:v>
      </x:c>
      <x:c r="B16" s="25" t="str">
        <x:v>Approved metadata clears hold</x:v>
      </x:c>
      <x:c r="C16" s="25" t="str">
        <x:v>FX APPROVED (METADATA)</x:v>
      </x:c>
      <x:c r="D16" s="25" t="str">
        <x:v>FX APPROVED (METADATA)</x:v>
      </x:c>
      <x:c r="E16" s="30" t="str">
        <x:v>PASS</x:v>
      </x:c>
      <x:c r="F16" s="25" t="str">
        <x:v>Settings B8:B10; approval simulated, not independently authenticated</x:v>
      </x:c>
    </x:row>
    <x:row r="17" ht="46" customHeight="1">
      <x:c r="A17" s="25" t="str">
        <x:v>CONS-03C</x:v>
      </x:c>
      <x:c r="B17" s="25" t="str">
        <x:v>Original numeric monthly totals unchanged</x:v>
      </x:c>
      <x:c r="C17" s="25" t="str">
        <x:v>No change</x:v>
      </x:c>
      <x:c r="D17" s="25" t="str">
        <x:v>No change</x:v>
      </x:c>
      <x:c r="E17" s="30" t="str">
        <x:v>PASS</x:v>
      </x:c>
      <x:c r="F17" s="25" t="str">
        <x:v>Monthly Trend B2:J2 unchanged on approval toggle</x:v>
      </x:c>
    </x:row>
    <x:row r="18" ht="46" customHeight="1">
      <x:c r="A18" s="25" t="str">
        <x:v>CONS-03D</x:v>
      </x:c>
      <x:c r="B18" s="25" t="str">
        <x:v>Unaffected USD-only BU remains available</x:v>
      </x:c>
      <x:c r="C18" s="25" t="str">
        <x:v>NO FX EXCEPTION</x:v>
      </x:c>
      <x:c r="D18" s="25" t="str">
        <x:v>NO FX EXCEPTION</x:v>
      </x:c>
      <x:c r="E18" s="30" t="str">
        <x:v>PASS</x:v>
      </x:c>
      <x:c r="F18" s="25" t="str">
        <x:v>Monthly BU Close K2 and BU Entity Matrix O2</x:v>
      </x:c>
    </x:row>
    <x:row r="19" ht="46" customHeight="1">
      <x:c r="A19" s="25" t="str">
        <x:v>CONS-03E</x:v>
      </x:c>
      <x:c r="B19" s="25" t="str">
        <x:v>MX/US monthly reconciliation maintained</x:v>
      </x:c>
      <x:c r="C19" s="25" t="str">
        <x:v>Monthly Trend J2=0</x:v>
      </x:c>
      <x:c r="D19" s="25" t="str">
        <x:v>0</x:v>
      </x:c>
      <x:c r="E19" s="30" t="str">
        <x:v>PASS</x:v>
      </x:c>
      <x:c r="F19" s="25" t="str">
        <x:v>Approval metadata toggle; arithmetic only</x:v>
      </x:c>
    </x:row>
  </x:sheetData>
  <x:mergeCells>
    <x:mergeCell ref="H1:L3"/>
  </x:mergeCells>
  <x:pageMargins left="0.7" right="0.7" top="0.75" bottom="0.75" header="0.3" footer="0.3"/>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8" hidden="0" customWidth="1"/>
    <x:col min="11" max="11" width="21" hidden="0" customWidth="1"/>
    <x:col min="12" max="12" width="27" hidden="0" customWidth="1"/>
    <x:col min="13" max="13" width="21" hidden="0" customWidth="1"/>
    <x:col min="14" max="14" width="21" hidden="0" customWidth="1"/>
    <x:col min="15" max="15" width="24" hidden="0" customWidth="1"/>
  </x:cols>
  <x:sheetData>
    <x:row r="1" ht="56" customHeight="1">
      <x:c r="A1" s="56" t="str">
        <x:v>ERP Invoice ID</x:v>
      </x:c>
      <x:c r="B1" s="56" t="str">
        <x:v>Project ID (ERP)</x:v>
      </x:c>
      <x:c r="C1" s="56" t="str">
        <x:v>Invoice date</x:v>
      </x:c>
      <x:c r="D1" s="56" t="str">
        <x:v>Selling entity</x:v>
      </x:c>
      <x:c r="E1" s="56" t="str">
        <x:v>Business Unit</x:v>
      </x:c>
      <x:c r="F1" s="56" t="str">
        <x:v>Brand / Line</x:v>
      </x:c>
      <x:c r="G1" s="56" t="str">
        <x:v>Original currency</x:v>
      </x:c>
      <x:c r="H1" s="56" t="str">
        <x:v>Invoice amount original</x:v>
      </x:c>
      <x:c r="I1" s="56" t="str">
        <x:v>Invoice USD from ERP</x:v>
      </x:c>
      <x:c r="J1" s="56" t="str">
        <x:v>ERP export reference</x:v>
      </x:c>
      <x:c r="K1" s="56" t="str">
        <x:v>ERP invoice status</x:v>
      </x:c>
      <x:c r="L1" s="56" t="str">
        <x:v>Input validation</x:v>
      </x:c>
      <x:c r="M1" s="56" t="str">
        <x:v>Invoice month</x:v>
      </x:c>
      <x:c r="N1" s="56" t="str">
        <x:v>Reportable invoiced USD</x:v>
      </x:c>
      <x:c r="O1" s="56" t="str">
        <x:v>First project/month flag</x:v>
      </x:c>
      <x:c r="P1" t="str">
        <x:v>HOW TO LOAD / OPERATIONAL BILLING SOURCE</x:v>
      </x:c>
    </x:row>
    <x:row r="2" ht="42" customHeight="1">
      <x:c r="A2" s="47"/>
      <x:c r="B2" s="47"/>
      <x:c r="C2" s="58"/>
      <x:c r="D2" s="47"/>
      <x:c r="E2" s="47"/>
      <x:c r="F2" s="47"/>
      <x:c r="G2" s="47"/>
      <x:c r="H2" s="48"/>
      <x:c r="I2" s="48"/>
      <x:c r="J2" s="47"/>
      <x:c r="K2" s="47"/>
      <x:c r="L2" s="57" t="str">
        <x:f>IF(COUNTA(A2:K2)=0,"",IF(K2="CANCELLED","CANCELLED",IF(A2="","INVOICE ID REQUIRED",IF(B2="","PROJECT ID REQUIRED",IF(NOT(ISNUMBER(C2)),"INVALID INVOICE DATE",IF(NOT(AND(ISNUMBER(C2),C2&gt;=2,C2&lt;=2958465,C2=INT(C2))),"INVALID INVOICE DATE",IF(NOT(OR(D2="MX",D2="US")),"ENTITY REQUIRED",IF(NOT(OR(E2="Strategic Services",E2="Brands")),"UNIT REQUIRED",IF(F2="","BRAND / N/A REQUIRED",IF(NOT(OR(G2="USD",G2="MXN")),"CURRENCY REQUIRED",IF(NOT(ISNUMBER(H2)),"AMOUNT REQUIRED",IF(J2="","ERP SOURCE REQUIRED",IF(NOT(OR(K2="ISSUED",K2="CANCELLED")),"INVOICE STATUS REQUIRED",IF(COUNTIFS($A$2:$A$501,A2,$B$2:$B$501,B2,$D$2:$D$501,D2)&gt;1,"DUPLICATE INVOICE / PROJECT",IF(AND(G2="MXN",NOT(AND(ISNUMBER(I2),Settings!$B$8="APPROVED",Settings!$B$9&lt;&gt;"",Settings!$B$10&lt;&gt;""))),"FX HOLD","VALID")))))))))))))))</x:f>
      </x:c>
      <x:c r="M2" s="57" t="str">
        <x:f>IF(ISNUMBER(C2),IF(AND(ISNUMBER(C2),C2&gt;=2,C2&lt;=2958465,C2=INT(C2)),TEXT(C2,"yyyy-mm"),""),"")</x:f>
      </x:c>
      <x:c r="N2" s="59" t="str">
        <x:f>IF(L2="VALID",IF(G2="USD",H2,I2),"")</x:f>
      </x:c>
      <x:c r="O2" s="57" t="n">
        <x:f>IF(L2="VALID",IF(COUNTIFS($B$2:B2,B2,$M$2:M2,M2,$L$2:L2,"VALID")=1,1,0),0)</x:f>
        <x:v>0</x:v>
      </x:c>
      <x:c r="P2" s="61" t="str">
        <x:v>Fill A:K with ERP data. L:N are formulas. Capacity: 500 invoice/project records.</x:v>
      </x:c>
      <x:c r="Q2" s="61"/>
      <x:c r="R2" s="61"/>
      <x:c r="S2" s="61"/>
      <x:c r="T2" s="61"/>
      <x:c r="U2" s="61"/>
    </x:row>
    <x:row r="3" ht="42" customHeight="1">
      <x:c r="A3" s="47"/>
      <x:c r="B3" s="47"/>
      <x:c r="C3" s="58"/>
      <x:c r="D3" s="47"/>
      <x:c r="E3" s="47"/>
      <x:c r="F3" s="47"/>
      <x:c r="G3" s="47"/>
      <x:c r="H3" s="48"/>
      <x:c r="I3" s="48"/>
      <x:c r="J3" s="47"/>
      <x:c r="K3" s="47"/>
      <x:c r="L3" s="57" t="str">
        <x:f>IF(COUNTA(A3:K3)=0,"",IF(K3="CANCELLED","CANCELLED",IF(A3="","INVOICE ID REQUIRED",IF(B3="","PROJECT ID REQUIRED",IF(NOT(ISNUMBER(C3)),"INVALID INVOICE DATE",IF(NOT(AND(ISNUMBER(C3),C3&gt;=2,C3&lt;=2958465,C3=INT(C3))),"INVALID INVOICE DATE",IF(NOT(OR(D3="MX",D3="US")),"ENTITY REQUIRED",IF(NOT(OR(E3="Strategic Services",E3="Brands")),"UNIT REQUIRED",IF(F3="","BRAND / N/A REQUIRED",IF(NOT(OR(G3="USD",G3="MXN")),"CURRENCY REQUIRED",IF(NOT(ISNUMBER(H3)),"AMOUNT REQUIRED",IF(J3="","ERP SOURCE REQUIRED",IF(NOT(OR(K3="ISSUED",K3="CANCELLED")),"INVOICE STATUS REQUIRED",IF(COUNTIFS($A$2:$A$501,A3,$B$2:$B$501,B3,$D$2:$D$501,D3)&gt;1,"DUPLICATE INVOICE / PROJECT",IF(AND(G3="MXN",NOT(AND(ISNUMBER(I3),Settings!$B$8="APPROVED",Settings!$B$9&lt;&gt;"",Settings!$B$10&lt;&gt;""))),"FX HOLD","VALID")))))))))))))))</x:f>
      </x:c>
      <x:c r="M3" s="57" t="str">
        <x:f>IF(ISNUMBER(C3),IF(AND(ISNUMBER(C3),C3&gt;=2,C3&lt;=2958465,C3=INT(C3)),TEXT(C3,"yyyy-mm"),""),"")</x:f>
      </x:c>
      <x:c r="N3" s="59" t="str">
        <x:f>IF(L3="VALID",IF(G3="USD",H3,I3),"")</x:f>
      </x:c>
      <x:c r="O3" s="57" t="n">
        <x:f>IF(L3="VALID",IF(COUNTIFS($B$2:B3,B3,$M$2:M3,M3,$L$2:L3,"VALID")=1,1,0),0)</x:f>
        <x:v>0</x:v>
      </x:c>
      <x:c r="P3" s="61" t="str">
        <x:v>Invoice date must be a real Excel date, not typed date text. Month is derived from Invoice date.</x:v>
      </x:c>
      <x:c r="Q3" s="61"/>
      <x:c r="R3" s="61"/>
      <x:c r="S3" s="61"/>
      <x:c r="T3" s="61"/>
      <x:c r="U3" s="61"/>
    </x:row>
    <x:row r="4" ht="42" customHeight="1">
      <x:c r="A4" s="47"/>
      <x:c r="B4" s="47"/>
      <x:c r="C4" s="58"/>
      <x:c r="D4" s="47"/>
      <x:c r="E4" s="47"/>
      <x:c r="F4" s="47"/>
      <x:c r="G4" s="47"/>
      <x:c r="H4" s="48"/>
      <x:c r="I4" s="48"/>
      <x:c r="J4" s="47"/>
      <x:c r="K4" s="47"/>
      <x:c r="L4" s="57" t="str">
        <x:f>IF(COUNTA(A4:K4)=0,"",IF(K4="CANCELLED","CANCELLED",IF(A4="","INVOICE ID REQUIRED",IF(B4="","PROJECT ID REQUIRED",IF(NOT(ISNUMBER(C4)),"INVALID INVOICE DATE",IF(NOT(AND(ISNUMBER(C4),C4&gt;=2,C4&lt;=2958465,C4=INT(C4))),"INVALID INVOICE DATE",IF(NOT(OR(D4="MX",D4="US")),"ENTITY REQUIRED",IF(NOT(OR(E4="Strategic Services",E4="Brands")),"UNIT REQUIRED",IF(F4="","BRAND / N/A REQUIRED",IF(NOT(OR(G4="USD",G4="MXN")),"CURRENCY REQUIRED",IF(NOT(ISNUMBER(H4)),"AMOUNT REQUIRED",IF(J4="","ERP SOURCE REQUIRED",IF(NOT(OR(K4="ISSUED",K4="CANCELLED")),"INVOICE STATUS REQUIRED",IF(COUNTIFS($A$2:$A$501,A4,$B$2:$B$501,B4,$D$2:$D$501,D4)&gt;1,"DUPLICATE INVOICE / PROJECT",IF(AND(G4="MXN",NOT(AND(ISNUMBER(I4),Settings!$B$8="APPROVED",Settings!$B$9&lt;&gt;"",Settings!$B$10&lt;&gt;""))),"FX HOLD","VALID")))))))))))))))</x:f>
      </x:c>
      <x:c r="M4" s="57" t="str">
        <x:f>IF(ISNUMBER(C4),IF(AND(ISNUMBER(C4),C4&gt;=2,C4&lt;=2958465,C4=INT(C4)),TEXT(C4,"yyyy-mm"),""),"")</x:f>
      </x:c>
      <x:c r="N4" s="59" t="str">
        <x:f>IF(L4="VALID",IF(G4="USD",H4,I4),"")</x:f>
      </x:c>
      <x:c r="O4" s="57" t="n">
        <x:f>IF(L4="VALID",IF(COUNTIFS($B$2:B4,B4,$M$2:M4,M4,$L$2:L4,"VALID")=1,1,0),0)</x:f>
        <x:v>0</x:v>
      </x:c>
      <x:c r="P4" s="61" t="str">
        <x:v>ISSUED enters reporting; CANCELLED is excluded. Preserve the ERP current status.</x:v>
      </x:c>
      <x:c r="Q4" s="61"/>
      <x:c r="R4" s="61"/>
      <x:c r="S4" s="61"/>
      <x:c r="T4" s="61"/>
      <x:c r="U4" s="61"/>
    </x:row>
    <x:row r="5" ht="42" customHeight="1">
      <x:c r="A5" s="47"/>
      <x:c r="B5" s="47"/>
      <x:c r="C5" s="58"/>
      <x:c r="D5" s="47"/>
      <x:c r="E5" s="47"/>
      <x:c r="F5" s="47"/>
      <x:c r="G5" s="47"/>
      <x:c r="H5" s="48"/>
      <x:c r="I5" s="48"/>
      <x:c r="J5" s="47"/>
      <x:c r="K5" s="47"/>
      <x:c r="L5" s="57" t="str">
        <x:f>IF(COUNTA(A5:K5)=0,"",IF(K5="CANCELLED","CANCELLED",IF(A5="","INVOICE ID REQUIRED",IF(B5="","PROJECT ID REQUIRED",IF(NOT(ISNUMBER(C5)),"INVALID INVOICE DATE",IF(NOT(AND(ISNUMBER(C5),C5&gt;=2,C5&lt;=2958465,C5=INT(C5))),"INVALID INVOICE DATE",IF(NOT(OR(D5="MX",D5="US")),"ENTITY REQUIRED",IF(NOT(OR(E5="Strategic Services",E5="Brands")),"UNIT REQUIRED",IF(F5="","BRAND / N/A REQUIRED",IF(NOT(OR(G5="USD",G5="MXN")),"CURRENCY REQUIRED",IF(NOT(ISNUMBER(H5)),"AMOUNT REQUIRED",IF(J5="","ERP SOURCE REQUIRED",IF(NOT(OR(K5="ISSUED",K5="CANCELLED")),"INVOICE STATUS REQUIRED",IF(COUNTIFS($A$2:$A$501,A5,$B$2:$B$501,B5,$D$2:$D$501,D5)&gt;1,"DUPLICATE INVOICE / PROJECT",IF(AND(G5="MXN",NOT(AND(ISNUMBER(I5),Settings!$B$8="APPROVED",Settings!$B$9&lt;&gt;"",Settings!$B$10&lt;&gt;""))),"FX HOLD","VALID")))))))))))))))</x:f>
      </x:c>
      <x:c r="M5" s="57" t="str">
        <x:f>IF(ISNUMBER(C5),IF(AND(ISNUMBER(C5),C5&gt;=2,C5&lt;=2958465,C5=INT(C5)),TEXT(C5,"yyyy-mm"),""),"")</x:f>
      </x:c>
      <x:c r="N5" s="59" t="str">
        <x:f>IF(L5="VALID",IF(G5="USD",H5,I5),"")</x:f>
      </x:c>
      <x:c r="O5" s="57" t="n">
        <x:f>IF(L5="VALID",IF(COUNTIFS($B$2:B5,B5,$M$2:M5,M5,$L$2:L5,"VALID")=1,1,0),0)</x:f>
        <x:v>0</x:v>
      </x:c>
      <x:c r="P5" s="61" t="str">
        <x:v>A customer invoice covering several projects requires ERP allocations; do not repeat its full amount in each project.</x:v>
      </x:c>
      <x:c r="Q5" s="61"/>
      <x:c r="R5" s="61"/>
      <x:c r="S5" s="61"/>
      <x:c r="T5" s="61"/>
      <x:c r="U5" s="61"/>
    </x:row>
    <x:row r="6" ht="42" customHeight="1">
      <x:c r="A6" s="47"/>
      <x:c r="B6" s="47"/>
      <x:c r="C6" s="58"/>
      <x:c r="D6" s="47"/>
      <x:c r="E6" s="47"/>
      <x:c r="F6" s="47"/>
      <x:c r="G6" s="47"/>
      <x:c r="H6" s="48"/>
      <x:c r="I6" s="48"/>
      <x:c r="J6" s="47"/>
      <x:c r="K6" s="47"/>
      <x:c r="L6" s="57" t="str">
        <x:f>IF(COUNTA(A6:K6)=0,"",IF(K6="CANCELLED","CANCELLED",IF(A6="","INVOICE ID REQUIRED",IF(B6="","PROJECT ID REQUIRED",IF(NOT(ISNUMBER(C6)),"INVALID INVOICE DATE",IF(NOT(AND(ISNUMBER(C6),C6&gt;=2,C6&lt;=2958465,C6=INT(C6))),"INVALID INVOICE DATE",IF(NOT(OR(D6="MX",D6="US")),"ENTITY REQUIRED",IF(NOT(OR(E6="Strategic Services",E6="Brands")),"UNIT REQUIRED",IF(F6="","BRAND / N/A REQUIRED",IF(NOT(OR(G6="USD",G6="MXN")),"CURRENCY REQUIRED",IF(NOT(ISNUMBER(H6)),"AMOUNT REQUIRED",IF(J6="","ERP SOURCE REQUIRED",IF(NOT(OR(K6="ISSUED",K6="CANCELLED")),"INVOICE STATUS REQUIRED",IF(COUNTIFS($A$2:$A$501,A6,$B$2:$B$501,B6,$D$2:$D$501,D6)&gt;1,"DUPLICATE INVOICE / PROJECT",IF(AND(G6="MXN",NOT(AND(ISNUMBER(I6),Settings!$B$8="APPROVED",Settings!$B$9&lt;&gt;"",Settings!$B$10&lt;&gt;""))),"FX HOLD","VALID")))))))))))))))</x:f>
      </x:c>
      <x:c r="M6" s="57" t="str">
        <x:f>IF(ISNUMBER(C6),IF(AND(ISNUMBER(C6),C6&gt;=2,C6&lt;=2958465,C6=INT(C6)),TEXT(C6,"yyyy-mm"),""),"")</x:f>
      </x:c>
      <x:c r="N6" s="59" t="str">
        <x:f>IF(L6="VALID",IF(G6="USD",H6,I6),"")</x:f>
      </x:c>
      <x:c r="O6" s="57" t="n">
        <x:f>IF(L6="VALID",IF(COUNTIFS($B$2:B6,B6,$M$2:M6,M6,$L$2:L6,"VALID")=1,1,0),0)</x:f>
        <x:v>0</x:v>
      </x:c>
      <x:c r="P6" s="61" t="str">
        <x:v>Original USD uses H. Original MXN requires I supplied by ERP/Finance in USD and approved FX metadata. No current-rate conversion of historical amounts.</x:v>
      </x:c>
      <x:c r="Q6" s="61"/>
      <x:c r="R6" s="61"/>
      <x:c r="S6" s="61"/>
      <x:c r="T6" s="61"/>
      <x:c r="U6" s="61"/>
    </x:row>
    <x:row r="7" ht="42" customHeight="1">
      <x:c r="A7" s="47"/>
      <x:c r="B7" s="47"/>
      <x:c r="C7" s="58"/>
      <x:c r="D7" s="47"/>
      <x:c r="E7" s="47"/>
      <x:c r="F7" s="47"/>
      <x:c r="G7" s="47"/>
      <x:c r="H7" s="48"/>
      <x:c r="I7" s="48"/>
      <x:c r="J7" s="47"/>
      <x:c r="K7" s="47"/>
      <x:c r="L7" s="57" t="str">
        <x:f>IF(COUNTA(A7:K7)=0,"",IF(K7="CANCELLED","CANCELLED",IF(A7="","INVOICE ID REQUIRED",IF(B7="","PROJECT ID REQUIRED",IF(NOT(ISNUMBER(C7)),"INVALID INVOICE DATE",IF(NOT(AND(ISNUMBER(C7),C7&gt;=2,C7&lt;=2958465,C7=INT(C7))),"INVALID INVOICE DATE",IF(NOT(OR(D7="MX",D7="US")),"ENTITY REQUIRED",IF(NOT(OR(E7="Strategic Services",E7="Brands")),"UNIT REQUIRED",IF(F7="","BRAND / N/A REQUIRED",IF(NOT(OR(G7="USD",G7="MXN")),"CURRENCY REQUIRED",IF(NOT(ISNUMBER(H7)),"AMOUNT REQUIRED",IF(J7="","ERP SOURCE REQUIRED",IF(NOT(OR(K7="ISSUED",K7="CANCELLED")),"INVOICE STATUS REQUIRED",IF(COUNTIFS($A$2:$A$501,A7,$B$2:$B$501,B7,$D$2:$D$501,D7)&gt;1,"DUPLICATE INVOICE / PROJECT",IF(AND(G7="MXN",NOT(AND(ISNUMBER(I7),Settings!$B$8="APPROVED",Settings!$B$9&lt;&gt;"",Settings!$B$10&lt;&gt;""))),"FX HOLD","VALID")))))))))))))))</x:f>
      </x:c>
      <x:c r="M7" s="57" t="str">
        <x:f>IF(ISNUMBER(C7),IF(AND(ISNUMBER(C7),C7&gt;=2,C7&lt;=2958465,C7=INT(C7)),TEXT(C7,"yyyy-mm"),""),"")</x:f>
      </x:c>
      <x:c r="N7" s="59" t="str">
        <x:f>IF(L7="VALID",IF(G7="USD",H7,I7),"")</x:f>
      </x:c>
      <x:c r="O7" s="57" t="n">
        <x:f>IF(L7="VALID",IF(COUNTIFS($B$2:B7,B7,$M$2:M7,M7,$L$2:L7,"VALID")=1,1,0),0)</x:f>
        <x:v>0</x:v>
      </x:c>
      <x:c r="P7" s="61" t="str">
        <x:v>Missing/invalid dates and duplicate invoice/project keys block reporting totals visibly. No date is inferred from the former monthly amount.</x:v>
      </x:c>
      <x:c r="Q7" s="61"/>
      <x:c r="R7" s="61"/>
      <x:c r="S7" s="61"/>
      <x:c r="T7" s="61"/>
      <x:c r="U7" s="61"/>
    </x:row>
    <x:row r="8" ht="42" customHeight="1">
      <x:c r="A8" s="47"/>
      <x:c r="B8" s="47"/>
      <x:c r="C8" s="58"/>
      <x:c r="D8" s="47"/>
      <x:c r="E8" s="47"/>
      <x:c r="F8" s="47"/>
      <x:c r="G8" s="47"/>
      <x:c r="H8" s="48"/>
      <x:c r="I8" s="48"/>
      <x:c r="J8" s="47"/>
      <x:c r="K8" s="47"/>
      <x:c r="L8" s="57" t="str">
        <x:f>IF(COUNTA(A8:K8)=0,"",IF(K8="CANCELLED","CANCELLED",IF(A8="","INVOICE ID REQUIRED",IF(B8="","PROJECT ID REQUIRED",IF(NOT(ISNUMBER(C8)),"INVALID INVOICE DATE",IF(NOT(AND(ISNUMBER(C8),C8&gt;=2,C8&lt;=2958465,C8=INT(C8))),"INVALID INVOICE DATE",IF(NOT(OR(D8="MX",D8="US")),"ENTITY REQUIRED",IF(NOT(OR(E8="Strategic Services",E8="Brands")),"UNIT REQUIRED",IF(F8="","BRAND / N/A REQUIRED",IF(NOT(OR(G8="USD",G8="MXN")),"CURRENCY REQUIRED",IF(NOT(ISNUMBER(H8)),"AMOUNT REQUIRED",IF(J8="","ERP SOURCE REQUIRED",IF(NOT(OR(K8="ISSUED",K8="CANCELLED")),"INVOICE STATUS REQUIRED",IF(COUNTIFS($A$2:$A$501,A8,$B$2:$B$501,B8,$D$2:$D$501,D8)&gt;1,"DUPLICATE INVOICE / PROJECT",IF(AND(G8="MXN",NOT(AND(ISNUMBER(I8),Settings!$B$8="APPROVED",Settings!$B$9&lt;&gt;"",Settings!$B$10&lt;&gt;""))),"FX HOLD","VALID")))))))))))))))</x:f>
      </x:c>
      <x:c r="M8" s="57" t="str">
        <x:f>IF(ISNUMBER(C8),IF(AND(ISNUMBER(C8),C8&gt;=2,C8&lt;=2958465,C8=INT(C8)),TEXT(C8,"yyyy-mm"),""),"")</x:f>
      </x:c>
      <x:c r="N8" s="59" t="str">
        <x:f>IF(L8="VALID",IF(G8="USD",H8,I8),"")</x:f>
      </x:c>
      <x:c r="O8" s="57" t="n">
        <x:f>IF(L8="VALID",IF(COUNTIFS($B$2:B8,B8,$M$2:M8,M8,$L$2:L8,"VALID")=1,1,0),0)</x:f>
        <x:v>0</x:v>
      </x:c>
      <x:c r="P8" s="61" t="str">
        <x:v>This is imported operational invoice information, not accounts receivable, collections or payment management.</x:v>
      </x:c>
      <x:c r="Q8" s="61"/>
      <x:c r="R8" s="61"/>
      <x:c r="S8" s="61"/>
      <x:c r="T8" s="61"/>
      <x:c r="U8" s="61"/>
    </x:row>
    <x:row r="9">
      <x:c r="A9" s="47"/>
      <x:c r="B9" s="47"/>
      <x:c r="C9" s="58"/>
      <x:c r="D9" s="47"/>
      <x:c r="E9" s="47"/>
      <x:c r="F9" s="47"/>
      <x:c r="G9" s="47"/>
      <x:c r="H9" s="48"/>
      <x:c r="I9" s="48"/>
      <x:c r="J9" s="47"/>
      <x:c r="K9" s="47"/>
      <x:c r="L9" s="57" t="str">
        <x:f>IF(COUNTA(A9:K9)=0,"",IF(K9="CANCELLED","CANCELLED",IF(A9="","INVOICE ID REQUIRED",IF(B9="","PROJECT ID REQUIRED",IF(NOT(ISNUMBER(C9)),"INVALID INVOICE DATE",IF(NOT(AND(ISNUMBER(C9),C9&gt;=2,C9&lt;=2958465,C9=INT(C9))),"INVALID INVOICE DATE",IF(NOT(OR(D9="MX",D9="US")),"ENTITY REQUIRED",IF(NOT(OR(E9="Strategic Services",E9="Brands")),"UNIT REQUIRED",IF(F9="","BRAND / N/A REQUIRED",IF(NOT(OR(G9="USD",G9="MXN")),"CURRENCY REQUIRED",IF(NOT(ISNUMBER(H9)),"AMOUNT REQUIRED",IF(J9="","ERP SOURCE REQUIRED",IF(NOT(OR(K9="ISSUED",K9="CANCELLED")),"INVOICE STATUS REQUIRED",IF(COUNTIFS($A$2:$A$501,A9,$B$2:$B$501,B9,$D$2:$D$501,D9)&gt;1,"DUPLICATE INVOICE / PROJECT",IF(AND(G9="MXN",NOT(AND(ISNUMBER(I9),Settings!$B$8="APPROVED",Settings!$B$9&lt;&gt;"",Settings!$B$10&lt;&gt;""))),"FX HOLD","VALID")))))))))))))))</x:f>
      </x:c>
      <x:c r="M9" s="57" t="str">
        <x:f>IF(ISNUMBER(C9),IF(AND(ISNUMBER(C9),C9&gt;=2,C9&lt;=2958465,C9=INT(C9)),TEXT(C9,"yyyy-mm"),""),"")</x:f>
      </x:c>
      <x:c r="N9" s="59" t="str">
        <x:f>IF(L9="VALID",IF(G9="USD",H9,I9),"")</x:f>
      </x:c>
      <x:c r="O9" s="57" t="n">
        <x:f>IF(L9="VALID",IF(COUNTIFS($B$2:B9,B9,$M$2:M9,M9,$L$2:L9,"VALID")=1,1,0),0)</x:f>
        <x:v>0</x:v>
      </x:c>
    </x:row>
    <x:row r="10">
      <x:c r="A10" s="47"/>
      <x:c r="B10" s="47"/>
      <x:c r="C10" s="58"/>
      <x:c r="D10" s="47"/>
      <x:c r="E10" s="47"/>
      <x:c r="F10" s="47"/>
      <x:c r="G10" s="47"/>
      <x:c r="H10" s="48"/>
      <x:c r="I10" s="48"/>
      <x:c r="J10" s="47"/>
      <x:c r="K10" s="47"/>
      <x:c r="L10" s="57" t="str">
        <x:f>IF(COUNTA(A10:K10)=0,"",IF(K10="CANCELLED","CANCELLED",IF(A10="","INVOICE ID REQUIRED",IF(B10="","PROJECT ID REQUIRED",IF(NOT(ISNUMBER(C10)),"INVALID INVOICE DATE",IF(NOT(AND(ISNUMBER(C10),C10&gt;=2,C10&lt;=2958465,C10=INT(C10))),"INVALID INVOICE DATE",IF(NOT(OR(D10="MX",D10="US")),"ENTITY REQUIRED",IF(NOT(OR(E10="Strategic Services",E10="Brands")),"UNIT REQUIRED",IF(F10="","BRAND / N/A REQUIRED",IF(NOT(OR(G10="USD",G10="MXN")),"CURRENCY REQUIRED",IF(NOT(ISNUMBER(H10)),"AMOUNT REQUIRED",IF(J10="","ERP SOURCE REQUIRED",IF(NOT(OR(K10="ISSUED",K10="CANCELLED")),"INVOICE STATUS REQUIRED",IF(COUNTIFS($A$2:$A$501,A10,$B$2:$B$501,B10,$D$2:$D$501,D10)&gt;1,"DUPLICATE INVOICE / PROJECT",IF(AND(G10="MXN",NOT(AND(ISNUMBER(I10),Settings!$B$8="APPROVED",Settings!$B$9&lt;&gt;"",Settings!$B$10&lt;&gt;""))),"FX HOLD","VALID")))))))))))))))</x:f>
      </x:c>
      <x:c r="M10" s="57" t="str">
        <x:f>IF(ISNUMBER(C10),IF(AND(ISNUMBER(C10),C10&gt;=2,C10&lt;=2958465,C10=INT(C10)),TEXT(C10,"yyyy-mm"),""),"")</x:f>
      </x:c>
      <x:c r="N10" s="59" t="str">
        <x:f>IF(L10="VALID",IF(G10="USD",H10,I10),"")</x:f>
      </x:c>
      <x:c r="O10" s="57" t="n">
        <x:f>IF(L10="VALID",IF(COUNTIFS($B$2:B10,B10,$M$2:M10,M10,$L$2:L10,"VALID")=1,1,0),0)</x:f>
        <x:v>0</x:v>
      </x:c>
    </x:row>
    <x:row r="11">
      <x:c r="A11" s="47"/>
      <x:c r="B11" s="47"/>
      <x:c r="C11" s="58"/>
      <x:c r="D11" s="47"/>
      <x:c r="E11" s="47"/>
      <x:c r="F11" s="47"/>
      <x:c r="G11" s="47"/>
      <x:c r="H11" s="48"/>
      <x:c r="I11" s="48"/>
      <x:c r="J11" s="47"/>
      <x:c r="K11" s="47"/>
      <x:c r="L11" s="57" t="str">
        <x:f>IF(COUNTA(A11:K11)=0,"",IF(K11="CANCELLED","CANCELLED",IF(A11="","INVOICE ID REQUIRED",IF(B11="","PROJECT ID REQUIRED",IF(NOT(ISNUMBER(C11)),"INVALID INVOICE DATE",IF(NOT(AND(ISNUMBER(C11),C11&gt;=2,C11&lt;=2958465,C11=INT(C11))),"INVALID INVOICE DATE",IF(NOT(OR(D11="MX",D11="US")),"ENTITY REQUIRED",IF(NOT(OR(E11="Strategic Services",E11="Brands")),"UNIT REQUIRED",IF(F11="","BRAND / N/A REQUIRED",IF(NOT(OR(G11="USD",G11="MXN")),"CURRENCY REQUIRED",IF(NOT(ISNUMBER(H11)),"AMOUNT REQUIRED",IF(J11="","ERP SOURCE REQUIRED",IF(NOT(OR(K11="ISSUED",K11="CANCELLED")),"INVOICE STATUS REQUIRED",IF(COUNTIFS($A$2:$A$501,A11,$B$2:$B$501,B11,$D$2:$D$501,D11)&gt;1,"DUPLICATE INVOICE / PROJECT",IF(AND(G11="MXN",NOT(AND(ISNUMBER(I11),Settings!$B$8="APPROVED",Settings!$B$9&lt;&gt;"",Settings!$B$10&lt;&gt;""))),"FX HOLD","VALID")))))))))))))))</x:f>
      </x:c>
      <x:c r="M11" s="57" t="str">
        <x:f>IF(ISNUMBER(C11),IF(AND(ISNUMBER(C11),C11&gt;=2,C11&lt;=2958465,C11=INT(C11)),TEXT(C11,"yyyy-mm"),""),"")</x:f>
      </x:c>
      <x:c r="N11" s="59" t="str">
        <x:f>IF(L11="VALID",IF(G11="USD",H11,I11),"")</x:f>
      </x:c>
      <x:c r="O11" s="57" t="n">
        <x:f>IF(L11="VALID",IF(COUNTIFS($B$2:B11,B11,$M$2:M11,M11,$L$2:L11,"VALID")=1,1,0),0)</x:f>
        <x:v>0</x:v>
      </x:c>
    </x:row>
    <x:row r="12">
      <x:c r="A12" s="47"/>
      <x:c r="B12" s="47"/>
      <x:c r="C12" s="58"/>
      <x:c r="D12" s="47"/>
      <x:c r="E12" s="47"/>
      <x:c r="F12" s="47"/>
      <x:c r="G12" s="47"/>
      <x:c r="H12" s="48"/>
      <x:c r="I12" s="48"/>
      <x:c r="J12" s="47"/>
      <x:c r="K12" s="47"/>
      <x:c r="L12" s="57" t="str">
        <x:f>IF(COUNTA(A12:K12)=0,"",IF(K12="CANCELLED","CANCELLED",IF(A12="","INVOICE ID REQUIRED",IF(B12="","PROJECT ID REQUIRED",IF(NOT(ISNUMBER(C12)),"INVALID INVOICE DATE",IF(NOT(AND(ISNUMBER(C12),C12&gt;=2,C12&lt;=2958465,C12=INT(C12))),"INVALID INVOICE DATE",IF(NOT(OR(D12="MX",D12="US")),"ENTITY REQUIRED",IF(NOT(OR(E12="Strategic Services",E12="Brands")),"UNIT REQUIRED",IF(F12="","BRAND / N/A REQUIRED",IF(NOT(OR(G12="USD",G12="MXN")),"CURRENCY REQUIRED",IF(NOT(ISNUMBER(H12)),"AMOUNT REQUIRED",IF(J12="","ERP SOURCE REQUIRED",IF(NOT(OR(K12="ISSUED",K12="CANCELLED")),"INVOICE STATUS REQUIRED",IF(COUNTIFS($A$2:$A$501,A12,$B$2:$B$501,B12,$D$2:$D$501,D12)&gt;1,"DUPLICATE INVOICE / PROJECT",IF(AND(G12="MXN",NOT(AND(ISNUMBER(I12),Settings!$B$8="APPROVED",Settings!$B$9&lt;&gt;"",Settings!$B$10&lt;&gt;""))),"FX HOLD","VALID")))))))))))))))</x:f>
      </x:c>
      <x:c r="M12" s="57" t="str">
        <x:f>IF(ISNUMBER(C12),IF(AND(ISNUMBER(C12),C12&gt;=2,C12&lt;=2958465,C12=INT(C12)),TEXT(C12,"yyyy-mm"),""),"")</x:f>
      </x:c>
      <x:c r="N12" s="59" t="str">
        <x:f>IF(L12="VALID",IF(G12="USD",H12,I12),"")</x:f>
      </x:c>
      <x:c r="O12" s="57" t="n">
        <x:f>IF(L12="VALID",IF(COUNTIFS($B$2:B12,B12,$M$2:M12,M12,$L$2:L12,"VALID")=1,1,0),0)</x:f>
        <x:v>0</x:v>
      </x:c>
    </x:row>
    <x:row r="13">
      <x:c r="A13" s="47"/>
      <x:c r="B13" s="47"/>
      <x:c r="C13" s="58"/>
      <x:c r="D13" s="47"/>
      <x:c r="E13" s="47"/>
      <x:c r="F13" s="47"/>
      <x:c r="G13" s="47"/>
      <x:c r="H13" s="48"/>
      <x:c r="I13" s="48"/>
      <x:c r="J13" s="47"/>
      <x:c r="K13" s="47"/>
      <x:c r="L13" s="57" t="str">
        <x:f>IF(COUNTA(A13:K13)=0,"",IF(K13="CANCELLED","CANCELLED",IF(A13="","INVOICE ID REQUIRED",IF(B13="","PROJECT ID REQUIRED",IF(NOT(ISNUMBER(C13)),"INVALID INVOICE DATE",IF(NOT(AND(ISNUMBER(C13),C13&gt;=2,C13&lt;=2958465,C13=INT(C13))),"INVALID INVOICE DATE",IF(NOT(OR(D13="MX",D13="US")),"ENTITY REQUIRED",IF(NOT(OR(E13="Strategic Services",E13="Brands")),"UNIT REQUIRED",IF(F13="","BRAND / N/A REQUIRED",IF(NOT(OR(G13="USD",G13="MXN")),"CURRENCY REQUIRED",IF(NOT(ISNUMBER(H13)),"AMOUNT REQUIRED",IF(J13="","ERP SOURCE REQUIRED",IF(NOT(OR(K13="ISSUED",K13="CANCELLED")),"INVOICE STATUS REQUIRED",IF(COUNTIFS($A$2:$A$501,A13,$B$2:$B$501,B13,$D$2:$D$501,D13)&gt;1,"DUPLICATE INVOICE / PROJECT",IF(AND(G13="MXN",NOT(AND(ISNUMBER(I13),Settings!$B$8="APPROVED",Settings!$B$9&lt;&gt;"",Settings!$B$10&lt;&gt;""))),"FX HOLD","VALID")))))))))))))))</x:f>
      </x:c>
      <x:c r="M13" s="57" t="str">
        <x:f>IF(ISNUMBER(C13),IF(AND(ISNUMBER(C13),C13&gt;=2,C13&lt;=2958465,C13=INT(C13)),TEXT(C13,"yyyy-mm"),""),"")</x:f>
      </x:c>
      <x:c r="N13" s="59" t="str">
        <x:f>IF(L13="VALID",IF(G13="USD",H13,I13),"")</x:f>
      </x:c>
      <x:c r="O13" s="57" t="n">
        <x:f>IF(L13="VALID",IF(COUNTIFS($B$2:B13,B13,$M$2:M13,M13,$L$2:L13,"VALID")=1,1,0),0)</x:f>
        <x:v>0</x:v>
      </x:c>
    </x:row>
    <x:row r="14">
      <x:c r="A14" s="47"/>
      <x:c r="B14" s="47"/>
      <x:c r="C14" s="58"/>
      <x:c r="D14" s="47"/>
      <x:c r="E14" s="47"/>
      <x:c r="F14" s="47"/>
      <x:c r="G14" s="47"/>
      <x:c r="H14" s="48"/>
      <x:c r="I14" s="48"/>
      <x:c r="J14" s="47"/>
      <x:c r="K14" s="47"/>
      <x:c r="L14" s="57" t="str">
        <x:f>IF(COUNTA(A14:K14)=0,"",IF(K14="CANCELLED","CANCELLED",IF(A14="","INVOICE ID REQUIRED",IF(B14="","PROJECT ID REQUIRED",IF(NOT(ISNUMBER(C14)),"INVALID INVOICE DATE",IF(NOT(AND(ISNUMBER(C14),C14&gt;=2,C14&lt;=2958465,C14=INT(C14))),"INVALID INVOICE DATE",IF(NOT(OR(D14="MX",D14="US")),"ENTITY REQUIRED",IF(NOT(OR(E14="Strategic Services",E14="Brands")),"UNIT REQUIRED",IF(F14="","BRAND / N/A REQUIRED",IF(NOT(OR(G14="USD",G14="MXN")),"CURRENCY REQUIRED",IF(NOT(ISNUMBER(H14)),"AMOUNT REQUIRED",IF(J14="","ERP SOURCE REQUIRED",IF(NOT(OR(K14="ISSUED",K14="CANCELLED")),"INVOICE STATUS REQUIRED",IF(COUNTIFS($A$2:$A$501,A14,$B$2:$B$501,B14,$D$2:$D$501,D14)&gt;1,"DUPLICATE INVOICE / PROJECT",IF(AND(G14="MXN",NOT(AND(ISNUMBER(I14),Settings!$B$8="APPROVED",Settings!$B$9&lt;&gt;"",Settings!$B$10&lt;&gt;""))),"FX HOLD","VALID")))))))))))))))</x:f>
      </x:c>
      <x:c r="M14" s="57" t="str">
        <x:f>IF(ISNUMBER(C14),IF(AND(ISNUMBER(C14),C14&gt;=2,C14&lt;=2958465,C14=INT(C14)),TEXT(C14,"yyyy-mm"),""),"")</x:f>
      </x:c>
      <x:c r="N14" s="59" t="str">
        <x:f>IF(L14="VALID",IF(G14="USD",H14,I14),"")</x:f>
      </x:c>
      <x:c r="O14" s="57" t="n">
        <x:f>IF(L14="VALID",IF(COUNTIFS($B$2:B14,B14,$M$2:M14,M14,$L$2:L14,"VALID")=1,1,0),0)</x:f>
        <x:v>0</x:v>
      </x:c>
    </x:row>
    <x:row r="15">
      <x:c r="A15" s="47"/>
      <x:c r="B15" s="47"/>
      <x:c r="C15" s="58"/>
      <x:c r="D15" s="47"/>
      <x:c r="E15" s="47"/>
      <x:c r="F15" s="47"/>
      <x:c r="G15" s="47"/>
      <x:c r="H15" s="48"/>
      <x:c r="I15" s="48"/>
      <x:c r="J15" s="47"/>
      <x:c r="K15" s="47"/>
      <x:c r="L15" s="57" t="str">
        <x:f>IF(COUNTA(A15:K15)=0,"",IF(K15="CANCELLED","CANCELLED",IF(A15="","INVOICE ID REQUIRED",IF(B15="","PROJECT ID REQUIRED",IF(NOT(ISNUMBER(C15)),"INVALID INVOICE DATE",IF(NOT(AND(ISNUMBER(C15),C15&gt;=2,C15&lt;=2958465,C15=INT(C15))),"INVALID INVOICE DATE",IF(NOT(OR(D15="MX",D15="US")),"ENTITY REQUIRED",IF(NOT(OR(E15="Strategic Services",E15="Brands")),"UNIT REQUIRED",IF(F15="","BRAND / N/A REQUIRED",IF(NOT(OR(G15="USD",G15="MXN")),"CURRENCY REQUIRED",IF(NOT(ISNUMBER(H15)),"AMOUNT REQUIRED",IF(J15="","ERP SOURCE REQUIRED",IF(NOT(OR(K15="ISSUED",K15="CANCELLED")),"INVOICE STATUS REQUIRED",IF(COUNTIFS($A$2:$A$501,A15,$B$2:$B$501,B15,$D$2:$D$501,D15)&gt;1,"DUPLICATE INVOICE / PROJECT",IF(AND(G15="MXN",NOT(AND(ISNUMBER(I15),Settings!$B$8="APPROVED",Settings!$B$9&lt;&gt;"",Settings!$B$10&lt;&gt;""))),"FX HOLD","VALID")))))))))))))))</x:f>
      </x:c>
      <x:c r="M15" s="57" t="str">
        <x:f>IF(ISNUMBER(C15),IF(AND(ISNUMBER(C15),C15&gt;=2,C15&lt;=2958465,C15=INT(C15)),TEXT(C15,"yyyy-mm"),""),"")</x:f>
      </x:c>
      <x:c r="N15" s="59" t="str">
        <x:f>IF(L15="VALID",IF(G15="USD",H15,I15),"")</x:f>
      </x:c>
      <x:c r="O15" s="57" t="n">
        <x:f>IF(L15="VALID",IF(COUNTIFS($B$2:B15,B15,$M$2:M15,M15,$L$2:L15,"VALID")=1,1,0),0)</x:f>
        <x:v>0</x:v>
      </x:c>
    </x:row>
    <x:row r="16">
      <x:c r="A16" s="47"/>
      <x:c r="B16" s="47"/>
      <x:c r="C16" s="58"/>
      <x:c r="D16" s="47"/>
      <x:c r="E16" s="47"/>
      <x:c r="F16" s="47"/>
      <x:c r="G16" s="47"/>
      <x:c r="H16" s="48"/>
      <x:c r="I16" s="48"/>
      <x:c r="J16" s="47"/>
      <x:c r="K16" s="47"/>
      <x:c r="L16" s="57" t="str">
        <x:f>IF(COUNTA(A16:K16)=0,"",IF(K16="CANCELLED","CANCELLED",IF(A16="","INVOICE ID REQUIRED",IF(B16="","PROJECT ID REQUIRED",IF(NOT(ISNUMBER(C16)),"INVALID INVOICE DATE",IF(NOT(AND(ISNUMBER(C16),C16&gt;=2,C16&lt;=2958465,C16=INT(C16))),"INVALID INVOICE DATE",IF(NOT(OR(D16="MX",D16="US")),"ENTITY REQUIRED",IF(NOT(OR(E16="Strategic Services",E16="Brands")),"UNIT REQUIRED",IF(F16="","BRAND / N/A REQUIRED",IF(NOT(OR(G16="USD",G16="MXN")),"CURRENCY REQUIRED",IF(NOT(ISNUMBER(H16)),"AMOUNT REQUIRED",IF(J16="","ERP SOURCE REQUIRED",IF(NOT(OR(K16="ISSUED",K16="CANCELLED")),"INVOICE STATUS REQUIRED",IF(COUNTIFS($A$2:$A$501,A16,$B$2:$B$501,B16,$D$2:$D$501,D16)&gt;1,"DUPLICATE INVOICE / PROJECT",IF(AND(G16="MXN",NOT(AND(ISNUMBER(I16),Settings!$B$8="APPROVED",Settings!$B$9&lt;&gt;"",Settings!$B$10&lt;&gt;""))),"FX HOLD","VALID")))))))))))))))</x:f>
      </x:c>
      <x:c r="M16" s="57" t="str">
        <x:f>IF(ISNUMBER(C16),IF(AND(ISNUMBER(C16),C16&gt;=2,C16&lt;=2958465,C16=INT(C16)),TEXT(C16,"yyyy-mm"),""),"")</x:f>
      </x:c>
      <x:c r="N16" s="59" t="str">
        <x:f>IF(L16="VALID",IF(G16="USD",H16,I16),"")</x:f>
      </x:c>
      <x:c r="O16" s="57" t="n">
        <x:f>IF(L16="VALID",IF(COUNTIFS($B$2:B16,B16,$M$2:M16,M16,$L$2:L16,"VALID")=1,1,0),0)</x:f>
        <x:v>0</x:v>
      </x:c>
    </x:row>
    <x:row r="17">
      <x:c r="A17" s="47"/>
      <x:c r="B17" s="47"/>
      <x:c r="C17" s="58"/>
      <x:c r="D17" s="47"/>
      <x:c r="E17" s="47"/>
      <x:c r="F17" s="47"/>
      <x:c r="G17" s="47"/>
      <x:c r="H17" s="48"/>
      <x:c r="I17" s="48"/>
      <x:c r="J17" s="47"/>
      <x:c r="K17" s="47"/>
      <x:c r="L17" s="57" t="str">
        <x:f>IF(COUNTA(A17:K17)=0,"",IF(K17="CANCELLED","CANCELLED",IF(A17="","INVOICE ID REQUIRED",IF(B17="","PROJECT ID REQUIRED",IF(NOT(ISNUMBER(C17)),"INVALID INVOICE DATE",IF(NOT(AND(ISNUMBER(C17),C17&gt;=2,C17&lt;=2958465,C17=INT(C17))),"INVALID INVOICE DATE",IF(NOT(OR(D17="MX",D17="US")),"ENTITY REQUIRED",IF(NOT(OR(E17="Strategic Services",E17="Brands")),"UNIT REQUIRED",IF(F17="","BRAND / N/A REQUIRED",IF(NOT(OR(G17="USD",G17="MXN")),"CURRENCY REQUIRED",IF(NOT(ISNUMBER(H17)),"AMOUNT REQUIRED",IF(J17="","ERP SOURCE REQUIRED",IF(NOT(OR(K17="ISSUED",K17="CANCELLED")),"INVOICE STATUS REQUIRED",IF(COUNTIFS($A$2:$A$501,A17,$B$2:$B$501,B17,$D$2:$D$501,D17)&gt;1,"DUPLICATE INVOICE / PROJECT",IF(AND(G17="MXN",NOT(AND(ISNUMBER(I17),Settings!$B$8="APPROVED",Settings!$B$9&lt;&gt;"",Settings!$B$10&lt;&gt;""))),"FX HOLD","VALID")))))))))))))))</x:f>
      </x:c>
      <x:c r="M17" s="57" t="str">
        <x:f>IF(ISNUMBER(C17),IF(AND(ISNUMBER(C17),C17&gt;=2,C17&lt;=2958465,C17=INT(C17)),TEXT(C17,"yyyy-mm"),""),"")</x:f>
      </x:c>
      <x:c r="N17" s="59" t="str">
        <x:f>IF(L17="VALID",IF(G17="USD",H17,I17),"")</x:f>
      </x:c>
      <x:c r="O17" s="57" t="n">
        <x:f>IF(L17="VALID",IF(COUNTIFS($B$2:B17,B17,$M$2:M17,M17,$L$2:L17,"VALID")=1,1,0),0)</x:f>
        <x:v>0</x:v>
      </x:c>
    </x:row>
    <x:row r="18">
      <x:c r="A18" s="47"/>
      <x:c r="B18" s="47"/>
      <x:c r="C18" s="58"/>
      <x:c r="D18" s="47"/>
      <x:c r="E18" s="47"/>
      <x:c r="F18" s="47"/>
      <x:c r="G18" s="47"/>
      <x:c r="H18" s="48"/>
      <x:c r="I18" s="48"/>
      <x:c r="J18" s="47"/>
      <x:c r="K18" s="47"/>
      <x:c r="L18" s="57" t="str">
        <x:f>IF(COUNTA(A18:K18)=0,"",IF(K18="CANCELLED","CANCELLED",IF(A18="","INVOICE ID REQUIRED",IF(B18="","PROJECT ID REQUIRED",IF(NOT(ISNUMBER(C18)),"INVALID INVOICE DATE",IF(NOT(AND(ISNUMBER(C18),C18&gt;=2,C18&lt;=2958465,C18=INT(C18))),"INVALID INVOICE DATE",IF(NOT(OR(D18="MX",D18="US")),"ENTITY REQUIRED",IF(NOT(OR(E18="Strategic Services",E18="Brands")),"UNIT REQUIRED",IF(F18="","BRAND / N/A REQUIRED",IF(NOT(OR(G18="USD",G18="MXN")),"CURRENCY REQUIRED",IF(NOT(ISNUMBER(H18)),"AMOUNT REQUIRED",IF(J18="","ERP SOURCE REQUIRED",IF(NOT(OR(K18="ISSUED",K18="CANCELLED")),"INVOICE STATUS REQUIRED",IF(COUNTIFS($A$2:$A$501,A18,$B$2:$B$501,B18,$D$2:$D$501,D18)&gt;1,"DUPLICATE INVOICE / PROJECT",IF(AND(G18="MXN",NOT(AND(ISNUMBER(I18),Settings!$B$8="APPROVED",Settings!$B$9&lt;&gt;"",Settings!$B$10&lt;&gt;""))),"FX HOLD","VALID")))))))))))))))</x:f>
      </x:c>
      <x:c r="M18" s="57" t="str">
        <x:f>IF(ISNUMBER(C18),IF(AND(ISNUMBER(C18),C18&gt;=2,C18&lt;=2958465,C18=INT(C18)),TEXT(C18,"yyyy-mm"),""),"")</x:f>
      </x:c>
      <x:c r="N18" s="59" t="str">
        <x:f>IF(L18="VALID",IF(G18="USD",H18,I18),"")</x:f>
      </x:c>
      <x:c r="O18" s="57" t="n">
        <x:f>IF(L18="VALID",IF(COUNTIFS($B$2:B18,B18,$M$2:M18,M18,$L$2:L18,"VALID")=1,1,0),0)</x:f>
        <x:v>0</x:v>
      </x:c>
    </x:row>
    <x:row r="19">
      <x:c r="A19" s="47"/>
      <x:c r="B19" s="47"/>
      <x:c r="C19" s="58"/>
      <x:c r="D19" s="47"/>
      <x:c r="E19" s="47"/>
      <x:c r="F19" s="47"/>
      <x:c r="G19" s="47"/>
      <x:c r="H19" s="48"/>
      <x:c r="I19" s="48"/>
      <x:c r="J19" s="47"/>
      <x:c r="K19" s="47"/>
      <x:c r="L19" s="57" t="str">
        <x:f>IF(COUNTA(A19:K19)=0,"",IF(K19="CANCELLED","CANCELLED",IF(A19="","INVOICE ID REQUIRED",IF(B19="","PROJECT ID REQUIRED",IF(NOT(ISNUMBER(C19)),"INVALID INVOICE DATE",IF(NOT(AND(ISNUMBER(C19),C19&gt;=2,C19&lt;=2958465,C19=INT(C19))),"INVALID INVOICE DATE",IF(NOT(OR(D19="MX",D19="US")),"ENTITY REQUIRED",IF(NOT(OR(E19="Strategic Services",E19="Brands")),"UNIT REQUIRED",IF(F19="","BRAND / N/A REQUIRED",IF(NOT(OR(G19="USD",G19="MXN")),"CURRENCY REQUIRED",IF(NOT(ISNUMBER(H19)),"AMOUNT REQUIRED",IF(J19="","ERP SOURCE REQUIRED",IF(NOT(OR(K19="ISSUED",K19="CANCELLED")),"INVOICE STATUS REQUIRED",IF(COUNTIFS($A$2:$A$501,A19,$B$2:$B$501,B19,$D$2:$D$501,D19)&gt;1,"DUPLICATE INVOICE / PROJECT",IF(AND(G19="MXN",NOT(AND(ISNUMBER(I19),Settings!$B$8="APPROVED",Settings!$B$9&lt;&gt;"",Settings!$B$10&lt;&gt;""))),"FX HOLD","VALID")))))))))))))))</x:f>
      </x:c>
      <x:c r="M19" s="57" t="str">
        <x:f>IF(ISNUMBER(C19),IF(AND(ISNUMBER(C19),C19&gt;=2,C19&lt;=2958465,C19=INT(C19)),TEXT(C19,"yyyy-mm"),""),"")</x:f>
      </x:c>
      <x:c r="N19" s="59" t="str">
        <x:f>IF(L19="VALID",IF(G19="USD",H19,I19),"")</x:f>
      </x:c>
      <x:c r="O19" s="57" t="n">
        <x:f>IF(L19="VALID",IF(COUNTIFS($B$2:B19,B19,$M$2:M19,M19,$L$2:L19,"VALID")=1,1,0),0)</x:f>
        <x:v>0</x:v>
      </x:c>
    </x:row>
    <x:row r="20">
      <x:c r="A20" s="47"/>
      <x:c r="B20" s="47"/>
      <x:c r="C20" s="58"/>
      <x:c r="D20" s="47"/>
      <x:c r="E20" s="47"/>
      <x:c r="F20" s="47"/>
      <x:c r="G20" s="47"/>
      <x:c r="H20" s="48"/>
      <x:c r="I20" s="48"/>
      <x:c r="J20" s="47"/>
      <x:c r="K20" s="47"/>
      <x:c r="L20" s="57" t="str">
        <x:f>IF(COUNTA(A20:K20)=0,"",IF(K20="CANCELLED","CANCELLED",IF(A20="","INVOICE ID REQUIRED",IF(B20="","PROJECT ID REQUIRED",IF(NOT(ISNUMBER(C20)),"INVALID INVOICE DATE",IF(NOT(AND(ISNUMBER(C20),C20&gt;=2,C20&lt;=2958465,C20=INT(C20))),"INVALID INVOICE DATE",IF(NOT(OR(D20="MX",D20="US")),"ENTITY REQUIRED",IF(NOT(OR(E20="Strategic Services",E20="Brands")),"UNIT REQUIRED",IF(F20="","BRAND / N/A REQUIRED",IF(NOT(OR(G20="USD",G20="MXN")),"CURRENCY REQUIRED",IF(NOT(ISNUMBER(H20)),"AMOUNT REQUIRED",IF(J20="","ERP SOURCE REQUIRED",IF(NOT(OR(K20="ISSUED",K20="CANCELLED")),"INVOICE STATUS REQUIRED",IF(COUNTIFS($A$2:$A$501,A20,$B$2:$B$501,B20,$D$2:$D$501,D20)&gt;1,"DUPLICATE INVOICE / PROJECT",IF(AND(G20="MXN",NOT(AND(ISNUMBER(I20),Settings!$B$8="APPROVED",Settings!$B$9&lt;&gt;"",Settings!$B$10&lt;&gt;""))),"FX HOLD","VALID")))))))))))))))</x:f>
      </x:c>
      <x:c r="M20" s="57" t="str">
        <x:f>IF(ISNUMBER(C20),IF(AND(ISNUMBER(C20),C20&gt;=2,C20&lt;=2958465,C20=INT(C20)),TEXT(C20,"yyyy-mm"),""),"")</x:f>
      </x:c>
      <x:c r="N20" s="59" t="str">
        <x:f>IF(L20="VALID",IF(G20="USD",H20,I20),"")</x:f>
      </x:c>
      <x:c r="O20" s="57" t="n">
        <x:f>IF(L20="VALID",IF(COUNTIFS($B$2:B20,B20,$M$2:M20,M20,$L$2:L20,"VALID")=1,1,0),0)</x:f>
        <x:v>0</x:v>
      </x:c>
    </x:row>
    <x:row r="21">
      <x:c r="A21" s="47"/>
      <x:c r="B21" s="47"/>
      <x:c r="C21" s="58"/>
      <x:c r="D21" s="47"/>
      <x:c r="E21" s="47"/>
      <x:c r="F21" s="47"/>
      <x:c r="G21" s="47"/>
      <x:c r="H21" s="48"/>
      <x:c r="I21" s="48"/>
      <x:c r="J21" s="47"/>
      <x:c r="K21" s="47"/>
      <x:c r="L21" s="57" t="str">
        <x:f>IF(COUNTA(A21:K21)=0,"",IF(K21="CANCELLED","CANCELLED",IF(A21="","INVOICE ID REQUIRED",IF(B21="","PROJECT ID REQUIRED",IF(NOT(ISNUMBER(C21)),"INVALID INVOICE DATE",IF(NOT(AND(ISNUMBER(C21),C21&gt;=2,C21&lt;=2958465,C21=INT(C21))),"INVALID INVOICE DATE",IF(NOT(OR(D21="MX",D21="US")),"ENTITY REQUIRED",IF(NOT(OR(E21="Strategic Services",E21="Brands")),"UNIT REQUIRED",IF(F21="","BRAND / N/A REQUIRED",IF(NOT(OR(G21="USD",G21="MXN")),"CURRENCY REQUIRED",IF(NOT(ISNUMBER(H21)),"AMOUNT REQUIRED",IF(J21="","ERP SOURCE REQUIRED",IF(NOT(OR(K21="ISSUED",K21="CANCELLED")),"INVOICE STATUS REQUIRED",IF(COUNTIFS($A$2:$A$501,A21,$B$2:$B$501,B21,$D$2:$D$501,D21)&gt;1,"DUPLICATE INVOICE / PROJECT",IF(AND(G21="MXN",NOT(AND(ISNUMBER(I21),Settings!$B$8="APPROVED",Settings!$B$9&lt;&gt;"",Settings!$B$10&lt;&gt;""))),"FX HOLD","VALID")))))))))))))))</x:f>
      </x:c>
      <x:c r="M21" s="57" t="str">
        <x:f>IF(ISNUMBER(C21),IF(AND(ISNUMBER(C21),C21&gt;=2,C21&lt;=2958465,C21=INT(C21)),TEXT(C21,"yyyy-mm"),""),"")</x:f>
      </x:c>
      <x:c r="N21" s="59" t="str">
        <x:f>IF(L21="VALID",IF(G21="USD",H21,I21),"")</x:f>
      </x:c>
      <x:c r="O21" s="57" t="n">
        <x:f>IF(L21="VALID",IF(COUNTIFS($B$2:B21,B21,$M$2:M21,M21,$L$2:L21,"VALID")=1,1,0),0)</x:f>
        <x:v>0</x:v>
      </x:c>
    </x:row>
    <x:row r="22">
      <x:c r="A22" s="47"/>
      <x:c r="B22" s="47"/>
      <x:c r="C22" s="58"/>
      <x:c r="D22" s="47"/>
      <x:c r="E22" s="47"/>
      <x:c r="F22" s="47"/>
      <x:c r="G22" s="47"/>
      <x:c r="H22" s="48"/>
      <x:c r="I22" s="48"/>
      <x:c r="J22" s="47"/>
      <x:c r="K22" s="47"/>
      <x:c r="L22" s="57" t="str">
        <x:f>IF(COUNTA(A22:K22)=0,"",IF(K22="CANCELLED","CANCELLED",IF(A22="","INVOICE ID REQUIRED",IF(B22="","PROJECT ID REQUIRED",IF(NOT(ISNUMBER(C22)),"INVALID INVOICE DATE",IF(NOT(AND(ISNUMBER(C22),C22&gt;=2,C22&lt;=2958465,C22=INT(C22))),"INVALID INVOICE DATE",IF(NOT(OR(D22="MX",D22="US")),"ENTITY REQUIRED",IF(NOT(OR(E22="Strategic Services",E22="Brands")),"UNIT REQUIRED",IF(F22="","BRAND / N/A REQUIRED",IF(NOT(OR(G22="USD",G22="MXN")),"CURRENCY REQUIRED",IF(NOT(ISNUMBER(H22)),"AMOUNT REQUIRED",IF(J22="","ERP SOURCE REQUIRED",IF(NOT(OR(K22="ISSUED",K22="CANCELLED")),"INVOICE STATUS REQUIRED",IF(COUNTIFS($A$2:$A$501,A22,$B$2:$B$501,B22,$D$2:$D$501,D22)&gt;1,"DUPLICATE INVOICE / PROJECT",IF(AND(G22="MXN",NOT(AND(ISNUMBER(I22),Settings!$B$8="APPROVED",Settings!$B$9&lt;&gt;"",Settings!$B$10&lt;&gt;""))),"FX HOLD","VALID")))))))))))))))</x:f>
      </x:c>
      <x:c r="M22" s="57" t="str">
        <x:f>IF(ISNUMBER(C22),IF(AND(ISNUMBER(C22),C22&gt;=2,C22&lt;=2958465,C22=INT(C22)),TEXT(C22,"yyyy-mm"),""),"")</x:f>
      </x:c>
      <x:c r="N22" s="59" t="str">
        <x:f>IF(L22="VALID",IF(G22="USD",H22,I22),"")</x:f>
      </x:c>
      <x:c r="O22" s="57" t="n">
        <x:f>IF(L22="VALID",IF(COUNTIFS($B$2:B22,B22,$M$2:M22,M22,$L$2:L22,"VALID")=1,1,0),0)</x:f>
        <x:v>0</x:v>
      </x:c>
    </x:row>
    <x:row r="23">
      <x:c r="A23" s="47"/>
      <x:c r="B23" s="47"/>
      <x:c r="C23" s="58"/>
      <x:c r="D23" s="47"/>
      <x:c r="E23" s="47"/>
      <x:c r="F23" s="47"/>
      <x:c r="G23" s="47"/>
      <x:c r="H23" s="48"/>
      <x:c r="I23" s="48"/>
      <x:c r="J23" s="47"/>
      <x:c r="K23" s="47"/>
      <x:c r="L23" s="57" t="str">
        <x:f>IF(COUNTA(A23:K23)=0,"",IF(K23="CANCELLED","CANCELLED",IF(A23="","INVOICE ID REQUIRED",IF(B23="","PROJECT ID REQUIRED",IF(NOT(ISNUMBER(C23)),"INVALID INVOICE DATE",IF(NOT(AND(ISNUMBER(C23),C23&gt;=2,C23&lt;=2958465,C23=INT(C23))),"INVALID INVOICE DATE",IF(NOT(OR(D23="MX",D23="US")),"ENTITY REQUIRED",IF(NOT(OR(E23="Strategic Services",E23="Brands")),"UNIT REQUIRED",IF(F23="","BRAND / N/A REQUIRED",IF(NOT(OR(G23="USD",G23="MXN")),"CURRENCY REQUIRED",IF(NOT(ISNUMBER(H23)),"AMOUNT REQUIRED",IF(J23="","ERP SOURCE REQUIRED",IF(NOT(OR(K23="ISSUED",K23="CANCELLED")),"INVOICE STATUS REQUIRED",IF(COUNTIFS($A$2:$A$501,A23,$B$2:$B$501,B23,$D$2:$D$501,D23)&gt;1,"DUPLICATE INVOICE / PROJECT",IF(AND(G23="MXN",NOT(AND(ISNUMBER(I23),Settings!$B$8="APPROVED",Settings!$B$9&lt;&gt;"",Settings!$B$10&lt;&gt;""))),"FX HOLD","VALID")))))))))))))))</x:f>
      </x:c>
      <x:c r="M23" s="57" t="str">
        <x:f>IF(ISNUMBER(C23),IF(AND(ISNUMBER(C23),C23&gt;=2,C23&lt;=2958465,C23=INT(C23)),TEXT(C23,"yyyy-mm"),""),"")</x:f>
      </x:c>
      <x:c r="N23" s="59" t="str">
        <x:f>IF(L23="VALID",IF(G23="USD",H23,I23),"")</x:f>
      </x:c>
      <x:c r="O23" s="57" t="n">
        <x:f>IF(L23="VALID",IF(COUNTIFS($B$2:B23,B23,$M$2:M23,M23,$L$2:L23,"VALID")=1,1,0),0)</x:f>
        <x:v>0</x:v>
      </x:c>
    </x:row>
    <x:row r="24">
      <x:c r="A24" s="47"/>
      <x:c r="B24" s="47"/>
      <x:c r="C24" s="58"/>
      <x:c r="D24" s="47"/>
      <x:c r="E24" s="47"/>
      <x:c r="F24" s="47"/>
      <x:c r="G24" s="47"/>
      <x:c r="H24" s="48"/>
      <x:c r="I24" s="48"/>
      <x:c r="J24" s="47"/>
      <x:c r="K24" s="47"/>
      <x:c r="L24" s="57" t="str">
        <x:f>IF(COUNTA(A24:K24)=0,"",IF(K24="CANCELLED","CANCELLED",IF(A24="","INVOICE ID REQUIRED",IF(B24="","PROJECT ID REQUIRED",IF(NOT(ISNUMBER(C24)),"INVALID INVOICE DATE",IF(NOT(AND(ISNUMBER(C24),C24&gt;=2,C24&lt;=2958465,C24=INT(C24))),"INVALID INVOICE DATE",IF(NOT(OR(D24="MX",D24="US")),"ENTITY REQUIRED",IF(NOT(OR(E24="Strategic Services",E24="Brands")),"UNIT REQUIRED",IF(F24="","BRAND / N/A REQUIRED",IF(NOT(OR(G24="USD",G24="MXN")),"CURRENCY REQUIRED",IF(NOT(ISNUMBER(H24)),"AMOUNT REQUIRED",IF(J24="","ERP SOURCE REQUIRED",IF(NOT(OR(K24="ISSUED",K24="CANCELLED")),"INVOICE STATUS REQUIRED",IF(COUNTIFS($A$2:$A$501,A24,$B$2:$B$501,B24,$D$2:$D$501,D24)&gt;1,"DUPLICATE INVOICE / PROJECT",IF(AND(G24="MXN",NOT(AND(ISNUMBER(I24),Settings!$B$8="APPROVED",Settings!$B$9&lt;&gt;"",Settings!$B$10&lt;&gt;""))),"FX HOLD","VALID")))))))))))))))</x:f>
      </x:c>
      <x:c r="M24" s="57" t="str">
        <x:f>IF(ISNUMBER(C24),IF(AND(ISNUMBER(C24),C24&gt;=2,C24&lt;=2958465,C24=INT(C24)),TEXT(C24,"yyyy-mm"),""),"")</x:f>
      </x:c>
      <x:c r="N24" s="59" t="str">
        <x:f>IF(L24="VALID",IF(G24="USD",H24,I24),"")</x:f>
      </x:c>
      <x:c r="O24" s="57" t="n">
        <x:f>IF(L24="VALID",IF(COUNTIFS($B$2:B24,B24,$M$2:M24,M24,$L$2:L24,"VALID")=1,1,0),0)</x:f>
        <x:v>0</x:v>
      </x:c>
    </x:row>
    <x:row r="25">
      <x:c r="A25" s="47"/>
      <x:c r="B25" s="47"/>
      <x:c r="C25" s="58"/>
      <x:c r="D25" s="47"/>
      <x:c r="E25" s="47"/>
      <x:c r="F25" s="47"/>
      <x:c r="G25" s="47"/>
      <x:c r="H25" s="48"/>
      <x:c r="I25" s="48"/>
      <x:c r="J25" s="47"/>
      <x:c r="K25" s="47"/>
      <x:c r="L25" s="57" t="str">
        <x:f>IF(COUNTA(A25:K25)=0,"",IF(K25="CANCELLED","CANCELLED",IF(A25="","INVOICE ID REQUIRED",IF(B25="","PROJECT ID REQUIRED",IF(NOT(ISNUMBER(C25)),"INVALID INVOICE DATE",IF(NOT(AND(ISNUMBER(C25),C25&gt;=2,C25&lt;=2958465,C25=INT(C25))),"INVALID INVOICE DATE",IF(NOT(OR(D25="MX",D25="US")),"ENTITY REQUIRED",IF(NOT(OR(E25="Strategic Services",E25="Brands")),"UNIT REQUIRED",IF(F25="","BRAND / N/A REQUIRED",IF(NOT(OR(G25="USD",G25="MXN")),"CURRENCY REQUIRED",IF(NOT(ISNUMBER(H25)),"AMOUNT REQUIRED",IF(J25="","ERP SOURCE REQUIRED",IF(NOT(OR(K25="ISSUED",K25="CANCELLED")),"INVOICE STATUS REQUIRED",IF(COUNTIFS($A$2:$A$501,A25,$B$2:$B$501,B25,$D$2:$D$501,D25)&gt;1,"DUPLICATE INVOICE / PROJECT",IF(AND(G25="MXN",NOT(AND(ISNUMBER(I25),Settings!$B$8="APPROVED",Settings!$B$9&lt;&gt;"",Settings!$B$10&lt;&gt;""))),"FX HOLD","VALID")))))))))))))))</x:f>
      </x:c>
      <x:c r="M25" s="57" t="str">
        <x:f>IF(ISNUMBER(C25),IF(AND(ISNUMBER(C25),C25&gt;=2,C25&lt;=2958465,C25=INT(C25)),TEXT(C25,"yyyy-mm"),""),"")</x:f>
      </x:c>
      <x:c r="N25" s="59" t="str">
        <x:f>IF(L25="VALID",IF(G25="USD",H25,I25),"")</x:f>
      </x:c>
      <x:c r="O25" s="57" t="n">
        <x:f>IF(L25="VALID",IF(COUNTIFS($B$2:B25,B25,$M$2:M25,M25,$L$2:L25,"VALID")=1,1,0),0)</x:f>
        <x:v>0</x:v>
      </x:c>
    </x:row>
    <x:row r="26">
      <x:c r="A26" s="47"/>
      <x:c r="B26" s="47"/>
      <x:c r="C26" s="58"/>
      <x:c r="D26" s="47"/>
      <x:c r="E26" s="47"/>
      <x:c r="F26" s="47"/>
      <x:c r="G26" s="47"/>
      <x:c r="H26" s="48"/>
      <x:c r="I26" s="48"/>
      <x:c r="J26" s="47"/>
      <x:c r="K26" s="47"/>
      <x:c r="L26" s="57" t="str">
        <x:f>IF(COUNTA(A26:K26)=0,"",IF(K26="CANCELLED","CANCELLED",IF(A26="","INVOICE ID REQUIRED",IF(B26="","PROJECT ID REQUIRED",IF(NOT(ISNUMBER(C26)),"INVALID INVOICE DATE",IF(NOT(AND(ISNUMBER(C26),C26&gt;=2,C26&lt;=2958465,C26=INT(C26))),"INVALID INVOICE DATE",IF(NOT(OR(D26="MX",D26="US")),"ENTITY REQUIRED",IF(NOT(OR(E26="Strategic Services",E26="Brands")),"UNIT REQUIRED",IF(F26="","BRAND / N/A REQUIRED",IF(NOT(OR(G26="USD",G26="MXN")),"CURRENCY REQUIRED",IF(NOT(ISNUMBER(H26)),"AMOUNT REQUIRED",IF(J26="","ERP SOURCE REQUIRED",IF(NOT(OR(K26="ISSUED",K26="CANCELLED")),"INVOICE STATUS REQUIRED",IF(COUNTIFS($A$2:$A$501,A26,$B$2:$B$501,B26,$D$2:$D$501,D26)&gt;1,"DUPLICATE INVOICE / PROJECT",IF(AND(G26="MXN",NOT(AND(ISNUMBER(I26),Settings!$B$8="APPROVED",Settings!$B$9&lt;&gt;"",Settings!$B$10&lt;&gt;""))),"FX HOLD","VALID")))))))))))))))</x:f>
      </x:c>
      <x:c r="M26" s="57" t="str">
        <x:f>IF(ISNUMBER(C26),IF(AND(ISNUMBER(C26),C26&gt;=2,C26&lt;=2958465,C26=INT(C26)),TEXT(C26,"yyyy-mm"),""),"")</x:f>
      </x:c>
      <x:c r="N26" s="59" t="str">
        <x:f>IF(L26="VALID",IF(G26="USD",H26,I26),"")</x:f>
      </x:c>
      <x:c r="O26" s="57" t="n">
        <x:f>IF(L26="VALID",IF(COUNTIFS($B$2:B26,B26,$M$2:M26,M26,$L$2:L26,"VALID")=1,1,0),0)</x:f>
        <x:v>0</x:v>
      </x:c>
    </x:row>
    <x:row r="27">
      <x:c r="A27" s="47"/>
      <x:c r="B27" s="47"/>
      <x:c r="C27" s="58"/>
      <x:c r="D27" s="47"/>
      <x:c r="E27" s="47"/>
      <x:c r="F27" s="47"/>
      <x:c r="G27" s="47"/>
      <x:c r="H27" s="48"/>
      <x:c r="I27" s="48"/>
      <x:c r="J27" s="47"/>
      <x:c r="K27" s="47"/>
      <x:c r="L27" s="57" t="str">
        <x:f>IF(COUNTA(A27:K27)=0,"",IF(K27="CANCELLED","CANCELLED",IF(A27="","INVOICE ID REQUIRED",IF(B27="","PROJECT ID REQUIRED",IF(NOT(ISNUMBER(C27)),"INVALID INVOICE DATE",IF(NOT(AND(ISNUMBER(C27),C27&gt;=2,C27&lt;=2958465,C27=INT(C27))),"INVALID INVOICE DATE",IF(NOT(OR(D27="MX",D27="US")),"ENTITY REQUIRED",IF(NOT(OR(E27="Strategic Services",E27="Brands")),"UNIT REQUIRED",IF(F27="","BRAND / N/A REQUIRED",IF(NOT(OR(G27="USD",G27="MXN")),"CURRENCY REQUIRED",IF(NOT(ISNUMBER(H27)),"AMOUNT REQUIRED",IF(J27="","ERP SOURCE REQUIRED",IF(NOT(OR(K27="ISSUED",K27="CANCELLED")),"INVOICE STATUS REQUIRED",IF(COUNTIFS($A$2:$A$501,A27,$B$2:$B$501,B27,$D$2:$D$501,D27)&gt;1,"DUPLICATE INVOICE / PROJECT",IF(AND(G27="MXN",NOT(AND(ISNUMBER(I27),Settings!$B$8="APPROVED",Settings!$B$9&lt;&gt;"",Settings!$B$10&lt;&gt;""))),"FX HOLD","VALID")))))))))))))))</x:f>
      </x:c>
      <x:c r="M27" s="57" t="str">
        <x:f>IF(ISNUMBER(C27),IF(AND(ISNUMBER(C27),C27&gt;=2,C27&lt;=2958465,C27=INT(C27)),TEXT(C27,"yyyy-mm"),""),"")</x:f>
      </x:c>
      <x:c r="N27" s="59" t="str">
        <x:f>IF(L27="VALID",IF(G27="USD",H27,I27),"")</x:f>
      </x:c>
      <x:c r="O27" s="57" t="n">
        <x:f>IF(L27="VALID",IF(COUNTIFS($B$2:B27,B27,$M$2:M27,M27,$L$2:L27,"VALID")=1,1,0),0)</x:f>
        <x:v>0</x:v>
      </x:c>
    </x:row>
    <x:row r="28">
      <x:c r="A28" s="47"/>
      <x:c r="B28" s="47"/>
      <x:c r="C28" s="58"/>
      <x:c r="D28" s="47"/>
      <x:c r="E28" s="47"/>
      <x:c r="F28" s="47"/>
      <x:c r="G28" s="47"/>
      <x:c r="H28" s="48"/>
      <x:c r="I28" s="48"/>
      <x:c r="J28" s="47"/>
      <x:c r="K28" s="47"/>
      <x:c r="L28" s="57" t="str">
        <x:f>IF(COUNTA(A28:K28)=0,"",IF(K28="CANCELLED","CANCELLED",IF(A28="","INVOICE ID REQUIRED",IF(B28="","PROJECT ID REQUIRED",IF(NOT(ISNUMBER(C28)),"INVALID INVOICE DATE",IF(NOT(AND(ISNUMBER(C28),C28&gt;=2,C28&lt;=2958465,C28=INT(C28))),"INVALID INVOICE DATE",IF(NOT(OR(D28="MX",D28="US")),"ENTITY REQUIRED",IF(NOT(OR(E28="Strategic Services",E28="Brands")),"UNIT REQUIRED",IF(F28="","BRAND / N/A REQUIRED",IF(NOT(OR(G28="USD",G28="MXN")),"CURRENCY REQUIRED",IF(NOT(ISNUMBER(H28)),"AMOUNT REQUIRED",IF(J28="","ERP SOURCE REQUIRED",IF(NOT(OR(K28="ISSUED",K28="CANCELLED")),"INVOICE STATUS REQUIRED",IF(COUNTIFS($A$2:$A$501,A28,$B$2:$B$501,B28,$D$2:$D$501,D28)&gt;1,"DUPLICATE INVOICE / PROJECT",IF(AND(G28="MXN",NOT(AND(ISNUMBER(I28),Settings!$B$8="APPROVED",Settings!$B$9&lt;&gt;"",Settings!$B$10&lt;&gt;""))),"FX HOLD","VALID")))))))))))))))</x:f>
      </x:c>
      <x:c r="M28" s="57" t="str">
        <x:f>IF(ISNUMBER(C28),IF(AND(ISNUMBER(C28),C28&gt;=2,C28&lt;=2958465,C28=INT(C28)),TEXT(C28,"yyyy-mm"),""),"")</x:f>
      </x:c>
      <x:c r="N28" s="59" t="str">
        <x:f>IF(L28="VALID",IF(G28="USD",H28,I28),"")</x:f>
      </x:c>
      <x:c r="O28" s="57" t="n">
        <x:f>IF(L28="VALID",IF(COUNTIFS($B$2:B28,B28,$M$2:M28,M28,$L$2:L28,"VALID")=1,1,0),0)</x:f>
        <x:v>0</x:v>
      </x:c>
    </x:row>
    <x:row r="29">
      <x:c r="A29" s="47"/>
      <x:c r="B29" s="47"/>
      <x:c r="C29" s="58"/>
      <x:c r="D29" s="47"/>
      <x:c r="E29" s="47"/>
      <x:c r="F29" s="47"/>
      <x:c r="G29" s="47"/>
      <x:c r="H29" s="48"/>
      <x:c r="I29" s="48"/>
      <x:c r="J29" s="47"/>
      <x:c r="K29" s="47"/>
      <x:c r="L29" s="57" t="str">
        <x:f>IF(COUNTA(A29:K29)=0,"",IF(K29="CANCELLED","CANCELLED",IF(A29="","INVOICE ID REQUIRED",IF(B29="","PROJECT ID REQUIRED",IF(NOT(ISNUMBER(C29)),"INVALID INVOICE DATE",IF(NOT(AND(ISNUMBER(C29),C29&gt;=2,C29&lt;=2958465,C29=INT(C29))),"INVALID INVOICE DATE",IF(NOT(OR(D29="MX",D29="US")),"ENTITY REQUIRED",IF(NOT(OR(E29="Strategic Services",E29="Brands")),"UNIT REQUIRED",IF(F29="","BRAND / N/A REQUIRED",IF(NOT(OR(G29="USD",G29="MXN")),"CURRENCY REQUIRED",IF(NOT(ISNUMBER(H29)),"AMOUNT REQUIRED",IF(J29="","ERP SOURCE REQUIRED",IF(NOT(OR(K29="ISSUED",K29="CANCELLED")),"INVOICE STATUS REQUIRED",IF(COUNTIFS($A$2:$A$501,A29,$B$2:$B$501,B29,$D$2:$D$501,D29)&gt;1,"DUPLICATE INVOICE / PROJECT",IF(AND(G29="MXN",NOT(AND(ISNUMBER(I29),Settings!$B$8="APPROVED",Settings!$B$9&lt;&gt;"",Settings!$B$10&lt;&gt;""))),"FX HOLD","VALID")))))))))))))))</x:f>
      </x:c>
      <x:c r="M29" s="57" t="str">
        <x:f>IF(ISNUMBER(C29),IF(AND(ISNUMBER(C29),C29&gt;=2,C29&lt;=2958465,C29=INT(C29)),TEXT(C29,"yyyy-mm"),""),"")</x:f>
      </x:c>
      <x:c r="N29" s="59" t="str">
        <x:f>IF(L29="VALID",IF(G29="USD",H29,I29),"")</x:f>
      </x:c>
      <x:c r="O29" s="57" t="n">
        <x:f>IF(L29="VALID",IF(COUNTIFS($B$2:B29,B29,$M$2:M29,M29,$L$2:L29,"VALID")=1,1,0),0)</x:f>
        <x:v>0</x:v>
      </x:c>
    </x:row>
    <x:row r="30">
      <x:c r="A30" s="47"/>
      <x:c r="B30" s="47"/>
      <x:c r="C30" s="58"/>
      <x:c r="D30" s="47"/>
      <x:c r="E30" s="47"/>
      <x:c r="F30" s="47"/>
      <x:c r="G30" s="47"/>
      <x:c r="H30" s="48"/>
      <x:c r="I30" s="48"/>
      <x:c r="J30" s="47"/>
      <x:c r="K30" s="47"/>
      <x:c r="L30" s="57" t="str">
        <x:f>IF(COUNTA(A30:K30)=0,"",IF(K30="CANCELLED","CANCELLED",IF(A30="","INVOICE ID REQUIRED",IF(B30="","PROJECT ID REQUIRED",IF(NOT(ISNUMBER(C30)),"INVALID INVOICE DATE",IF(NOT(AND(ISNUMBER(C30),C30&gt;=2,C30&lt;=2958465,C30=INT(C30))),"INVALID INVOICE DATE",IF(NOT(OR(D30="MX",D30="US")),"ENTITY REQUIRED",IF(NOT(OR(E30="Strategic Services",E30="Brands")),"UNIT REQUIRED",IF(F30="","BRAND / N/A REQUIRED",IF(NOT(OR(G30="USD",G30="MXN")),"CURRENCY REQUIRED",IF(NOT(ISNUMBER(H30)),"AMOUNT REQUIRED",IF(J30="","ERP SOURCE REQUIRED",IF(NOT(OR(K30="ISSUED",K30="CANCELLED")),"INVOICE STATUS REQUIRED",IF(COUNTIFS($A$2:$A$501,A30,$B$2:$B$501,B30,$D$2:$D$501,D30)&gt;1,"DUPLICATE INVOICE / PROJECT",IF(AND(G30="MXN",NOT(AND(ISNUMBER(I30),Settings!$B$8="APPROVED",Settings!$B$9&lt;&gt;"",Settings!$B$10&lt;&gt;""))),"FX HOLD","VALID")))))))))))))))</x:f>
      </x:c>
      <x:c r="M30" s="57" t="str">
        <x:f>IF(ISNUMBER(C30),IF(AND(ISNUMBER(C30),C30&gt;=2,C30&lt;=2958465,C30=INT(C30)),TEXT(C30,"yyyy-mm"),""),"")</x:f>
      </x:c>
      <x:c r="N30" s="59" t="str">
        <x:f>IF(L30="VALID",IF(G30="USD",H30,I30),"")</x:f>
      </x:c>
      <x:c r="O30" s="57" t="n">
        <x:f>IF(L30="VALID",IF(COUNTIFS($B$2:B30,B30,$M$2:M30,M30,$L$2:L30,"VALID")=1,1,0),0)</x:f>
        <x:v>0</x:v>
      </x:c>
    </x:row>
    <x:row r="31">
      <x:c r="A31" s="47"/>
      <x:c r="B31" s="47"/>
      <x:c r="C31" s="58"/>
      <x:c r="D31" s="47"/>
      <x:c r="E31" s="47"/>
      <x:c r="F31" s="47"/>
      <x:c r="G31" s="47"/>
      <x:c r="H31" s="48"/>
      <x:c r="I31" s="48"/>
      <x:c r="J31" s="47"/>
      <x:c r="K31" s="47"/>
      <x:c r="L31" s="57" t="str">
        <x:f>IF(COUNTA(A31:K31)=0,"",IF(K31="CANCELLED","CANCELLED",IF(A31="","INVOICE ID REQUIRED",IF(B31="","PROJECT ID REQUIRED",IF(NOT(ISNUMBER(C31)),"INVALID INVOICE DATE",IF(NOT(AND(ISNUMBER(C31),C31&gt;=2,C31&lt;=2958465,C31=INT(C31))),"INVALID INVOICE DATE",IF(NOT(OR(D31="MX",D31="US")),"ENTITY REQUIRED",IF(NOT(OR(E31="Strategic Services",E31="Brands")),"UNIT REQUIRED",IF(F31="","BRAND / N/A REQUIRED",IF(NOT(OR(G31="USD",G31="MXN")),"CURRENCY REQUIRED",IF(NOT(ISNUMBER(H31)),"AMOUNT REQUIRED",IF(J31="","ERP SOURCE REQUIRED",IF(NOT(OR(K31="ISSUED",K31="CANCELLED")),"INVOICE STATUS REQUIRED",IF(COUNTIFS($A$2:$A$501,A31,$B$2:$B$501,B31,$D$2:$D$501,D31)&gt;1,"DUPLICATE INVOICE / PROJECT",IF(AND(G31="MXN",NOT(AND(ISNUMBER(I31),Settings!$B$8="APPROVED",Settings!$B$9&lt;&gt;"",Settings!$B$10&lt;&gt;""))),"FX HOLD","VALID")))))))))))))))</x:f>
      </x:c>
      <x:c r="M31" s="57" t="str">
        <x:f>IF(ISNUMBER(C31),IF(AND(ISNUMBER(C31),C31&gt;=2,C31&lt;=2958465,C31=INT(C31)),TEXT(C31,"yyyy-mm"),""),"")</x:f>
      </x:c>
      <x:c r="N31" s="59" t="str">
        <x:f>IF(L31="VALID",IF(G31="USD",H31,I31),"")</x:f>
      </x:c>
      <x:c r="O31" s="57" t="n">
        <x:f>IF(L31="VALID",IF(COUNTIFS($B$2:B31,B31,$M$2:M31,M31,$L$2:L31,"VALID")=1,1,0),0)</x:f>
        <x:v>0</x:v>
      </x:c>
    </x:row>
    <x:row r="32">
      <x:c r="A32" s="47"/>
      <x:c r="B32" s="47"/>
      <x:c r="C32" s="58"/>
      <x:c r="D32" s="47"/>
      <x:c r="E32" s="47"/>
      <x:c r="F32" s="47"/>
      <x:c r="G32" s="47"/>
      <x:c r="H32" s="48"/>
      <x:c r="I32" s="48"/>
      <x:c r="J32" s="47"/>
      <x:c r="K32" s="47"/>
      <x:c r="L32" s="57" t="str">
        <x:f>IF(COUNTA(A32:K32)=0,"",IF(K32="CANCELLED","CANCELLED",IF(A32="","INVOICE ID REQUIRED",IF(B32="","PROJECT ID REQUIRED",IF(NOT(ISNUMBER(C32)),"INVALID INVOICE DATE",IF(NOT(AND(ISNUMBER(C32),C32&gt;=2,C32&lt;=2958465,C32=INT(C32))),"INVALID INVOICE DATE",IF(NOT(OR(D32="MX",D32="US")),"ENTITY REQUIRED",IF(NOT(OR(E32="Strategic Services",E32="Brands")),"UNIT REQUIRED",IF(F32="","BRAND / N/A REQUIRED",IF(NOT(OR(G32="USD",G32="MXN")),"CURRENCY REQUIRED",IF(NOT(ISNUMBER(H32)),"AMOUNT REQUIRED",IF(J32="","ERP SOURCE REQUIRED",IF(NOT(OR(K32="ISSUED",K32="CANCELLED")),"INVOICE STATUS REQUIRED",IF(COUNTIFS($A$2:$A$501,A32,$B$2:$B$501,B32,$D$2:$D$501,D32)&gt;1,"DUPLICATE INVOICE / PROJECT",IF(AND(G32="MXN",NOT(AND(ISNUMBER(I32),Settings!$B$8="APPROVED",Settings!$B$9&lt;&gt;"",Settings!$B$10&lt;&gt;""))),"FX HOLD","VALID")))))))))))))))</x:f>
      </x:c>
      <x:c r="M32" s="57" t="str">
        <x:f>IF(ISNUMBER(C32),IF(AND(ISNUMBER(C32),C32&gt;=2,C32&lt;=2958465,C32=INT(C32)),TEXT(C32,"yyyy-mm"),""),"")</x:f>
      </x:c>
      <x:c r="N32" s="59" t="str">
        <x:f>IF(L32="VALID",IF(G32="USD",H32,I32),"")</x:f>
      </x:c>
      <x:c r="O32" s="57" t="n">
        <x:f>IF(L32="VALID",IF(COUNTIFS($B$2:B32,B32,$M$2:M32,M32,$L$2:L32,"VALID")=1,1,0),0)</x:f>
        <x:v>0</x:v>
      </x:c>
    </x:row>
    <x:row r="33">
      <x:c r="A33" s="47"/>
      <x:c r="B33" s="47"/>
      <x:c r="C33" s="58"/>
      <x:c r="D33" s="47"/>
      <x:c r="E33" s="47"/>
      <x:c r="F33" s="47"/>
      <x:c r="G33" s="47"/>
      <x:c r="H33" s="48"/>
      <x:c r="I33" s="48"/>
      <x:c r="J33" s="47"/>
      <x:c r="K33" s="47"/>
      <x:c r="L33" s="57" t="str">
        <x:f>IF(COUNTA(A33:K33)=0,"",IF(K33="CANCELLED","CANCELLED",IF(A33="","INVOICE ID REQUIRED",IF(B33="","PROJECT ID REQUIRED",IF(NOT(ISNUMBER(C33)),"INVALID INVOICE DATE",IF(NOT(AND(ISNUMBER(C33),C33&gt;=2,C33&lt;=2958465,C33=INT(C33))),"INVALID INVOICE DATE",IF(NOT(OR(D33="MX",D33="US")),"ENTITY REQUIRED",IF(NOT(OR(E33="Strategic Services",E33="Brands")),"UNIT REQUIRED",IF(F33="","BRAND / N/A REQUIRED",IF(NOT(OR(G33="USD",G33="MXN")),"CURRENCY REQUIRED",IF(NOT(ISNUMBER(H33)),"AMOUNT REQUIRED",IF(J33="","ERP SOURCE REQUIRED",IF(NOT(OR(K33="ISSUED",K33="CANCELLED")),"INVOICE STATUS REQUIRED",IF(COUNTIFS($A$2:$A$501,A33,$B$2:$B$501,B33,$D$2:$D$501,D33)&gt;1,"DUPLICATE INVOICE / PROJECT",IF(AND(G33="MXN",NOT(AND(ISNUMBER(I33),Settings!$B$8="APPROVED",Settings!$B$9&lt;&gt;"",Settings!$B$10&lt;&gt;""))),"FX HOLD","VALID")))))))))))))))</x:f>
      </x:c>
      <x:c r="M33" s="57" t="str">
        <x:f>IF(ISNUMBER(C33),IF(AND(ISNUMBER(C33),C33&gt;=2,C33&lt;=2958465,C33=INT(C33)),TEXT(C33,"yyyy-mm"),""),"")</x:f>
      </x:c>
      <x:c r="N33" s="59" t="str">
        <x:f>IF(L33="VALID",IF(G33="USD",H33,I33),"")</x:f>
      </x:c>
      <x:c r="O33" s="57" t="n">
        <x:f>IF(L33="VALID",IF(COUNTIFS($B$2:B33,B33,$M$2:M33,M33,$L$2:L33,"VALID")=1,1,0),0)</x:f>
        <x:v>0</x:v>
      </x:c>
    </x:row>
    <x:row r="34">
      <x:c r="A34" s="47"/>
      <x:c r="B34" s="47"/>
      <x:c r="C34" s="58"/>
      <x:c r="D34" s="47"/>
      <x:c r="E34" s="47"/>
      <x:c r="F34" s="47"/>
      <x:c r="G34" s="47"/>
      <x:c r="H34" s="48"/>
      <x:c r="I34" s="48"/>
      <x:c r="J34" s="47"/>
      <x:c r="K34" s="47"/>
      <x:c r="L34" s="57" t="str">
        <x:f>IF(COUNTA(A34:K34)=0,"",IF(K34="CANCELLED","CANCELLED",IF(A34="","INVOICE ID REQUIRED",IF(B34="","PROJECT ID REQUIRED",IF(NOT(ISNUMBER(C34)),"INVALID INVOICE DATE",IF(NOT(AND(ISNUMBER(C34),C34&gt;=2,C34&lt;=2958465,C34=INT(C34))),"INVALID INVOICE DATE",IF(NOT(OR(D34="MX",D34="US")),"ENTITY REQUIRED",IF(NOT(OR(E34="Strategic Services",E34="Brands")),"UNIT REQUIRED",IF(F34="","BRAND / N/A REQUIRED",IF(NOT(OR(G34="USD",G34="MXN")),"CURRENCY REQUIRED",IF(NOT(ISNUMBER(H34)),"AMOUNT REQUIRED",IF(J34="","ERP SOURCE REQUIRED",IF(NOT(OR(K34="ISSUED",K34="CANCELLED")),"INVOICE STATUS REQUIRED",IF(COUNTIFS($A$2:$A$501,A34,$B$2:$B$501,B34,$D$2:$D$501,D34)&gt;1,"DUPLICATE INVOICE / PROJECT",IF(AND(G34="MXN",NOT(AND(ISNUMBER(I34),Settings!$B$8="APPROVED",Settings!$B$9&lt;&gt;"",Settings!$B$10&lt;&gt;""))),"FX HOLD","VALID")))))))))))))))</x:f>
      </x:c>
      <x:c r="M34" s="57" t="str">
        <x:f>IF(ISNUMBER(C34),IF(AND(ISNUMBER(C34),C34&gt;=2,C34&lt;=2958465,C34=INT(C34)),TEXT(C34,"yyyy-mm"),""),"")</x:f>
      </x:c>
      <x:c r="N34" s="59" t="str">
        <x:f>IF(L34="VALID",IF(G34="USD",H34,I34),"")</x:f>
      </x:c>
      <x:c r="O34" s="57" t="n">
        <x:f>IF(L34="VALID",IF(COUNTIFS($B$2:B34,B34,$M$2:M34,M34,$L$2:L34,"VALID")=1,1,0),0)</x:f>
        <x:v>0</x:v>
      </x:c>
    </x:row>
    <x:row r="35">
      <x:c r="A35" s="47"/>
      <x:c r="B35" s="47"/>
      <x:c r="C35" s="58"/>
      <x:c r="D35" s="47"/>
      <x:c r="E35" s="47"/>
      <x:c r="F35" s="47"/>
      <x:c r="G35" s="47"/>
      <x:c r="H35" s="48"/>
      <x:c r="I35" s="48"/>
      <x:c r="J35" s="47"/>
      <x:c r="K35" s="47"/>
      <x:c r="L35" s="57" t="str">
        <x:f>IF(COUNTA(A35:K35)=0,"",IF(K35="CANCELLED","CANCELLED",IF(A35="","INVOICE ID REQUIRED",IF(B35="","PROJECT ID REQUIRED",IF(NOT(ISNUMBER(C35)),"INVALID INVOICE DATE",IF(NOT(AND(ISNUMBER(C35),C35&gt;=2,C35&lt;=2958465,C35=INT(C35))),"INVALID INVOICE DATE",IF(NOT(OR(D35="MX",D35="US")),"ENTITY REQUIRED",IF(NOT(OR(E35="Strategic Services",E35="Brands")),"UNIT REQUIRED",IF(F35="","BRAND / N/A REQUIRED",IF(NOT(OR(G35="USD",G35="MXN")),"CURRENCY REQUIRED",IF(NOT(ISNUMBER(H35)),"AMOUNT REQUIRED",IF(J35="","ERP SOURCE REQUIRED",IF(NOT(OR(K35="ISSUED",K35="CANCELLED")),"INVOICE STATUS REQUIRED",IF(COUNTIFS($A$2:$A$501,A35,$B$2:$B$501,B35,$D$2:$D$501,D35)&gt;1,"DUPLICATE INVOICE / PROJECT",IF(AND(G35="MXN",NOT(AND(ISNUMBER(I35),Settings!$B$8="APPROVED",Settings!$B$9&lt;&gt;"",Settings!$B$10&lt;&gt;""))),"FX HOLD","VALID")))))))))))))))</x:f>
      </x:c>
      <x:c r="M35" s="57" t="str">
        <x:f>IF(ISNUMBER(C35),IF(AND(ISNUMBER(C35),C35&gt;=2,C35&lt;=2958465,C35=INT(C35)),TEXT(C35,"yyyy-mm"),""),"")</x:f>
      </x:c>
      <x:c r="N35" s="59" t="str">
        <x:f>IF(L35="VALID",IF(G35="USD",H35,I35),"")</x:f>
      </x:c>
      <x:c r="O35" s="57" t="n">
        <x:f>IF(L35="VALID",IF(COUNTIFS($B$2:B35,B35,$M$2:M35,M35,$L$2:L35,"VALID")=1,1,0),0)</x:f>
        <x:v>0</x:v>
      </x:c>
    </x:row>
    <x:row r="36">
      <x:c r="A36" s="47"/>
      <x:c r="B36" s="47"/>
      <x:c r="C36" s="58"/>
      <x:c r="D36" s="47"/>
      <x:c r="E36" s="47"/>
      <x:c r="F36" s="47"/>
      <x:c r="G36" s="47"/>
      <x:c r="H36" s="48"/>
      <x:c r="I36" s="48"/>
      <x:c r="J36" s="47"/>
      <x:c r="K36" s="47"/>
      <x:c r="L36" s="57" t="str">
        <x:f>IF(COUNTA(A36:K36)=0,"",IF(K36="CANCELLED","CANCELLED",IF(A36="","INVOICE ID REQUIRED",IF(B36="","PROJECT ID REQUIRED",IF(NOT(ISNUMBER(C36)),"INVALID INVOICE DATE",IF(NOT(AND(ISNUMBER(C36),C36&gt;=2,C36&lt;=2958465,C36=INT(C36))),"INVALID INVOICE DATE",IF(NOT(OR(D36="MX",D36="US")),"ENTITY REQUIRED",IF(NOT(OR(E36="Strategic Services",E36="Brands")),"UNIT REQUIRED",IF(F36="","BRAND / N/A REQUIRED",IF(NOT(OR(G36="USD",G36="MXN")),"CURRENCY REQUIRED",IF(NOT(ISNUMBER(H36)),"AMOUNT REQUIRED",IF(J36="","ERP SOURCE REQUIRED",IF(NOT(OR(K36="ISSUED",K36="CANCELLED")),"INVOICE STATUS REQUIRED",IF(COUNTIFS($A$2:$A$501,A36,$B$2:$B$501,B36,$D$2:$D$501,D36)&gt;1,"DUPLICATE INVOICE / PROJECT",IF(AND(G36="MXN",NOT(AND(ISNUMBER(I36),Settings!$B$8="APPROVED",Settings!$B$9&lt;&gt;"",Settings!$B$10&lt;&gt;""))),"FX HOLD","VALID")))))))))))))))</x:f>
      </x:c>
      <x:c r="M36" s="57" t="str">
        <x:f>IF(ISNUMBER(C36),IF(AND(ISNUMBER(C36),C36&gt;=2,C36&lt;=2958465,C36=INT(C36)),TEXT(C36,"yyyy-mm"),""),"")</x:f>
      </x:c>
      <x:c r="N36" s="59" t="str">
        <x:f>IF(L36="VALID",IF(G36="USD",H36,I36),"")</x:f>
      </x:c>
      <x:c r="O36" s="57" t="n">
        <x:f>IF(L36="VALID",IF(COUNTIFS($B$2:B36,B36,$M$2:M36,M36,$L$2:L36,"VALID")=1,1,0),0)</x:f>
        <x:v>0</x:v>
      </x:c>
    </x:row>
    <x:row r="37">
      <x:c r="A37" s="47"/>
      <x:c r="B37" s="47"/>
      <x:c r="C37" s="58"/>
      <x:c r="D37" s="47"/>
      <x:c r="E37" s="47"/>
      <x:c r="F37" s="47"/>
      <x:c r="G37" s="47"/>
      <x:c r="H37" s="48"/>
      <x:c r="I37" s="48"/>
      <x:c r="J37" s="47"/>
      <x:c r="K37" s="47"/>
      <x:c r="L37" s="57" t="str">
        <x:f>IF(COUNTA(A37:K37)=0,"",IF(K37="CANCELLED","CANCELLED",IF(A37="","INVOICE ID REQUIRED",IF(B37="","PROJECT ID REQUIRED",IF(NOT(ISNUMBER(C37)),"INVALID INVOICE DATE",IF(NOT(AND(ISNUMBER(C37),C37&gt;=2,C37&lt;=2958465,C37=INT(C37))),"INVALID INVOICE DATE",IF(NOT(OR(D37="MX",D37="US")),"ENTITY REQUIRED",IF(NOT(OR(E37="Strategic Services",E37="Brands")),"UNIT REQUIRED",IF(F37="","BRAND / N/A REQUIRED",IF(NOT(OR(G37="USD",G37="MXN")),"CURRENCY REQUIRED",IF(NOT(ISNUMBER(H37)),"AMOUNT REQUIRED",IF(J37="","ERP SOURCE REQUIRED",IF(NOT(OR(K37="ISSUED",K37="CANCELLED")),"INVOICE STATUS REQUIRED",IF(COUNTIFS($A$2:$A$501,A37,$B$2:$B$501,B37,$D$2:$D$501,D37)&gt;1,"DUPLICATE INVOICE / PROJECT",IF(AND(G37="MXN",NOT(AND(ISNUMBER(I37),Settings!$B$8="APPROVED",Settings!$B$9&lt;&gt;"",Settings!$B$10&lt;&gt;""))),"FX HOLD","VALID")))))))))))))))</x:f>
      </x:c>
      <x:c r="M37" s="57" t="str">
        <x:f>IF(ISNUMBER(C37),IF(AND(ISNUMBER(C37),C37&gt;=2,C37&lt;=2958465,C37=INT(C37)),TEXT(C37,"yyyy-mm"),""),"")</x:f>
      </x:c>
      <x:c r="N37" s="59" t="str">
        <x:f>IF(L37="VALID",IF(G37="USD",H37,I37),"")</x:f>
      </x:c>
      <x:c r="O37" s="57" t="n">
        <x:f>IF(L37="VALID",IF(COUNTIFS($B$2:B37,B37,$M$2:M37,M37,$L$2:L37,"VALID")=1,1,0),0)</x:f>
        <x:v>0</x:v>
      </x:c>
    </x:row>
    <x:row r="38">
      <x:c r="A38" s="47"/>
      <x:c r="B38" s="47"/>
      <x:c r="C38" s="58"/>
      <x:c r="D38" s="47"/>
      <x:c r="E38" s="47"/>
      <x:c r="F38" s="47"/>
      <x:c r="G38" s="47"/>
      <x:c r="H38" s="48"/>
      <x:c r="I38" s="48"/>
      <x:c r="J38" s="47"/>
      <x:c r="K38" s="47"/>
      <x:c r="L38" s="57" t="str">
        <x:f>IF(COUNTA(A38:K38)=0,"",IF(K38="CANCELLED","CANCELLED",IF(A38="","INVOICE ID REQUIRED",IF(B38="","PROJECT ID REQUIRED",IF(NOT(ISNUMBER(C38)),"INVALID INVOICE DATE",IF(NOT(AND(ISNUMBER(C38),C38&gt;=2,C38&lt;=2958465,C38=INT(C38))),"INVALID INVOICE DATE",IF(NOT(OR(D38="MX",D38="US")),"ENTITY REQUIRED",IF(NOT(OR(E38="Strategic Services",E38="Brands")),"UNIT REQUIRED",IF(F38="","BRAND / N/A REQUIRED",IF(NOT(OR(G38="USD",G38="MXN")),"CURRENCY REQUIRED",IF(NOT(ISNUMBER(H38)),"AMOUNT REQUIRED",IF(J38="","ERP SOURCE REQUIRED",IF(NOT(OR(K38="ISSUED",K38="CANCELLED")),"INVOICE STATUS REQUIRED",IF(COUNTIFS($A$2:$A$501,A38,$B$2:$B$501,B38,$D$2:$D$501,D38)&gt;1,"DUPLICATE INVOICE / PROJECT",IF(AND(G38="MXN",NOT(AND(ISNUMBER(I38),Settings!$B$8="APPROVED",Settings!$B$9&lt;&gt;"",Settings!$B$10&lt;&gt;""))),"FX HOLD","VALID")))))))))))))))</x:f>
      </x:c>
      <x:c r="M38" s="57" t="str">
        <x:f>IF(ISNUMBER(C38),IF(AND(ISNUMBER(C38),C38&gt;=2,C38&lt;=2958465,C38=INT(C38)),TEXT(C38,"yyyy-mm"),""),"")</x:f>
      </x:c>
      <x:c r="N38" s="59" t="str">
        <x:f>IF(L38="VALID",IF(G38="USD",H38,I38),"")</x:f>
      </x:c>
      <x:c r="O38" s="57" t="n">
        <x:f>IF(L38="VALID",IF(COUNTIFS($B$2:B38,B38,$M$2:M38,M38,$L$2:L38,"VALID")=1,1,0),0)</x:f>
        <x:v>0</x:v>
      </x:c>
    </x:row>
    <x:row r="39">
      <x:c r="A39" s="47"/>
      <x:c r="B39" s="47"/>
      <x:c r="C39" s="58"/>
      <x:c r="D39" s="47"/>
      <x:c r="E39" s="47"/>
      <x:c r="F39" s="47"/>
      <x:c r="G39" s="47"/>
      <x:c r="H39" s="48"/>
      <x:c r="I39" s="48"/>
      <x:c r="J39" s="47"/>
      <x:c r="K39" s="47"/>
      <x:c r="L39" s="57" t="str">
        <x:f>IF(COUNTA(A39:K39)=0,"",IF(K39="CANCELLED","CANCELLED",IF(A39="","INVOICE ID REQUIRED",IF(B39="","PROJECT ID REQUIRED",IF(NOT(ISNUMBER(C39)),"INVALID INVOICE DATE",IF(NOT(AND(ISNUMBER(C39),C39&gt;=2,C39&lt;=2958465,C39=INT(C39))),"INVALID INVOICE DATE",IF(NOT(OR(D39="MX",D39="US")),"ENTITY REQUIRED",IF(NOT(OR(E39="Strategic Services",E39="Brands")),"UNIT REQUIRED",IF(F39="","BRAND / N/A REQUIRED",IF(NOT(OR(G39="USD",G39="MXN")),"CURRENCY REQUIRED",IF(NOT(ISNUMBER(H39)),"AMOUNT REQUIRED",IF(J39="","ERP SOURCE REQUIRED",IF(NOT(OR(K39="ISSUED",K39="CANCELLED")),"INVOICE STATUS REQUIRED",IF(COUNTIFS($A$2:$A$501,A39,$B$2:$B$501,B39,$D$2:$D$501,D39)&gt;1,"DUPLICATE INVOICE / PROJECT",IF(AND(G39="MXN",NOT(AND(ISNUMBER(I39),Settings!$B$8="APPROVED",Settings!$B$9&lt;&gt;"",Settings!$B$10&lt;&gt;""))),"FX HOLD","VALID")))))))))))))))</x:f>
      </x:c>
      <x:c r="M39" s="57" t="str">
        <x:f>IF(ISNUMBER(C39),IF(AND(ISNUMBER(C39),C39&gt;=2,C39&lt;=2958465,C39=INT(C39)),TEXT(C39,"yyyy-mm"),""),"")</x:f>
      </x:c>
      <x:c r="N39" s="59" t="str">
        <x:f>IF(L39="VALID",IF(G39="USD",H39,I39),"")</x:f>
      </x:c>
      <x:c r="O39" s="57" t="n">
        <x:f>IF(L39="VALID",IF(COUNTIFS($B$2:B39,B39,$M$2:M39,M39,$L$2:L39,"VALID")=1,1,0),0)</x:f>
        <x:v>0</x:v>
      </x:c>
    </x:row>
    <x:row r="40">
      <x:c r="A40" s="47"/>
      <x:c r="B40" s="47"/>
      <x:c r="C40" s="58"/>
      <x:c r="D40" s="47"/>
      <x:c r="E40" s="47"/>
      <x:c r="F40" s="47"/>
      <x:c r="G40" s="47"/>
      <x:c r="H40" s="48"/>
      <x:c r="I40" s="48"/>
      <x:c r="J40" s="47"/>
      <x:c r="K40" s="47"/>
      <x:c r="L40" s="57" t="str">
        <x:f>IF(COUNTA(A40:K40)=0,"",IF(K40="CANCELLED","CANCELLED",IF(A40="","INVOICE ID REQUIRED",IF(B40="","PROJECT ID REQUIRED",IF(NOT(ISNUMBER(C40)),"INVALID INVOICE DATE",IF(NOT(AND(ISNUMBER(C40),C40&gt;=2,C40&lt;=2958465,C40=INT(C40))),"INVALID INVOICE DATE",IF(NOT(OR(D40="MX",D40="US")),"ENTITY REQUIRED",IF(NOT(OR(E40="Strategic Services",E40="Brands")),"UNIT REQUIRED",IF(F40="","BRAND / N/A REQUIRED",IF(NOT(OR(G40="USD",G40="MXN")),"CURRENCY REQUIRED",IF(NOT(ISNUMBER(H40)),"AMOUNT REQUIRED",IF(J40="","ERP SOURCE REQUIRED",IF(NOT(OR(K40="ISSUED",K40="CANCELLED")),"INVOICE STATUS REQUIRED",IF(COUNTIFS($A$2:$A$501,A40,$B$2:$B$501,B40,$D$2:$D$501,D40)&gt;1,"DUPLICATE INVOICE / PROJECT",IF(AND(G40="MXN",NOT(AND(ISNUMBER(I40),Settings!$B$8="APPROVED",Settings!$B$9&lt;&gt;"",Settings!$B$10&lt;&gt;""))),"FX HOLD","VALID")))))))))))))))</x:f>
      </x:c>
      <x:c r="M40" s="57" t="str">
        <x:f>IF(ISNUMBER(C40),IF(AND(ISNUMBER(C40),C40&gt;=2,C40&lt;=2958465,C40=INT(C40)),TEXT(C40,"yyyy-mm"),""),"")</x:f>
      </x:c>
      <x:c r="N40" s="59" t="str">
        <x:f>IF(L40="VALID",IF(G40="USD",H40,I40),"")</x:f>
      </x:c>
      <x:c r="O40" s="57" t="n">
        <x:f>IF(L40="VALID",IF(COUNTIFS($B$2:B40,B40,$M$2:M40,M40,$L$2:L40,"VALID")=1,1,0),0)</x:f>
        <x:v>0</x:v>
      </x:c>
    </x:row>
    <x:row r="41">
      <x:c r="A41" s="47"/>
      <x:c r="B41" s="47"/>
      <x:c r="C41" s="58"/>
      <x:c r="D41" s="47"/>
      <x:c r="E41" s="47"/>
      <x:c r="F41" s="47"/>
      <x:c r="G41" s="47"/>
      <x:c r="H41" s="48"/>
      <x:c r="I41" s="48"/>
      <x:c r="J41" s="47"/>
      <x:c r="K41" s="47"/>
      <x:c r="L41" s="57" t="str">
        <x:f>IF(COUNTA(A41:K41)=0,"",IF(K41="CANCELLED","CANCELLED",IF(A41="","INVOICE ID REQUIRED",IF(B41="","PROJECT ID REQUIRED",IF(NOT(ISNUMBER(C41)),"INVALID INVOICE DATE",IF(NOT(AND(ISNUMBER(C41),C41&gt;=2,C41&lt;=2958465,C41=INT(C41))),"INVALID INVOICE DATE",IF(NOT(OR(D41="MX",D41="US")),"ENTITY REQUIRED",IF(NOT(OR(E41="Strategic Services",E41="Brands")),"UNIT REQUIRED",IF(F41="","BRAND / N/A REQUIRED",IF(NOT(OR(G41="USD",G41="MXN")),"CURRENCY REQUIRED",IF(NOT(ISNUMBER(H41)),"AMOUNT REQUIRED",IF(J41="","ERP SOURCE REQUIRED",IF(NOT(OR(K41="ISSUED",K41="CANCELLED")),"INVOICE STATUS REQUIRED",IF(COUNTIFS($A$2:$A$501,A41,$B$2:$B$501,B41,$D$2:$D$501,D41)&gt;1,"DUPLICATE INVOICE / PROJECT",IF(AND(G41="MXN",NOT(AND(ISNUMBER(I41),Settings!$B$8="APPROVED",Settings!$B$9&lt;&gt;"",Settings!$B$10&lt;&gt;""))),"FX HOLD","VALID")))))))))))))))</x:f>
      </x:c>
      <x:c r="M41" s="57" t="str">
        <x:f>IF(ISNUMBER(C41),IF(AND(ISNUMBER(C41),C41&gt;=2,C41&lt;=2958465,C41=INT(C41)),TEXT(C41,"yyyy-mm"),""),"")</x:f>
      </x:c>
      <x:c r="N41" s="59" t="str">
        <x:f>IF(L41="VALID",IF(G41="USD",H41,I41),"")</x:f>
      </x:c>
      <x:c r="O41" s="57" t="n">
        <x:f>IF(L41="VALID",IF(COUNTIFS($B$2:B41,B41,$M$2:M41,M41,$L$2:L41,"VALID")=1,1,0),0)</x:f>
        <x:v>0</x:v>
      </x:c>
    </x:row>
    <x:row r="42">
      <x:c r="A42" s="47"/>
      <x:c r="B42" s="47"/>
      <x:c r="C42" s="58"/>
      <x:c r="D42" s="47"/>
      <x:c r="E42" s="47"/>
      <x:c r="F42" s="47"/>
      <x:c r="G42" s="47"/>
      <x:c r="H42" s="48"/>
      <x:c r="I42" s="48"/>
      <x:c r="J42" s="47"/>
      <x:c r="K42" s="47"/>
      <x:c r="L42" s="57" t="str">
        <x:f>IF(COUNTA(A42:K42)=0,"",IF(K42="CANCELLED","CANCELLED",IF(A42="","INVOICE ID REQUIRED",IF(B42="","PROJECT ID REQUIRED",IF(NOT(ISNUMBER(C42)),"INVALID INVOICE DATE",IF(NOT(AND(ISNUMBER(C42),C42&gt;=2,C42&lt;=2958465,C42=INT(C42))),"INVALID INVOICE DATE",IF(NOT(OR(D42="MX",D42="US")),"ENTITY REQUIRED",IF(NOT(OR(E42="Strategic Services",E42="Brands")),"UNIT REQUIRED",IF(F42="","BRAND / N/A REQUIRED",IF(NOT(OR(G42="USD",G42="MXN")),"CURRENCY REQUIRED",IF(NOT(ISNUMBER(H42)),"AMOUNT REQUIRED",IF(J42="","ERP SOURCE REQUIRED",IF(NOT(OR(K42="ISSUED",K42="CANCELLED")),"INVOICE STATUS REQUIRED",IF(COUNTIFS($A$2:$A$501,A42,$B$2:$B$501,B42,$D$2:$D$501,D42)&gt;1,"DUPLICATE INVOICE / PROJECT",IF(AND(G42="MXN",NOT(AND(ISNUMBER(I42),Settings!$B$8="APPROVED",Settings!$B$9&lt;&gt;"",Settings!$B$10&lt;&gt;""))),"FX HOLD","VALID")))))))))))))))</x:f>
      </x:c>
      <x:c r="M42" s="57" t="str">
        <x:f>IF(ISNUMBER(C42),IF(AND(ISNUMBER(C42),C42&gt;=2,C42&lt;=2958465,C42=INT(C42)),TEXT(C42,"yyyy-mm"),""),"")</x:f>
      </x:c>
      <x:c r="N42" s="59" t="str">
        <x:f>IF(L42="VALID",IF(G42="USD",H42,I42),"")</x:f>
      </x:c>
      <x:c r="O42" s="57" t="n">
        <x:f>IF(L42="VALID",IF(COUNTIFS($B$2:B42,B42,$M$2:M42,M42,$L$2:L42,"VALID")=1,1,0),0)</x:f>
        <x:v>0</x:v>
      </x:c>
    </x:row>
    <x:row r="43">
      <x:c r="A43" s="47"/>
      <x:c r="B43" s="47"/>
      <x:c r="C43" s="58"/>
      <x:c r="D43" s="47"/>
      <x:c r="E43" s="47"/>
      <x:c r="F43" s="47"/>
      <x:c r="G43" s="47"/>
      <x:c r="H43" s="48"/>
      <x:c r="I43" s="48"/>
      <x:c r="J43" s="47"/>
      <x:c r="K43" s="47"/>
      <x:c r="L43" s="57" t="str">
        <x:f>IF(COUNTA(A43:K43)=0,"",IF(K43="CANCELLED","CANCELLED",IF(A43="","INVOICE ID REQUIRED",IF(B43="","PROJECT ID REQUIRED",IF(NOT(ISNUMBER(C43)),"INVALID INVOICE DATE",IF(NOT(AND(ISNUMBER(C43),C43&gt;=2,C43&lt;=2958465,C43=INT(C43))),"INVALID INVOICE DATE",IF(NOT(OR(D43="MX",D43="US")),"ENTITY REQUIRED",IF(NOT(OR(E43="Strategic Services",E43="Brands")),"UNIT REQUIRED",IF(F43="","BRAND / N/A REQUIRED",IF(NOT(OR(G43="USD",G43="MXN")),"CURRENCY REQUIRED",IF(NOT(ISNUMBER(H43)),"AMOUNT REQUIRED",IF(J43="","ERP SOURCE REQUIRED",IF(NOT(OR(K43="ISSUED",K43="CANCELLED")),"INVOICE STATUS REQUIRED",IF(COUNTIFS($A$2:$A$501,A43,$B$2:$B$501,B43,$D$2:$D$501,D43)&gt;1,"DUPLICATE INVOICE / PROJECT",IF(AND(G43="MXN",NOT(AND(ISNUMBER(I43),Settings!$B$8="APPROVED",Settings!$B$9&lt;&gt;"",Settings!$B$10&lt;&gt;""))),"FX HOLD","VALID")))))))))))))))</x:f>
      </x:c>
      <x:c r="M43" s="57" t="str">
        <x:f>IF(ISNUMBER(C43),IF(AND(ISNUMBER(C43),C43&gt;=2,C43&lt;=2958465,C43=INT(C43)),TEXT(C43,"yyyy-mm"),""),"")</x:f>
      </x:c>
      <x:c r="N43" s="59" t="str">
        <x:f>IF(L43="VALID",IF(G43="USD",H43,I43),"")</x:f>
      </x:c>
      <x:c r="O43" s="57" t="n">
        <x:f>IF(L43="VALID",IF(COUNTIFS($B$2:B43,B43,$M$2:M43,M43,$L$2:L43,"VALID")=1,1,0),0)</x:f>
        <x:v>0</x:v>
      </x:c>
    </x:row>
    <x:row r="44">
      <x:c r="A44" s="47"/>
      <x:c r="B44" s="47"/>
      <x:c r="C44" s="58"/>
      <x:c r="D44" s="47"/>
      <x:c r="E44" s="47"/>
      <x:c r="F44" s="47"/>
      <x:c r="G44" s="47"/>
      <x:c r="H44" s="48"/>
      <x:c r="I44" s="48"/>
      <x:c r="J44" s="47"/>
      <x:c r="K44" s="47"/>
      <x:c r="L44" s="57" t="str">
        <x:f>IF(COUNTA(A44:K44)=0,"",IF(K44="CANCELLED","CANCELLED",IF(A44="","INVOICE ID REQUIRED",IF(B44="","PROJECT ID REQUIRED",IF(NOT(ISNUMBER(C44)),"INVALID INVOICE DATE",IF(NOT(AND(ISNUMBER(C44),C44&gt;=2,C44&lt;=2958465,C44=INT(C44))),"INVALID INVOICE DATE",IF(NOT(OR(D44="MX",D44="US")),"ENTITY REQUIRED",IF(NOT(OR(E44="Strategic Services",E44="Brands")),"UNIT REQUIRED",IF(F44="","BRAND / N/A REQUIRED",IF(NOT(OR(G44="USD",G44="MXN")),"CURRENCY REQUIRED",IF(NOT(ISNUMBER(H44)),"AMOUNT REQUIRED",IF(J44="","ERP SOURCE REQUIRED",IF(NOT(OR(K44="ISSUED",K44="CANCELLED")),"INVOICE STATUS REQUIRED",IF(COUNTIFS($A$2:$A$501,A44,$B$2:$B$501,B44,$D$2:$D$501,D44)&gt;1,"DUPLICATE INVOICE / PROJECT",IF(AND(G44="MXN",NOT(AND(ISNUMBER(I44),Settings!$B$8="APPROVED",Settings!$B$9&lt;&gt;"",Settings!$B$10&lt;&gt;""))),"FX HOLD","VALID")))))))))))))))</x:f>
      </x:c>
      <x:c r="M44" s="57" t="str">
        <x:f>IF(ISNUMBER(C44),IF(AND(ISNUMBER(C44),C44&gt;=2,C44&lt;=2958465,C44=INT(C44)),TEXT(C44,"yyyy-mm"),""),"")</x:f>
      </x:c>
      <x:c r="N44" s="59" t="str">
        <x:f>IF(L44="VALID",IF(G44="USD",H44,I44),"")</x:f>
      </x:c>
      <x:c r="O44" s="57" t="n">
        <x:f>IF(L44="VALID",IF(COUNTIFS($B$2:B44,B44,$M$2:M44,M44,$L$2:L44,"VALID")=1,1,0),0)</x:f>
        <x:v>0</x:v>
      </x:c>
    </x:row>
    <x:row r="45">
      <x:c r="A45" s="47"/>
      <x:c r="B45" s="47"/>
      <x:c r="C45" s="58"/>
      <x:c r="D45" s="47"/>
      <x:c r="E45" s="47"/>
      <x:c r="F45" s="47"/>
      <x:c r="G45" s="47"/>
      <x:c r="H45" s="48"/>
      <x:c r="I45" s="48"/>
      <x:c r="J45" s="47"/>
      <x:c r="K45" s="47"/>
      <x:c r="L45" s="57" t="str">
        <x:f>IF(COUNTA(A45:K45)=0,"",IF(K45="CANCELLED","CANCELLED",IF(A45="","INVOICE ID REQUIRED",IF(B45="","PROJECT ID REQUIRED",IF(NOT(ISNUMBER(C45)),"INVALID INVOICE DATE",IF(NOT(AND(ISNUMBER(C45),C45&gt;=2,C45&lt;=2958465,C45=INT(C45))),"INVALID INVOICE DATE",IF(NOT(OR(D45="MX",D45="US")),"ENTITY REQUIRED",IF(NOT(OR(E45="Strategic Services",E45="Brands")),"UNIT REQUIRED",IF(F45="","BRAND / N/A REQUIRED",IF(NOT(OR(G45="USD",G45="MXN")),"CURRENCY REQUIRED",IF(NOT(ISNUMBER(H45)),"AMOUNT REQUIRED",IF(J45="","ERP SOURCE REQUIRED",IF(NOT(OR(K45="ISSUED",K45="CANCELLED")),"INVOICE STATUS REQUIRED",IF(COUNTIFS($A$2:$A$501,A45,$B$2:$B$501,B45,$D$2:$D$501,D45)&gt;1,"DUPLICATE INVOICE / PROJECT",IF(AND(G45="MXN",NOT(AND(ISNUMBER(I45),Settings!$B$8="APPROVED",Settings!$B$9&lt;&gt;"",Settings!$B$10&lt;&gt;""))),"FX HOLD","VALID")))))))))))))))</x:f>
      </x:c>
      <x:c r="M45" s="57" t="str">
        <x:f>IF(ISNUMBER(C45),IF(AND(ISNUMBER(C45),C45&gt;=2,C45&lt;=2958465,C45=INT(C45)),TEXT(C45,"yyyy-mm"),""),"")</x:f>
      </x:c>
      <x:c r="N45" s="59" t="str">
        <x:f>IF(L45="VALID",IF(G45="USD",H45,I45),"")</x:f>
      </x:c>
      <x:c r="O45" s="57" t="n">
        <x:f>IF(L45="VALID",IF(COUNTIFS($B$2:B45,B45,$M$2:M45,M45,$L$2:L45,"VALID")=1,1,0),0)</x:f>
        <x:v>0</x:v>
      </x:c>
    </x:row>
    <x:row r="46">
      <x:c r="A46" s="47"/>
      <x:c r="B46" s="47"/>
      <x:c r="C46" s="58"/>
      <x:c r="D46" s="47"/>
      <x:c r="E46" s="47"/>
      <x:c r="F46" s="47"/>
      <x:c r="G46" s="47"/>
      <x:c r="H46" s="48"/>
      <x:c r="I46" s="48"/>
      <x:c r="J46" s="47"/>
      <x:c r="K46" s="47"/>
      <x:c r="L46" s="57" t="str">
        <x:f>IF(COUNTA(A46:K46)=0,"",IF(K46="CANCELLED","CANCELLED",IF(A46="","INVOICE ID REQUIRED",IF(B46="","PROJECT ID REQUIRED",IF(NOT(ISNUMBER(C46)),"INVALID INVOICE DATE",IF(NOT(AND(ISNUMBER(C46),C46&gt;=2,C46&lt;=2958465,C46=INT(C46))),"INVALID INVOICE DATE",IF(NOT(OR(D46="MX",D46="US")),"ENTITY REQUIRED",IF(NOT(OR(E46="Strategic Services",E46="Brands")),"UNIT REQUIRED",IF(F46="","BRAND / N/A REQUIRED",IF(NOT(OR(G46="USD",G46="MXN")),"CURRENCY REQUIRED",IF(NOT(ISNUMBER(H46)),"AMOUNT REQUIRED",IF(J46="","ERP SOURCE REQUIRED",IF(NOT(OR(K46="ISSUED",K46="CANCELLED")),"INVOICE STATUS REQUIRED",IF(COUNTIFS($A$2:$A$501,A46,$B$2:$B$501,B46,$D$2:$D$501,D46)&gt;1,"DUPLICATE INVOICE / PROJECT",IF(AND(G46="MXN",NOT(AND(ISNUMBER(I46),Settings!$B$8="APPROVED",Settings!$B$9&lt;&gt;"",Settings!$B$10&lt;&gt;""))),"FX HOLD","VALID")))))))))))))))</x:f>
      </x:c>
      <x:c r="M46" s="57" t="str">
        <x:f>IF(ISNUMBER(C46),IF(AND(ISNUMBER(C46),C46&gt;=2,C46&lt;=2958465,C46=INT(C46)),TEXT(C46,"yyyy-mm"),""),"")</x:f>
      </x:c>
      <x:c r="N46" s="59" t="str">
        <x:f>IF(L46="VALID",IF(G46="USD",H46,I46),"")</x:f>
      </x:c>
      <x:c r="O46" s="57" t="n">
        <x:f>IF(L46="VALID",IF(COUNTIFS($B$2:B46,B46,$M$2:M46,M46,$L$2:L46,"VALID")=1,1,0),0)</x:f>
        <x:v>0</x:v>
      </x:c>
    </x:row>
    <x:row r="47">
      <x:c r="A47" s="47"/>
      <x:c r="B47" s="47"/>
      <x:c r="C47" s="58"/>
      <x:c r="D47" s="47"/>
      <x:c r="E47" s="47"/>
      <x:c r="F47" s="47"/>
      <x:c r="G47" s="47"/>
      <x:c r="H47" s="48"/>
      <x:c r="I47" s="48"/>
      <x:c r="J47" s="47"/>
      <x:c r="K47" s="47"/>
      <x:c r="L47" s="57" t="str">
        <x:f>IF(COUNTA(A47:K47)=0,"",IF(K47="CANCELLED","CANCELLED",IF(A47="","INVOICE ID REQUIRED",IF(B47="","PROJECT ID REQUIRED",IF(NOT(ISNUMBER(C47)),"INVALID INVOICE DATE",IF(NOT(AND(ISNUMBER(C47),C47&gt;=2,C47&lt;=2958465,C47=INT(C47))),"INVALID INVOICE DATE",IF(NOT(OR(D47="MX",D47="US")),"ENTITY REQUIRED",IF(NOT(OR(E47="Strategic Services",E47="Brands")),"UNIT REQUIRED",IF(F47="","BRAND / N/A REQUIRED",IF(NOT(OR(G47="USD",G47="MXN")),"CURRENCY REQUIRED",IF(NOT(ISNUMBER(H47)),"AMOUNT REQUIRED",IF(J47="","ERP SOURCE REQUIRED",IF(NOT(OR(K47="ISSUED",K47="CANCELLED")),"INVOICE STATUS REQUIRED",IF(COUNTIFS($A$2:$A$501,A47,$B$2:$B$501,B47,$D$2:$D$501,D47)&gt;1,"DUPLICATE INVOICE / PROJECT",IF(AND(G47="MXN",NOT(AND(ISNUMBER(I47),Settings!$B$8="APPROVED",Settings!$B$9&lt;&gt;"",Settings!$B$10&lt;&gt;""))),"FX HOLD","VALID")))))))))))))))</x:f>
      </x:c>
      <x:c r="M47" s="57" t="str">
        <x:f>IF(ISNUMBER(C47),IF(AND(ISNUMBER(C47),C47&gt;=2,C47&lt;=2958465,C47=INT(C47)),TEXT(C47,"yyyy-mm"),""),"")</x:f>
      </x:c>
      <x:c r="N47" s="59" t="str">
        <x:f>IF(L47="VALID",IF(G47="USD",H47,I47),"")</x:f>
      </x:c>
      <x:c r="O47" s="57" t="n">
        <x:f>IF(L47="VALID",IF(COUNTIFS($B$2:B47,B47,$M$2:M47,M47,$L$2:L47,"VALID")=1,1,0),0)</x:f>
        <x:v>0</x:v>
      </x:c>
    </x:row>
    <x:row r="48">
      <x:c r="A48" s="47"/>
      <x:c r="B48" s="47"/>
      <x:c r="C48" s="58"/>
      <x:c r="D48" s="47"/>
      <x:c r="E48" s="47"/>
      <x:c r="F48" s="47"/>
      <x:c r="G48" s="47"/>
      <x:c r="H48" s="48"/>
      <x:c r="I48" s="48"/>
      <x:c r="J48" s="47"/>
      <x:c r="K48" s="47"/>
      <x:c r="L48" s="57" t="str">
        <x:f>IF(COUNTA(A48:K48)=0,"",IF(K48="CANCELLED","CANCELLED",IF(A48="","INVOICE ID REQUIRED",IF(B48="","PROJECT ID REQUIRED",IF(NOT(ISNUMBER(C48)),"INVALID INVOICE DATE",IF(NOT(AND(ISNUMBER(C48),C48&gt;=2,C48&lt;=2958465,C48=INT(C48))),"INVALID INVOICE DATE",IF(NOT(OR(D48="MX",D48="US")),"ENTITY REQUIRED",IF(NOT(OR(E48="Strategic Services",E48="Brands")),"UNIT REQUIRED",IF(F48="","BRAND / N/A REQUIRED",IF(NOT(OR(G48="USD",G48="MXN")),"CURRENCY REQUIRED",IF(NOT(ISNUMBER(H48)),"AMOUNT REQUIRED",IF(J48="","ERP SOURCE REQUIRED",IF(NOT(OR(K48="ISSUED",K48="CANCELLED")),"INVOICE STATUS REQUIRED",IF(COUNTIFS($A$2:$A$501,A48,$B$2:$B$501,B48,$D$2:$D$501,D48)&gt;1,"DUPLICATE INVOICE / PROJECT",IF(AND(G48="MXN",NOT(AND(ISNUMBER(I48),Settings!$B$8="APPROVED",Settings!$B$9&lt;&gt;"",Settings!$B$10&lt;&gt;""))),"FX HOLD","VALID")))))))))))))))</x:f>
      </x:c>
      <x:c r="M48" s="57" t="str">
        <x:f>IF(ISNUMBER(C48),IF(AND(ISNUMBER(C48),C48&gt;=2,C48&lt;=2958465,C48=INT(C48)),TEXT(C48,"yyyy-mm"),""),"")</x:f>
      </x:c>
      <x:c r="N48" s="59" t="str">
        <x:f>IF(L48="VALID",IF(G48="USD",H48,I48),"")</x:f>
      </x:c>
      <x:c r="O48" s="57" t="n">
        <x:f>IF(L48="VALID",IF(COUNTIFS($B$2:B48,B48,$M$2:M48,M48,$L$2:L48,"VALID")=1,1,0),0)</x:f>
        <x:v>0</x:v>
      </x:c>
    </x:row>
    <x:row r="49">
      <x:c r="A49" s="47"/>
      <x:c r="B49" s="47"/>
      <x:c r="C49" s="58"/>
      <x:c r="D49" s="47"/>
      <x:c r="E49" s="47"/>
      <x:c r="F49" s="47"/>
      <x:c r="G49" s="47"/>
      <x:c r="H49" s="48"/>
      <x:c r="I49" s="48"/>
      <x:c r="J49" s="47"/>
      <x:c r="K49" s="47"/>
      <x:c r="L49" s="57" t="str">
        <x:f>IF(COUNTA(A49:K49)=0,"",IF(K49="CANCELLED","CANCELLED",IF(A49="","INVOICE ID REQUIRED",IF(B49="","PROJECT ID REQUIRED",IF(NOT(ISNUMBER(C49)),"INVALID INVOICE DATE",IF(NOT(AND(ISNUMBER(C49),C49&gt;=2,C49&lt;=2958465,C49=INT(C49))),"INVALID INVOICE DATE",IF(NOT(OR(D49="MX",D49="US")),"ENTITY REQUIRED",IF(NOT(OR(E49="Strategic Services",E49="Brands")),"UNIT REQUIRED",IF(F49="","BRAND / N/A REQUIRED",IF(NOT(OR(G49="USD",G49="MXN")),"CURRENCY REQUIRED",IF(NOT(ISNUMBER(H49)),"AMOUNT REQUIRED",IF(J49="","ERP SOURCE REQUIRED",IF(NOT(OR(K49="ISSUED",K49="CANCELLED")),"INVOICE STATUS REQUIRED",IF(COUNTIFS($A$2:$A$501,A49,$B$2:$B$501,B49,$D$2:$D$501,D49)&gt;1,"DUPLICATE INVOICE / PROJECT",IF(AND(G49="MXN",NOT(AND(ISNUMBER(I49),Settings!$B$8="APPROVED",Settings!$B$9&lt;&gt;"",Settings!$B$10&lt;&gt;""))),"FX HOLD","VALID")))))))))))))))</x:f>
      </x:c>
      <x:c r="M49" s="57" t="str">
        <x:f>IF(ISNUMBER(C49),IF(AND(ISNUMBER(C49),C49&gt;=2,C49&lt;=2958465,C49=INT(C49)),TEXT(C49,"yyyy-mm"),""),"")</x:f>
      </x:c>
      <x:c r="N49" s="59" t="str">
        <x:f>IF(L49="VALID",IF(G49="USD",H49,I49),"")</x:f>
      </x:c>
      <x:c r="O49" s="57" t="n">
        <x:f>IF(L49="VALID",IF(COUNTIFS($B$2:B49,B49,$M$2:M49,M49,$L$2:L49,"VALID")=1,1,0),0)</x:f>
        <x:v>0</x:v>
      </x:c>
    </x:row>
    <x:row r="50">
      <x:c r="A50" s="47"/>
      <x:c r="B50" s="47"/>
      <x:c r="C50" s="58"/>
      <x:c r="D50" s="47"/>
      <x:c r="E50" s="47"/>
      <x:c r="F50" s="47"/>
      <x:c r="G50" s="47"/>
      <x:c r="H50" s="48"/>
      <x:c r="I50" s="48"/>
      <x:c r="J50" s="47"/>
      <x:c r="K50" s="47"/>
      <x:c r="L50" s="57" t="str">
        <x:f>IF(COUNTA(A50:K50)=0,"",IF(K50="CANCELLED","CANCELLED",IF(A50="","INVOICE ID REQUIRED",IF(B50="","PROJECT ID REQUIRED",IF(NOT(ISNUMBER(C50)),"INVALID INVOICE DATE",IF(NOT(AND(ISNUMBER(C50),C50&gt;=2,C50&lt;=2958465,C50=INT(C50))),"INVALID INVOICE DATE",IF(NOT(OR(D50="MX",D50="US")),"ENTITY REQUIRED",IF(NOT(OR(E50="Strategic Services",E50="Brands")),"UNIT REQUIRED",IF(F50="","BRAND / N/A REQUIRED",IF(NOT(OR(G50="USD",G50="MXN")),"CURRENCY REQUIRED",IF(NOT(ISNUMBER(H50)),"AMOUNT REQUIRED",IF(J50="","ERP SOURCE REQUIRED",IF(NOT(OR(K50="ISSUED",K50="CANCELLED")),"INVOICE STATUS REQUIRED",IF(COUNTIFS($A$2:$A$501,A50,$B$2:$B$501,B50,$D$2:$D$501,D50)&gt;1,"DUPLICATE INVOICE / PROJECT",IF(AND(G50="MXN",NOT(AND(ISNUMBER(I50),Settings!$B$8="APPROVED",Settings!$B$9&lt;&gt;"",Settings!$B$10&lt;&gt;""))),"FX HOLD","VALID")))))))))))))))</x:f>
      </x:c>
      <x:c r="M50" s="57" t="str">
        <x:f>IF(ISNUMBER(C50),IF(AND(ISNUMBER(C50),C50&gt;=2,C50&lt;=2958465,C50=INT(C50)),TEXT(C50,"yyyy-mm"),""),"")</x:f>
      </x:c>
      <x:c r="N50" s="59" t="str">
        <x:f>IF(L50="VALID",IF(G50="USD",H50,I50),"")</x:f>
      </x:c>
      <x:c r="O50" s="57" t="n">
        <x:f>IF(L50="VALID",IF(COUNTIFS($B$2:B50,B50,$M$2:M50,M50,$L$2:L50,"VALID")=1,1,0),0)</x:f>
        <x:v>0</x:v>
      </x:c>
    </x:row>
    <x:row r="51">
      <x:c r="A51" s="47"/>
      <x:c r="B51" s="47"/>
      <x:c r="C51" s="58"/>
      <x:c r="D51" s="47"/>
      <x:c r="E51" s="47"/>
      <x:c r="F51" s="47"/>
      <x:c r="G51" s="47"/>
      <x:c r="H51" s="48"/>
      <x:c r="I51" s="48"/>
      <x:c r="J51" s="47"/>
      <x:c r="K51" s="47"/>
      <x:c r="L51" s="57" t="str">
        <x:f>IF(COUNTA(A51:K51)=0,"",IF(K51="CANCELLED","CANCELLED",IF(A51="","INVOICE ID REQUIRED",IF(B51="","PROJECT ID REQUIRED",IF(NOT(ISNUMBER(C51)),"INVALID INVOICE DATE",IF(NOT(AND(ISNUMBER(C51),C51&gt;=2,C51&lt;=2958465,C51=INT(C51))),"INVALID INVOICE DATE",IF(NOT(OR(D51="MX",D51="US")),"ENTITY REQUIRED",IF(NOT(OR(E51="Strategic Services",E51="Brands")),"UNIT REQUIRED",IF(F51="","BRAND / N/A REQUIRED",IF(NOT(OR(G51="USD",G51="MXN")),"CURRENCY REQUIRED",IF(NOT(ISNUMBER(H51)),"AMOUNT REQUIRED",IF(J51="","ERP SOURCE REQUIRED",IF(NOT(OR(K51="ISSUED",K51="CANCELLED")),"INVOICE STATUS REQUIRED",IF(COUNTIFS($A$2:$A$501,A51,$B$2:$B$501,B51,$D$2:$D$501,D51)&gt;1,"DUPLICATE INVOICE / PROJECT",IF(AND(G51="MXN",NOT(AND(ISNUMBER(I51),Settings!$B$8="APPROVED",Settings!$B$9&lt;&gt;"",Settings!$B$10&lt;&gt;""))),"FX HOLD","VALID")))))))))))))))</x:f>
      </x:c>
      <x:c r="M51" s="57" t="str">
        <x:f>IF(ISNUMBER(C51),IF(AND(ISNUMBER(C51),C51&gt;=2,C51&lt;=2958465,C51=INT(C51)),TEXT(C51,"yyyy-mm"),""),"")</x:f>
      </x:c>
      <x:c r="N51" s="59" t="str">
        <x:f>IF(L51="VALID",IF(G51="USD",H51,I51),"")</x:f>
      </x:c>
      <x:c r="O51" s="57" t="n">
        <x:f>IF(L51="VALID",IF(COUNTIFS($B$2:B51,B51,$M$2:M51,M51,$L$2:L51,"VALID")=1,1,0),0)</x:f>
        <x:v>0</x:v>
      </x:c>
    </x:row>
    <x:row r="52">
      <x:c r="A52" s="47"/>
      <x:c r="B52" s="47"/>
      <x:c r="C52" s="58"/>
      <x:c r="D52" s="47"/>
      <x:c r="E52" s="47"/>
      <x:c r="F52" s="47"/>
      <x:c r="G52" s="47"/>
      <x:c r="H52" s="48"/>
      <x:c r="I52" s="48"/>
      <x:c r="J52" s="47"/>
      <x:c r="K52" s="47"/>
      <x:c r="L52" s="57" t="str">
        <x:f>IF(COUNTA(A52:K52)=0,"",IF(K52="CANCELLED","CANCELLED",IF(A52="","INVOICE ID REQUIRED",IF(B52="","PROJECT ID REQUIRED",IF(NOT(ISNUMBER(C52)),"INVALID INVOICE DATE",IF(NOT(AND(ISNUMBER(C52),C52&gt;=2,C52&lt;=2958465,C52=INT(C52))),"INVALID INVOICE DATE",IF(NOT(OR(D52="MX",D52="US")),"ENTITY REQUIRED",IF(NOT(OR(E52="Strategic Services",E52="Brands")),"UNIT REQUIRED",IF(F52="","BRAND / N/A REQUIRED",IF(NOT(OR(G52="USD",G52="MXN")),"CURRENCY REQUIRED",IF(NOT(ISNUMBER(H52)),"AMOUNT REQUIRED",IF(J52="","ERP SOURCE REQUIRED",IF(NOT(OR(K52="ISSUED",K52="CANCELLED")),"INVOICE STATUS REQUIRED",IF(COUNTIFS($A$2:$A$501,A52,$B$2:$B$501,B52,$D$2:$D$501,D52)&gt;1,"DUPLICATE INVOICE / PROJECT",IF(AND(G52="MXN",NOT(AND(ISNUMBER(I52),Settings!$B$8="APPROVED",Settings!$B$9&lt;&gt;"",Settings!$B$10&lt;&gt;""))),"FX HOLD","VALID")))))))))))))))</x:f>
      </x:c>
      <x:c r="M52" s="57" t="str">
        <x:f>IF(ISNUMBER(C52),IF(AND(ISNUMBER(C52),C52&gt;=2,C52&lt;=2958465,C52=INT(C52)),TEXT(C52,"yyyy-mm"),""),"")</x:f>
      </x:c>
      <x:c r="N52" s="59" t="str">
        <x:f>IF(L52="VALID",IF(G52="USD",H52,I52),"")</x:f>
      </x:c>
      <x:c r="O52" s="57" t="n">
        <x:f>IF(L52="VALID",IF(COUNTIFS($B$2:B52,B52,$M$2:M52,M52,$L$2:L52,"VALID")=1,1,0),0)</x:f>
        <x:v>0</x:v>
      </x:c>
    </x:row>
    <x:row r="53">
      <x:c r="A53" s="47"/>
      <x:c r="B53" s="47"/>
      <x:c r="C53" s="58"/>
      <x:c r="D53" s="47"/>
      <x:c r="E53" s="47"/>
      <x:c r="F53" s="47"/>
      <x:c r="G53" s="47"/>
      <x:c r="H53" s="48"/>
      <x:c r="I53" s="48"/>
      <x:c r="J53" s="47"/>
      <x:c r="K53" s="47"/>
      <x:c r="L53" s="57" t="str">
        <x:f>IF(COUNTA(A53:K53)=0,"",IF(K53="CANCELLED","CANCELLED",IF(A53="","INVOICE ID REQUIRED",IF(B53="","PROJECT ID REQUIRED",IF(NOT(ISNUMBER(C53)),"INVALID INVOICE DATE",IF(NOT(AND(ISNUMBER(C53),C53&gt;=2,C53&lt;=2958465,C53=INT(C53))),"INVALID INVOICE DATE",IF(NOT(OR(D53="MX",D53="US")),"ENTITY REQUIRED",IF(NOT(OR(E53="Strategic Services",E53="Brands")),"UNIT REQUIRED",IF(F53="","BRAND / N/A REQUIRED",IF(NOT(OR(G53="USD",G53="MXN")),"CURRENCY REQUIRED",IF(NOT(ISNUMBER(H53)),"AMOUNT REQUIRED",IF(J53="","ERP SOURCE REQUIRED",IF(NOT(OR(K53="ISSUED",K53="CANCELLED")),"INVOICE STATUS REQUIRED",IF(COUNTIFS($A$2:$A$501,A53,$B$2:$B$501,B53,$D$2:$D$501,D53)&gt;1,"DUPLICATE INVOICE / PROJECT",IF(AND(G53="MXN",NOT(AND(ISNUMBER(I53),Settings!$B$8="APPROVED",Settings!$B$9&lt;&gt;"",Settings!$B$10&lt;&gt;""))),"FX HOLD","VALID")))))))))))))))</x:f>
      </x:c>
      <x:c r="M53" s="57" t="str">
        <x:f>IF(ISNUMBER(C53),IF(AND(ISNUMBER(C53),C53&gt;=2,C53&lt;=2958465,C53=INT(C53)),TEXT(C53,"yyyy-mm"),""),"")</x:f>
      </x:c>
      <x:c r="N53" s="59" t="str">
        <x:f>IF(L53="VALID",IF(G53="USD",H53,I53),"")</x:f>
      </x:c>
      <x:c r="O53" s="57" t="n">
        <x:f>IF(L53="VALID",IF(COUNTIFS($B$2:B53,B53,$M$2:M53,M53,$L$2:L53,"VALID")=1,1,0),0)</x:f>
        <x:v>0</x:v>
      </x:c>
    </x:row>
    <x:row r="54">
      <x:c r="A54" s="47"/>
      <x:c r="B54" s="47"/>
      <x:c r="C54" s="58"/>
      <x:c r="D54" s="47"/>
      <x:c r="E54" s="47"/>
      <x:c r="F54" s="47"/>
      <x:c r="G54" s="47"/>
      <x:c r="H54" s="48"/>
      <x:c r="I54" s="48"/>
      <x:c r="J54" s="47"/>
      <x:c r="K54" s="47"/>
      <x:c r="L54" s="57" t="str">
        <x:f>IF(COUNTA(A54:K54)=0,"",IF(K54="CANCELLED","CANCELLED",IF(A54="","INVOICE ID REQUIRED",IF(B54="","PROJECT ID REQUIRED",IF(NOT(ISNUMBER(C54)),"INVALID INVOICE DATE",IF(NOT(AND(ISNUMBER(C54),C54&gt;=2,C54&lt;=2958465,C54=INT(C54))),"INVALID INVOICE DATE",IF(NOT(OR(D54="MX",D54="US")),"ENTITY REQUIRED",IF(NOT(OR(E54="Strategic Services",E54="Brands")),"UNIT REQUIRED",IF(F54="","BRAND / N/A REQUIRED",IF(NOT(OR(G54="USD",G54="MXN")),"CURRENCY REQUIRED",IF(NOT(ISNUMBER(H54)),"AMOUNT REQUIRED",IF(J54="","ERP SOURCE REQUIRED",IF(NOT(OR(K54="ISSUED",K54="CANCELLED")),"INVOICE STATUS REQUIRED",IF(COUNTIFS($A$2:$A$501,A54,$B$2:$B$501,B54,$D$2:$D$501,D54)&gt;1,"DUPLICATE INVOICE / PROJECT",IF(AND(G54="MXN",NOT(AND(ISNUMBER(I54),Settings!$B$8="APPROVED",Settings!$B$9&lt;&gt;"",Settings!$B$10&lt;&gt;""))),"FX HOLD","VALID")))))))))))))))</x:f>
      </x:c>
      <x:c r="M54" s="57" t="str">
        <x:f>IF(ISNUMBER(C54),IF(AND(ISNUMBER(C54),C54&gt;=2,C54&lt;=2958465,C54=INT(C54)),TEXT(C54,"yyyy-mm"),""),"")</x:f>
      </x:c>
      <x:c r="N54" s="59" t="str">
        <x:f>IF(L54="VALID",IF(G54="USD",H54,I54),"")</x:f>
      </x:c>
      <x:c r="O54" s="57" t="n">
        <x:f>IF(L54="VALID",IF(COUNTIFS($B$2:B54,B54,$M$2:M54,M54,$L$2:L54,"VALID")=1,1,0),0)</x:f>
        <x:v>0</x:v>
      </x:c>
    </x:row>
    <x:row r="55">
      <x:c r="A55" s="47"/>
      <x:c r="B55" s="47"/>
      <x:c r="C55" s="58"/>
      <x:c r="D55" s="47"/>
      <x:c r="E55" s="47"/>
      <x:c r="F55" s="47"/>
      <x:c r="G55" s="47"/>
      <x:c r="H55" s="48"/>
      <x:c r="I55" s="48"/>
      <x:c r="J55" s="47"/>
      <x:c r="K55" s="47"/>
      <x:c r="L55" s="57" t="str">
        <x:f>IF(COUNTA(A55:K55)=0,"",IF(K55="CANCELLED","CANCELLED",IF(A55="","INVOICE ID REQUIRED",IF(B55="","PROJECT ID REQUIRED",IF(NOT(ISNUMBER(C55)),"INVALID INVOICE DATE",IF(NOT(AND(ISNUMBER(C55),C55&gt;=2,C55&lt;=2958465,C55=INT(C55))),"INVALID INVOICE DATE",IF(NOT(OR(D55="MX",D55="US")),"ENTITY REQUIRED",IF(NOT(OR(E55="Strategic Services",E55="Brands")),"UNIT REQUIRED",IF(F55="","BRAND / N/A REQUIRED",IF(NOT(OR(G55="USD",G55="MXN")),"CURRENCY REQUIRED",IF(NOT(ISNUMBER(H55)),"AMOUNT REQUIRED",IF(J55="","ERP SOURCE REQUIRED",IF(NOT(OR(K55="ISSUED",K55="CANCELLED")),"INVOICE STATUS REQUIRED",IF(COUNTIFS($A$2:$A$501,A55,$B$2:$B$501,B55,$D$2:$D$501,D55)&gt;1,"DUPLICATE INVOICE / PROJECT",IF(AND(G55="MXN",NOT(AND(ISNUMBER(I55),Settings!$B$8="APPROVED",Settings!$B$9&lt;&gt;"",Settings!$B$10&lt;&gt;""))),"FX HOLD","VALID")))))))))))))))</x:f>
      </x:c>
      <x:c r="M55" s="57" t="str">
        <x:f>IF(ISNUMBER(C55),IF(AND(ISNUMBER(C55),C55&gt;=2,C55&lt;=2958465,C55=INT(C55)),TEXT(C55,"yyyy-mm"),""),"")</x:f>
      </x:c>
      <x:c r="N55" s="59" t="str">
        <x:f>IF(L55="VALID",IF(G55="USD",H55,I55),"")</x:f>
      </x:c>
      <x:c r="O55" s="57" t="n">
        <x:f>IF(L55="VALID",IF(COUNTIFS($B$2:B55,B55,$M$2:M55,M55,$L$2:L55,"VALID")=1,1,0),0)</x:f>
        <x:v>0</x:v>
      </x:c>
    </x:row>
    <x:row r="56">
      <x:c r="A56" s="47"/>
      <x:c r="B56" s="47"/>
      <x:c r="C56" s="58"/>
      <x:c r="D56" s="47"/>
      <x:c r="E56" s="47"/>
      <x:c r="F56" s="47"/>
      <x:c r="G56" s="47"/>
      <x:c r="H56" s="48"/>
      <x:c r="I56" s="48"/>
      <x:c r="J56" s="47"/>
      <x:c r="K56" s="47"/>
      <x:c r="L56" s="57" t="str">
        <x:f>IF(COUNTA(A56:K56)=0,"",IF(K56="CANCELLED","CANCELLED",IF(A56="","INVOICE ID REQUIRED",IF(B56="","PROJECT ID REQUIRED",IF(NOT(ISNUMBER(C56)),"INVALID INVOICE DATE",IF(NOT(AND(ISNUMBER(C56),C56&gt;=2,C56&lt;=2958465,C56=INT(C56))),"INVALID INVOICE DATE",IF(NOT(OR(D56="MX",D56="US")),"ENTITY REQUIRED",IF(NOT(OR(E56="Strategic Services",E56="Brands")),"UNIT REQUIRED",IF(F56="","BRAND / N/A REQUIRED",IF(NOT(OR(G56="USD",G56="MXN")),"CURRENCY REQUIRED",IF(NOT(ISNUMBER(H56)),"AMOUNT REQUIRED",IF(J56="","ERP SOURCE REQUIRED",IF(NOT(OR(K56="ISSUED",K56="CANCELLED")),"INVOICE STATUS REQUIRED",IF(COUNTIFS($A$2:$A$501,A56,$B$2:$B$501,B56,$D$2:$D$501,D56)&gt;1,"DUPLICATE INVOICE / PROJECT",IF(AND(G56="MXN",NOT(AND(ISNUMBER(I56),Settings!$B$8="APPROVED",Settings!$B$9&lt;&gt;"",Settings!$B$10&lt;&gt;""))),"FX HOLD","VALID")))))))))))))))</x:f>
      </x:c>
      <x:c r="M56" s="57" t="str">
        <x:f>IF(ISNUMBER(C56),IF(AND(ISNUMBER(C56),C56&gt;=2,C56&lt;=2958465,C56=INT(C56)),TEXT(C56,"yyyy-mm"),""),"")</x:f>
      </x:c>
      <x:c r="N56" s="59" t="str">
        <x:f>IF(L56="VALID",IF(G56="USD",H56,I56),"")</x:f>
      </x:c>
      <x:c r="O56" s="57" t="n">
        <x:f>IF(L56="VALID",IF(COUNTIFS($B$2:B56,B56,$M$2:M56,M56,$L$2:L56,"VALID")=1,1,0),0)</x:f>
        <x:v>0</x:v>
      </x:c>
    </x:row>
    <x:row r="57">
      <x:c r="A57" s="47"/>
      <x:c r="B57" s="47"/>
      <x:c r="C57" s="58"/>
      <x:c r="D57" s="47"/>
      <x:c r="E57" s="47"/>
      <x:c r="F57" s="47"/>
      <x:c r="G57" s="47"/>
      <x:c r="H57" s="48"/>
      <x:c r="I57" s="48"/>
      <x:c r="J57" s="47"/>
      <x:c r="K57" s="47"/>
      <x:c r="L57" s="57" t="str">
        <x:f>IF(COUNTA(A57:K57)=0,"",IF(K57="CANCELLED","CANCELLED",IF(A57="","INVOICE ID REQUIRED",IF(B57="","PROJECT ID REQUIRED",IF(NOT(ISNUMBER(C57)),"INVALID INVOICE DATE",IF(NOT(AND(ISNUMBER(C57),C57&gt;=2,C57&lt;=2958465,C57=INT(C57))),"INVALID INVOICE DATE",IF(NOT(OR(D57="MX",D57="US")),"ENTITY REQUIRED",IF(NOT(OR(E57="Strategic Services",E57="Brands")),"UNIT REQUIRED",IF(F57="","BRAND / N/A REQUIRED",IF(NOT(OR(G57="USD",G57="MXN")),"CURRENCY REQUIRED",IF(NOT(ISNUMBER(H57)),"AMOUNT REQUIRED",IF(J57="","ERP SOURCE REQUIRED",IF(NOT(OR(K57="ISSUED",K57="CANCELLED")),"INVOICE STATUS REQUIRED",IF(COUNTIFS($A$2:$A$501,A57,$B$2:$B$501,B57,$D$2:$D$501,D57)&gt;1,"DUPLICATE INVOICE / PROJECT",IF(AND(G57="MXN",NOT(AND(ISNUMBER(I57),Settings!$B$8="APPROVED",Settings!$B$9&lt;&gt;"",Settings!$B$10&lt;&gt;""))),"FX HOLD","VALID")))))))))))))))</x:f>
      </x:c>
      <x:c r="M57" s="57" t="str">
        <x:f>IF(ISNUMBER(C57),IF(AND(ISNUMBER(C57),C57&gt;=2,C57&lt;=2958465,C57=INT(C57)),TEXT(C57,"yyyy-mm"),""),"")</x:f>
      </x:c>
      <x:c r="N57" s="59" t="str">
        <x:f>IF(L57="VALID",IF(G57="USD",H57,I57),"")</x:f>
      </x:c>
      <x:c r="O57" s="57" t="n">
        <x:f>IF(L57="VALID",IF(COUNTIFS($B$2:B57,B57,$M$2:M57,M57,$L$2:L57,"VALID")=1,1,0),0)</x:f>
        <x:v>0</x:v>
      </x:c>
    </x:row>
    <x:row r="58">
      <x:c r="A58" s="47"/>
      <x:c r="B58" s="47"/>
      <x:c r="C58" s="58"/>
      <x:c r="D58" s="47"/>
      <x:c r="E58" s="47"/>
      <x:c r="F58" s="47"/>
      <x:c r="G58" s="47"/>
      <x:c r="H58" s="48"/>
      <x:c r="I58" s="48"/>
      <x:c r="J58" s="47"/>
      <x:c r="K58" s="47"/>
      <x:c r="L58" s="57" t="str">
        <x:f>IF(COUNTA(A58:K58)=0,"",IF(K58="CANCELLED","CANCELLED",IF(A58="","INVOICE ID REQUIRED",IF(B58="","PROJECT ID REQUIRED",IF(NOT(ISNUMBER(C58)),"INVALID INVOICE DATE",IF(NOT(AND(ISNUMBER(C58),C58&gt;=2,C58&lt;=2958465,C58=INT(C58))),"INVALID INVOICE DATE",IF(NOT(OR(D58="MX",D58="US")),"ENTITY REQUIRED",IF(NOT(OR(E58="Strategic Services",E58="Brands")),"UNIT REQUIRED",IF(F58="","BRAND / N/A REQUIRED",IF(NOT(OR(G58="USD",G58="MXN")),"CURRENCY REQUIRED",IF(NOT(ISNUMBER(H58)),"AMOUNT REQUIRED",IF(J58="","ERP SOURCE REQUIRED",IF(NOT(OR(K58="ISSUED",K58="CANCELLED")),"INVOICE STATUS REQUIRED",IF(COUNTIFS($A$2:$A$501,A58,$B$2:$B$501,B58,$D$2:$D$501,D58)&gt;1,"DUPLICATE INVOICE / PROJECT",IF(AND(G58="MXN",NOT(AND(ISNUMBER(I58),Settings!$B$8="APPROVED",Settings!$B$9&lt;&gt;"",Settings!$B$10&lt;&gt;""))),"FX HOLD","VALID")))))))))))))))</x:f>
      </x:c>
      <x:c r="M58" s="57" t="str">
        <x:f>IF(ISNUMBER(C58),IF(AND(ISNUMBER(C58),C58&gt;=2,C58&lt;=2958465,C58=INT(C58)),TEXT(C58,"yyyy-mm"),""),"")</x:f>
      </x:c>
      <x:c r="N58" s="59" t="str">
        <x:f>IF(L58="VALID",IF(G58="USD",H58,I58),"")</x:f>
      </x:c>
      <x:c r="O58" s="57" t="n">
        <x:f>IF(L58="VALID",IF(COUNTIFS($B$2:B58,B58,$M$2:M58,M58,$L$2:L58,"VALID")=1,1,0),0)</x:f>
        <x:v>0</x:v>
      </x:c>
    </x:row>
    <x:row r="59">
      <x:c r="A59" s="47"/>
      <x:c r="B59" s="47"/>
      <x:c r="C59" s="58"/>
      <x:c r="D59" s="47"/>
      <x:c r="E59" s="47"/>
      <x:c r="F59" s="47"/>
      <x:c r="G59" s="47"/>
      <x:c r="H59" s="48"/>
      <x:c r="I59" s="48"/>
      <x:c r="J59" s="47"/>
      <x:c r="K59" s="47"/>
      <x:c r="L59" s="57" t="str">
        <x:f>IF(COUNTA(A59:K59)=0,"",IF(K59="CANCELLED","CANCELLED",IF(A59="","INVOICE ID REQUIRED",IF(B59="","PROJECT ID REQUIRED",IF(NOT(ISNUMBER(C59)),"INVALID INVOICE DATE",IF(NOT(AND(ISNUMBER(C59),C59&gt;=2,C59&lt;=2958465,C59=INT(C59))),"INVALID INVOICE DATE",IF(NOT(OR(D59="MX",D59="US")),"ENTITY REQUIRED",IF(NOT(OR(E59="Strategic Services",E59="Brands")),"UNIT REQUIRED",IF(F59="","BRAND / N/A REQUIRED",IF(NOT(OR(G59="USD",G59="MXN")),"CURRENCY REQUIRED",IF(NOT(ISNUMBER(H59)),"AMOUNT REQUIRED",IF(J59="","ERP SOURCE REQUIRED",IF(NOT(OR(K59="ISSUED",K59="CANCELLED")),"INVOICE STATUS REQUIRED",IF(COUNTIFS($A$2:$A$501,A59,$B$2:$B$501,B59,$D$2:$D$501,D59)&gt;1,"DUPLICATE INVOICE / PROJECT",IF(AND(G59="MXN",NOT(AND(ISNUMBER(I59),Settings!$B$8="APPROVED",Settings!$B$9&lt;&gt;"",Settings!$B$10&lt;&gt;""))),"FX HOLD","VALID")))))))))))))))</x:f>
      </x:c>
      <x:c r="M59" s="57" t="str">
        <x:f>IF(ISNUMBER(C59),IF(AND(ISNUMBER(C59),C59&gt;=2,C59&lt;=2958465,C59=INT(C59)),TEXT(C59,"yyyy-mm"),""),"")</x:f>
      </x:c>
      <x:c r="N59" s="59" t="str">
        <x:f>IF(L59="VALID",IF(G59="USD",H59,I59),"")</x:f>
      </x:c>
      <x:c r="O59" s="57" t="n">
        <x:f>IF(L59="VALID",IF(COUNTIFS($B$2:B59,B59,$M$2:M59,M59,$L$2:L59,"VALID")=1,1,0),0)</x:f>
        <x:v>0</x:v>
      </x:c>
    </x:row>
    <x:row r="60">
      <x:c r="A60" s="47"/>
      <x:c r="B60" s="47"/>
      <x:c r="C60" s="58"/>
      <x:c r="D60" s="47"/>
      <x:c r="E60" s="47"/>
      <x:c r="F60" s="47"/>
      <x:c r="G60" s="47"/>
      <x:c r="H60" s="48"/>
      <x:c r="I60" s="48"/>
      <x:c r="J60" s="47"/>
      <x:c r="K60" s="47"/>
      <x:c r="L60" s="57" t="str">
        <x:f>IF(COUNTA(A60:K60)=0,"",IF(K60="CANCELLED","CANCELLED",IF(A60="","INVOICE ID REQUIRED",IF(B60="","PROJECT ID REQUIRED",IF(NOT(ISNUMBER(C60)),"INVALID INVOICE DATE",IF(NOT(AND(ISNUMBER(C60),C60&gt;=2,C60&lt;=2958465,C60=INT(C60))),"INVALID INVOICE DATE",IF(NOT(OR(D60="MX",D60="US")),"ENTITY REQUIRED",IF(NOT(OR(E60="Strategic Services",E60="Brands")),"UNIT REQUIRED",IF(F60="","BRAND / N/A REQUIRED",IF(NOT(OR(G60="USD",G60="MXN")),"CURRENCY REQUIRED",IF(NOT(ISNUMBER(H60)),"AMOUNT REQUIRED",IF(J60="","ERP SOURCE REQUIRED",IF(NOT(OR(K60="ISSUED",K60="CANCELLED")),"INVOICE STATUS REQUIRED",IF(COUNTIFS($A$2:$A$501,A60,$B$2:$B$501,B60,$D$2:$D$501,D60)&gt;1,"DUPLICATE INVOICE / PROJECT",IF(AND(G60="MXN",NOT(AND(ISNUMBER(I60),Settings!$B$8="APPROVED",Settings!$B$9&lt;&gt;"",Settings!$B$10&lt;&gt;""))),"FX HOLD","VALID")))))))))))))))</x:f>
      </x:c>
      <x:c r="M60" s="57" t="str">
        <x:f>IF(ISNUMBER(C60),IF(AND(ISNUMBER(C60),C60&gt;=2,C60&lt;=2958465,C60=INT(C60)),TEXT(C60,"yyyy-mm"),""),"")</x:f>
      </x:c>
      <x:c r="N60" s="59" t="str">
        <x:f>IF(L60="VALID",IF(G60="USD",H60,I60),"")</x:f>
      </x:c>
      <x:c r="O60" s="57" t="n">
        <x:f>IF(L60="VALID",IF(COUNTIFS($B$2:B60,B60,$M$2:M60,M60,$L$2:L60,"VALID")=1,1,0),0)</x:f>
        <x:v>0</x:v>
      </x:c>
    </x:row>
    <x:row r="61">
      <x:c r="A61" s="47"/>
      <x:c r="B61" s="47"/>
      <x:c r="C61" s="58"/>
      <x:c r="D61" s="47"/>
      <x:c r="E61" s="47"/>
      <x:c r="F61" s="47"/>
      <x:c r="G61" s="47"/>
      <x:c r="H61" s="48"/>
      <x:c r="I61" s="48"/>
      <x:c r="J61" s="47"/>
      <x:c r="K61" s="47"/>
      <x:c r="L61" s="57" t="str">
        <x:f>IF(COUNTA(A61:K61)=0,"",IF(K61="CANCELLED","CANCELLED",IF(A61="","INVOICE ID REQUIRED",IF(B61="","PROJECT ID REQUIRED",IF(NOT(ISNUMBER(C61)),"INVALID INVOICE DATE",IF(NOT(AND(ISNUMBER(C61),C61&gt;=2,C61&lt;=2958465,C61=INT(C61))),"INVALID INVOICE DATE",IF(NOT(OR(D61="MX",D61="US")),"ENTITY REQUIRED",IF(NOT(OR(E61="Strategic Services",E61="Brands")),"UNIT REQUIRED",IF(F61="","BRAND / N/A REQUIRED",IF(NOT(OR(G61="USD",G61="MXN")),"CURRENCY REQUIRED",IF(NOT(ISNUMBER(H61)),"AMOUNT REQUIRED",IF(J61="","ERP SOURCE REQUIRED",IF(NOT(OR(K61="ISSUED",K61="CANCELLED")),"INVOICE STATUS REQUIRED",IF(COUNTIFS($A$2:$A$501,A61,$B$2:$B$501,B61,$D$2:$D$501,D61)&gt;1,"DUPLICATE INVOICE / PROJECT",IF(AND(G61="MXN",NOT(AND(ISNUMBER(I61),Settings!$B$8="APPROVED",Settings!$B$9&lt;&gt;"",Settings!$B$10&lt;&gt;""))),"FX HOLD","VALID")))))))))))))))</x:f>
      </x:c>
      <x:c r="M61" s="57" t="str">
        <x:f>IF(ISNUMBER(C61),IF(AND(ISNUMBER(C61),C61&gt;=2,C61&lt;=2958465,C61=INT(C61)),TEXT(C61,"yyyy-mm"),""),"")</x:f>
      </x:c>
      <x:c r="N61" s="59" t="str">
        <x:f>IF(L61="VALID",IF(G61="USD",H61,I61),"")</x:f>
      </x:c>
      <x:c r="O61" s="57" t="n">
        <x:f>IF(L61="VALID",IF(COUNTIFS($B$2:B61,B61,$M$2:M61,M61,$L$2:L61,"VALID")=1,1,0),0)</x:f>
        <x:v>0</x:v>
      </x:c>
    </x:row>
    <x:row r="62">
      <x:c r="A62" s="47"/>
      <x:c r="B62" s="47"/>
      <x:c r="C62" s="58"/>
      <x:c r="D62" s="47"/>
      <x:c r="E62" s="47"/>
      <x:c r="F62" s="47"/>
      <x:c r="G62" s="47"/>
      <x:c r="H62" s="48"/>
      <x:c r="I62" s="48"/>
      <x:c r="J62" s="47"/>
      <x:c r="K62" s="47"/>
      <x:c r="L62" s="57" t="str">
        <x:f>IF(COUNTA(A62:K62)=0,"",IF(K62="CANCELLED","CANCELLED",IF(A62="","INVOICE ID REQUIRED",IF(B62="","PROJECT ID REQUIRED",IF(NOT(ISNUMBER(C62)),"INVALID INVOICE DATE",IF(NOT(AND(ISNUMBER(C62),C62&gt;=2,C62&lt;=2958465,C62=INT(C62))),"INVALID INVOICE DATE",IF(NOT(OR(D62="MX",D62="US")),"ENTITY REQUIRED",IF(NOT(OR(E62="Strategic Services",E62="Brands")),"UNIT REQUIRED",IF(F62="","BRAND / N/A REQUIRED",IF(NOT(OR(G62="USD",G62="MXN")),"CURRENCY REQUIRED",IF(NOT(ISNUMBER(H62)),"AMOUNT REQUIRED",IF(J62="","ERP SOURCE REQUIRED",IF(NOT(OR(K62="ISSUED",K62="CANCELLED")),"INVOICE STATUS REQUIRED",IF(COUNTIFS($A$2:$A$501,A62,$B$2:$B$501,B62,$D$2:$D$501,D62)&gt;1,"DUPLICATE INVOICE / PROJECT",IF(AND(G62="MXN",NOT(AND(ISNUMBER(I62),Settings!$B$8="APPROVED",Settings!$B$9&lt;&gt;"",Settings!$B$10&lt;&gt;""))),"FX HOLD","VALID")))))))))))))))</x:f>
      </x:c>
      <x:c r="M62" s="57" t="str">
        <x:f>IF(ISNUMBER(C62),IF(AND(ISNUMBER(C62),C62&gt;=2,C62&lt;=2958465,C62=INT(C62)),TEXT(C62,"yyyy-mm"),""),"")</x:f>
      </x:c>
      <x:c r="N62" s="59" t="str">
        <x:f>IF(L62="VALID",IF(G62="USD",H62,I62),"")</x:f>
      </x:c>
      <x:c r="O62" s="57" t="n">
        <x:f>IF(L62="VALID",IF(COUNTIFS($B$2:B62,B62,$M$2:M62,M62,$L$2:L62,"VALID")=1,1,0),0)</x:f>
        <x:v>0</x:v>
      </x:c>
    </x:row>
    <x:row r="63">
      <x:c r="A63" s="47"/>
      <x:c r="B63" s="47"/>
      <x:c r="C63" s="58"/>
      <x:c r="D63" s="47"/>
      <x:c r="E63" s="47"/>
      <x:c r="F63" s="47"/>
      <x:c r="G63" s="47"/>
      <x:c r="H63" s="48"/>
      <x:c r="I63" s="48"/>
      <x:c r="J63" s="47"/>
      <x:c r="K63" s="47"/>
      <x:c r="L63" s="57" t="str">
        <x:f>IF(COUNTA(A63:K63)=0,"",IF(K63="CANCELLED","CANCELLED",IF(A63="","INVOICE ID REQUIRED",IF(B63="","PROJECT ID REQUIRED",IF(NOT(ISNUMBER(C63)),"INVALID INVOICE DATE",IF(NOT(AND(ISNUMBER(C63),C63&gt;=2,C63&lt;=2958465,C63=INT(C63))),"INVALID INVOICE DATE",IF(NOT(OR(D63="MX",D63="US")),"ENTITY REQUIRED",IF(NOT(OR(E63="Strategic Services",E63="Brands")),"UNIT REQUIRED",IF(F63="","BRAND / N/A REQUIRED",IF(NOT(OR(G63="USD",G63="MXN")),"CURRENCY REQUIRED",IF(NOT(ISNUMBER(H63)),"AMOUNT REQUIRED",IF(J63="","ERP SOURCE REQUIRED",IF(NOT(OR(K63="ISSUED",K63="CANCELLED")),"INVOICE STATUS REQUIRED",IF(COUNTIFS($A$2:$A$501,A63,$B$2:$B$501,B63,$D$2:$D$501,D63)&gt;1,"DUPLICATE INVOICE / PROJECT",IF(AND(G63="MXN",NOT(AND(ISNUMBER(I63),Settings!$B$8="APPROVED",Settings!$B$9&lt;&gt;"",Settings!$B$10&lt;&gt;""))),"FX HOLD","VALID")))))))))))))))</x:f>
      </x:c>
      <x:c r="M63" s="57" t="str">
        <x:f>IF(ISNUMBER(C63),IF(AND(ISNUMBER(C63),C63&gt;=2,C63&lt;=2958465,C63=INT(C63)),TEXT(C63,"yyyy-mm"),""),"")</x:f>
      </x:c>
      <x:c r="N63" s="59" t="str">
        <x:f>IF(L63="VALID",IF(G63="USD",H63,I63),"")</x:f>
      </x:c>
      <x:c r="O63" s="57" t="n">
        <x:f>IF(L63="VALID",IF(COUNTIFS($B$2:B63,B63,$M$2:M63,M63,$L$2:L63,"VALID")=1,1,0),0)</x:f>
        <x:v>0</x:v>
      </x:c>
    </x:row>
    <x:row r="64">
      <x:c r="A64" s="47"/>
      <x:c r="B64" s="47"/>
      <x:c r="C64" s="58"/>
      <x:c r="D64" s="47"/>
      <x:c r="E64" s="47"/>
      <x:c r="F64" s="47"/>
      <x:c r="G64" s="47"/>
      <x:c r="H64" s="48"/>
      <x:c r="I64" s="48"/>
      <x:c r="J64" s="47"/>
      <x:c r="K64" s="47"/>
      <x:c r="L64" s="57" t="str">
        <x:f>IF(COUNTA(A64:K64)=0,"",IF(K64="CANCELLED","CANCELLED",IF(A64="","INVOICE ID REQUIRED",IF(B64="","PROJECT ID REQUIRED",IF(NOT(ISNUMBER(C64)),"INVALID INVOICE DATE",IF(NOT(AND(ISNUMBER(C64),C64&gt;=2,C64&lt;=2958465,C64=INT(C64))),"INVALID INVOICE DATE",IF(NOT(OR(D64="MX",D64="US")),"ENTITY REQUIRED",IF(NOT(OR(E64="Strategic Services",E64="Brands")),"UNIT REQUIRED",IF(F64="","BRAND / N/A REQUIRED",IF(NOT(OR(G64="USD",G64="MXN")),"CURRENCY REQUIRED",IF(NOT(ISNUMBER(H64)),"AMOUNT REQUIRED",IF(J64="","ERP SOURCE REQUIRED",IF(NOT(OR(K64="ISSUED",K64="CANCELLED")),"INVOICE STATUS REQUIRED",IF(COUNTIFS($A$2:$A$501,A64,$B$2:$B$501,B64,$D$2:$D$501,D64)&gt;1,"DUPLICATE INVOICE / PROJECT",IF(AND(G64="MXN",NOT(AND(ISNUMBER(I64),Settings!$B$8="APPROVED",Settings!$B$9&lt;&gt;"",Settings!$B$10&lt;&gt;""))),"FX HOLD","VALID")))))))))))))))</x:f>
      </x:c>
      <x:c r="M64" s="57" t="str">
        <x:f>IF(ISNUMBER(C64),IF(AND(ISNUMBER(C64),C64&gt;=2,C64&lt;=2958465,C64=INT(C64)),TEXT(C64,"yyyy-mm"),""),"")</x:f>
      </x:c>
      <x:c r="N64" s="59" t="str">
        <x:f>IF(L64="VALID",IF(G64="USD",H64,I64),"")</x:f>
      </x:c>
      <x:c r="O64" s="57" t="n">
        <x:f>IF(L64="VALID",IF(COUNTIFS($B$2:B64,B64,$M$2:M64,M64,$L$2:L64,"VALID")=1,1,0),0)</x:f>
        <x:v>0</x:v>
      </x:c>
    </x:row>
    <x:row r="65">
      <x:c r="A65" s="47"/>
      <x:c r="B65" s="47"/>
      <x:c r="C65" s="58"/>
      <x:c r="D65" s="47"/>
      <x:c r="E65" s="47"/>
      <x:c r="F65" s="47"/>
      <x:c r="G65" s="47"/>
      <x:c r="H65" s="48"/>
      <x:c r="I65" s="48"/>
      <x:c r="J65" s="47"/>
      <x:c r="K65" s="47"/>
      <x:c r="L65" s="57" t="str">
        <x:f>IF(COUNTA(A65:K65)=0,"",IF(K65="CANCELLED","CANCELLED",IF(A65="","INVOICE ID REQUIRED",IF(B65="","PROJECT ID REQUIRED",IF(NOT(ISNUMBER(C65)),"INVALID INVOICE DATE",IF(NOT(AND(ISNUMBER(C65),C65&gt;=2,C65&lt;=2958465,C65=INT(C65))),"INVALID INVOICE DATE",IF(NOT(OR(D65="MX",D65="US")),"ENTITY REQUIRED",IF(NOT(OR(E65="Strategic Services",E65="Brands")),"UNIT REQUIRED",IF(F65="","BRAND / N/A REQUIRED",IF(NOT(OR(G65="USD",G65="MXN")),"CURRENCY REQUIRED",IF(NOT(ISNUMBER(H65)),"AMOUNT REQUIRED",IF(J65="","ERP SOURCE REQUIRED",IF(NOT(OR(K65="ISSUED",K65="CANCELLED")),"INVOICE STATUS REQUIRED",IF(COUNTIFS($A$2:$A$501,A65,$B$2:$B$501,B65,$D$2:$D$501,D65)&gt;1,"DUPLICATE INVOICE / PROJECT",IF(AND(G65="MXN",NOT(AND(ISNUMBER(I65),Settings!$B$8="APPROVED",Settings!$B$9&lt;&gt;"",Settings!$B$10&lt;&gt;""))),"FX HOLD","VALID")))))))))))))))</x:f>
      </x:c>
      <x:c r="M65" s="57" t="str">
        <x:f>IF(ISNUMBER(C65),IF(AND(ISNUMBER(C65),C65&gt;=2,C65&lt;=2958465,C65=INT(C65)),TEXT(C65,"yyyy-mm"),""),"")</x:f>
      </x:c>
      <x:c r="N65" s="59" t="str">
        <x:f>IF(L65="VALID",IF(G65="USD",H65,I65),"")</x:f>
      </x:c>
      <x:c r="O65" s="57" t="n">
        <x:f>IF(L65="VALID",IF(COUNTIFS($B$2:B65,B65,$M$2:M65,M65,$L$2:L65,"VALID")=1,1,0),0)</x:f>
        <x:v>0</x:v>
      </x:c>
    </x:row>
    <x:row r="66">
      <x:c r="A66" s="47"/>
      <x:c r="B66" s="47"/>
      <x:c r="C66" s="58"/>
      <x:c r="D66" s="47"/>
      <x:c r="E66" s="47"/>
      <x:c r="F66" s="47"/>
      <x:c r="G66" s="47"/>
      <x:c r="H66" s="48"/>
      <x:c r="I66" s="48"/>
      <x:c r="J66" s="47"/>
      <x:c r="K66" s="47"/>
      <x:c r="L66" s="57" t="str">
        <x:f>IF(COUNTA(A66:K66)=0,"",IF(K66="CANCELLED","CANCELLED",IF(A66="","INVOICE ID REQUIRED",IF(B66="","PROJECT ID REQUIRED",IF(NOT(ISNUMBER(C66)),"INVALID INVOICE DATE",IF(NOT(AND(ISNUMBER(C66),C66&gt;=2,C66&lt;=2958465,C66=INT(C66))),"INVALID INVOICE DATE",IF(NOT(OR(D66="MX",D66="US")),"ENTITY REQUIRED",IF(NOT(OR(E66="Strategic Services",E66="Brands")),"UNIT REQUIRED",IF(F66="","BRAND / N/A REQUIRED",IF(NOT(OR(G66="USD",G66="MXN")),"CURRENCY REQUIRED",IF(NOT(ISNUMBER(H66)),"AMOUNT REQUIRED",IF(J66="","ERP SOURCE REQUIRED",IF(NOT(OR(K66="ISSUED",K66="CANCELLED")),"INVOICE STATUS REQUIRED",IF(COUNTIFS($A$2:$A$501,A66,$B$2:$B$501,B66,$D$2:$D$501,D66)&gt;1,"DUPLICATE INVOICE / PROJECT",IF(AND(G66="MXN",NOT(AND(ISNUMBER(I66),Settings!$B$8="APPROVED",Settings!$B$9&lt;&gt;"",Settings!$B$10&lt;&gt;""))),"FX HOLD","VALID")))))))))))))))</x:f>
      </x:c>
      <x:c r="M66" s="57" t="str">
        <x:f>IF(ISNUMBER(C66),IF(AND(ISNUMBER(C66),C66&gt;=2,C66&lt;=2958465,C66=INT(C66)),TEXT(C66,"yyyy-mm"),""),"")</x:f>
      </x:c>
      <x:c r="N66" s="59" t="str">
        <x:f>IF(L66="VALID",IF(G66="USD",H66,I66),"")</x:f>
      </x:c>
      <x:c r="O66" s="57" t="n">
        <x:f>IF(L66="VALID",IF(COUNTIFS($B$2:B66,B66,$M$2:M66,M66,$L$2:L66,"VALID")=1,1,0),0)</x:f>
        <x:v>0</x:v>
      </x:c>
    </x:row>
    <x:row r="67">
      <x:c r="A67" s="47"/>
      <x:c r="B67" s="47"/>
      <x:c r="C67" s="58"/>
      <x:c r="D67" s="47"/>
      <x:c r="E67" s="47"/>
      <x:c r="F67" s="47"/>
      <x:c r="G67" s="47"/>
      <x:c r="H67" s="48"/>
      <x:c r="I67" s="48"/>
      <x:c r="J67" s="47"/>
      <x:c r="K67" s="47"/>
      <x:c r="L67" s="57" t="str">
        <x:f>IF(COUNTA(A67:K67)=0,"",IF(K67="CANCELLED","CANCELLED",IF(A67="","INVOICE ID REQUIRED",IF(B67="","PROJECT ID REQUIRED",IF(NOT(ISNUMBER(C67)),"INVALID INVOICE DATE",IF(NOT(AND(ISNUMBER(C67),C67&gt;=2,C67&lt;=2958465,C67=INT(C67))),"INVALID INVOICE DATE",IF(NOT(OR(D67="MX",D67="US")),"ENTITY REQUIRED",IF(NOT(OR(E67="Strategic Services",E67="Brands")),"UNIT REQUIRED",IF(F67="","BRAND / N/A REQUIRED",IF(NOT(OR(G67="USD",G67="MXN")),"CURRENCY REQUIRED",IF(NOT(ISNUMBER(H67)),"AMOUNT REQUIRED",IF(J67="","ERP SOURCE REQUIRED",IF(NOT(OR(K67="ISSUED",K67="CANCELLED")),"INVOICE STATUS REQUIRED",IF(COUNTIFS($A$2:$A$501,A67,$B$2:$B$501,B67,$D$2:$D$501,D67)&gt;1,"DUPLICATE INVOICE / PROJECT",IF(AND(G67="MXN",NOT(AND(ISNUMBER(I67),Settings!$B$8="APPROVED",Settings!$B$9&lt;&gt;"",Settings!$B$10&lt;&gt;""))),"FX HOLD","VALID")))))))))))))))</x:f>
      </x:c>
      <x:c r="M67" s="57" t="str">
        <x:f>IF(ISNUMBER(C67),IF(AND(ISNUMBER(C67),C67&gt;=2,C67&lt;=2958465,C67=INT(C67)),TEXT(C67,"yyyy-mm"),""),"")</x:f>
      </x:c>
      <x:c r="N67" s="59" t="str">
        <x:f>IF(L67="VALID",IF(G67="USD",H67,I67),"")</x:f>
      </x:c>
      <x:c r="O67" s="57" t="n">
        <x:f>IF(L67="VALID",IF(COUNTIFS($B$2:B67,B67,$M$2:M67,M67,$L$2:L67,"VALID")=1,1,0),0)</x:f>
        <x:v>0</x:v>
      </x:c>
    </x:row>
    <x:row r="68">
      <x:c r="A68" s="47"/>
      <x:c r="B68" s="47"/>
      <x:c r="C68" s="58"/>
      <x:c r="D68" s="47"/>
      <x:c r="E68" s="47"/>
      <x:c r="F68" s="47"/>
      <x:c r="G68" s="47"/>
      <x:c r="H68" s="48"/>
      <x:c r="I68" s="48"/>
      <x:c r="J68" s="47"/>
      <x:c r="K68" s="47"/>
      <x:c r="L68" s="57" t="str">
        <x:f>IF(COUNTA(A68:K68)=0,"",IF(K68="CANCELLED","CANCELLED",IF(A68="","INVOICE ID REQUIRED",IF(B68="","PROJECT ID REQUIRED",IF(NOT(ISNUMBER(C68)),"INVALID INVOICE DATE",IF(NOT(AND(ISNUMBER(C68),C68&gt;=2,C68&lt;=2958465,C68=INT(C68))),"INVALID INVOICE DATE",IF(NOT(OR(D68="MX",D68="US")),"ENTITY REQUIRED",IF(NOT(OR(E68="Strategic Services",E68="Brands")),"UNIT REQUIRED",IF(F68="","BRAND / N/A REQUIRED",IF(NOT(OR(G68="USD",G68="MXN")),"CURRENCY REQUIRED",IF(NOT(ISNUMBER(H68)),"AMOUNT REQUIRED",IF(J68="","ERP SOURCE REQUIRED",IF(NOT(OR(K68="ISSUED",K68="CANCELLED")),"INVOICE STATUS REQUIRED",IF(COUNTIFS($A$2:$A$501,A68,$B$2:$B$501,B68,$D$2:$D$501,D68)&gt;1,"DUPLICATE INVOICE / PROJECT",IF(AND(G68="MXN",NOT(AND(ISNUMBER(I68),Settings!$B$8="APPROVED",Settings!$B$9&lt;&gt;"",Settings!$B$10&lt;&gt;""))),"FX HOLD","VALID")))))))))))))))</x:f>
      </x:c>
      <x:c r="M68" s="57" t="str">
        <x:f>IF(ISNUMBER(C68),IF(AND(ISNUMBER(C68),C68&gt;=2,C68&lt;=2958465,C68=INT(C68)),TEXT(C68,"yyyy-mm"),""),"")</x:f>
      </x:c>
      <x:c r="N68" s="59" t="str">
        <x:f>IF(L68="VALID",IF(G68="USD",H68,I68),"")</x:f>
      </x:c>
      <x:c r="O68" s="57" t="n">
        <x:f>IF(L68="VALID",IF(COUNTIFS($B$2:B68,B68,$M$2:M68,M68,$L$2:L68,"VALID")=1,1,0),0)</x:f>
        <x:v>0</x:v>
      </x:c>
    </x:row>
    <x:row r="69">
      <x:c r="A69" s="47"/>
      <x:c r="B69" s="47"/>
      <x:c r="C69" s="58"/>
      <x:c r="D69" s="47"/>
      <x:c r="E69" s="47"/>
      <x:c r="F69" s="47"/>
      <x:c r="G69" s="47"/>
      <x:c r="H69" s="48"/>
      <x:c r="I69" s="48"/>
      <x:c r="J69" s="47"/>
      <x:c r="K69" s="47"/>
      <x:c r="L69" s="57" t="str">
        <x:f>IF(COUNTA(A69:K69)=0,"",IF(K69="CANCELLED","CANCELLED",IF(A69="","INVOICE ID REQUIRED",IF(B69="","PROJECT ID REQUIRED",IF(NOT(ISNUMBER(C69)),"INVALID INVOICE DATE",IF(NOT(AND(ISNUMBER(C69),C69&gt;=2,C69&lt;=2958465,C69=INT(C69))),"INVALID INVOICE DATE",IF(NOT(OR(D69="MX",D69="US")),"ENTITY REQUIRED",IF(NOT(OR(E69="Strategic Services",E69="Brands")),"UNIT REQUIRED",IF(F69="","BRAND / N/A REQUIRED",IF(NOT(OR(G69="USD",G69="MXN")),"CURRENCY REQUIRED",IF(NOT(ISNUMBER(H69)),"AMOUNT REQUIRED",IF(J69="","ERP SOURCE REQUIRED",IF(NOT(OR(K69="ISSUED",K69="CANCELLED")),"INVOICE STATUS REQUIRED",IF(COUNTIFS($A$2:$A$501,A69,$B$2:$B$501,B69,$D$2:$D$501,D69)&gt;1,"DUPLICATE INVOICE / PROJECT",IF(AND(G69="MXN",NOT(AND(ISNUMBER(I69),Settings!$B$8="APPROVED",Settings!$B$9&lt;&gt;"",Settings!$B$10&lt;&gt;""))),"FX HOLD","VALID")))))))))))))))</x:f>
      </x:c>
      <x:c r="M69" s="57" t="str">
        <x:f>IF(ISNUMBER(C69),IF(AND(ISNUMBER(C69),C69&gt;=2,C69&lt;=2958465,C69=INT(C69)),TEXT(C69,"yyyy-mm"),""),"")</x:f>
      </x:c>
      <x:c r="N69" s="59" t="str">
        <x:f>IF(L69="VALID",IF(G69="USD",H69,I69),"")</x:f>
      </x:c>
      <x:c r="O69" s="57" t="n">
        <x:f>IF(L69="VALID",IF(COUNTIFS($B$2:B69,B69,$M$2:M69,M69,$L$2:L69,"VALID")=1,1,0),0)</x:f>
        <x:v>0</x:v>
      </x:c>
    </x:row>
    <x:row r="70">
      <x:c r="A70" s="47"/>
      <x:c r="B70" s="47"/>
      <x:c r="C70" s="58"/>
      <x:c r="D70" s="47"/>
      <x:c r="E70" s="47"/>
      <x:c r="F70" s="47"/>
      <x:c r="G70" s="47"/>
      <x:c r="H70" s="48"/>
      <x:c r="I70" s="48"/>
      <x:c r="J70" s="47"/>
      <x:c r="K70" s="47"/>
      <x:c r="L70" s="57" t="str">
        <x:f>IF(COUNTA(A70:K70)=0,"",IF(K70="CANCELLED","CANCELLED",IF(A70="","INVOICE ID REQUIRED",IF(B70="","PROJECT ID REQUIRED",IF(NOT(ISNUMBER(C70)),"INVALID INVOICE DATE",IF(NOT(AND(ISNUMBER(C70),C70&gt;=2,C70&lt;=2958465,C70=INT(C70))),"INVALID INVOICE DATE",IF(NOT(OR(D70="MX",D70="US")),"ENTITY REQUIRED",IF(NOT(OR(E70="Strategic Services",E70="Brands")),"UNIT REQUIRED",IF(F70="","BRAND / N/A REQUIRED",IF(NOT(OR(G70="USD",G70="MXN")),"CURRENCY REQUIRED",IF(NOT(ISNUMBER(H70)),"AMOUNT REQUIRED",IF(J70="","ERP SOURCE REQUIRED",IF(NOT(OR(K70="ISSUED",K70="CANCELLED")),"INVOICE STATUS REQUIRED",IF(COUNTIFS($A$2:$A$501,A70,$B$2:$B$501,B70,$D$2:$D$501,D70)&gt;1,"DUPLICATE INVOICE / PROJECT",IF(AND(G70="MXN",NOT(AND(ISNUMBER(I70),Settings!$B$8="APPROVED",Settings!$B$9&lt;&gt;"",Settings!$B$10&lt;&gt;""))),"FX HOLD","VALID")))))))))))))))</x:f>
      </x:c>
      <x:c r="M70" s="57" t="str">
        <x:f>IF(ISNUMBER(C70),IF(AND(ISNUMBER(C70),C70&gt;=2,C70&lt;=2958465,C70=INT(C70)),TEXT(C70,"yyyy-mm"),""),"")</x:f>
      </x:c>
      <x:c r="N70" s="59" t="str">
        <x:f>IF(L70="VALID",IF(G70="USD",H70,I70),"")</x:f>
      </x:c>
      <x:c r="O70" s="57" t="n">
        <x:f>IF(L70="VALID",IF(COUNTIFS($B$2:B70,B70,$M$2:M70,M70,$L$2:L70,"VALID")=1,1,0),0)</x:f>
        <x:v>0</x:v>
      </x:c>
    </x:row>
    <x:row r="71">
      <x:c r="A71" s="47"/>
      <x:c r="B71" s="47"/>
      <x:c r="C71" s="58"/>
      <x:c r="D71" s="47"/>
      <x:c r="E71" s="47"/>
      <x:c r="F71" s="47"/>
      <x:c r="G71" s="47"/>
      <x:c r="H71" s="48"/>
      <x:c r="I71" s="48"/>
      <x:c r="J71" s="47"/>
      <x:c r="K71" s="47"/>
      <x:c r="L71" s="57" t="str">
        <x:f>IF(COUNTA(A71:K71)=0,"",IF(K71="CANCELLED","CANCELLED",IF(A71="","INVOICE ID REQUIRED",IF(B71="","PROJECT ID REQUIRED",IF(NOT(ISNUMBER(C71)),"INVALID INVOICE DATE",IF(NOT(AND(ISNUMBER(C71),C71&gt;=2,C71&lt;=2958465,C71=INT(C71))),"INVALID INVOICE DATE",IF(NOT(OR(D71="MX",D71="US")),"ENTITY REQUIRED",IF(NOT(OR(E71="Strategic Services",E71="Brands")),"UNIT REQUIRED",IF(F71="","BRAND / N/A REQUIRED",IF(NOT(OR(G71="USD",G71="MXN")),"CURRENCY REQUIRED",IF(NOT(ISNUMBER(H71)),"AMOUNT REQUIRED",IF(J71="","ERP SOURCE REQUIRED",IF(NOT(OR(K71="ISSUED",K71="CANCELLED")),"INVOICE STATUS REQUIRED",IF(COUNTIFS($A$2:$A$501,A71,$B$2:$B$501,B71,$D$2:$D$501,D71)&gt;1,"DUPLICATE INVOICE / PROJECT",IF(AND(G71="MXN",NOT(AND(ISNUMBER(I71),Settings!$B$8="APPROVED",Settings!$B$9&lt;&gt;"",Settings!$B$10&lt;&gt;""))),"FX HOLD","VALID")))))))))))))))</x:f>
      </x:c>
      <x:c r="M71" s="57" t="str">
        <x:f>IF(ISNUMBER(C71),IF(AND(ISNUMBER(C71),C71&gt;=2,C71&lt;=2958465,C71=INT(C71)),TEXT(C71,"yyyy-mm"),""),"")</x:f>
      </x:c>
      <x:c r="N71" s="59" t="str">
        <x:f>IF(L71="VALID",IF(G71="USD",H71,I71),"")</x:f>
      </x:c>
      <x:c r="O71" s="57" t="n">
        <x:f>IF(L71="VALID",IF(COUNTIFS($B$2:B71,B71,$M$2:M71,M71,$L$2:L71,"VALID")=1,1,0),0)</x:f>
        <x:v>0</x:v>
      </x:c>
    </x:row>
    <x:row r="72">
      <x:c r="A72" s="47"/>
      <x:c r="B72" s="47"/>
      <x:c r="C72" s="58"/>
      <x:c r="D72" s="47"/>
      <x:c r="E72" s="47"/>
      <x:c r="F72" s="47"/>
      <x:c r="G72" s="47"/>
      <x:c r="H72" s="48"/>
      <x:c r="I72" s="48"/>
      <x:c r="J72" s="47"/>
      <x:c r="K72" s="47"/>
      <x:c r="L72" s="57" t="str">
        <x:f>IF(COUNTA(A72:K72)=0,"",IF(K72="CANCELLED","CANCELLED",IF(A72="","INVOICE ID REQUIRED",IF(B72="","PROJECT ID REQUIRED",IF(NOT(ISNUMBER(C72)),"INVALID INVOICE DATE",IF(NOT(AND(ISNUMBER(C72),C72&gt;=2,C72&lt;=2958465,C72=INT(C72))),"INVALID INVOICE DATE",IF(NOT(OR(D72="MX",D72="US")),"ENTITY REQUIRED",IF(NOT(OR(E72="Strategic Services",E72="Brands")),"UNIT REQUIRED",IF(F72="","BRAND / N/A REQUIRED",IF(NOT(OR(G72="USD",G72="MXN")),"CURRENCY REQUIRED",IF(NOT(ISNUMBER(H72)),"AMOUNT REQUIRED",IF(J72="","ERP SOURCE REQUIRED",IF(NOT(OR(K72="ISSUED",K72="CANCELLED")),"INVOICE STATUS REQUIRED",IF(COUNTIFS($A$2:$A$501,A72,$B$2:$B$501,B72,$D$2:$D$501,D72)&gt;1,"DUPLICATE INVOICE / PROJECT",IF(AND(G72="MXN",NOT(AND(ISNUMBER(I72),Settings!$B$8="APPROVED",Settings!$B$9&lt;&gt;"",Settings!$B$10&lt;&gt;""))),"FX HOLD","VALID")))))))))))))))</x:f>
      </x:c>
      <x:c r="M72" s="57" t="str">
        <x:f>IF(ISNUMBER(C72),IF(AND(ISNUMBER(C72),C72&gt;=2,C72&lt;=2958465,C72=INT(C72)),TEXT(C72,"yyyy-mm"),""),"")</x:f>
      </x:c>
      <x:c r="N72" s="59" t="str">
        <x:f>IF(L72="VALID",IF(G72="USD",H72,I72),"")</x:f>
      </x:c>
      <x:c r="O72" s="57" t="n">
        <x:f>IF(L72="VALID",IF(COUNTIFS($B$2:B72,B72,$M$2:M72,M72,$L$2:L72,"VALID")=1,1,0),0)</x:f>
        <x:v>0</x:v>
      </x:c>
    </x:row>
    <x:row r="73">
      <x:c r="A73" s="47"/>
      <x:c r="B73" s="47"/>
      <x:c r="C73" s="58"/>
      <x:c r="D73" s="47"/>
      <x:c r="E73" s="47"/>
      <x:c r="F73" s="47"/>
      <x:c r="G73" s="47"/>
      <x:c r="H73" s="48"/>
      <x:c r="I73" s="48"/>
      <x:c r="J73" s="47"/>
      <x:c r="K73" s="47"/>
      <x:c r="L73" s="57" t="str">
        <x:f>IF(COUNTA(A73:K73)=0,"",IF(K73="CANCELLED","CANCELLED",IF(A73="","INVOICE ID REQUIRED",IF(B73="","PROJECT ID REQUIRED",IF(NOT(ISNUMBER(C73)),"INVALID INVOICE DATE",IF(NOT(AND(ISNUMBER(C73),C73&gt;=2,C73&lt;=2958465,C73=INT(C73))),"INVALID INVOICE DATE",IF(NOT(OR(D73="MX",D73="US")),"ENTITY REQUIRED",IF(NOT(OR(E73="Strategic Services",E73="Brands")),"UNIT REQUIRED",IF(F73="","BRAND / N/A REQUIRED",IF(NOT(OR(G73="USD",G73="MXN")),"CURRENCY REQUIRED",IF(NOT(ISNUMBER(H73)),"AMOUNT REQUIRED",IF(J73="","ERP SOURCE REQUIRED",IF(NOT(OR(K73="ISSUED",K73="CANCELLED")),"INVOICE STATUS REQUIRED",IF(COUNTIFS($A$2:$A$501,A73,$B$2:$B$501,B73,$D$2:$D$501,D73)&gt;1,"DUPLICATE INVOICE / PROJECT",IF(AND(G73="MXN",NOT(AND(ISNUMBER(I73),Settings!$B$8="APPROVED",Settings!$B$9&lt;&gt;"",Settings!$B$10&lt;&gt;""))),"FX HOLD","VALID")))))))))))))))</x:f>
      </x:c>
      <x:c r="M73" s="57" t="str">
        <x:f>IF(ISNUMBER(C73),IF(AND(ISNUMBER(C73),C73&gt;=2,C73&lt;=2958465,C73=INT(C73)),TEXT(C73,"yyyy-mm"),""),"")</x:f>
      </x:c>
      <x:c r="N73" s="59" t="str">
        <x:f>IF(L73="VALID",IF(G73="USD",H73,I73),"")</x:f>
      </x:c>
      <x:c r="O73" s="57" t="n">
        <x:f>IF(L73="VALID",IF(COUNTIFS($B$2:B73,B73,$M$2:M73,M73,$L$2:L73,"VALID")=1,1,0),0)</x:f>
        <x:v>0</x:v>
      </x:c>
    </x:row>
    <x:row r="74">
      <x:c r="A74" s="47"/>
      <x:c r="B74" s="47"/>
      <x:c r="C74" s="58"/>
      <x:c r="D74" s="47"/>
      <x:c r="E74" s="47"/>
      <x:c r="F74" s="47"/>
      <x:c r="G74" s="47"/>
      <x:c r="H74" s="48"/>
      <x:c r="I74" s="48"/>
      <x:c r="J74" s="47"/>
      <x:c r="K74" s="47"/>
      <x:c r="L74" s="57" t="str">
        <x:f>IF(COUNTA(A74:K74)=0,"",IF(K74="CANCELLED","CANCELLED",IF(A74="","INVOICE ID REQUIRED",IF(B74="","PROJECT ID REQUIRED",IF(NOT(ISNUMBER(C74)),"INVALID INVOICE DATE",IF(NOT(AND(ISNUMBER(C74),C74&gt;=2,C74&lt;=2958465,C74=INT(C74))),"INVALID INVOICE DATE",IF(NOT(OR(D74="MX",D74="US")),"ENTITY REQUIRED",IF(NOT(OR(E74="Strategic Services",E74="Brands")),"UNIT REQUIRED",IF(F74="","BRAND / N/A REQUIRED",IF(NOT(OR(G74="USD",G74="MXN")),"CURRENCY REQUIRED",IF(NOT(ISNUMBER(H74)),"AMOUNT REQUIRED",IF(J74="","ERP SOURCE REQUIRED",IF(NOT(OR(K74="ISSUED",K74="CANCELLED")),"INVOICE STATUS REQUIRED",IF(COUNTIFS($A$2:$A$501,A74,$B$2:$B$501,B74,$D$2:$D$501,D74)&gt;1,"DUPLICATE INVOICE / PROJECT",IF(AND(G74="MXN",NOT(AND(ISNUMBER(I74),Settings!$B$8="APPROVED",Settings!$B$9&lt;&gt;"",Settings!$B$10&lt;&gt;""))),"FX HOLD","VALID")))))))))))))))</x:f>
      </x:c>
      <x:c r="M74" s="57" t="str">
        <x:f>IF(ISNUMBER(C74),IF(AND(ISNUMBER(C74),C74&gt;=2,C74&lt;=2958465,C74=INT(C74)),TEXT(C74,"yyyy-mm"),""),"")</x:f>
      </x:c>
      <x:c r="N74" s="59" t="str">
        <x:f>IF(L74="VALID",IF(G74="USD",H74,I74),"")</x:f>
      </x:c>
      <x:c r="O74" s="57" t="n">
        <x:f>IF(L74="VALID",IF(COUNTIFS($B$2:B74,B74,$M$2:M74,M74,$L$2:L74,"VALID")=1,1,0),0)</x:f>
        <x:v>0</x:v>
      </x:c>
    </x:row>
    <x:row r="75">
      <x:c r="A75" s="47"/>
      <x:c r="B75" s="47"/>
      <x:c r="C75" s="58"/>
      <x:c r="D75" s="47"/>
      <x:c r="E75" s="47"/>
      <x:c r="F75" s="47"/>
      <x:c r="G75" s="47"/>
      <x:c r="H75" s="48"/>
      <x:c r="I75" s="48"/>
      <x:c r="J75" s="47"/>
      <x:c r="K75" s="47"/>
      <x:c r="L75" s="57" t="str">
        <x:f>IF(COUNTA(A75:K75)=0,"",IF(K75="CANCELLED","CANCELLED",IF(A75="","INVOICE ID REQUIRED",IF(B75="","PROJECT ID REQUIRED",IF(NOT(ISNUMBER(C75)),"INVALID INVOICE DATE",IF(NOT(AND(ISNUMBER(C75),C75&gt;=2,C75&lt;=2958465,C75=INT(C75))),"INVALID INVOICE DATE",IF(NOT(OR(D75="MX",D75="US")),"ENTITY REQUIRED",IF(NOT(OR(E75="Strategic Services",E75="Brands")),"UNIT REQUIRED",IF(F75="","BRAND / N/A REQUIRED",IF(NOT(OR(G75="USD",G75="MXN")),"CURRENCY REQUIRED",IF(NOT(ISNUMBER(H75)),"AMOUNT REQUIRED",IF(J75="","ERP SOURCE REQUIRED",IF(NOT(OR(K75="ISSUED",K75="CANCELLED")),"INVOICE STATUS REQUIRED",IF(COUNTIFS($A$2:$A$501,A75,$B$2:$B$501,B75,$D$2:$D$501,D75)&gt;1,"DUPLICATE INVOICE / PROJECT",IF(AND(G75="MXN",NOT(AND(ISNUMBER(I75),Settings!$B$8="APPROVED",Settings!$B$9&lt;&gt;"",Settings!$B$10&lt;&gt;""))),"FX HOLD","VALID")))))))))))))))</x:f>
      </x:c>
      <x:c r="M75" s="57" t="str">
        <x:f>IF(ISNUMBER(C75),IF(AND(ISNUMBER(C75),C75&gt;=2,C75&lt;=2958465,C75=INT(C75)),TEXT(C75,"yyyy-mm"),""),"")</x:f>
      </x:c>
      <x:c r="N75" s="59" t="str">
        <x:f>IF(L75="VALID",IF(G75="USD",H75,I75),"")</x:f>
      </x:c>
      <x:c r="O75" s="57" t="n">
        <x:f>IF(L75="VALID",IF(COUNTIFS($B$2:B75,B75,$M$2:M75,M75,$L$2:L75,"VALID")=1,1,0),0)</x:f>
        <x:v>0</x:v>
      </x:c>
    </x:row>
    <x:row r="76">
      <x:c r="A76" s="47"/>
      <x:c r="B76" s="47"/>
      <x:c r="C76" s="58"/>
      <x:c r="D76" s="47"/>
      <x:c r="E76" s="47"/>
      <x:c r="F76" s="47"/>
      <x:c r="G76" s="47"/>
      <x:c r="H76" s="48"/>
      <x:c r="I76" s="48"/>
      <x:c r="J76" s="47"/>
      <x:c r="K76" s="47"/>
      <x:c r="L76" s="57" t="str">
        <x:f>IF(COUNTA(A76:K76)=0,"",IF(K76="CANCELLED","CANCELLED",IF(A76="","INVOICE ID REQUIRED",IF(B76="","PROJECT ID REQUIRED",IF(NOT(ISNUMBER(C76)),"INVALID INVOICE DATE",IF(NOT(AND(ISNUMBER(C76),C76&gt;=2,C76&lt;=2958465,C76=INT(C76))),"INVALID INVOICE DATE",IF(NOT(OR(D76="MX",D76="US")),"ENTITY REQUIRED",IF(NOT(OR(E76="Strategic Services",E76="Brands")),"UNIT REQUIRED",IF(F76="","BRAND / N/A REQUIRED",IF(NOT(OR(G76="USD",G76="MXN")),"CURRENCY REQUIRED",IF(NOT(ISNUMBER(H76)),"AMOUNT REQUIRED",IF(J76="","ERP SOURCE REQUIRED",IF(NOT(OR(K76="ISSUED",K76="CANCELLED")),"INVOICE STATUS REQUIRED",IF(COUNTIFS($A$2:$A$501,A76,$B$2:$B$501,B76,$D$2:$D$501,D76)&gt;1,"DUPLICATE INVOICE / PROJECT",IF(AND(G76="MXN",NOT(AND(ISNUMBER(I76),Settings!$B$8="APPROVED",Settings!$B$9&lt;&gt;"",Settings!$B$10&lt;&gt;""))),"FX HOLD","VALID")))))))))))))))</x:f>
      </x:c>
      <x:c r="M76" s="57" t="str">
        <x:f>IF(ISNUMBER(C76),IF(AND(ISNUMBER(C76),C76&gt;=2,C76&lt;=2958465,C76=INT(C76)),TEXT(C76,"yyyy-mm"),""),"")</x:f>
      </x:c>
      <x:c r="N76" s="59" t="str">
        <x:f>IF(L76="VALID",IF(G76="USD",H76,I76),"")</x:f>
      </x:c>
      <x:c r="O76" s="57" t="n">
        <x:f>IF(L76="VALID",IF(COUNTIFS($B$2:B76,B76,$M$2:M76,M76,$L$2:L76,"VALID")=1,1,0),0)</x:f>
        <x:v>0</x:v>
      </x:c>
    </x:row>
    <x:row r="77">
      <x:c r="A77" s="47"/>
      <x:c r="B77" s="47"/>
      <x:c r="C77" s="58"/>
      <x:c r="D77" s="47"/>
      <x:c r="E77" s="47"/>
      <x:c r="F77" s="47"/>
      <x:c r="G77" s="47"/>
      <x:c r="H77" s="48"/>
      <x:c r="I77" s="48"/>
      <x:c r="J77" s="47"/>
      <x:c r="K77" s="47"/>
      <x:c r="L77" s="57" t="str">
        <x:f>IF(COUNTA(A77:K77)=0,"",IF(K77="CANCELLED","CANCELLED",IF(A77="","INVOICE ID REQUIRED",IF(B77="","PROJECT ID REQUIRED",IF(NOT(ISNUMBER(C77)),"INVALID INVOICE DATE",IF(NOT(AND(ISNUMBER(C77),C77&gt;=2,C77&lt;=2958465,C77=INT(C77))),"INVALID INVOICE DATE",IF(NOT(OR(D77="MX",D77="US")),"ENTITY REQUIRED",IF(NOT(OR(E77="Strategic Services",E77="Brands")),"UNIT REQUIRED",IF(F77="","BRAND / N/A REQUIRED",IF(NOT(OR(G77="USD",G77="MXN")),"CURRENCY REQUIRED",IF(NOT(ISNUMBER(H77)),"AMOUNT REQUIRED",IF(J77="","ERP SOURCE REQUIRED",IF(NOT(OR(K77="ISSUED",K77="CANCELLED")),"INVOICE STATUS REQUIRED",IF(COUNTIFS($A$2:$A$501,A77,$B$2:$B$501,B77,$D$2:$D$501,D77)&gt;1,"DUPLICATE INVOICE / PROJECT",IF(AND(G77="MXN",NOT(AND(ISNUMBER(I77),Settings!$B$8="APPROVED",Settings!$B$9&lt;&gt;"",Settings!$B$10&lt;&gt;""))),"FX HOLD","VALID")))))))))))))))</x:f>
      </x:c>
      <x:c r="M77" s="57" t="str">
        <x:f>IF(ISNUMBER(C77),IF(AND(ISNUMBER(C77),C77&gt;=2,C77&lt;=2958465,C77=INT(C77)),TEXT(C77,"yyyy-mm"),""),"")</x:f>
      </x:c>
      <x:c r="N77" s="59" t="str">
        <x:f>IF(L77="VALID",IF(G77="USD",H77,I77),"")</x:f>
      </x:c>
      <x:c r="O77" s="57" t="n">
        <x:f>IF(L77="VALID",IF(COUNTIFS($B$2:B77,B77,$M$2:M77,M77,$L$2:L77,"VALID")=1,1,0),0)</x:f>
        <x:v>0</x:v>
      </x:c>
    </x:row>
    <x:row r="78">
      <x:c r="A78" s="47"/>
      <x:c r="B78" s="47"/>
      <x:c r="C78" s="58"/>
      <x:c r="D78" s="47"/>
      <x:c r="E78" s="47"/>
      <x:c r="F78" s="47"/>
      <x:c r="G78" s="47"/>
      <x:c r="H78" s="48"/>
      <x:c r="I78" s="48"/>
      <x:c r="J78" s="47"/>
      <x:c r="K78" s="47"/>
      <x:c r="L78" s="57" t="str">
        <x:f>IF(COUNTA(A78:K78)=0,"",IF(K78="CANCELLED","CANCELLED",IF(A78="","INVOICE ID REQUIRED",IF(B78="","PROJECT ID REQUIRED",IF(NOT(ISNUMBER(C78)),"INVALID INVOICE DATE",IF(NOT(AND(ISNUMBER(C78),C78&gt;=2,C78&lt;=2958465,C78=INT(C78))),"INVALID INVOICE DATE",IF(NOT(OR(D78="MX",D78="US")),"ENTITY REQUIRED",IF(NOT(OR(E78="Strategic Services",E78="Brands")),"UNIT REQUIRED",IF(F78="","BRAND / N/A REQUIRED",IF(NOT(OR(G78="USD",G78="MXN")),"CURRENCY REQUIRED",IF(NOT(ISNUMBER(H78)),"AMOUNT REQUIRED",IF(J78="","ERP SOURCE REQUIRED",IF(NOT(OR(K78="ISSUED",K78="CANCELLED")),"INVOICE STATUS REQUIRED",IF(COUNTIFS($A$2:$A$501,A78,$B$2:$B$501,B78,$D$2:$D$501,D78)&gt;1,"DUPLICATE INVOICE / PROJECT",IF(AND(G78="MXN",NOT(AND(ISNUMBER(I78),Settings!$B$8="APPROVED",Settings!$B$9&lt;&gt;"",Settings!$B$10&lt;&gt;""))),"FX HOLD","VALID")))))))))))))))</x:f>
      </x:c>
      <x:c r="M78" s="57" t="str">
        <x:f>IF(ISNUMBER(C78),IF(AND(ISNUMBER(C78),C78&gt;=2,C78&lt;=2958465,C78=INT(C78)),TEXT(C78,"yyyy-mm"),""),"")</x:f>
      </x:c>
      <x:c r="N78" s="59" t="str">
        <x:f>IF(L78="VALID",IF(G78="USD",H78,I78),"")</x:f>
      </x:c>
      <x:c r="O78" s="57" t="n">
        <x:f>IF(L78="VALID",IF(COUNTIFS($B$2:B78,B78,$M$2:M78,M78,$L$2:L78,"VALID")=1,1,0),0)</x:f>
        <x:v>0</x:v>
      </x:c>
    </x:row>
    <x:row r="79">
      <x:c r="A79" s="47"/>
      <x:c r="B79" s="47"/>
      <x:c r="C79" s="58"/>
      <x:c r="D79" s="47"/>
      <x:c r="E79" s="47"/>
      <x:c r="F79" s="47"/>
      <x:c r="G79" s="47"/>
      <x:c r="H79" s="48"/>
      <x:c r="I79" s="48"/>
      <x:c r="J79" s="47"/>
      <x:c r="K79" s="47"/>
      <x:c r="L79" s="57" t="str">
        <x:f>IF(COUNTA(A79:K79)=0,"",IF(K79="CANCELLED","CANCELLED",IF(A79="","INVOICE ID REQUIRED",IF(B79="","PROJECT ID REQUIRED",IF(NOT(ISNUMBER(C79)),"INVALID INVOICE DATE",IF(NOT(AND(ISNUMBER(C79),C79&gt;=2,C79&lt;=2958465,C79=INT(C79))),"INVALID INVOICE DATE",IF(NOT(OR(D79="MX",D79="US")),"ENTITY REQUIRED",IF(NOT(OR(E79="Strategic Services",E79="Brands")),"UNIT REQUIRED",IF(F79="","BRAND / N/A REQUIRED",IF(NOT(OR(G79="USD",G79="MXN")),"CURRENCY REQUIRED",IF(NOT(ISNUMBER(H79)),"AMOUNT REQUIRED",IF(J79="","ERP SOURCE REQUIRED",IF(NOT(OR(K79="ISSUED",K79="CANCELLED")),"INVOICE STATUS REQUIRED",IF(COUNTIFS($A$2:$A$501,A79,$B$2:$B$501,B79,$D$2:$D$501,D79)&gt;1,"DUPLICATE INVOICE / PROJECT",IF(AND(G79="MXN",NOT(AND(ISNUMBER(I79),Settings!$B$8="APPROVED",Settings!$B$9&lt;&gt;"",Settings!$B$10&lt;&gt;""))),"FX HOLD","VALID")))))))))))))))</x:f>
      </x:c>
      <x:c r="M79" s="57" t="str">
        <x:f>IF(ISNUMBER(C79),IF(AND(ISNUMBER(C79),C79&gt;=2,C79&lt;=2958465,C79=INT(C79)),TEXT(C79,"yyyy-mm"),""),"")</x:f>
      </x:c>
      <x:c r="N79" s="59" t="str">
        <x:f>IF(L79="VALID",IF(G79="USD",H79,I79),"")</x:f>
      </x:c>
      <x:c r="O79" s="57" t="n">
        <x:f>IF(L79="VALID",IF(COUNTIFS($B$2:B79,B79,$M$2:M79,M79,$L$2:L79,"VALID")=1,1,0),0)</x:f>
        <x:v>0</x:v>
      </x:c>
    </x:row>
    <x:row r="80">
      <x:c r="A80" s="47"/>
      <x:c r="B80" s="47"/>
      <x:c r="C80" s="58"/>
      <x:c r="D80" s="47"/>
      <x:c r="E80" s="47"/>
      <x:c r="F80" s="47"/>
      <x:c r="G80" s="47"/>
      <x:c r="H80" s="48"/>
      <x:c r="I80" s="48"/>
      <x:c r="J80" s="47"/>
      <x:c r="K80" s="47"/>
      <x:c r="L80" s="57" t="str">
        <x:f>IF(COUNTA(A80:K80)=0,"",IF(K80="CANCELLED","CANCELLED",IF(A80="","INVOICE ID REQUIRED",IF(B80="","PROJECT ID REQUIRED",IF(NOT(ISNUMBER(C80)),"INVALID INVOICE DATE",IF(NOT(AND(ISNUMBER(C80),C80&gt;=2,C80&lt;=2958465,C80=INT(C80))),"INVALID INVOICE DATE",IF(NOT(OR(D80="MX",D80="US")),"ENTITY REQUIRED",IF(NOT(OR(E80="Strategic Services",E80="Brands")),"UNIT REQUIRED",IF(F80="","BRAND / N/A REQUIRED",IF(NOT(OR(G80="USD",G80="MXN")),"CURRENCY REQUIRED",IF(NOT(ISNUMBER(H80)),"AMOUNT REQUIRED",IF(J80="","ERP SOURCE REQUIRED",IF(NOT(OR(K80="ISSUED",K80="CANCELLED")),"INVOICE STATUS REQUIRED",IF(COUNTIFS($A$2:$A$501,A80,$B$2:$B$501,B80,$D$2:$D$501,D80)&gt;1,"DUPLICATE INVOICE / PROJECT",IF(AND(G80="MXN",NOT(AND(ISNUMBER(I80),Settings!$B$8="APPROVED",Settings!$B$9&lt;&gt;"",Settings!$B$10&lt;&gt;""))),"FX HOLD","VALID")))))))))))))))</x:f>
      </x:c>
      <x:c r="M80" s="57" t="str">
        <x:f>IF(ISNUMBER(C80),IF(AND(ISNUMBER(C80),C80&gt;=2,C80&lt;=2958465,C80=INT(C80)),TEXT(C80,"yyyy-mm"),""),"")</x:f>
      </x:c>
      <x:c r="N80" s="59" t="str">
        <x:f>IF(L80="VALID",IF(G80="USD",H80,I80),"")</x:f>
      </x:c>
      <x:c r="O80" s="57" t="n">
        <x:f>IF(L80="VALID",IF(COUNTIFS($B$2:B80,B80,$M$2:M80,M80,$L$2:L80,"VALID")=1,1,0),0)</x:f>
        <x:v>0</x:v>
      </x:c>
    </x:row>
    <x:row r="81">
      <x:c r="A81" s="47"/>
      <x:c r="B81" s="47"/>
      <x:c r="C81" s="58"/>
      <x:c r="D81" s="47"/>
      <x:c r="E81" s="47"/>
      <x:c r="F81" s="47"/>
      <x:c r="G81" s="47"/>
      <x:c r="H81" s="48"/>
      <x:c r="I81" s="48"/>
      <x:c r="J81" s="47"/>
      <x:c r="K81" s="47"/>
      <x:c r="L81" s="57" t="str">
        <x:f>IF(COUNTA(A81:K81)=0,"",IF(K81="CANCELLED","CANCELLED",IF(A81="","INVOICE ID REQUIRED",IF(B81="","PROJECT ID REQUIRED",IF(NOT(ISNUMBER(C81)),"INVALID INVOICE DATE",IF(NOT(AND(ISNUMBER(C81),C81&gt;=2,C81&lt;=2958465,C81=INT(C81))),"INVALID INVOICE DATE",IF(NOT(OR(D81="MX",D81="US")),"ENTITY REQUIRED",IF(NOT(OR(E81="Strategic Services",E81="Brands")),"UNIT REQUIRED",IF(F81="","BRAND / N/A REQUIRED",IF(NOT(OR(G81="USD",G81="MXN")),"CURRENCY REQUIRED",IF(NOT(ISNUMBER(H81)),"AMOUNT REQUIRED",IF(J81="","ERP SOURCE REQUIRED",IF(NOT(OR(K81="ISSUED",K81="CANCELLED")),"INVOICE STATUS REQUIRED",IF(COUNTIFS($A$2:$A$501,A81,$B$2:$B$501,B81,$D$2:$D$501,D81)&gt;1,"DUPLICATE INVOICE / PROJECT",IF(AND(G81="MXN",NOT(AND(ISNUMBER(I81),Settings!$B$8="APPROVED",Settings!$B$9&lt;&gt;"",Settings!$B$10&lt;&gt;""))),"FX HOLD","VALID")))))))))))))))</x:f>
      </x:c>
      <x:c r="M81" s="57" t="str">
        <x:f>IF(ISNUMBER(C81),IF(AND(ISNUMBER(C81),C81&gt;=2,C81&lt;=2958465,C81=INT(C81)),TEXT(C81,"yyyy-mm"),""),"")</x:f>
      </x:c>
      <x:c r="N81" s="59" t="str">
        <x:f>IF(L81="VALID",IF(G81="USD",H81,I81),"")</x:f>
      </x:c>
      <x:c r="O81" s="57" t="n">
        <x:f>IF(L81="VALID",IF(COUNTIFS($B$2:B81,B81,$M$2:M81,M81,$L$2:L81,"VALID")=1,1,0),0)</x:f>
        <x:v>0</x:v>
      </x:c>
    </x:row>
    <x:row r="82">
      <x:c r="A82" s="47"/>
      <x:c r="B82" s="47"/>
      <x:c r="C82" s="58"/>
      <x:c r="D82" s="47"/>
      <x:c r="E82" s="47"/>
      <x:c r="F82" s="47"/>
      <x:c r="G82" s="47"/>
      <x:c r="H82" s="48"/>
      <x:c r="I82" s="48"/>
      <x:c r="J82" s="47"/>
      <x:c r="K82" s="47"/>
      <x:c r="L82" s="57" t="str">
        <x:f>IF(COUNTA(A82:K82)=0,"",IF(K82="CANCELLED","CANCELLED",IF(A82="","INVOICE ID REQUIRED",IF(B82="","PROJECT ID REQUIRED",IF(NOT(ISNUMBER(C82)),"INVALID INVOICE DATE",IF(NOT(AND(ISNUMBER(C82),C82&gt;=2,C82&lt;=2958465,C82=INT(C82))),"INVALID INVOICE DATE",IF(NOT(OR(D82="MX",D82="US")),"ENTITY REQUIRED",IF(NOT(OR(E82="Strategic Services",E82="Brands")),"UNIT REQUIRED",IF(F82="","BRAND / N/A REQUIRED",IF(NOT(OR(G82="USD",G82="MXN")),"CURRENCY REQUIRED",IF(NOT(ISNUMBER(H82)),"AMOUNT REQUIRED",IF(J82="","ERP SOURCE REQUIRED",IF(NOT(OR(K82="ISSUED",K82="CANCELLED")),"INVOICE STATUS REQUIRED",IF(COUNTIFS($A$2:$A$501,A82,$B$2:$B$501,B82,$D$2:$D$501,D82)&gt;1,"DUPLICATE INVOICE / PROJECT",IF(AND(G82="MXN",NOT(AND(ISNUMBER(I82),Settings!$B$8="APPROVED",Settings!$B$9&lt;&gt;"",Settings!$B$10&lt;&gt;""))),"FX HOLD","VALID")))))))))))))))</x:f>
      </x:c>
      <x:c r="M82" s="57" t="str">
        <x:f>IF(ISNUMBER(C82),IF(AND(ISNUMBER(C82),C82&gt;=2,C82&lt;=2958465,C82=INT(C82)),TEXT(C82,"yyyy-mm"),""),"")</x:f>
      </x:c>
      <x:c r="N82" s="59" t="str">
        <x:f>IF(L82="VALID",IF(G82="USD",H82,I82),"")</x:f>
      </x:c>
      <x:c r="O82" s="57" t="n">
        <x:f>IF(L82="VALID",IF(COUNTIFS($B$2:B82,B82,$M$2:M82,M82,$L$2:L82,"VALID")=1,1,0),0)</x:f>
        <x:v>0</x:v>
      </x:c>
    </x:row>
    <x:row r="83">
      <x:c r="A83" s="47"/>
      <x:c r="B83" s="47"/>
      <x:c r="C83" s="58"/>
      <x:c r="D83" s="47"/>
      <x:c r="E83" s="47"/>
      <x:c r="F83" s="47"/>
      <x:c r="G83" s="47"/>
      <x:c r="H83" s="48"/>
      <x:c r="I83" s="48"/>
      <x:c r="J83" s="47"/>
      <x:c r="K83" s="47"/>
      <x:c r="L83" s="57" t="str">
        <x:f>IF(COUNTA(A83:K83)=0,"",IF(K83="CANCELLED","CANCELLED",IF(A83="","INVOICE ID REQUIRED",IF(B83="","PROJECT ID REQUIRED",IF(NOT(ISNUMBER(C83)),"INVALID INVOICE DATE",IF(NOT(AND(ISNUMBER(C83),C83&gt;=2,C83&lt;=2958465,C83=INT(C83))),"INVALID INVOICE DATE",IF(NOT(OR(D83="MX",D83="US")),"ENTITY REQUIRED",IF(NOT(OR(E83="Strategic Services",E83="Brands")),"UNIT REQUIRED",IF(F83="","BRAND / N/A REQUIRED",IF(NOT(OR(G83="USD",G83="MXN")),"CURRENCY REQUIRED",IF(NOT(ISNUMBER(H83)),"AMOUNT REQUIRED",IF(J83="","ERP SOURCE REQUIRED",IF(NOT(OR(K83="ISSUED",K83="CANCELLED")),"INVOICE STATUS REQUIRED",IF(COUNTIFS($A$2:$A$501,A83,$B$2:$B$501,B83,$D$2:$D$501,D83)&gt;1,"DUPLICATE INVOICE / PROJECT",IF(AND(G83="MXN",NOT(AND(ISNUMBER(I83),Settings!$B$8="APPROVED",Settings!$B$9&lt;&gt;"",Settings!$B$10&lt;&gt;""))),"FX HOLD","VALID")))))))))))))))</x:f>
      </x:c>
      <x:c r="M83" s="57" t="str">
        <x:f>IF(ISNUMBER(C83),IF(AND(ISNUMBER(C83),C83&gt;=2,C83&lt;=2958465,C83=INT(C83)),TEXT(C83,"yyyy-mm"),""),"")</x:f>
      </x:c>
      <x:c r="N83" s="59" t="str">
        <x:f>IF(L83="VALID",IF(G83="USD",H83,I83),"")</x:f>
      </x:c>
      <x:c r="O83" s="57" t="n">
        <x:f>IF(L83="VALID",IF(COUNTIFS($B$2:B83,B83,$M$2:M83,M83,$L$2:L83,"VALID")=1,1,0),0)</x:f>
        <x:v>0</x:v>
      </x:c>
    </x:row>
    <x:row r="84">
      <x:c r="A84" s="47"/>
      <x:c r="B84" s="47"/>
      <x:c r="C84" s="58"/>
      <x:c r="D84" s="47"/>
      <x:c r="E84" s="47"/>
      <x:c r="F84" s="47"/>
      <x:c r="G84" s="47"/>
      <x:c r="H84" s="48"/>
      <x:c r="I84" s="48"/>
      <x:c r="J84" s="47"/>
      <x:c r="K84" s="47"/>
      <x:c r="L84" s="57" t="str">
        <x:f>IF(COUNTA(A84:K84)=0,"",IF(K84="CANCELLED","CANCELLED",IF(A84="","INVOICE ID REQUIRED",IF(B84="","PROJECT ID REQUIRED",IF(NOT(ISNUMBER(C84)),"INVALID INVOICE DATE",IF(NOT(AND(ISNUMBER(C84),C84&gt;=2,C84&lt;=2958465,C84=INT(C84))),"INVALID INVOICE DATE",IF(NOT(OR(D84="MX",D84="US")),"ENTITY REQUIRED",IF(NOT(OR(E84="Strategic Services",E84="Brands")),"UNIT REQUIRED",IF(F84="","BRAND / N/A REQUIRED",IF(NOT(OR(G84="USD",G84="MXN")),"CURRENCY REQUIRED",IF(NOT(ISNUMBER(H84)),"AMOUNT REQUIRED",IF(J84="","ERP SOURCE REQUIRED",IF(NOT(OR(K84="ISSUED",K84="CANCELLED")),"INVOICE STATUS REQUIRED",IF(COUNTIFS($A$2:$A$501,A84,$B$2:$B$501,B84,$D$2:$D$501,D84)&gt;1,"DUPLICATE INVOICE / PROJECT",IF(AND(G84="MXN",NOT(AND(ISNUMBER(I84),Settings!$B$8="APPROVED",Settings!$B$9&lt;&gt;"",Settings!$B$10&lt;&gt;""))),"FX HOLD","VALID")))))))))))))))</x:f>
      </x:c>
      <x:c r="M84" s="57" t="str">
        <x:f>IF(ISNUMBER(C84),IF(AND(ISNUMBER(C84),C84&gt;=2,C84&lt;=2958465,C84=INT(C84)),TEXT(C84,"yyyy-mm"),""),"")</x:f>
      </x:c>
      <x:c r="N84" s="59" t="str">
        <x:f>IF(L84="VALID",IF(G84="USD",H84,I84),"")</x:f>
      </x:c>
      <x:c r="O84" s="57" t="n">
        <x:f>IF(L84="VALID",IF(COUNTIFS($B$2:B84,B84,$M$2:M84,M84,$L$2:L84,"VALID")=1,1,0),0)</x:f>
        <x:v>0</x:v>
      </x:c>
    </x:row>
    <x:row r="85">
      <x:c r="A85" s="47"/>
      <x:c r="B85" s="47"/>
      <x:c r="C85" s="58"/>
      <x:c r="D85" s="47"/>
      <x:c r="E85" s="47"/>
      <x:c r="F85" s="47"/>
      <x:c r="G85" s="47"/>
      <x:c r="H85" s="48"/>
      <x:c r="I85" s="48"/>
      <x:c r="J85" s="47"/>
      <x:c r="K85" s="47"/>
      <x:c r="L85" s="57" t="str">
        <x:f>IF(COUNTA(A85:K85)=0,"",IF(K85="CANCELLED","CANCELLED",IF(A85="","INVOICE ID REQUIRED",IF(B85="","PROJECT ID REQUIRED",IF(NOT(ISNUMBER(C85)),"INVALID INVOICE DATE",IF(NOT(AND(ISNUMBER(C85),C85&gt;=2,C85&lt;=2958465,C85=INT(C85))),"INVALID INVOICE DATE",IF(NOT(OR(D85="MX",D85="US")),"ENTITY REQUIRED",IF(NOT(OR(E85="Strategic Services",E85="Brands")),"UNIT REQUIRED",IF(F85="","BRAND / N/A REQUIRED",IF(NOT(OR(G85="USD",G85="MXN")),"CURRENCY REQUIRED",IF(NOT(ISNUMBER(H85)),"AMOUNT REQUIRED",IF(J85="","ERP SOURCE REQUIRED",IF(NOT(OR(K85="ISSUED",K85="CANCELLED")),"INVOICE STATUS REQUIRED",IF(COUNTIFS($A$2:$A$501,A85,$B$2:$B$501,B85,$D$2:$D$501,D85)&gt;1,"DUPLICATE INVOICE / PROJECT",IF(AND(G85="MXN",NOT(AND(ISNUMBER(I85),Settings!$B$8="APPROVED",Settings!$B$9&lt;&gt;"",Settings!$B$10&lt;&gt;""))),"FX HOLD","VALID")))))))))))))))</x:f>
      </x:c>
      <x:c r="M85" s="57" t="str">
        <x:f>IF(ISNUMBER(C85),IF(AND(ISNUMBER(C85),C85&gt;=2,C85&lt;=2958465,C85=INT(C85)),TEXT(C85,"yyyy-mm"),""),"")</x:f>
      </x:c>
      <x:c r="N85" s="59" t="str">
        <x:f>IF(L85="VALID",IF(G85="USD",H85,I85),"")</x:f>
      </x:c>
      <x:c r="O85" s="57" t="n">
        <x:f>IF(L85="VALID",IF(COUNTIFS($B$2:B85,B85,$M$2:M85,M85,$L$2:L85,"VALID")=1,1,0),0)</x:f>
        <x:v>0</x:v>
      </x:c>
    </x:row>
    <x:row r="86">
      <x:c r="A86" s="47"/>
      <x:c r="B86" s="47"/>
      <x:c r="C86" s="58"/>
      <x:c r="D86" s="47"/>
      <x:c r="E86" s="47"/>
      <x:c r="F86" s="47"/>
      <x:c r="G86" s="47"/>
      <x:c r="H86" s="48"/>
      <x:c r="I86" s="48"/>
      <x:c r="J86" s="47"/>
      <x:c r="K86" s="47"/>
      <x:c r="L86" s="57" t="str">
        <x:f>IF(COUNTA(A86:K86)=0,"",IF(K86="CANCELLED","CANCELLED",IF(A86="","INVOICE ID REQUIRED",IF(B86="","PROJECT ID REQUIRED",IF(NOT(ISNUMBER(C86)),"INVALID INVOICE DATE",IF(NOT(AND(ISNUMBER(C86),C86&gt;=2,C86&lt;=2958465,C86=INT(C86))),"INVALID INVOICE DATE",IF(NOT(OR(D86="MX",D86="US")),"ENTITY REQUIRED",IF(NOT(OR(E86="Strategic Services",E86="Brands")),"UNIT REQUIRED",IF(F86="","BRAND / N/A REQUIRED",IF(NOT(OR(G86="USD",G86="MXN")),"CURRENCY REQUIRED",IF(NOT(ISNUMBER(H86)),"AMOUNT REQUIRED",IF(J86="","ERP SOURCE REQUIRED",IF(NOT(OR(K86="ISSUED",K86="CANCELLED")),"INVOICE STATUS REQUIRED",IF(COUNTIFS($A$2:$A$501,A86,$B$2:$B$501,B86,$D$2:$D$501,D86)&gt;1,"DUPLICATE INVOICE / PROJECT",IF(AND(G86="MXN",NOT(AND(ISNUMBER(I86),Settings!$B$8="APPROVED",Settings!$B$9&lt;&gt;"",Settings!$B$10&lt;&gt;""))),"FX HOLD","VALID")))))))))))))))</x:f>
      </x:c>
      <x:c r="M86" s="57" t="str">
        <x:f>IF(ISNUMBER(C86),IF(AND(ISNUMBER(C86),C86&gt;=2,C86&lt;=2958465,C86=INT(C86)),TEXT(C86,"yyyy-mm"),""),"")</x:f>
      </x:c>
      <x:c r="N86" s="59" t="str">
        <x:f>IF(L86="VALID",IF(G86="USD",H86,I86),"")</x:f>
      </x:c>
      <x:c r="O86" s="57" t="n">
        <x:f>IF(L86="VALID",IF(COUNTIFS($B$2:B86,B86,$M$2:M86,M86,$L$2:L86,"VALID")=1,1,0),0)</x:f>
        <x:v>0</x:v>
      </x:c>
    </x:row>
    <x:row r="87">
      <x:c r="A87" s="47"/>
      <x:c r="B87" s="47"/>
      <x:c r="C87" s="58"/>
      <x:c r="D87" s="47"/>
      <x:c r="E87" s="47"/>
      <x:c r="F87" s="47"/>
      <x:c r="G87" s="47"/>
      <x:c r="H87" s="48"/>
      <x:c r="I87" s="48"/>
      <x:c r="J87" s="47"/>
      <x:c r="K87" s="47"/>
      <x:c r="L87" s="57" t="str">
        <x:f>IF(COUNTA(A87:K87)=0,"",IF(K87="CANCELLED","CANCELLED",IF(A87="","INVOICE ID REQUIRED",IF(B87="","PROJECT ID REQUIRED",IF(NOT(ISNUMBER(C87)),"INVALID INVOICE DATE",IF(NOT(AND(ISNUMBER(C87),C87&gt;=2,C87&lt;=2958465,C87=INT(C87))),"INVALID INVOICE DATE",IF(NOT(OR(D87="MX",D87="US")),"ENTITY REQUIRED",IF(NOT(OR(E87="Strategic Services",E87="Brands")),"UNIT REQUIRED",IF(F87="","BRAND / N/A REQUIRED",IF(NOT(OR(G87="USD",G87="MXN")),"CURRENCY REQUIRED",IF(NOT(ISNUMBER(H87)),"AMOUNT REQUIRED",IF(J87="","ERP SOURCE REQUIRED",IF(NOT(OR(K87="ISSUED",K87="CANCELLED")),"INVOICE STATUS REQUIRED",IF(COUNTIFS($A$2:$A$501,A87,$B$2:$B$501,B87,$D$2:$D$501,D87)&gt;1,"DUPLICATE INVOICE / PROJECT",IF(AND(G87="MXN",NOT(AND(ISNUMBER(I87),Settings!$B$8="APPROVED",Settings!$B$9&lt;&gt;"",Settings!$B$10&lt;&gt;""))),"FX HOLD","VALID")))))))))))))))</x:f>
      </x:c>
      <x:c r="M87" s="57" t="str">
        <x:f>IF(ISNUMBER(C87),IF(AND(ISNUMBER(C87),C87&gt;=2,C87&lt;=2958465,C87=INT(C87)),TEXT(C87,"yyyy-mm"),""),"")</x:f>
      </x:c>
      <x:c r="N87" s="59" t="str">
        <x:f>IF(L87="VALID",IF(G87="USD",H87,I87),"")</x:f>
      </x:c>
      <x:c r="O87" s="57" t="n">
        <x:f>IF(L87="VALID",IF(COUNTIFS($B$2:B87,B87,$M$2:M87,M87,$L$2:L87,"VALID")=1,1,0),0)</x:f>
        <x:v>0</x:v>
      </x:c>
    </x:row>
    <x:row r="88">
      <x:c r="A88" s="47"/>
      <x:c r="B88" s="47"/>
      <x:c r="C88" s="58"/>
      <x:c r="D88" s="47"/>
      <x:c r="E88" s="47"/>
      <x:c r="F88" s="47"/>
      <x:c r="G88" s="47"/>
      <x:c r="H88" s="48"/>
      <x:c r="I88" s="48"/>
      <x:c r="J88" s="47"/>
      <x:c r="K88" s="47"/>
      <x:c r="L88" s="57" t="str">
        <x:f>IF(COUNTA(A88:K88)=0,"",IF(K88="CANCELLED","CANCELLED",IF(A88="","INVOICE ID REQUIRED",IF(B88="","PROJECT ID REQUIRED",IF(NOT(ISNUMBER(C88)),"INVALID INVOICE DATE",IF(NOT(AND(ISNUMBER(C88),C88&gt;=2,C88&lt;=2958465,C88=INT(C88))),"INVALID INVOICE DATE",IF(NOT(OR(D88="MX",D88="US")),"ENTITY REQUIRED",IF(NOT(OR(E88="Strategic Services",E88="Brands")),"UNIT REQUIRED",IF(F88="","BRAND / N/A REQUIRED",IF(NOT(OR(G88="USD",G88="MXN")),"CURRENCY REQUIRED",IF(NOT(ISNUMBER(H88)),"AMOUNT REQUIRED",IF(J88="","ERP SOURCE REQUIRED",IF(NOT(OR(K88="ISSUED",K88="CANCELLED")),"INVOICE STATUS REQUIRED",IF(COUNTIFS($A$2:$A$501,A88,$B$2:$B$501,B88,$D$2:$D$501,D88)&gt;1,"DUPLICATE INVOICE / PROJECT",IF(AND(G88="MXN",NOT(AND(ISNUMBER(I88),Settings!$B$8="APPROVED",Settings!$B$9&lt;&gt;"",Settings!$B$10&lt;&gt;""))),"FX HOLD","VALID")))))))))))))))</x:f>
      </x:c>
      <x:c r="M88" s="57" t="str">
        <x:f>IF(ISNUMBER(C88),IF(AND(ISNUMBER(C88),C88&gt;=2,C88&lt;=2958465,C88=INT(C88)),TEXT(C88,"yyyy-mm"),""),"")</x:f>
      </x:c>
      <x:c r="N88" s="59" t="str">
        <x:f>IF(L88="VALID",IF(G88="USD",H88,I88),"")</x:f>
      </x:c>
      <x:c r="O88" s="57" t="n">
        <x:f>IF(L88="VALID",IF(COUNTIFS($B$2:B88,B88,$M$2:M88,M88,$L$2:L88,"VALID")=1,1,0),0)</x:f>
        <x:v>0</x:v>
      </x:c>
    </x:row>
    <x:row r="89">
      <x:c r="A89" s="47"/>
      <x:c r="B89" s="47"/>
      <x:c r="C89" s="58"/>
      <x:c r="D89" s="47"/>
      <x:c r="E89" s="47"/>
      <x:c r="F89" s="47"/>
      <x:c r="G89" s="47"/>
      <x:c r="H89" s="48"/>
      <x:c r="I89" s="48"/>
      <x:c r="J89" s="47"/>
      <x:c r="K89" s="47"/>
      <x:c r="L89" s="57" t="str">
        <x:f>IF(COUNTA(A89:K89)=0,"",IF(K89="CANCELLED","CANCELLED",IF(A89="","INVOICE ID REQUIRED",IF(B89="","PROJECT ID REQUIRED",IF(NOT(ISNUMBER(C89)),"INVALID INVOICE DATE",IF(NOT(AND(ISNUMBER(C89),C89&gt;=2,C89&lt;=2958465,C89=INT(C89))),"INVALID INVOICE DATE",IF(NOT(OR(D89="MX",D89="US")),"ENTITY REQUIRED",IF(NOT(OR(E89="Strategic Services",E89="Brands")),"UNIT REQUIRED",IF(F89="","BRAND / N/A REQUIRED",IF(NOT(OR(G89="USD",G89="MXN")),"CURRENCY REQUIRED",IF(NOT(ISNUMBER(H89)),"AMOUNT REQUIRED",IF(J89="","ERP SOURCE REQUIRED",IF(NOT(OR(K89="ISSUED",K89="CANCELLED")),"INVOICE STATUS REQUIRED",IF(COUNTIFS($A$2:$A$501,A89,$B$2:$B$501,B89,$D$2:$D$501,D89)&gt;1,"DUPLICATE INVOICE / PROJECT",IF(AND(G89="MXN",NOT(AND(ISNUMBER(I89),Settings!$B$8="APPROVED",Settings!$B$9&lt;&gt;"",Settings!$B$10&lt;&gt;""))),"FX HOLD","VALID")))))))))))))))</x:f>
      </x:c>
      <x:c r="M89" s="57" t="str">
        <x:f>IF(ISNUMBER(C89),IF(AND(ISNUMBER(C89),C89&gt;=2,C89&lt;=2958465,C89=INT(C89)),TEXT(C89,"yyyy-mm"),""),"")</x:f>
      </x:c>
      <x:c r="N89" s="59" t="str">
        <x:f>IF(L89="VALID",IF(G89="USD",H89,I89),"")</x:f>
      </x:c>
      <x:c r="O89" s="57" t="n">
        <x:f>IF(L89="VALID",IF(COUNTIFS($B$2:B89,B89,$M$2:M89,M89,$L$2:L89,"VALID")=1,1,0),0)</x:f>
        <x:v>0</x:v>
      </x:c>
    </x:row>
    <x:row r="90">
      <x:c r="A90" s="47"/>
      <x:c r="B90" s="47"/>
      <x:c r="C90" s="58"/>
      <x:c r="D90" s="47"/>
      <x:c r="E90" s="47"/>
      <x:c r="F90" s="47"/>
      <x:c r="G90" s="47"/>
      <x:c r="H90" s="48"/>
      <x:c r="I90" s="48"/>
      <x:c r="J90" s="47"/>
      <x:c r="K90" s="47"/>
      <x:c r="L90" s="57" t="str">
        <x:f>IF(COUNTA(A90:K90)=0,"",IF(K90="CANCELLED","CANCELLED",IF(A90="","INVOICE ID REQUIRED",IF(B90="","PROJECT ID REQUIRED",IF(NOT(ISNUMBER(C90)),"INVALID INVOICE DATE",IF(NOT(AND(ISNUMBER(C90),C90&gt;=2,C90&lt;=2958465,C90=INT(C90))),"INVALID INVOICE DATE",IF(NOT(OR(D90="MX",D90="US")),"ENTITY REQUIRED",IF(NOT(OR(E90="Strategic Services",E90="Brands")),"UNIT REQUIRED",IF(F90="","BRAND / N/A REQUIRED",IF(NOT(OR(G90="USD",G90="MXN")),"CURRENCY REQUIRED",IF(NOT(ISNUMBER(H90)),"AMOUNT REQUIRED",IF(J90="","ERP SOURCE REQUIRED",IF(NOT(OR(K90="ISSUED",K90="CANCELLED")),"INVOICE STATUS REQUIRED",IF(COUNTIFS($A$2:$A$501,A90,$B$2:$B$501,B90,$D$2:$D$501,D90)&gt;1,"DUPLICATE INVOICE / PROJECT",IF(AND(G90="MXN",NOT(AND(ISNUMBER(I90),Settings!$B$8="APPROVED",Settings!$B$9&lt;&gt;"",Settings!$B$10&lt;&gt;""))),"FX HOLD","VALID")))))))))))))))</x:f>
      </x:c>
      <x:c r="M90" s="57" t="str">
        <x:f>IF(ISNUMBER(C90),IF(AND(ISNUMBER(C90),C90&gt;=2,C90&lt;=2958465,C90=INT(C90)),TEXT(C90,"yyyy-mm"),""),"")</x:f>
      </x:c>
      <x:c r="N90" s="59" t="str">
        <x:f>IF(L90="VALID",IF(G90="USD",H90,I90),"")</x:f>
      </x:c>
      <x:c r="O90" s="57" t="n">
        <x:f>IF(L90="VALID",IF(COUNTIFS($B$2:B90,B90,$M$2:M90,M90,$L$2:L90,"VALID")=1,1,0),0)</x:f>
        <x:v>0</x:v>
      </x:c>
    </x:row>
    <x:row r="91">
      <x:c r="A91" s="47"/>
      <x:c r="B91" s="47"/>
      <x:c r="C91" s="58"/>
      <x:c r="D91" s="47"/>
      <x:c r="E91" s="47"/>
      <x:c r="F91" s="47"/>
      <x:c r="G91" s="47"/>
      <x:c r="H91" s="48"/>
      <x:c r="I91" s="48"/>
      <x:c r="J91" s="47"/>
      <x:c r="K91" s="47"/>
      <x:c r="L91" s="57" t="str">
        <x:f>IF(COUNTA(A91:K91)=0,"",IF(K91="CANCELLED","CANCELLED",IF(A91="","INVOICE ID REQUIRED",IF(B91="","PROJECT ID REQUIRED",IF(NOT(ISNUMBER(C91)),"INVALID INVOICE DATE",IF(NOT(AND(ISNUMBER(C91),C91&gt;=2,C91&lt;=2958465,C91=INT(C91))),"INVALID INVOICE DATE",IF(NOT(OR(D91="MX",D91="US")),"ENTITY REQUIRED",IF(NOT(OR(E91="Strategic Services",E91="Brands")),"UNIT REQUIRED",IF(F91="","BRAND / N/A REQUIRED",IF(NOT(OR(G91="USD",G91="MXN")),"CURRENCY REQUIRED",IF(NOT(ISNUMBER(H91)),"AMOUNT REQUIRED",IF(J91="","ERP SOURCE REQUIRED",IF(NOT(OR(K91="ISSUED",K91="CANCELLED")),"INVOICE STATUS REQUIRED",IF(COUNTIFS($A$2:$A$501,A91,$B$2:$B$501,B91,$D$2:$D$501,D91)&gt;1,"DUPLICATE INVOICE / PROJECT",IF(AND(G91="MXN",NOT(AND(ISNUMBER(I91),Settings!$B$8="APPROVED",Settings!$B$9&lt;&gt;"",Settings!$B$10&lt;&gt;""))),"FX HOLD","VALID")))))))))))))))</x:f>
      </x:c>
      <x:c r="M91" s="57" t="str">
        <x:f>IF(ISNUMBER(C91),IF(AND(ISNUMBER(C91),C91&gt;=2,C91&lt;=2958465,C91=INT(C91)),TEXT(C91,"yyyy-mm"),""),"")</x:f>
      </x:c>
      <x:c r="N91" s="59" t="str">
        <x:f>IF(L91="VALID",IF(G91="USD",H91,I91),"")</x:f>
      </x:c>
      <x:c r="O91" s="57" t="n">
        <x:f>IF(L91="VALID",IF(COUNTIFS($B$2:B91,B91,$M$2:M91,M91,$L$2:L91,"VALID")=1,1,0),0)</x:f>
        <x:v>0</x:v>
      </x:c>
    </x:row>
    <x:row r="92">
      <x:c r="A92" s="47"/>
      <x:c r="B92" s="47"/>
      <x:c r="C92" s="58"/>
      <x:c r="D92" s="47"/>
      <x:c r="E92" s="47"/>
      <x:c r="F92" s="47"/>
      <x:c r="G92" s="47"/>
      <x:c r="H92" s="48"/>
      <x:c r="I92" s="48"/>
      <x:c r="J92" s="47"/>
      <x:c r="K92" s="47"/>
      <x:c r="L92" s="57" t="str">
        <x:f>IF(COUNTA(A92:K92)=0,"",IF(K92="CANCELLED","CANCELLED",IF(A92="","INVOICE ID REQUIRED",IF(B92="","PROJECT ID REQUIRED",IF(NOT(ISNUMBER(C92)),"INVALID INVOICE DATE",IF(NOT(AND(ISNUMBER(C92),C92&gt;=2,C92&lt;=2958465,C92=INT(C92))),"INVALID INVOICE DATE",IF(NOT(OR(D92="MX",D92="US")),"ENTITY REQUIRED",IF(NOT(OR(E92="Strategic Services",E92="Brands")),"UNIT REQUIRED",IF(F92="","BRAND / N/A REQUIRED",IF(NOT(OR(G92="USD",G92="MXN")),"CURRENCY REQUIRED",IF(NOT(ISNUMBER(H92)),"AMOUNT REQUIRED",IF(J92="","ERP SOURCE REQUIRED",IF(NOT(OR(K92="ISSUED",K92="CANCELLED")),"INVOICE STATUS REQUIRED",IF(COUNTIFS($A$2:$A$501,A92,$B$2:$B$501,B92,$D$2:$D$501,D92)&gt;1,"DUPLICATE INVOICE / PROJECT",IF(AND(G92="MXN",NOT(AND(ISNUMBER(I92),Settings!$B$8="APPROVED",Settings!$B$9&lt;&gt;"",Settings!$B$10&lt;&gt;""))),"FX HOLD","VALID")))))))))))))))</x:f>
      </x:c>
      <x:c r="M92" s="57" t="str">
        <x:f>IF(ISNUMBER(C92),IF(AND(ISNUMBER(C92),C92&gt;=2,C92&lt;=2958465,C92=INT(C92)),TEXT(C92,"yyyy-mm"),""),"")</x:f>
      </x:c>
      <x:c r="N92" s="59" t="str">
        <x:f>IF(L92="VALID",IF(G92="USD",H92,I92),"")</x:f>
      </x:c>
      <x:c r="O92" s="57" t="n">
        <x:f>IF(L92="VALID",IF(COUNTIFS($B$2:B92,B92,$M$2:M92,M92,$L$2:L92,"VALID")=1,1,0),0)</x:f>
        <x:v>0</x:v>
      </x:c>
    </x:row>
    <x:row r="93">
      <x:c r="A93" s="47"/>
      <x:c r="B93" s="47"/>
      <x:c r="C93" s="58"/>
      <x:c r="D93" s="47"/>
      <x:c r="E93" s="47"/>
      <x:c r="F93" s="47"/>
      <x:c r="G93" s="47"/>
      <x:c r="H93" s="48"/>
      <x:c r="I93" s="48"/>
      <x:c r="J93" s="47"/>
      <x:c r="K93" s="47"/>
      <x:c r="L93" s="57" t="str">
        <x:f>IF(COUNTA(A93:K93)=0,"",IF(K93="CANCELLED","CANCELLED",IF(A93="","INVOICE ID REQUIRED",IF(B93="","PROJECT ID REQUIRED",IF(NOT(ISNUMBER(C93)),"INVALID INVOICE DATE",IF(NOT(AND(ISNUMBER(C93),C93&gt;=2,C93&lt;=2958465,C93=INT(C93))),"INVALID INVOICE DATE",IF(NOT(OR(D93="MX",D93="US")),"ENTITY REQUIRED",IF(NOT(OR(E93="Strategic Services",E93="Brands")),"UNIT REQUIRED",IF(F93="","BRAND / N/A REQUIRED",IF(NOT(OR(G93="USD",G93="MXN")),"CURRENCY REQUIRED",IF(NOT(ISNUMBER(H93)),"AMOUNT REQUIRED",IF(J93="","ERP SOURCE REQUIRED",IF(NOT(OR(K93="ISSUED",K93="CANCELLED")),"INVOICE STATUS REQUIRED",IF(COUNTIFS($A$2:$A$501,A93,$B$2:$B$501,B93,$D$2:$D$501,D93)&gt;1,"DUPLICATE INVOICE / PROJECT",IF(AND(G93="MXN",NOT(AND(ISNUMBER(I93),Settings!$B$8="APPROVED",Settings!$B$9&lt;&gt;"",Settings!$B$10&lt;&gt;""))),"FX HOLD","VALID")))))))))))))))</x:f>
      </x:c>
      <x:c r="M93" s="57" t="str">
        <x:f>IF(ISNUMBER(C93),IF(AND(ISNUMBER(C93),C93&gt;=2,C93&lt;=2958465,C93=INT(C93)),TEXT(C93,"yyyy-mm"),""),"")</x:f>
      </x:c>
      <x:c r="N93" s="59" t="str">
        <x:f>IF(L93="VALID",IF(G93="USD",H93,I93),"")</x:f>
      </x:c>
      <x:c r="O93" s="57" t="n">
        <x:f>IF(L93="VALID",IF(COUNTIFS($B$2:B93,B93,$M$2:M93,M93,$L$2:L93,"VALID")=1,1,0),0)</x:f>
        <x:v>0</x:v>
      </x:c>
    </x:row>
    <x:row r="94">
      <x:c r="A94" s="47"/>
      <x:c r="B94" s="47"/>
      <x:c r="C94" s="58"/>
      <x:c r="D94" s="47"/>
      <x:c r="E94" s="47"/>
      <x:c r="F94" s="47"/>
      <x:c r="G94" s="47"/>
      <x:c r="H94" s="48"/>
      <x:c r="I94" s="48"/>
      <x:c r="J94" s="47"/>
      <x:c r="K94" s="47"/>
      <x:c r="L94" s="57" t="str">
        <x:f>IF(COUNTA(A94:K94)=0,"",IF(K94="CANCELLED","CANCELLED",IF(A94="","INVOICE ID REQUIRED",IF(B94="","PROJECT ID REQUIRED",IF(NOT(ISNUMBER(C94)),"INVALID INVOICE DATE",IF(NOT(AND(ISNUMBER(C94),C94&gt;=2,C94&lt;=2958465,C94=INT(C94))),"INVALID INVOICE DATE",IF(NOT(OR(D94="MX",D94="US")),"ENTITY REQUIRED",IF(NOT(OR(E94="Strategic Services",E94="Brands")),"UNIT REQUIRED",IF(F94="","BRAND / N/A REQUIRED",IF(NOT(OR(G94="USD",G94="MXN")),"CURRENCY REQUIRED",IF(NOT(ISNUMBER(H94)),"AMOUNT REQUIRED",IF(J94="","ERP SOURCE REQUIRED",IF(NOT(OR(K94="ISSUED",K94="CANCELLED")),"INVOICE STATUS REQUIRED",IF(COUNTIFS($A$2:$A$501,A94,$B$2:$B$501,B94,$D$2:$D$501,D94)&gt;1,"DUPLICATE INVOICE / PROJECT",IF(AND(G94="MXN",NOT(AND(ISNUMBER(I94),Settings!$B$8="APPROVED",Settings!$B$9&lt;&gt;"",Settings!$B$10&lt;&gt;""))),"FX HOLD","VALID")))))))))))))))</x:f>
      </x:c>
      <x:c r="M94" s="57" t="str">
        <x:f>IF(ISNUMBER(C94),IF(AND(ISNUMBER(C94),C94&gt;=2,C94&lt;=2958465,C94=INT(C94)),TEXT(C94,"yyyy-mm"),""),"")</x:f>
      </x:c>
      <x:c r="N94" s="59" t="str">
        <x:f>IF(L94="VALID",IF(G94="USD",H94,I94),"")</x:f>
      </x:c>
      <x:c r="O94" s="57" t="n">
        <x:f>IF(L94="VALID",IF(COUNTIFS($B$2:B94,B94,$M$2:M94,M94,$L$2:L94,"VALID")=1,1,0),0)</x:f>
        <x:v>0</x:v>
      </x:c>
    </x:row>
    <x:row r="95">
      <x:c r="A95" s="47"/>
      <x:c r="B95" s="47"/>
      <x:c r="C95" s="58"/>
      <x:c r="D95" s="47"/>
      <x:c r="E95" s="47"/>
      <x:c r="F95" s="47"/>
      <x:c r="G95" s="47"/>
      <x:c r="H95" s="48"/>
      <x:c r="I95" s="48"/>
      <x:c r="J95" s="47"/>
      <x:c r="K95" s="47"/>
      <x:c r="L95" s="57" t="str">
        <x:f>IF(COUNTA(A95:K95)=0,"",IF(K95="CANCELLED","CANCELLED",IF(A95="","INVOICE ID REQUIRED",IF(B95="","PROJECT ID REQUIRED",IF(NOT(ISNUMBER(C95)),"INVALID INVOICE DATE",IF(NOT(AND(ISNUMBER(C95),C95&gt;=2,C95&lt;=2958465,C95=INT(C95))),"INVALID INVOICE DATE",IF(NOT(OR(D95="MX",D95="US")),"ENTITY REQUIRED",IF(NOT(OR(E95="Strategic Services",E95="Brands")),"UNIT REQUIRED",IF(F95="","BRAND / N/A REQUIRED",IF(NOT(OR(G95="USD",G95="MXN")),"CURRENCY REQUIRED",IF(NOT(ISNUMBER(H95)),"AMOUNT REQUIRED",IF(J95="","ERP SOURCE REQUIRED",IF(NOT(OR(K95="ISSUED",K95="CANCELLED")),"INVOICE STATUS REQUIRED",IF(COUNTIFS($A$2:$A$501,A95,$B$2:$B$501,B95,$D$2:$D$501,D95)&gt;1,"DUPLICATE INVOICE / PROJECT",IF(AND(G95="MXN",NOT(AND(ISNUMBER(I95),Settings!$B$8="APPROVED",Settings!$B$9&lt;&gt;"",Settings!$B$10&lt;&gt;""))),"FX HOLD","VALID")))))))))))))))</x:f>
      </x:c>
      <x:c r="M95" s="57" t="str">
        <x:f>IF(ISNUMBER(C95),IF(AND(ISNUMBER(C95),C95&gt;=2,C95&lt;=2958465,C95=INT(C95)),TEXT(C95,"yyyy-mm"),""),"")</x:f>
      </x:c>
      <x:c r="N95" s="59" t="str">
        <x:f>IF(L95="VALID",IF(G95="USD",H95,I95),"")</x:f>
      </x:c>
      <x:c r="O95" s="57" t="n">
        <x:f>IF(L95="VALID",IF(COUNTIFS($B$2:B95,B95,$M$2:M95,M95,$L$2:L95,"VALID")=1,1,0),0)</x:f>
        <x:v>0</x:v>
      </x:c>
    </x:row>
    <x:row r="96">
      <x:c r="A96" s="47"/>
      <x:c r="B96" s="47"/>
      <x:c r="C96" s="58"/>
      <x:c r="D96" s="47"/>
      <x:c r="E96" s="47"/>
      <x:c r="F96" s="47"/>
      <x:c r="G96" s="47"/>
      <x:c r="H96" s="48"/>
      <x:c r="I96" s="48"/>
      <x:c r="J96" s="47"/>
      <x:c r="K96" s="47"/>
      <x:c r="L96" s="57" t="str">
        <x:f>IF(COUNTA(A96:K96)=0,"",IF(K96="CANCELLED","CANCELLED",IF(A96="","INVOICE ID REQUIRED",IF(B96="","PROJECT ID REQUIRED",IF(NOT(ISNUMBER(C96)),"INVALID INVOICE DATE",IF(NOT(AND(ISNUMBER(C96),C96&gt;=2,C96&lt;=2958465,C96=INT(C96))),"INVALID INVOICE DATE",IF(NOT(OR(D96="MX",D96="US")),"ENTITY REQUIRED",IF(NOT(OR(E96="Strategic Services",E96="Brands")),"UNIT REQUIRED",IF(F96="","BRAND / N/A REQUIRED",IF(NOT(OR(G96="USD",G96="MXN")),"CURRENCY REQUIRED",IF(NOT(ISNUMBER(H96)),"AMOUNT REQUIRED",IF(J96="","ERP SOURCE REQUIRED",IF(NOT(OR(K96="ISSUED",K96="CANCELLED")),"INVOICE STATUS REQUIRED",IF(COUNTIFS($A$2:$A$501,A96,$B$2:$B$501,B96,$D$2:$D$501,D96)&gt;1,"DUPLICATE INVOICE / PROJECT",IF(AND(G96="MXN",NOT(AND(ISNUMBER(I96),Settings!$B$8="APPROVED",Settings!$B$9&lt;&gt;"",Settings!$B$10&lt;&gt;""))),"FX HOLD","VALID")))))))))))))))</x:f>
      </x:c>
      <x:c r="M96" s="57" t="str">
        <x:f>IF(ISNUMBER(C96),IF(AND(ISNUMBER(C96),C96&gt;=2,C96&lt;=2958465,C96=INT(C96)),TEXT(C96,"yyyy-mm"),""),"")</x:f>
      </x:c>
      <x:c r="N96" s="59" t="str">
        <x:f>IF(L96="VALID",IF(G96="USD",H96,I96),"")</x:f>
      </x:c>
      <x:c r="O96" s="57" t="n">
        <x:f>IF(L96="VALID",IF(COUNTIFS($B$2:B96,B96,$M$2:M96,M96,$L$2:L96,"VALID")=1,1,0),0)</x:f>
        <x:v>0</x:v>
      </x:c>
    </x:row>
    <x:row r="97">
      <x:c r="A97" s="47"/>
      <x:c r="B97" s="47"/>
      <x:c r="C97" s="58"/>
      <x:c r="D97" s="47"/>
      <x:c r="E97" s="47"/>
      <x:c r="F97" s="47"/>
      <x:c r="G97" s="47"/>
      <x:c r="H97" s="48"/>
      <x:c r="I97" s="48"/>
      <x:c r="J97" s="47"/>
      <x:c r="K97" s="47"/>
      <x:c r="L97" s="57" t="str">
        <x:f>IF(COUNTA(A97:K97)=0,"",IF(K97="CANCELLED","CANCELLED",IF(A97="","INVOICE ID REQUIRED",IF(B97="","PROJECT ID REQUIRED",IF(NOT(ISNUMBER(C97)),"INVALID INVOICE DATE",IF(NOT(AND(ISNUMBER(C97),C97&gt;=2,C97&lt;=2958465,C97=INT(C97))),"INVALID INVOICE DATE",IF(NOT(OR(D97="MX",D97="US")),"ENTITY REQUIRED",IF(NOT(OR(E97="Strategic Services",E97="Brands")),"UNIT REQUIRED",IF(F97="","BRAND / N/A REQUIRED",IF(NOT(OR(G97="USD",G97="MXN")),"CURRENCY REQUIRED",IF(NOT(ISNUMBER(H97)),"AMOUNT REQUIRED",IF(J97="","ERP SOURCE REQUIRED",IF(NOT(OR(K97="ISSUED",K97="CANCELLED")),"INVOICE STATUS REQUIRED",IF(COUNTIFS($A$2:$A$501,A97,$B$2:$B$501,B97,$D$2:$D$501,D97)&gt;1,"DUPLICATE INVOICE / PROJECT",IF(AND(G97="MXN",NOT(AND(ISNUMBER(I97),Settings!$B$8="APPROVED",Settings!$B$9&lt;&gt;"",Settings!$B$10&lt;&gt;""))),"FX HOLD","VALID")))))))))))))))</x:f>
      </x:c>
      <x:c r="M97" s="57" t="str">
        <x:f>IF(ISNUMBER(C97),IF(AND(ISNUMBER(C97),C97&gt;=2,C97&lt;=2958465,C97=INT(C97)),TEXT(C97,"yyyy-mm"),""),"")</x:f>
      </x:c>
      <x:c r="N97" s="59" t="str">
        <x:f>IF(L97="VALID",IF(G97="USD",H97,I97),"")</x:f>
      </x:c>
      <x:c r="O97" s="57" t="n">
        <x:f>IF(L97="VALID",IF(COUNTIFS($B$2:B97,B97,$M$2:M97,M97,$L$2:L97,"VALID")=1,1,0),0)</x:f>
        <x:v>0</x:v>
      </x:c>
    </x:row>
    <x:row r="98">
      <x:c r="A98" s="47"/>
      <x:c r="B98" s="47"/>
      <x:c r="C98" s="58"/>
      <x:c r="D98" s="47"/>
      <x:c r="E98" s="47"/>
      <x:c r="F98" s="47"/>
      <x:c r="G98" s="47"/>
      <x:c r="H98" s="48"/>
      <x:c r="I98" s="48"/>
      <x:c r="J98" s="47"/>
      <x:c r="K98" s="47"/>
      <x:c r="L98" s="57" t="str">
        <x:f>IF(COUNTA(A98:K98)=0,"",IF(K98="CANCELLED","CANCELLED",IF(A98="","INVOICE ID REQUIRED",IF(B98="","PROJECT ID REQUIRED",IF(NOT(ISNUMBER(C98)),"INVALID INVOICE DATE",IF(NOT(AND(ISNUMBER(C98),C98&gt;=2,C98&lt;=2958465,C98=INT(C98))),"INVALID INVOICE DATE",IF(NOT(OR(D98="MX",D98="US")),"ENTITY REQUIRED",IF(NOT(OR(E98="Strategic Services",E98="Brands")),"UNIT REQUIRED",IF(F98="","BRAND / N/A REQUIRED",IF(NOT(OR(G98="USD",G98="MXN")),"CURRENCY REQUIRED",IF(NOT(ISNUMBER(H98)),"AMOUNT REQUIRED",IF(J98="","ERP SOURCE REQUIRED",IF(NOT(OR(K98="ISSUED",K98="CANCELLED")),"INVOICE STATUS REQUIRED",IF(COUNTIFS($A$2:$A$501,A98,$B$2:$B$501,B98,$D$2:$D$501,D98)&gt;1,"DUPLICATE INVOICE / PROJECT",IF(AND(G98="MXN",NOT(AND(ISNUMBER(I98),Settings!$B$8="APPROVED",Settings!$B$9&lt;&gt;"",Settings!$B$10&lt;&gt;""))),"FX HOLD","VALID")))))))))))))))</x:f>
      </x:c>
      <x:c r="M98" s="57" t="str">
        <x:f>IF(ISNUMBER(C98),IF(AND(ISNUMBER(C98),C98&gt;=2,C98&lt;=2958465,C98=INT(C98)),TEXT(C98,"yyyy-mm"),""),"")</x:f>
      </x:c>
      <x:c r="N98" s="59" t="str">
        <x:f>IF(L98="VALID",IF(G98="USD",H98,I98),"")</x:f>
      </x:c>
      <x:c r="O98" s="57" t="n">
        <x:f>IF(L98="VALID",IF(COUNTIFS($B$2:B98,B98,$M$2:M98,M98,$L$2:L98,"VALID")=1,1,0),0)</x:f>
        <x:v>0</x:v>
      </x:c>
    </x:row>
    <x:row r="99">
      <x:c r="A99" s="47"/>
      <x:c r="B99" s="47"/>
      <x:c r="C99" s="58"/>
      <x:c r="D99" s="47"/>
      <x:c r="E99" s="47"/>
      <x:c r="F99" s="47"/>
      <x:c r="G99" s="47"/>
      <x:c r="H99" s="48"/>
      <x:c r="I99" s="48"/>
      <x:c r="J99" s="47"/>
      <x:c r="K99" s="47"/>
      <x:c r="L99" s="57" t="str">
        <x:f>IF(COUNTA(A99:K99)=0,"",IF(K99="CANCELLED","CANCELLED",IF(A99="","INVOICE ID REQUIRED",IF(B99="","PROJECT ID REQUIRED",IF(NOT(ISNUMBER(C99)),"INVALID INVOICE DATE",IF(NOT(AND(ISNUMBER(C99),C99&gt;=2,C99&lt;=2958465,C99=INT(C99))),"INVALID INVOICE DATE",IF(NOT(OR(D99="MX",D99="US")),"ENTITY REQUIRED",IF(NOT(OR(E99="Strategic Services",E99="Brands")),"UNIT REQUIRED",IF(F99="","BRAND / N/A REQUIRED",IF(NOT(OR(G99="USD",G99="MXN")),"CURRENCY REQUIRED",IF(NOT(ISNUMBER(H99)),"AMOUNT REQUIRED",IF(J99="","ERP SOURCE REQUIRED",IF(NOT(OR(K99="ISSUED",K99="CANCELLED")),"INVOICE STATUS REQUIRED",IF(COUNTIFS($A$2:$A$501,A99,$B$2:$B$501,B99,$D$2:$D$501,D99)&gt;1,"DUPLICATE INVOICE / PROJECT",IF(AND(G99="MXN",NOT(AND(ISNUMBER(I99),Settings!$B$8="APPROVED",Settings!$B$9&lt;&gt;"",Settings!$B$10&lt;&gt;""))),"FX HOLD","VALID")))))))))))))))</x:f>
      </x:c>
      <x:c r="M99" s="57" t="str">
        <x:f>IF(ISNUMBER(C99),IF(AND(ISNUMBER(C99),C99&gt;=2,C99&lt;=2958465,C99=INT(C99)),TEXT(C99,"yyyy-mm"),""),"")</x:f>
      </x:c>
      <x:c r="N99" s="59" t="str">
        <x:f>IF(L99="VALID",IF(G99="USD",H99,I99),"")</x:f>
      </x:c>
      <x:c r="O99" s="57" t="n">
        <x:f>IF(L99="VALID",IF(COUNTIFS($B$2:B99,B99,$M$2:M99,M99,$L$2:L99,"VALID")=1,1,0),0)</x:f>
        <x:v>0</x:v>
      </x:c>
    </x:row>
    <x:row r="100">
      <x:c r="A100" s="47"/>
      <x:c r="B100" s="47"/>
      <x:c r="C100" s="58"/>
      <x:c r="D100" s="47"/>
      <x:c r="E100" s="47"/>
      <x:c r="F100" s="47"/>
      <x:c r="G100" s="47"/>
      <x:c r="H100" s="48"/>
      <x:c r="I100" s="48"/>
      <x:c r="J100" s="47"/>
      <x:c r="K100" s="47"/>
      <x:c r="L100" s="57" t="str">
        <x:f>IF(COUNTA(A100:K100)=0,"",IF(K100="CANCELLED","CANCELLED",IF(A100="","INVOICE ID REQUIRED",IF(B100="","PROJECT ID REQUIRED",IF(NOT(ISNUMBER(C100)),"INVALID INVOICE DATE",IF(NOT(AND(ISNUMBER(C100),C100&gt;=2,C100&lt;=2958465,C100=INT(C100))),"INVALID INVOICE DATE",IF(NOT(OR(D100="MX",D100="US")),"ENTITY REQUIRED",IF(NOT(OR(E100="Strategic Services",E100="Brands")),"UNIT REQUIRED",IF(F100="","BRAND / N/A REQUIRED",IF(NOT(OR(G100="USD",G100="MXN")),"CURRENCY REQUIRED",IF(NOT(ISNUMBER(H100)),"AMOUNT REQUIRED",IF(J100="","ERP SOURCE REQUIRED",IF(NOT(OR(K100="ISSUED",K100="CANCELLED")),"INVOICE STATUS REQUIRED",IF(COUNTIFS($A$2:$A$501,A100,$B$2:$B$501,B100,$D$2:$D$501,D100)&gt;1,"DUPLICATE INVOICE / PROJECT",IF(AND(G100="MXN",NOT(AND(ISNUMBER(I100),Settings!$B$8="APPROVED",Settings!$B$9&lt;&gt;"",Settings!$B$10&lt;&gt;""))),"FX HOLD","VALID")))))))))))))))</x:f>
      </x:c>
      <x:c r="M100" s="57" t="str">
        <x:f>IF(ISNUMBER(C100),IF(AND(ISNUMBER(C100),C100&gt;=2,C100&lt;=2958465,C100=INT(C100)),TEXT(C100,"yyyy-mm"),""),"")</x:f>
      </x:c>
      <x:c r="N100" s="59" t="str">
        <x:f>IF(L100="VALID",IF(G100="USD",H100,I100),"")</x:f>
      </x:c>
      <x:c r="O100" s="57" t="n">
        <x:f>IF(L100="VALID",IF(COUNTIFS($B$2:B100,B100,$M$2:M100,M100,$L$2:L100,"VALID")=1,1,0),0)</x:f>
        <x:v>0</x:v>
      </x:c>
    </x:row>
    <x:row r="101">
      <x:c r="A101" s="47"/>
      <x:c r="B101" s="47"/>
      <x:c r="C101" s="58"/>
      <x:c r="D101" s="47"/>
      <x:c r="E101" s="47"/>
      <x:c r="F101" s="47"/>
      <x:c r="G101" s="47"/>
      <x:c r="H101" s="48"/>
      <x:c r="I101" s="48"/>
      <x:c r="J101" s="47"/>
      <x:c r="K101" s="47"/>
      <x:c r="L101" s="57" t="str">
        <x:f>IF(COUNTA(A101:K101)=0,"",IF(K101="CANCELLED","CANCELLED",IF(A101="","INVOICE ID REQUIRED",IF(B101="","PROJECT ID REQUIRED",IF(NOT(ISNUMBER(C101)),"INVALID INVOICE DATE",IF(NOT(AND(ISNUMBER(C101),C101&gt;=2,C101&lt;=2958465,C101=INT(C101))),"INVALID INVOICE DATE",IF(NOT(OR(D101="MX",D101="US")),"ENTITY REQUIRED",IF(NOT(OR(E101="Strategic Services",E101="Brands")),"UNIT REQUIRED",IF(F101="","BRAND / N/A REQUIRED",IF(NOT(OR(G101="USD",G101="MXN")),"CURRENCY REQUIRED",IF(NOT(ISNUMBER(H101)),"AMOUNT REQUIRED",IF(J101="","ERP SOURCE REQUIRED",IF(NOT(OR(K101="ISSUED",K101="CANCELLED")),"INVOICE STATUS REQUIRED",IF(COUNTIFS($A$2:$A$501,A101,$B$2:$B$501,B101,$D$2:$D$501,D101)&gt;1,"DUPLICATE INVOICE / PROJECT",IF(AND(G101="MXN",NOT(AND(ISNUMBER(I101),Settings!$B$8="APPROVED",Settings!$B$9&lt;&gt;"",Settings!$B$10&lt;&gt;""))),"FX HOLD","VALID")))))))))))))))</x:f>
      </x:c>
      <x:c r="M101" s="57" t="str">
        <x:f>IF(ISNUMBER(C101),IF(AND(ISNUMBER(C101),C101&gt;=2,C101&lt;=2958465,C101=INT(C101)),TEXT(C101,"yyyy-mm"),""),"")</x:f>
      </x:c>
      <x:c r="N101" s="59" t="str">
        <x:f>IF(L101="VALID",IF(G101="USD",H101,I101),"")</x:f>
      </x:c>
      <x:c r="O101" s="57" t="n">
        <x:f>IF(L101="VALID",IF(COUNTIFS($B$2:B101,B101,$M$2:M101,M101,$L$2:L101,"VALID")=1,1,0),0)</x:f>
        <x:v>0</x:v>
      </x:c>
    </x:row>
    <x:row r="102">
      <x:c r="A102" s="47"/>
      <x:c r="B102" s="47"/>
      <x:c r="C102" s="58"/>
      <x:c r="D102" s="47"/>
      <x:c r="E102" s="47"/>
      <x:c r="F102" s="47"/>
      <x:c r="G102" s="47"/>
      <x:c r="H102" s="48"/>
      <x:c r="I102" s="48"/>
      <x:c r="J102" s="47"/>
      <x:c r="K102" s="47"/>
      <x:c r="L102" s="57" t="str">
        <x:f>IF(COUNTA(A102:K102)=0,"",IF(K102="CANCELLED","CANCELLED",IF(A102="","INVOICE ID REQUIRED",IF(B102="","PROJECT ID REQUIRED",IF(NOT(ISNUMBER(C102)),"INVALID INVOICE DATE",IF(NOT(AND(ISNUMBER(C102),C102&gt;=2,C102&lt;=2958465,C102=INT(C102))),"INVALID INVOICE DATE",IF(NOT(OR(D102="MX",D102="US")),"ENTITY REQUIRED",IF(NOT(OR(E102="Strategic Services",E102="Brands")),"UNIT REQUIRED",IF(F102="","BRAND / N/A REQUIRED",IF(NOT(OR(G102="USD",G102="MXN")),"CURRENCY REQUIRED",IF(NOT(ISNUMBER(H102)),"AMOUNT REQUIRED",IF(J102="","ERP SOURCE REQUIRED",IF(NOT(OR(K102="ISSUED",K102="CANCELLED")),"INVOICE STATUS REQUIRED",IF(COUNTIFS($A$2:$A$501,A102,$B$2:$B$501,B102,$D$2:$D$501,D102)&gt;1,"DUPLICATE INVOICE / PROJECT",IF(AND(G102="MXN",NOT(AND(ISNUMBER(I102),Settings!$B$8="APPROVED",Settings!$B$9&lt;&gt;"",Settings!$B$10&lt;&gt;""))),"FX HOLD","VALID")))))))))))))))</x:f>
      </x:c>
      <x:c r="M102" s="57" t="str">
        <x:f>IF(ISNUMBER(C102),IF(AND(ISNUMBER(C102),C102&gt;=2,C102&lt;=2958465,C102=INT(C102)),TEXT(C102,"yyyy-mm"),""),"")</x:f>
      </x:c>
      <x:c r="N102" s="59" t="str">
        <x:f>IF(L102="VALID",IF(G102="USD",H102,I102),"")</x:f>
      </x:c>
      <x:c r="O102" s="57" t="n">
        <x:f>IF(L102="VALID",IF(COUNTIFS($B$2:B102,B102,$M$2:M102,M102,$L$2:L102,"VALID")=1,1,0),0)</x:f>
        <x:v>0</x:v>
      </x:c>
    </x:row>
    <x:row r="103">
      <x:c r="A103" s="47"/>
      <x:c r="B103" s="47"/>
      <x:c r="C103" s="58"/>
      <x:c r="D103" s="47"/>
      <x:c r="E103" s="47"/>
      <x:c r="F103" s="47"/>
      <x:c r="G103" s="47"/>
      <x:c r="H103" s="48"/>
      <x:c r="I103" s="48"/>
      <x:c r="J103" s="47"/>
      <x:c r="K103" s="47"/>
      <x:c r="L103" s="57" t="str">
        <x:f>IF(COUNTA(A103:K103)=0,"",IF(K103="CANCELLED","CANCELLED",IF(A103="","INVOICE ID REQUIRED",IF(B103="","PROJECT ID REQUIRED",IF(NOT(ISNUMBER(C103)),"INVALID INVOICE DATE",IF(NOT(AND(ISNUMBER(C103),C103&gt;=2,C103&lt;=2958465,C103=INT(C103))),"INVALID INVOICE DATE",IF(NOT(OR(D103="MX",D103="US")),"ENTITY REQUIRED",IF(NOT(OR(E103="Strategic Services",E103="Brands")),"UNIT REQUIRED",IF(F103="","BRAND / N/A REQUIRED",IF(NOT(OR(G103="USD",G103="MXN")),"CURRENCY REQUIRED",IF(NOT(ISNUMBER(H103)),"AMOUNT REQUIRED",IF(J103="","ERP SOURCE REQUIRED",IF(NOT(OR(K103="ISSUED",K103="CANCELLED")),"INVOICE STATUS REQUIRED",IF(COUNTIFS($A$2:$A$501,A103,$B$2:$B$501,B103,$D$2:$D$501,D103)&gt;1,"DUPLICATE INVOICE / PROJECT",IF(AND(G103="MXN",NOT(AND(ISNUMBER(I103),Settings!$B$8="APPROVED",Settings!$B$9&lt;&gt;"",Settings!$B$10&lt;&gt;""))),"FX HOLD","VALID")))))))))))))))</x:f>
      </x:c>
      <x:c r="M103" s="57" t="str">
        <x:f>IF(ISNUMBER(C103),IF(AND(ISNUMBER(C103),C103&gt;=2,C103&lt;=2958465,C103=INT(C103)),TEXT(C103,"yyyy-mm"),""),"")</x:f>
      </x:c>
      <x:c r="N103" s="59" t="str">
        <x:f>IF(L103="VALID",IF(G103="USD",H103,I103),"")</x:f>
      </x:c>
      <x:c r="O103" s="57" t="n">
        <x:f>IF(L103="VALID",IF(COUNTIFS($B$2:B103,B103,$M$2:M103,M103,$L$2:L103,"VALID")=1,1,0),0)</x:f>
        <x:v>0</x:v>
      </x:c>
    </x:row>
    <x:row r="104">
      <x:c r="A104" s="47"/>
      <x:c r="B104" s="47"/>
      <x:c r="C104" s="58"/>
      <x:c r="D104" s="47"/>
      <x:c r="E104" s="47"/>
      <x:c r="F104" s="47"/>
      <x:c r="G104" s="47"/>
      <x:c r="H104" s="48"/>
      <x:c r="I104" s="48"/>
      <x:c r="J104" s="47"/>
      <x:c r="K104" s="47"/>
      <x:c r="L104" s="57" t="str">
        <x:f>IF(COUNTA(A104:K104)=0,"",IF(K104="CANCELLED","CANCELLED",IF(A104="","INVOICE ID REQUIRED",IF(B104="","PROJECT ID REQUIRED",IF(NOT(ISNUMBER(C104)),"INVALID INVOICE DATE",IF(NOT(AND(ISNUMBER(C104),C104&gt;=2,C104&lt;=2958465,C104=INT(C104))),"INVALID INVOICE DATE",IF(NOT(OR(D104="MX",D104="US")),"ENTITY REQUIRED",IF(NOT(OR(E104="Strategic Services",E104="Brands")),"UNIT REQUIRED",IF(F104="","BRAND / N/A REQUIRED",IF(NOT(OR(G104="USD",G104="MXN")),"CURRENCY REQUIRED",IF(NOT(ISNUMBER(H104)),"AMOUNT REQUIRED",IF(J104="","ERP SOURCE REQUIRED",IF(NOT(OR(K104="ISSUED",K104="CANCELLED")),"INVOICE STATUS REQUIRED",IF(COUNTIFS($A$2:$A$501,A104,$B$2:$B$501,B104,$D$2:$D$501,D104)&gt;1,"DUPLICATE INVOICE / PROJECT",IF(AND(G104="MXN",NOT(AND(ISNUMBER(I104),Settings!$B$8="APPROVED",Settings!$B$9&lt;&gt;"",Settings!$B$10&lt;&gt;""))),"FX HOLD","VALID")))))))))))))))</x:f>
      </x:c>
      <x:c r="M104" s="57" t="str">
        <x:f>IF(ISNUMBER(C104),IF(AND(ISNUMBER(C104),C104&gt;=2,C104&lt;=2958465,C104=INT(C104)),TEXT(C104,"yyyy-mm"),""),"")</x:f>
      </x:c>
      <x:c r="N104" s="59" t="str">
        <x:f>IF(L104="VALID",IF(G104="USD",H104,I104),"")</x:f>
      </x:c>
      <x:c r="O104" s="57" t="n">
        <x:f>IF(L104="VALID",IF(COUNTIFS($B$2:B104,B104,$M$2:M104,M104,$L$2:L104,"VALID")=1,1,0),0)</x:f>
        <x:v>0</x:v>
      </x:c>
    </x:row>
    <x:row r="105">
      <x:c r="A105" s="47"/>
      <x:c r="B105" s="47"/>
      <x:c r="C105" s="58"/>
      <x:c r="D105" s="47"/>
      <x:c r="E105" s="47"/>
      <x:c r="F105" s="47"/>
      <x:c r="G105" s="47"/>
      <x:c r="H105" s="48"/>
      <x:c r="I105" s="48"/>
      <x:c r="J105" s="47"/>
      <x:c r="K105" s="47"/>
      <x:c r="L105" s="57" t="str">
        <x:f>IF(COUNTA(A105:K105)=0,"",IF(K105="CANCELLED","CANCELLED",IF(A105="","INVOICE ID REQUIRED",IF(B105="","PROJECT ID REQUIRED",IF(NOT(ISNUMBER(C105)),"INVALID INVOICE DATE",IF(NOT(AND(ISNUMBER(C105),C105&gt;=2,C105&lt;=2958465,C105=INT(C105))),"INVALID INVOICE DATE",IF(NOT(OR(D105="MX",D105="US")),"ENTITY REQUIRED",IF(NOT(OR(E105="Strategic Services",E105="Brands")),"UNIT REQUIRED",IF(F105="","BRAND / N/A REQUIRED",IF(NOT(OR(G105="USD",G105="MXN")),"CURRENCY REQUIRED",IF(NOT(ISNUMBER(H105)),"AMOUNT REQUIRED",IF(J105="","ERP SOURCE REQUIRED",IF(NOT(OR(K105="ISSUED",K105="CANCELLED")),"INVOICE STATUS REQUIRED",IF(COUNTIFS($A$2:$A$501,A105,$B$2:$B$501,B105,$D$2:$D$501,D105)&gt;1,"DUPLICATE INVOICE / PROJECT",IF(AND(G105="MXN",NOT(AND(ISNUMBER(I105),Settings!$B$8="APPROVED",Settings!$B$9&lt;&gt;"",Settings!$B$10&lt;&gt;""))),"FX HOLD","VALID")))))))))))))))</x:f>
      </x:c>
      <x:c r="M105" s="57" t="str">
        <x:f>IF(ISNUMBER(C105),IF(AND(ISNUMBER(C105),C105&gt;=2,C105&lt;=2958465,C105=INT(C105)),TEXT(C105,"yyyy-mm"),""),"")</x:f>
      </x:c>
      <x:c r="N105" s="59" t="str">
        <x:f>IF(L105="VALID",IF(G105="USD",H105,I105),"")</x:f>
      </x:c>
      <x:c r="O105" s="57" t="n">
        <x:f>IF(L105="VALID",IF(COUNTIFS($B$2:B105,B105,$M$2:M105,M105,$L$2:L105,"VALID")=1,1,0),0)</x:f>
        <x:v>0</x:v>
      </x:c>
    </x:row>
    <x:row r="106">
      <x:c r="A106" s="47"/>
      <x:c r="B106" s="47"/>
      <x:c r="C106" s="58"/>
      <x:c r="D106" s="47"/>
      <x:c r="E106" s="47"/>
      <x:c r="F106" s="47"/>
      <x:c r="G106" s="47"/>
      <x:c r="H106" s="48"/>
      <x:c r="I106" s="48"/>
      <x:c r="J106" s="47"/>
      <x:c r="K106" s="47"/>
      <x:c r="L106" s="57" t="str">
        <x:f>IF(COUNTA(A106:K106)=0,"",IF(K106="CANCELLED","CANCELLED",IF(A106="","INVOICE ID REQUIRED",IF(B106="","PROJECT ID REQUIRED",IF(NOT(ISNUMBER(C106)),"INVALID INVOICE DATE",IF(NOT(AND(ISNUMBER(C106),C106&gt;=2,C106&lt;=2958465,C106=INT(C106))),"INVALID INVOICE DATE",IF(NOT(OR(D106="MX",D106="US")),"ENTITY REQUIRED",IF(NOT(OR(E106="Strategic Services",E106="Brands")),"UNIT REQUIRED",IF(F106="","BRAND / N/A REQUIRED",IF(NOT(OR(G106="USD",G106="MXN")),"CURRENCY REQUIRED",IF(NOT(ISNUMBER(H106)),"AMOUNT REQUIRED",IF(J106="","ERP SOURCE REQUIRED",IF(NOT(OR(K106="ISSUED",K106="CANCELLED")),"INVOICE STATUS REQUIRED",IF(COUNTIFS($A$2:$A$501,A106,$B$2:$B$501,B106,$D$2:$D$501,D106)&gt;1,"DUPLICATE INVOICE / PROJECT",IF(AND(G106="MXN",NOT(AND(ISNUMBER(I106),Settings!$B$8="APPROVED",Settings!$B$9&lt;&gt;"",Settings!$B$10&lt;&gt;""))),"FX HOLD","VALID")))))))))))))))</x:f>
      </x:c>
      <x:c r="M106" s="57" t="str">
        <x:f>IF(ISNUMBER(C106),IF(AND(ISNUMBER(C106),C106&gt;=2,C106&lt;=2958465,C106=INT(C106)),TEXT(C106,"yyyy-mm"),""),"")</x:f>
      </x:c>
      <x:c r="N106" s="59" t="str">
        <x:f>IF(L106="VALID",IF(G106="USD",H106,I106),"")</x:f>
      </x:c>
      <x:c r="O106" s="57" t="n">
        <x:f>IF(L106="VALID",IF(COUNTIFS($B$2:B106,B106,$M$2:M106,M106,$L$2:L106,"VALID")=1,1,0),0)</x:f>
        <x:v>0</x:v>
      </x:c>
    </x:row>
    <x:row r="107">
      <x:c r="A107" s="47"/>
      <x:c r="B107" s="47"/>
      <x:c r="C107" s="58"/>
      <x:c r="D107" s="47"/>
      <x:c r="E107" s="47"/>
      <x:c r="F107" s="47"/>
      <x:c r="G107" s="47"/>
      <x:c r="H107" s="48"/>
      <x:c r="I107" s="48"/>
      <x:c r="J107" s="47"/>
      <x:c r="K107" s="47"/>
      <x:c r="L107" s="57" t="str">
        <x:f>IF(COUNTA(A107:K107)=0,"",IF(K107="CANCELLED","CANCELLED",IF(A107="","INVOICE ID REQUIRED",IF(B107="","PROJECT ID REQUIRED",IF(NOT(ISNUMBER(C107)),"INVALID INVOICE DATE",IF(NOT(AND(ISNUMBER(C107),C107&gt;=2,C107&lt;=2958465,C107=INT(C107))),"INVALID INVOICE DATE",IF(NOT(OR(D107="MX",D107="US")),"ENTITY REQUIRED",IF(NOT(OR(E107="Strategic Services",E107="Brands")),"UNIT REQUIRED",IF(F107="","BRAND / N/A REQUIRED",IF(NOT(OR(G107="USD",G107="MXN")),"CURRENCY REQUIRED",IF(NOT(ISNUMBER(H107)),"AMOUNT REQUIRED",IF(J107="","ERP SOURCE REQUIRED",IF(NOT(OR(K107="ISSUED",K107="CANCELLED")),"INVOICE STATUS REQUIRED",IF(COUNTIFS($A$2:$A$501,A107,$B$2:$B$501,B107,$D$2:$D$501,D107)&gt;1,"DUPLICATE INVOICE / PROJECT",IF(AND(G107="MXN",NOT(AND(ISNUMBER(I107),Settings!$B$8="APPROVED",Settings!$B$9&lt;&gt;"",Settings!$B$10&lt;&gt;""))),"FX HOLD","VALID")))))))))))))))</x:f>
      </x:c>
      <x:c r="M107" s="57" t="str">
        <x:f>IF(ISNUMBER(C107),IF(AND(ISNUMBER(C107),C107&gt;=2,C107&lt;=2958465,C107=INT(C107)),TEXT(C107,"yyyy-mm"),""),"")</x:f>
      </x:c>
      <x:c r="N107" s="59" t="str">
        <x:f>IF(L107="VALID",IF(G107="USD",H107,I107),"")</x:f>
      </x:c>
      <x:c r="O107" s="57" t="n">
        <x:f>IF(L107="VALID",IF(COUNTIFS($B$2:B107,B107,$M$2:M107,M107,$L$2:L107,"VALID")=1,1,0),0)</x:f>
        <x:v>0</x:v>
      </x:c>
    </x:row>
    <x:row r="108">
      <x:c r="A108" s="47"/>
      <x:c r="B108" s="47"/>
      <x:c r="C108" s="58"/>
      <x:c r="D108" s="47"/>
      <x:c r="E108" s="47"/>
      <x:c r="F108" s="47"/>
      <x:c r="G108" s="47"/>
      <x:c r="H108" s="48"/>
      <x:c r="I108" s="48"/>
      <x:c r="J108" s="47"/>
      <x:c r="K108" s="47"/>
      <x:c r="L108" s="57" t="str">
        <x:f>IF(COUNTA(A108:K108)=0,"",IF(K108="CANCELLED","CANCELLED",IF(A108="","INVOICE ID REQUIRED",IF(B108="","PROJECT ID REQUIRED",IF(NOT(ISNUMBER(C108)),"INVALID INVOICE DATE",IF(NOT(AND(ISNUMBER(C108),C108&gt;=2,C108&lt;=2958465,C108=INT(C108))),"INVALID INVOICE DATE",IF(NOT(OR(D108="MX",D108="US")),"ENTITY REQUIRED",IF(NOT(OR(E108="Strategic Services",E108="Brands")),"UNIT REQUIRED",IF(F108="","BRAND / N/A REQUIRED",IF(NOT(OR(G108="USD",G108="MXN")),"CURRENCY REQUIRED",IF(NOT(ISNUMBER(H108)),"AMOUNT REQUIRED",IF(J108="","ERP SOURCE REQUIRED",IF(NOT(OR(K108="ISSUED",K108="CANCELLED")),"INVOICE STATUS REQUIRED",IF(COUNTIFS($A$2:$A$501,A108,$B$2:$B$501,B108,$D$2:$D$501,D108)&gt;1,"DUPLICATE INVOICE / PROJECT",IF(AND(G108="MXN",NOT(AND(ISNUMBER(I108),Settings!$B$8="APPROVED",Settings!$B$9&lt;&gt;"",Settings!$B$10&lt;&gt;""))),"FX HOLD","VALID")))))))))))))))</x:f>
      </x:c>
      <x:c r="M108" s="57" t="str">
        <x:f>IF(ISNUMBER(C108),IF(AND(ISNUMBER(C108),C108&gt;=2,C108&lt;=2958465,C108=INT(C108)),TEXT(C108,"yyyy-mm"),""),"")</x:f>
      </x:c>
      <x:c r="N108" s="59" t="str">
        <x:f>IF(L108="VALID",IF(G108="USD",H108,I108),"")</x:f>
      </x:c>
      <x:c r="O108" s="57" t="n">
        <x:f>IF(L108="VALID",IF(COUNTIFS($B$2:B108,B108,$M$2:M108,M108,$L$2:L108,"VALID")=1,1,0),0)</x:f>
        <x:v>0</x:v>
      </x:c>
    </x:row>
    <x:row r="109">
      <x:c r="A109" s="47"/>
      <x:c r="B109" s="47"/>
      <x:c r="C109" s="58"/>
      <x:c r="D109" s="47"/>
      <x:c r="E109" s="47"/>
      <x:c r="F109" s="47"/>
      <x:c r="G109" s="47"/>
      <x:c r="H109" s="48"/>
      <x:c r="I109" s="48"/>
      <x:c r="J109" s="47"/>
      <x:c r="K109" s="47"/>
      <x:c r="L109" s="57" t="str">
        <x:f>IF(COUNTA(A109:K109)=0,"",IF(K109="CANCELLED","CANCELLED",IF(A109="","INVOICE ID REQUIRED",IF(B109="","PROJECT ID REQUIRED",IF(NOT(ISNUMBER(C109)),"INVALID INVOICE DATE",IF(NOT(AND(ISNUMBER(C109),C109&gt;=2,C109&lt;=2958465,C109=INT(C109))),"INVALID INVOICE DATE",IF(NOT(OR(D109="MX",D109="US")),"ENTITY REQUIRED",IF(NOT(OR(E109="Strategic Services",E109="Brands")),"UNIT REQUIRED",IF(F109="","BRAND / N/A REQUIRED",IF(NOT(OR(G109="USD",G109="MXN")),"CURRENCY REQUIRED",IF(NOT(ISNUMBER(H109)),"AMOUNT REQUIRED",IF(J109="","ERP SOURCE REQUIRED",IF(NOT(OR(K109="ISSUED",K109="CANCELLED")),"INVOICE STATUS REQUIRED",IF(COUNTIFS($A$2:$A$501,A109,$B$2:$B$501,B109,$D$2:$D$501,D109)&gt;1,"DUPLICATE INVOICE / PROJECT",IF(AND(G109="MXN",NOT(AND(ISNUMBER(I109),Settings!$B$8="APPROVED",Settings!$B$9&lt;&gt;"",Settings!$B$10&lt;&gt;""))),"FX HOLD","VALID")))))))))))))))</x:f>
      </x:c>
      <x:c r="M109" s="57" t="str">
        <x:f>IF(ISNUMBER(C109),IF(AND(ISNUMBER(C109),C109&gt;=2,C109&lt;=2958465,C109=INT(C109)),TEXT(C109,"yyyy-mm"),""),"")</x:f>
      </x:c>
      <x:c r="N109" s="59" t="str">
        <x:f>IF(L109="VALID",IF(G109="USD",H109,I109),"")</x:f>
      </x:c>
      <x:c r="O109" s="57" t="n">
        <x:f>IF(L109="VALID",IF(COUNTIFS($B$2:B109,B109,$M$2:M109,M109,$L$2:L109,"VALID")=1,1,0),0)</x:f>
        <x:v>0</x:v>
      </x:c>
    </x:row>
    <x:row r="110">
      <x:c r="A110" s="47"/>
      <x:c r="B110" s="47"/>
      <x:c r="C110" s="58"/>
      <x:c r="D110" s="47"/>
      <x:c r="E110" s="47"/>
      <x:c r="F110" s="47"/>
      <x:c r="G110" s="47"/>
      <x:c r="H110" s="48"/>
      <x:c r="I110" s="48"/>
      <x:c r="J110" s="47"/>
      <x:c r="K110" s="47"/>
      <x:c r="L110" s="57" t="str">
        <x:f>IF(COUNTA(A110:K110)=0,"",IF(K110="CANCELLED","CANCELLED",IF(A110="","INVOICE ID REQUIRED",IF(B110="","PROJECT ID REQUIRED",IF(NOT(ISNUMBER(C110)),"INVALID INVOICE DATE",IF(NOT(AND(ISNUMBER(C110),C110&gt;=2,C110&lt;=2958465,C110=INT(C110))),"INVALID INVOICE DATE",IF(NOT(OR(D110="MX",D110="US")),"ENTITY REQUIRED",IF(NOT(OR(E110="Strategic Services",E110="Brands")),"UNIT REQUIRED",IF(F110="","BRAND / N/A REQUIRED",IF(NOT(OR(G110="USD",G110="MXN")),"CURRENCY REQUIRED",IF(NOT(ISNUMBER(H110)),"AMOUNT REQUIRED",IF(J110="","ERP SOURCE REQUIRED",IF(NOT(OR(K110="ISSUED",K110="CANCELLED")),"INVOICE STATUS REQUIRED",IF(COUNTIFS($A$2:$A$501,A110,$B$2:$B$501,B110,$D$2:$D$501,D110)&gt;1,"DUPLICATE INVOICE / PROJECT",IF(AND(G110="MXN",NOT(AND(ISNUMBER(I110),Settings!$B$8="APPROVED",Settings!$B$9&lt;&gt;"",Settings!$B$10&lt;&gt;""))),"FX HOLD","VALID")))))))))))))))</x:f>
      </x:c>
      <x:c r="M110" s="57" t="str">
        <x:f>IF(ISNUMBER(C110),IF(AND(ISNUMBER(C110),C110&gt;=2,C110&lt;=2958465,C110=INT(C110)),TEXT(C110,"yyyy-mm"),""),"")</x:f>
      </x:c>
      <x:c r="N110" s="59" t="str">
        <x:f>IF(L110="VALID",IF(G110="USD",H110,I110),"")</x:f>
      </x:c>
      <x:c r="O110" s="57" t="n">
        <x:f>IF(L110="VALID",IF(COUNTIFS($B$2:B110,B110,$M$2:M110,M110,$L$2:L110,"VALID")=1,1,0),0)</x:f>
        <x:v>0</x:v>
      </x:c>
    </x:row>
    <x:row r="111">
      <x:c r="A111" s="47"/>
      <x:c r="B111" s="47"/>
      <x:c r="C111" s="58"/>
      <x:c r="D111" s="47"/>
      <x:c r="E111" s="47"/>
      <x:c r="F111" s="47"/>
      <x:c r="G111" s="47"/>
      <x:c r="H111" s="48"/>
      <x:c r="I111" s="48"/>
      <x:c r="J111" s="47"/>
      <x:c r="K111" s="47"/>
      <x:c r="L111" s="57" t="str">
        <x:f>IF(COUNTA(A111:K111)=0,"",IF(K111="CANCELLED","CANCELLED",IF(A111="","INVOICE ID REQUIRED",IF(B111="","PROJECT ID REQUIRED",IF(NOT(ISNUMBER(C111)),"INVALID INVOICE DATE",IF(NOT(AND(ISNUMBER(C111),C111&gt;=2,C111&lt;=2958465,C111=INT(C111))),"INVALID INVOICE DATE",IF(NOT(OR(D111="MX",D111="US")),"ENTITY REQUIRED",IF(NOT(OR(E111="Strategic Services",E111="Brands")),"UNIT REQUIRED",IF(F111="","BRAND / N/A REQUIRED",IF(NOT(OR(G111="USD",G111="MXN")),"CURRENCY REQUIRED",IF(NOT(ISNUMBER(H111)),"AMOUNT REQUIRED",IF(J111="","ERP SOURCE REQUIRED",IF(NOT(OR(K111="ISSUED",K111="CANCELLED")),"INVOICE STATUS REQUIRED",IF(COUNTIFS($A$2:$A$501,A111,$B$2:$B$501,B111,$D$2:$D$501,D111)&gt;1,"DUPLICATE INVOICE / PROJECT",IF(AND(G111="MXN",NOT(AND(ISNUMBER(I111),Settings!$B$8="APPROVED",Settings!$B$9&lt;&gt;"",Settings!$B$10&lt;&gt;""))),"FX HOLD","VALID")))))))))))))))</x:f>
      </x:c>
      <x:c r="M111" s="57" t="str">
        <x:f>IF(ISNUMBER(C111),IF(AND(ISNUMBER(C111),C111&gt;=2,C111&lt;=2958465,C111=INT(C111)),TEXT(C111,"yyyy-mm"),""),"")</x:f>
      </x:c>
      <x:c r="N111" s="59" t="str">
        <x:f>IF(L111="VALID",IF(G111="USD",H111,I111),"")</x:f>
      </x:c>
      <x:c r="O111" s="57" t="n">
        <x:f>IF(L111="VALID",IF(COUNTIFS($B$2:B111,B111,$M$2:M111,M111,$L$2:L111,"VALID")=1,1,0),0)</x:f>
        <x:v>0</x:v>
      </x:c>
    </x:row>
    <x:row r="112">
      <x:c r="A112" s="47"/>
      <x:c r="B112" s="47"/>
      <x:c r="C112" s="58"/>
      <x:c r="D112" s="47"/>
      <x:c r="E112" s="47"/>
      <x:c r="F112" s="47"/>
      <x:c r="G112" s="47"/>
      <x:c r="H112" s="48"/>
      <x:c r="I112" s="48"/>
      <x:c r="J112" s="47"/>
      <x:c r="K112" s="47"/>
      <x:c r="L112" s="57" t="str">
        <x:f>IF(COUNTA(A112:K112)=0,"",IF(K112="CANCELLED","CANCELLED",IF(A112="","INVOICE ID REQUIRED",IF(B112="","PROJECT ID REQUIRED",IF(NOT(ISNUMBER(C112)),"INVALID INVOICE DATE",IF(NOT(AND(ISNUMBER(C112),C112&gt;=2,C112&lt;=2958465,C112=INT(C112))),"INVALID INVOICE DATE",IF(NOT(OR(D112="MX",D112="US")),"ENTITY REQUIRED",IF(NOT(OR(E112="Strategic Services",E112="Brands")),"UNIT REQUIRED",IF(F112="","BRAND / N/A REQUIRED",IF(NOT(OR(G112="USD",G112="MXN")),"CURRENCY REQUIRED",IF(NOT(ISNUMBER(H112)),"AMOUNT REQUIRED",IF(J112="","ERP SOURCE REQUIRED",IF(NOT(OR(K112="ISSUED",K112="CANCELLED")),"INVOICE STATUS REQUIRED",IF(COUNTIFS($A$2:$A$501,A112,$B$2:$B$501,B112,$D$2:$D$501,D112)&gt;1,"DUPLICATE INVOICE / PROJECT",IF(AND(G112="MXN",NOT(AND(ISNUMBER(I112),Settings!$B$8="APPROVED",Settings!$B$9&lt;&gt;"",Settings!$B$10&lt;&gt;""))),"FX HOLD","VALID")))))))))))))))</x:f>
      </x:c>
      <x:c r="M112" s="57" t="str">
        <x:f>IF(ISNUMBER(C112),IF(AND(ISNUMBER(C112),C112&gt;=2,C112&lt;=2958465,C112=INT(C112)),TEXT(C112,"yyyy-mm"),""),"")</x:f>
      </x:c>
      <x:c r="N112" s="59" t="str">
        <x:f>IF(L112="VALID",IF(G112="USD",H112,I112),"")</x:f>
      </x:c>
      <x:c r="O112" s="57" t="n">
        <x:f>IF(L112="VALID",IF(COUNTIFS($B$2:B112,B112,$M$2:M112,M112,$L$2:L112,"VALID")=1,1,0),0)</x:f>
        <x:v>0</x:v>
      </x:c>
    </x:row>
    <x:row r="113">
      <x:c r="A113" s="47"/>
      <x:c r="B113" s="47"/>
      <x:c r="C113" s="58"/>
      <x:c r="D113" s="47"/>
      <x:c r="E113" s="47"/>
      <x:c r="F113" s="47"/>
      <x:c r="G113" s="47"/>
      <x:c r="H113" s="48"/>
      <x:c r="I113" s="48"/>
      <x:c r="J113" s="47"/>
      <x:c r="K113" s="47"/>
      <x:c r="L113" s="57" t="str">
        <x:f>IF(COUNTA(A113:K113)=0,"",IF(K113="CANCELLED","CANCELLED",IF(A113="","INVOICE ID REQUIRED",IF(B113="","PROJECT ID REQUIRED",IF(NOT(ISNUMBER(C113)),"INVALID INVOICE DATE",IF(NOT(AND(ISNUMBER(C113),C113&gt;=2,C113&lt;=2958465,C113=INT(C113))),"INVALID INVOICE DATE",IF(NOT(OR(D113="MX",D113="US")),"ENTITY REQUIRED",IF(NOT(OR(E113="Strategic Services",E113="Brands")),"UNIT REQUIRED",IF(F113="","BRAND / N/A REQUIRED",IF(NOT(OR(G113="USD",G113="MXN")),"CURRENCY REQUIRED",IF(NOT(ISNUMBER(H113)),"AMOUNT REQUIRED",IF(J113="","ERP SOURCE REQUIRED",IF(NOT(OR(K113="ISSUED",K113="CANCELLED")),"INVOICE STATUS REQUIRED",IF(COUNTIFS($A$2:$A$501,A113,$B$2:$B$501,B113,$D$2:$D$501,D113)&gt;1,"DUPLICATE INVOICE / PROJECT",IF(AND(G113="MXN",NOT(AND(ISNUMBER(I113),Settings!$B$8="APPROVED",Settings!$B$9&lt;&gt;"",Settings!$B$10&lt;&gt;""))),"FX HOLD","VALID")))))))))))))))</x:f>
      </x:c>
      <x:c r="M113" s="57" t="str">
        <x:f>IF(ISNUMBER(C113),IF(AND(ISNUMBER(C113),C113&gt;=2,C113&lt;=2958465,C113=INT(C113)),TEXT(C113,"yyyy-mm"),""),"")</x:f>
      </x:c>
      <x:c r="N113" s="59" t="str">
        <x:f>IF(L113="VALID",IF(G113="USD",H113,I113),"")</x:f>
      </x:c>
      <x:c r="O113" s="57" t="n">
        <x:f>IF(L113="VALID",IF(COUNTIFS($B$2:B113,B113,$M$2:M113,M113,$L$2:L113,"VALID")=1,1,0),0)</x:f>
        <x:v>0</x:v>
      </x:c>
    </x:row>
    <x:row r="114">
      <x:c r="A114" s="47"/>
      <x:c r="B114" s="47"/>
      <x:c r="C114" s="58"/>
      <x:c r="D114" s="47"/>
      <x:c r="E114" s="47"/>
      <x:c r="F114" s="47"/>
      <x:c r="G114" s="47"/>
      <x:c r="H114" s="48"/>
      <x:c r="I114" s="48"/>
      <x:c r="J114" s="47"/>
      <x:c r="K114" s="47"/>
      <x:c r="L114" s="57" t="str">
        <x:f>IF(COUNTA(A114:K114)=0,"",IF(K114="CANCELLED","CANCELLED",IF(A114="","INVOICE ID REQUIRED",IF(B114="","PROJECT ID REQUIRED",IF(NOT(ISNUMBER(C114)),"INVALID INVOICE DATE",IF(NOT(AND(ISNUMBER(C114),C114&gt;=2,C114&lt;=2958465,C114=INT(C114))),"INVALID INVOICE DATE",IF(NOT(OR(D114="MX",D114="US")),"ENTITY REQUIRED",IF(NOT(OR(E114="Strategic Services",E114="Brands")),"UNIT REQUIRED",IF(F114="","BRAND / N/A REQUIRED",IF(NOT(OR(G114="USD",G114="MXN")),"CURRENCY REQUIRED",IF(NOT(ISNUMBER(H114)),"AMOUNT REQUIRED",IF(J114="","ERP SOURCE REQUIRED",IF(NOT(OR(K114="ISSUED",K114="CANCELLED")),"INVOICE STATUS REQUIRED",IF(COUNTIFS($A$2:$A$501,A114,$B$2:$B$501,B114,$D$2:$D$501,D114)&gt;1,"DUPLICATE INVOICE / PROJECT",IF(AND(G114="MXN",NOT(AND(ISNUMBER(I114),Settings!$B$8="APPROVED",Settings!$B$9&lt;&gt;"",Settings!$B$10&lt;&gt;""))),"FX HOLD","VALID")))))))))))))))</x:f>
      </x:c>
      <x:c r="M114" s="57" t="str">
        <x:f>IF(ISNUMBER(C114),IF(AND(ISNUMBER(C114),C114&gt;=2,C114&lt;=2958465,C114=INT(C114)),TEXT(C114,"yyyy-mm"),""),"")</x:f>
      </x:c>
      <x:c r="N114" s="59" t="str">
        <x:f>IF(L114="VALID",IF(G114="USD",H114,I114),"")</x:f>
      </x:c>
      <x:c r="O114" s="57" t="n">
        <x:f>IF(L114="VALID",IF(COUNTIFS($B$2:B114,B114,$M$2:M114,M114,$L$2:L114,"VALID")=1,1,0),0)</x:f>
        <x:v>0</x:v>
      </x:c>
    </x:row>
    <x:row r="115">
      <x:c r="A115" s="47"/>
      <x:c r="B115" s="47"/>
      <x:c r="C115" s="58"/>
      <x:c r="D115" s="47"/>
      <x:c r="E115" s="47"/>
      <x:c r="F115" s="47"/>
      <x:c r="G115" s="47"/>
      <x:c r="H115" s="48"/>
      <x:c r="I115" s="48"/>
      <x:c r="J115" s="47"/>
      <x:c r="K115" s="47"/>
      <x:c r="L115" s="57" t="str">
        <x:f>IF(COUNTA(A115:K115)=0,"",IF(K115="CANCELLED","CANCELLED",IF(A115="","INVOICE ID REQUIRED",IF(B115="","PROJECT ID REQUIRED",IF(NOT(ISNUMBER(C115)),"INVALID INVOICE DATE",IF(NOT(AND(ISNUMBER(C115),C115&gt;=2,C115&lt;=2958465,C115=INT(C115))),"INVALID INVOICE DATE",IF(NOT(OR(D115="MX",D115="US")),"ENTITY REQUIRED",IF(NOT(OR(E115="Strategic Services",E115="Brands")),"UNIT REQUIRED",IF(F115="","BRAND / N/A REQUIRED",IF(NOT(OR(G115="USD",G115="MXN")),"CURRENCY REQUIRED",IF(NOT(ISNUMBER(H115)),"AMOUNT REQUIRED",IF(J115="","ERP SOURCE REQUIRED",IF(NOT(OR(K115="ISSUED",K115="CANCELLED")),"INVOICE STATUS REQUIRED",IF(COUNTIFS($A$2:$A$501,A115,$B$2:$B$501,B115,$D$2:$D$501,D115)&gt;1,"DUPLICATE INVOICE / PROJECT",IF(AND(G115="MXN",NOT(AND(ISNUMBER(I115),Settings!$B$8="APPROVED",Settings!$B$9&lt;&gt;"",Settings!$B$10&lt;&gt;""))),"FX HOLD","VALID")))))))))))))))</x:f>
      </x:c>
      <x:c r="M115" s="57" t="str">
        <x:f>IF(ISNUMBER(C115),IF(AND(ISNUMBER(C115),C115&gt;=2,C115&lt;=2958465,C115=INT(C115)),TEXT(C115,"yyyy-mm"),""),"")</x:f>
      </x:c>
      <x:c r="N115" s="59" t="str">
        <x:f>IF(L115="VALID",IF(G115="USD",H115,I115),"")</x:f>
      </x:c>
      <x:c r="O115" s="57" t="n">
        <x:f>IF(L115="VALID",IF(COUNTIFS($B$2:B115,B115,$M$2:M115,M115,$L$2:L115,"VALID")=1,1,0),0)</x:f>
        <x:v>0</x:v>
      </x:c>
    </x:row>
    <x:row r="116">
      <x:c r="A116" s="47"/>
      <x:c r="B116" s="47"/>
      <x:c r="C116" s="58"/>
      <x:c r="D116" s="47"/>
      <x:c r="E116" s="47"/>
      <x:c r="F116" s="47"/>
      <x:c r="G116" s="47"/>
      <x:c r="H116" s="48"/>
      <x:c r="I116" s="48"/>
      <x:c r="J116" s="47"/>
      <x:c r="K116" s="47"/>
      <x:c r="L116" s="57" t="str">
        <x:f>IF(COUNTA(A116:K116)=0,"",IF(K116="CANCELLED","CANCELLED",IF(A116="","INVOICE ID REQUIRED",IF(B116="","PROJECT ID REQUIRED",IF(NOT(ISNUMBER(C116)),"INVALID INVOICE DATE",IF(NOT(AND(ISNUMBER(C116),C116&gt;=2,C116&lt;=2958465,C116=INT(C116))),"INVALID INVOICE DATE",IF(NOT(OR(D116="MX",D116="US")),"ENTITY REQUIRED",IF(NOT(OR(E116="Strategic Services",E116="Brands")),"UNIT REQUIRED",IF(F116="","BRAND / N/A REQUIRED",IF(NOT(OR(G116="USD",G116="MXN")),"CURRENCY REQUIRED",IF(NOT(ISNUMBER(H116)),"AMOUNT REQUIRED",IF(J116="","ERP SOURCE REQUIRED",IF(NOT(OR(K116="ISSUED",K116="CANCELLED")),"INVOICE STATUS REQUIRED",IF(COUNTIFS($A$2:$A$501,A116,$B$2:$B$501,B116,$D$2:$D$501,D116)&gt;1,"DUPLICATE INVOICE / PROJECT",IF(AND(G116="MXN",NOT(AND(ISNUMBER(I116),Settings!$B$8="APPROVED",Settings!$B$9&lt;&gt;"",Settings!$B$10&lt;&gt;""))),"FX HOLD","VALID")))))))))))))))</x:f>
      </x:c>
      <x:c r="M116" s="57" t="str">
        <x:f>IF(ISNUMBER(C116),IF(AND(ISNUMBER(C116),C116&gt;=2,C116&lt;=2958465,C116=INT(C116)),TEXT(C116,"yyyy-mm"),""),"")</x:f>
      </x:c>
      <x:c r="N116" s="59" t="str">
        <x:f>IF(L116="VALID",IF(G116="USD",H116,I116),"")</x:f>
      </x:c>
      <x:c r="O116" s="57" t="n">
        <x:f>IF(L116="VALID",IF(COUNTIFS($B$2:B116,B116,$M$2:M116,M116,$L$2:L116,"VALID")=1,1,0),0)</x:f>
        <x:v>0</x:v>
      </x:c>
    </x:row>
    <x:row r="117">
      <x:c r="A117" s="47"/>
      <x:c r="B117" s="47"/>
      <x:c r="C117" s="58"/>
      <x:c r="D117" s="47"/>
      <x:c r="E117" s="47"/>
      <x:c r="F117" s="47"/>
      <x:c r="G117" s="47"/>
      <x:c r="H117" s="48"/>
      <x:c r="I117" s="48"/>
      <x:c r="J117" s="47"/>
      <x:c r="K117" s="47"/>
      <x:c r="L117" s="57" t="str">
        <x:f>IF(COUNTA(A117:K117)=0,"",IF(K117="CANCELLED","CANCELLED",IF(A117="","INVOICE ID REQUIRED",IF(B117="","PROJECT ID REQUIRED",IF(NOT(ISNUMBER(C117)),"INVALID INVOICE DATE",IF(NOT(AND(ISNUMBER(C117),C117&gt;=2,C117&lt;=2958465,C117=INT(C117))),"INVALID INVOICE DATE",IF(NOT(OR(D117="MX",D117="US")),"ENTITY REQUIRED",IF(NOT(OR(E117="Strategic Services",E117="Brands")),"UNIT REQUIRED",IF(F117="","BRAND / N/A REQUIRED",IF(NOT(OR(G117="USD",G117="MXN")),"CURRENCY REQUIRED",IF(NOT(ISNUMBER(H117)),"AMOUNT REQUIRED",IF(J117="","ERP SOURCE REQUIRED",IF(NOT(OR(K117="ISSUED",K117="CANCELLED")),"INVOICE STATUS REQUIRED",IF(COUNTIFS($A$2:$A$501,A117,$B$2:$B$501,B117,$D$2:$D$501,D117)&gt;1,"DUPLICATE INVOICE / PROJECT",IF(AND(G117="MXN",NOT(AND(ISNUMBER(I117),Settings!$B$8="APPROVED",Settings!$B$9&lt;&gt;"",Settings!$B$10&lt;&gt;""))),"FX HOLD","VALID")))))))))))))))</x:f>
      </x:c>
      <x:c r="M117" s="57" t="str">
        <x:f>IF(ISNUMBER(C117),IF(AND(ISNUMBER(C117),C117&gt;=2,C117&lt;=2958465,C117=INT(C117)),TEXT(C117,"yyyy-mm"),""),"")</x:f>
      </x:c>
      <x:c r="N117" s="59" t="str">
        <x:f>IF(L117="VALID",IF(G117="USD",H117,I117),"")</x:f>
      </x:c>
      <x:c r="O117" s="57" t="n">
        <x:f>IF(L117="VALID",IF(COUNTIFS($B$2:B117,B117,$M$2:M117,M117,$L$2:L117,"VALID")=1,1,0),0)</x:f>
        <x:v>0</x:v>
      </x:c>
    </x:row>
    <x:row r="118">
      <x:c r="A118" s="47"/>
      <x:c r="B118" s="47"/>
      <x:c r="C118" s="58"/>
      <x:c r="D118" s="47"/>
      <x:c r="E118" s="47"/>
      <x:c r="F118" s="47"/>
      <x:c r="G118" s="47"/>
      <x:c r="H118" s="48"/>
      <x:c r="I118" s="48"/>
      <x:c r="J118" s="47"/>
      <x:c r="K118" s="47"/>
      <x:c r="L118" s="57" t="str">
        <x:f>IF(COUNTA(A118:K118)=0,"",IF(K118="CANCELLED","CANCELLED",IF(A118="","INVOICE ID REQUIRED",IF(B118="","PROJECT ID REQUIRED",IF(NOT(ISNUMBER(C118)),"INVALID INVOICE DATE",IF(NOT(AND(ISNUMBER(C118),C118&gt;=2,C118&lt;=2958465,C118=INT(C118))),"INVALID INVOICE DATE",IF(NOT(OR(D118="MX",D118="US")),"ENTITY REQUIRED",IF(NOT(OR(E118="Strategic Services",E118="Brands")),"UNIT REQUIRED",IF(F118="","BRAND / N/A REQUIRED",IF(NOT(OR(G118="USD",G118="MXN")),"CURRENCY REQUIRED",IF(NOT(ISNUMBER(H118)),"AMOUNT REQUIRED",IF(J118="","ERP SOURCE REQUIRED",IF(NOT(OR(K118="ISSUED",K118="CANCELLED")),"INVOICE STATUS REQUIRED",IF(COUNTIFS($A$2:$A$501,A118,$B$2:$B$501,B118,$D$2:$D$501,D118)&gt;1,"DUPLICATE INVOICE / PROJECT",IF(AND(G118="MXN",NOT(AND(ISNUMBER(I118),Settings!$B$8="APPROVED",Settings!$B$9&lt;&gt;"",Settings!$B$10&lt;&gt;""))),"FX HOLD","VALID")))))))))))))))</x:f>
      </x:c>
      <x:c r="M118" s="57" t="str">
        <x:f>IF(ISNUMBER(C118),IF(AND(ISNUMBER(C118),C118&gt;=2,C118&lt;=2958465,C118=INT(C118)),TEXT(C118,"yyyy-mm"),""),"")</x:f>
      </x:c>
      <x:c r="N118" s="59" t="str">
        <x:f>IF(L118="VALID",IF(G118="USD",H118,I118),"")</x:f>
      </x:c>
      <x:c r="O118" s="57" t="n">
        <x:f>IF(L118="VALID",IF(COUNTIFS($B$2:B118,B118,$M$2:M118,M118,$L$2:L118,"VALID")=1,1,0),0)</x:f>
        <x:v>0</x:v>
      </x:c>
    </x:row>
    <x:row r="119">
      <x:c r="A119" s="47"/>
      <x:c r="B119" s="47"/>
      <x:c r="C119" s="58"/>
      <x:c r="D119" s="47"/>
      <x:c r="E119" s="47"/>
      <x:c r="F119" s="47"/>
      <x:c r="G119" s="47"/>
      <x:c r="H119" s="48"/>
      <x:c r="I119" s="48"/>
      <x:c r="J119" s="47"/>
      <x:c r="K119" s="47"/>
      <x:c r="L119" s="57" t="str">
        <x:f>IF(COUNTA(A119:K119)=0,"",IF(K119="CANCELLED","CANCELLED",IF(A119="","INVOICE ID REQUIRED",IF(B119="","PROJECT ID REQUIRED",IF(NOT(ISNUMBER(C119)),"INVALID INVOICE DATE",IF(NOT(AND(ISNUMBER(C119),C119&gt;=2,C119&lt;=2958465,C119=INT(C119))),"INVALID INVOICE DATE",IF(NOT(OR(D119="MX",D119="US")),"ENTITY REQUIRED",IF(NOT(OR(E119="Strategic Services",E119="Brands")),"UNIT REQUIRED",IF(F119="","BRAND / N/A REQUIRED",IF(NOT(OR(G119="USD",G119="MXN")),"CURRENCY REQUIRED",IF(NOT(ISNUMBER(H119)),"AMOUNT REQUIRED",IF(J119="","ERP SOURCE REQUIRED",IF(NOT(OR(K119="ISSUED",K119="CANCELLED")),"INVOICE STATUS REQUIRED",IF(COUNTIFS($A$2:$A$501,A119,$B$2:$B$501,B119,$D$2:$D$501,D119)&gt;1,"DUPLICATE INVOICE / PROJECT",IF(AND(G119="MXN",NOT(AND(ISNUMBER(I119),Settings!$B$8="APPROVED",Settings!$B$9&lt;&gt;"",Settings!$B$10&lt;&gt;""))),"FX HOLD","VALID")))))))))))))))</x:f>
      </x:c>
      <x:c r="M119" s="57" t="str">
        <x:f>IF(ISNUMBER(C119),IF(AND(ISNUMBER(C119),C119&gt;=2,C119&lt;=2958465,C119=INT(C119)),TEXT(C119,"yyyy-mm"),""),"")</x:f>
      </x:c>
      <x:c r="N119" s="59" t="str">
        <x:f>IF(L119="VALID",IF(G119="USD",H119,I119),"")</x:f>
      </x:c>
      <x:c r="O119" s="57" t="n">
        <x:f>IF(L119="VALID",IF(COUNTIFS($B$2:B119,B119,$M$2:M119,M119,$L$2:L119,"VALID")=1,1,0),0)</x:f>
        <x:v>0</x:v>
      </x:c>
    </x:row>
    <x:row r="120">
      <x:c r="A120" s="47"/>
      <x:c r="B120" s="47"/>
      <x:c r="C120" s="58"/>
      <x:c r="D120" s="47"/>
      <x:c r="E120" s="47"/>
      <x:c r="F120" s="47"/>
      <x:c r="G120" s="47"/>
      <x:c r="H120" s="48"/>
      <x:c r="I120" s="48"/>
      <x:c r="J120" s="47"/>
      <x:c r="K120" s="47"/>
      <x:c r="L120" s="57" t="str">
        <x:f>IF(COUNTA(A120:K120)=0,"",IF(K120="CANCELLED","CANCELLED",IF(A120="","INVOICE ID REQUIRED",IF(B120="","PROJECT ID REQUIRED",IF(NOT(ISNUMBER(C120)),"INVALID INVOICE DATE",IF(NOT(AND(ISNUMBER(C120),C120&gt;=2,C120&lt;=2958465,C120=INT(C120))),"INVALID INVOICE DATE",IF(NOT(OR(D120="MX",D120="US")),"ENTITY REQUIRED",IF(NOT(OR(E120="Strategic Services",E120="Brands")),"UNIT REQUIRED",IF(F120="","BRAND / N/A REQUIRED",IF(NOT(OR(G120="USD",G120="MXN")),"CURRENCY REQUIRED",IF(NOT(ISNUMBER(H120)),"AMOUNT REQUIRED",IF(J120="","ERP SOURCE REQUIRED",IF(NOT(OR(K120="ISSUED",K120="CANCELLED")),"INVOICE STATUS REQUIRED",IF(COUNTIFS($A$2:$A$501,A120,$B$2:$B$501,B120,$D$2:$D$501,D120)&gt;1,"DUPLICATE INVOICE / PROJECT",IF(AND(G120="MXN",NOT(AND(ISNUMBER(I120),Settings!$B$8="APPROVED",Settings!$B$9&lt;&gt;"",Settings!$B$10&lt;&gt;""))),"FX HOLD","VALID")))))))))))))))</x:f>
      </x:c>
      <x:c r="M120" s="57" t="str">
        <x:f>IF(ISNUMBER(C120),IF(AND(ISNUMBER(C120),C120&gt;=2,C120&lt;=2958465,C120=INT(C120)),TEXT(C120,"yyyy-mm"),""),"")</x:f>
      </x:c>
      <x:c r="N120" s="59" t="str">
        <x:f>IF(L120="VALID",IF(G120="USD",H120,I120),"")</x:f>
      </x:c>
      <x:c r="O120" s="57" t="n">
        <x:f>IF(L120="VALID",IF(COUNTIFS($B$2:B120,B120,$M$2:M120,M120,$L$2:L120,"VALID")=1,1,0),0)</x:f>
        <x:v>0</x:v>
      </x:c>
    </x:row>
    <x:row r="121">
      <x:c r="A121" s="47"/>
      <x:c r="B121" s="47"/>
      <x:c r="C121" s="58"/>
      <x:c r="D121" s="47"/>
      <x:c r="E121" s="47"/>
      <x:c r="F121" s="47"/>
      <x:c r="G121" s="47"/>
      <x:c r="H121" s="48"/>
      <x:c r="I121" s="48"/>
      <x:c r="J121" s="47"/>
      <x:c r="K121" s="47"/>
      <x:c r="L121" s="57" t="str">
        <x:f>IF(COUNTA(A121:K121)=0,"",IF(K121="CANCELLED","CANCELLED",IF(A121="","INVOICE ID REQUIRED",IF(B121="","PROJECT ID REQUIRED",IF(NOT(ISNUMBER(C121)),"INVALID INVOICE DATE",IF(NOT(AND(ISNUMBER(C121),C121&gt;=2,C121&lt;=2958465,C121=INT(C121))),"INVALID INVOICE DATE",IF(NOT(OR(D121="MX",D121="US")),"ENTITY REQUIRED",IF(NOT(OR(E121="Strategic Services",E121="Brands")),"UNIT REQUIRED",IF(F121="","BRAND / N/A REQUIRED",IF(NOT(OR(G121="USD",G121="MXN")),"CURRENCY REQUIRED",IF(NOT(ISNUMBER(H121)),"AMOUNT REQUIRED",IF(J121="","ERP SOURCE REQUIRED",IF(NOT(OR(K121="ISSUED",K121="CANCELLED")),"INVOICE STATUS REQUIRED",IF(COUNTIFS($A$2:$A$501,A121,$B$2:$B$501,B121,$D$2:$D$501,D121)&gt;1,"DUPLICATE INVOICE / PROJECT",IF(AND(G121="MXN",NOT(AND(ISNUMBER(I121),Settings!$B$8="APPROVED",Settings!$B$9&lt;&gt;"",Settings!$B$10&lt;&gt;""))),"FX HOLD","VALID")))))))))))))))</x:f>
      </x:c>
      <x:c r="M121" s="57" t="str">
        <x:f>IF(ISNUMBER(C121),IF(AND(ISNUMBER(C121),C121&gt;=2,C121&lt;=2958465,C121=INT(C121)),TEXT(C121,"yyyy-mm"),""),"")</x:f>
      </x:c>
      <x:c r="N121" s="59" t="str">
        <x:f>IF(L121="VALID",IF(G121="USD",H121,I121),"")</x:f>
      </x:c>
      <x:c r="O121" s="57" t="n">
        <x:f>IF(L121="VALID",IF(COUNTIFS($B$2:B121,B121,$M$2:M121,M121,$L$2:L121,"VALID")=1,1,0),0)</x:f>
        <x:v>0</x:v>
      </x:c>
    </x:row>
    <x:row r="122">
      <x:c r="A122" s="47"/>
      <x:c r="B122" s="47"/>
      <x:c r="C122" s="58"/>
      <x:c r="D122" s="47"/>
      <x:c r="E122" s="47"/>
      <x:c r="F122" s="47"/>
      <x:c r="G122" s="47"/>
      <x:c r="H122" s="48"/>
      <x:c r="I122" s="48"/>
      <x:c r="J122" s="47"/>
      <x:c r="K122" s="47"/>
      <x:c r="L122" s="57" t="str">
        <x:f>IF(COUNTA(A122:K122)=0,"",IF(K122="CANCELLED","CANCELLED",IF(A122="","INVOICE ID REQUIRED",IF(B122="","PROJECT ID REQUIRED",IF(NOT(ISNUMBER(C122)),"INVALID INVOICE DATE",IF(NOT(AND(ISNUMBER(C122),C122&gt;=2,C122&lt;=2958465,C122=INT(C122))),"INVALID INVOICE DATE",IF(NOT(OR(D122="MX",D122="US")),"ENTITY REQUIRED",IF(NOT(OR(E122="Strategic Services",E122="Brands")),"UNIT REQUIRED",IF(F122="","BRAND / N/A REQUIRED",IF(NOT(OR(G122="USD",G122="MXN")),"CURRENCY REQUIRED",IF(NOT(ISNUMBER(H122)),"AMOUNT REQUIRED",IF(J122="","ERP SOURCE REQUIRED",IF(NOT(OR(K122="ISSUED",K122="CANCELLED")),"INVOICE STATUS REQUIRED",IF(COUNTIFS($A$2:$A$501,A122,$B$2:$B$501,B122,$D$2:$D$501,D122)&gt;1,"DUPLICATE INVOICE / PROJECT",IF(AND(G122="MXN",NOT(AND(ISNUMBER(I122),Settings!$B$8="APPROVED",Settings!$B$9&lt;&gt;"",Settings!$B$10&lt;&gt;""))),"FX HOLD","VALID")))))))))))))))</x:f>
      </x:c>
      <x:c r="M122" s="57" t="str">
        <x:f>IF(ISNUMBER(C122),IF(AND(ISNUMBER(C122),C122&gt;=2,C122&lt;=2958465,C122=INT(C122)),TEXT(C122,"yyyy-mm"),""),"")</x:f>
      </x:c>
      <x:c r="N122" s="59" t="str">
        <x:f>IF(L122="VALID",IF(G122="USD",H122,I122),"")</x:f>
      </x:c>
      <x:c r="O122" s="57" t="n">
        <x:f>IF(L122="VALID",IF(COUNTIFS($B$2:B122,B122,$M$2:M122,M122,$L$2:L122,"VALID")=1,1,0),0)</x:f>
        <x:v>0</x:v>
      </x:c>
    </x:row>
    <x:row r="123">
      <x:c r="A123" s="47"/>
      <x:c r="B123" s="47"/>
      <x:c r="C123" s="58"/>
      <x:c r="D123" s="47"/>
      <x:c r="E123" s="47"/>
      <x:c r="F123" s="47"/>
      <x:c r="G123" s="47"/>
      <x:c r="H123" s="48"/>
      <x:c r="I123" s="48"/>
      <x:c r="J123" s="47"/>
      <x:c r="K123" s="47"/>
      <x:c r="L123" s="57" t="str">
        <x:f>IF(COUNTA(A123:K123)=0,"",IF(K123="CANCELLED","CANCELLED",IF(A123="","INVOICE ID REQUIRED",IF(B123="","PROJECT ID REQUIRED",IF(NOT(ISNUMBER(C123)),"INVALID INVOICE DATE",IF(NOT(AND(ISNUMBER(C123),C123&gt;=2,C123&lt;=2958465,C123=INT(C123))),"INVALID INVOICE DATE",IF(NOT(OR(D123="MX",D123="US")),"ENTITY REQUIRED",IF(NOT(OR(E123="Strategic Services",E123="Brands")),"UNIT REQUIRED",IF(F123="","BRAND / N/A REQUIRED",IF(NOT(OR(G123="USD",G123="MXN")),"CURRENCY REQUIRED",IF(NOT(ISNUMBER(H123)),"AMOUNT REQUIRED",IF(J123="","ERP SOURCE REQUIRED",IF(NOT(OR(K123="ISSUED",K123="CANCELLED")),"INVOICE STATUS REQUIRED",IF(COUNTIFS($A$2:$A$501,A123,$B$2:$B$501,B123,$D$2:$D$501,D123)&gt;1,"DUPLICATE INVOICE / PROJECT",IF(AND(G123="MXN",NOT(AND(ISNUMBER(I123),Settings!$B$8="APPROVED",Settings!$B$9&lt;&gt;"",Settings!$B$10&lt;&gt;""))),"FX HOLD","VALID")))))))))))))))</x:f>
      </x:c>
      <x:c r="M123" s="57" t="str">
        <x:f>IF(ISNUMBER(C123),IF(AND(ISNUMBER(C123),C123&gt;=2,C123&lt;=2958465,C123=INT(C123)),TEXT(C123,"yyyy-mm"),""),"")</x:f>
      </x:c>
      <x:c r="N123" s="59" t="str">
        <x:f>IF(L123="VALID",IF(G123="USD",H123,I123),"")</x:f>
      </x:c>
      <x:c r="O123" s="57" t="n">
        <x:f>IF(L123="VALID",IF(COUNTIFS($B$2:B123,B123,$M$2:M123,M123,$L$2:L123,"VALID")=1,1,0),0)</x:f>
        <x:v>0</x:v>
      </x:c>
    </x:row>
    <x:row r="124">
      <x:c r="A124" s="47"/>
      <x:c r="B124" s="47"/>
      <x:c r="C124" s="58"/>
      <x:c r="D124" s="47"/>
      <x:c r="E124" s="47"/>
      <x:c r="F124" s="47"/>
      <x:c r="G124" s="47"/>
      <x:c r="H124" s="48"/>
      <x:c r="I124" s="48"/>
      <x:c r="J124" s="47"/>
      <x:c r="K124" s="47"/>
      <x:c r="L124" s="57" t="str">
        <x:f>IF(COUNTA(A124:K124)=0,"",IF(K124="CANCELLED","CANCELLED",IF(A124="","INVOICE ID REQUIRED",IF(B124="","PROJECT ID REQUIRED",IF(NOT(ISNUMBER(C124)),"INVALID INVOICE DATE",IF(NOT(AND(ISNUMBER(C124),C124&gt;=2,C124&lt;=2958465,C124=INT(C124))),"INVALID INVOICE DATE",IF(NOT(OR(D124="MX",D124="US")),"ENTITY REQUIRED",IF(NOT(OR(E124="Strategic Services",E124="Brands")),"UNIT REQUIRED",IF(F124="","BRAND / N/A REQUIRED",IF(NOT(OR(G124="USD",G124="MXN")),"CURRENCY REQUIRED",IF(NOT(ISNUMBER(H124)),"AMOUNT REQUIRED",IF(J124="","ERP SOURCE REQUIRED",IF(NOT(OR(K124="ISSUED",K124="CANCELLED")),"INVOICE STATUS REQUIRED",IF(COUNTIFS($A$2:$A$501,A124,$B$2:$B$501,B124,$D$2:$D$501,D124)&gt;1,"DUPLICATE INVOICE / PROJECT",IF(AND(G124="MXN",NOT(AND(ISNUMBER(I124),Settings!$B$8="APPROVED",Settings!$B$9&lt;&gt;"",Settings!$B$10&lt;&gt;""))),"FX HOLD","VALID")))))))))))))))</x:f>
      </x:c>
      <x:c r="M124" s="57" t="str">
        <x:f>IF(ISNUMBER(C124),IF(AND(ISNUMBER(C124),C124&gt;=2,C124&lt;=2958465,C124=INT(C124)),TEXT(C124,"yyyy-mm"),""),"")</x:f>
      </x:c>
      <x:c r="N124" s="59" t="str">
        <x:f>IF(L124="VALID",IF(G124="USD",H124,I124),"")</x:f>
      </x:c>
      <x:c r="O124" s="57" t="n">
        <x:f>IF(L124="VALID",IF(COUNTIFS($B$2:B124,B124,$M$2:M124,M124,$L$2:L124,"VALID")=1,1,0),0)</x:f>
        <x:v>0</x:v>
      </x:c>
    </x:row>
    <x:row r="125">
      <x:c r="A125" s="47"/>
      <x:c r="B125" s="47"/>
      <x:c r="C125" s="58"/>
      <x:c r="D125" s="47"/>
      <x:c r="E125" s="47"/>
      <x:c r="F125" s="47"/>
      <x:c r="G125" s="47"/>
      <x:c r="H125" s="48"/>
      <x:c r="I125" s="48"/>
      <x:c r="J125" s="47"/>
      <x:c r="K125" s="47"/>
      <x:c r="L125" s="57" t="str">
        <x:f>IF(COUNTA(A125:K125)=0,"",IF(K125="CANCELLED","CANCELLED",IF(A125="","INVOICE ID REQUIRED",IF(B125="","PROJECT ID REQUIRED",IF(NOT(ISNUMBER(C125)),"INVALID INVOICE DATE",IF(NOT(AND(ISNUMBER(C125),C125&gt;=2,C125&lt;=2958465,C125=INT(C125))),"INVALID INVOICE DATE",IF(NOT(OR(D125="MX",D125="US")),"ENTITY REQUIRED",IF(NOT(OR(E125="Strategic Services",E125="Brands")),"UNIT REQUIRED",IF(F125="","BRAND / N/A REQUIRED",IF(NOT(OR(G125="USD",G125="MXN")),"CURRENCY REQUIRED",IF(NOT(ISNUMBER(H125)),"AMOUNT REQUIRED",IF(J125="","ERP SOURCE REQUIRED",IF(NOT(OR(K125="ISSUED",K125="CANCELLED")),"INVOICE STATUS REQUIRED",IF(COUNTIFS($A$2:$A$501,A125,$B$2:$B$501,B125,$D$2:$D$501,D125)&gt;1,"DUPLICATE INVOICE / PROJECT",IF(AND(G125="MXN",NOT(AND(ISNUMBER(I125),Settings!$B$8="APPROVED",Settings!$B$9&lt;&gt;"",Settings!$B$10&lt;&gt;""))),"FX HOLD","VALID")))))))))))))))</x:f>
      </x:c>
      <x:c r="M125" s="57" t="str">
        <x:f>IF(ISNUMBER(C125),IF(AND(ISNUMBER(C125),C125&gt;=2,C125&lt;=2958465,C125=INT(C125)),TEXT(C125,"yyyy-mm"),""),"")</x:f>
      </x:c>
      <x:c r="N125" s="59" t="str">
        <x:f>IF(L125="VALID",IF(G125="USD",H125,I125),"")</x:f>
      </x:c>
      <x:c r="O125" s="57" t="n">
        <x:f>IF(L125="VALID",IF(COUNTIFS($B$2:B125,B125,$M$2:M125,M125,$L$2:L125,"VALID")=1,1,0),0)</x:f>
        <x:v>0</x:v>
      </x:c>
    </x:row>
    <x:row r="126">
      <x:c r="A126" s="47"/>
      <x:c r="B126" s="47"/>
      <x:c r="C126" s="58"/>
      <x:c r="D126" s="47"/>
      <x:c r="E126" s="47"/>
      <x:c r="F126" s="47"/>
      <x:c r="G126" s="47"/>
      <x:c r="H126" s="48"/>
      <x:c r="I126" s="48"/>
      <x:c r="J126" s="47"/>
      <x:c r="K126" s="47"/>
      <x:c r="L126" s="57" t="str">
        <x:f>IF(COUNTA(A126:K126)=0,"",IF(K126="CANCELLED","CANCELLED",IF(A126="","INVOICE ID REQUIRED",IF(B126="","PROJECT ID REQUIRED",IF(NOT(ISNUMBER(C126)),"INVALID INVOICE DATE",IF(NOT(AND(ISNUMBER(C126),C126&gt;=2,C126&lt;=2958465,C126=INT(C126))),"INVALID INVOICE DATE",IF(NOT(OR(D126="MX",D126="US")),"ENTITY REQUIRED",IF(NOT(OR(E126="Strategic Services",E126="Brands")),"UNIT REQUIRED",IF(F126="","BRAND / N/A REQUIRED",IF(NOT(OR(G126="USD",G126="MXN")),"CURRENCY REQUIRED",IF(NOT(ISNUMBER(H126)),"AMOUNT REQUIRED",IF(J126="","ERP SOURCE REQUIRED",IF(NOT(OR(K126="ISSUED",K126="CANCELLED")),"INVOICE STATUS REQUIRED",IF(COUNTIFS($A$2:$A$501,A126,$B$2:$B$501,B126,$D$2:$D$501,D126)&gt;1,"DUPLICATE INVOICE / PROJECT",IF(AND(G126="MXN",NOT(AND(ISNUMBER(I126),Settings!$B$8="APPROVED",Settings!$B$9&lt;&gt;"",Settings!$B$10&lt;&gt;""))),"FX HOLD","VALID")))))))))))))))</x:f>
      </x:c>
      <x:c r="M126" s="57" t="str">
        <x:f>IF(ISNUMBER(C126),IF(AND(ISNUMBER(C126),C126&gt;=2,C126&lt;=2958465,C126=INT(C126)),TEXT(C126,"yyyy-mm"),""),"")</x:f>
      </x:c>
      <x:c r="N126" s="59" t="str">
        <x:f>IF(L126="VALID",IF(G126="USD",H126,I126),"")</x:f>
      </x:c>
      <x:c r="O126" s="57" t="n">
        <x:f>IF(L126="VALID",IF(COUNTIFS($B$2:B126,B126,$M$2:M126,M126,$L$2:L126,"VALID")=1,1,0),0)</x:f>
        <x:v>0</x:v>
      </x:c>
    </x:row>
    <x:row r="127">
      <x:c r="A127" s="47"/>
      <x:c r="B127" s="47"/>
      <x:c r="C127" s="58"/>
      <x:c r="D127" s="47"/>
      <x:c r="E127" s="47"/>
      <x:c r="F127" s="47"/>
      <x:c r="G127" s="47"/>
      <x:c r="H127" s="48"/>
      <x:c r="I127" s="48"/>
      <x:c r="J127" s="47"/>
      <x:c r="K127" s="47"/>
      <x:c r="L127" s="57" t="str">
        <x:f>IF(COUNTA(A127:K127)=0,"",IF(K127="CANCELLED","CANCELLED",IF(A127="","INVOICE ID REQUIRED",IF(B127="","PROJECT ID REQUIRED",IF(NOT(ISNUMBER(C127)),"INVALID INVOICE DATE",IF(NOT(AND(ISNUMBER(C127),C127&gt;=2,C127&lt;=2958465,C127=INT(C127))),"INVALID INVOICE DATE",IF(NOT(OR(D127="MX",D127="US")),"ENTITY REQUIRED",IF(NOT(OR(E127="Strategic Services",E127="Brands")),"UNIT REQUIRED",IF(F127="","BRAND / N/A REQUIRED",IF(NOT(OR(G127="USD",G127="MXN")),"CURRENCY REQUIRED",IF(NOT(ISNUMBER(H127)),"AMOUNT REQUIRED",IF(J127="","ERP SOURCE REQUIRED",IF(NOT(OR(K127="ISSUED",K127="CANCELLED")),"INVOICE STATUS REQUIRED",IF(COUNTIFS($A$2:$A$501,A127,$B$2:$B$501,B127,$D$2:$D$501,D127)&gt;1,"DUPLICATE INVOICE / PROJECT",IF(AND(G127="MXN",NOT(AND(ISNUMBER(I127),Settings!$B$8="APPROVED",Settings!$B$9&lt;&gt;"",Settings!$B$10&lt;&gt;""))),"FX HOLD","VALID")))))))))))))))</x:f>
      </x:c>
      <x:c r="M127" s="57" t="str">
        <x:f>IF(ISNUMBER(C127),IF(AND(ISNUMBER(C127),C127&gt;=2,C127&lt;=2958465,C127=INT(C127)),TEXT(C127,"yyyy-mm"),""),"")</x:f>
      </x:c>
      <x:c r="N127" s="59" t="str">
        <x:f>IF(L127="VALID",IF(G127="USD",H127,I127),"")</x:f>
      </x:c>
      <x:c r="O127" s="57" t="n">
        <x:f>IF(L127="VALID",IF(COUNTIFS($B$2:B127,B127,$M$2:M127,M127,$L$2:L127,"VALID")=1,1,0),0)</x:f>
        <x:v>0</x:v>
      </x:c>
    </x:row>
    <x:row r="128">
      <x:c r="A128" s="47"/>
      <x:c r="B128" s="47"/>
      <x:c r="C128" s="58"/>
      <x:c r="D128" s="47"/>
      <x:c r="E128" s="47"/>
      <x:c r="F128" s="47"/>
      <x:c r="G128" s="47"/>
      <x:c r="H128" s="48"/>
      <x:c r="I128" s="48"/>
      <x:c r="J128" s="47"/>
      <x:c r="K128" s="47"/>
      <x:c r="L128" s="57" t="str">
        <x:f>IF(COUNTA(A128:K128)=0,"",IF(K128="CANCELLED","CANCELLED",IF(A128="","INVOICE ID REQUIRED",IF(B128="","PROJECT ID REQUIRED",IF(NOT(ISNUMBER(C128)),"INVALID INVOICE DATE",IF(NOT(AND(ISNUMBER(C128),C128&gt;=2,C128&lt;=2958465,C128=INT(C128))),"INVALID INVOICE DATE",IF(NOT(OR(D128="MX",D128="US")),"ENTITY REQUIRED",IF(NOT(OR(E128="Strategic Services",E128="Brands")),"UNIT REQUIRED",IF(F128="","BRAND / N/A REQUIRED",IF(NOT(OR(G128="USD",G128="MXN")),"CURRENCY REQUIRED",IF(NOT(ISNUMBER(H128)),"AMOUNT REQUIRED",IF(J128="","ERP SOURCE REQUIRED",IF(NOT(OR(K128="ISSUED",K128="CANCELLED")),"INVOICE STATUS REQUIRED",IF(COUNTIFS($A$2:$A$501,A128,$B$2:$B$501,B128,$D$2:$D$501,D128)&gt;1,"DUPLICATE INVOICE / PROJECT",IF(AND(G128="MXN",NOT(AND(ISNUMBER(I128),Settings!$B$8="APPROVED",Settings!$B$9&lt;&gt;"",Settings!$B$10&lt;&gt;""))),"FX HOLD","VALID")))))))))))))))</x:f>
      </x:c>
      <x:c r="M128" s="57" t="str">
        <x:f>IF(ISNUMBER(C128),IF(AND(ISNUMBER(C128),C128&gt;=2,C128&lt;=2958465,C128=INT(C128)),TEXT(C128,"yyyy-mm"),""),"")</x:f>
      </x:c>
      <x:c r="N128" s="59" t="str">
        <x:f>IF(L128="VALID",IF(G128="USD",H128,I128),"")</x:f>
      </x:c>
      <x:c r="O128" s="57" t="n">
        <x:f>IF(L128="VALID",IF(COUNTIFS($B$2:B128,B128,$M$2:M128,M128,$L$2:L128,"VALID")=1,1,0),0)</x:f>
        <x:v>0</x:v>
      </x:c>
    </x:row>
    <x:row r="129">
      <x:c r="A129" s="47"/>
      <x:c r="B129" s="47"/>
      <x:c r="C129" s="58"/>
      <x:c r="D129" s="47"/>
      <x:c r="E129" s="47"/>
      <x:c r="F129" s="47"/>
      <x:c r="G129" s="47"/>
      <x:c r="H129" s="48"/>
      <x:c r="I129" s="48"/>
      <x:c r="J129" s="47"/>
      <x:c r="K129" s="47"/>
      <x:c r="L129" s="57" t="str">
        <x:f>IF(COUNTA(A129:K129)=0,"",IF(K129="CANCELLED","CANCELLED",IF(A129="","INVOICE ID REQUIRED",IF(B129="","PROJECT ID REQUIRED",IF(NOT(ISNUMBER(C129)),"INVALID INVOICE DATE",IF(NOT(AND(ISNUMBER(C129),C129&gt;=2,C129&lt;=2958465,C129=INT(C129))),"INVALID INVOICE DATE",IF(NOT(OR(D129="MX",D129="US")),"ENTITY REQUIRED",IF(NOT(OR(E129="Strategic Services",E129="Brands")),"UNIT REQUIRED",IF(F129="","BRAND / N/A REQUIRED",IF(NOT(OR(G129="USD",G129="MXN")),"CURRENCY REQUIRED",IF(NOT(ISNUMBER(H129)),"AMOUNT REQUIRED",IF(J129="","ERP SOURCE REQUIRED",IF(NOT(OR(K129="ISSUED",K129="CANCELLED")),"INVOICE STATUS REQUIRED",IF(COUNTIFS($A$2:$A$501,A129,$B$2:$B$501,B129,$D$2:$D$501,D129)&gt;1,"DUPLICATE INVOICE / PROJECT",IF(AND(G129="MXN",NOT(AND(ISNUMBER(I129),Settings!$B$8="APPROVED",Settings!$B$9&lt;&gt;"",Settings!$B$10&lt;&gt;""))),"FX HOLD","VALID")))))))))))))))</x:f>
      </x:c>
      <x:c r="M129" s="57" t="str">
        <x:f>IF(ISNUMBER(C129),IF(AND(ISNUMBER(C129),C129&gt;=2,C129&lt;=2958465,C129=INT(C129)),TEXT(C129,"yyyy-mm"),""),"")</x:f>
      </x:c>
      <x:c r="N129" s="59" t="str">
        <x:f>IF(L129="VALID",IF(G129="USD",H129,I129),"")</x:f>
      </x:c>
      <x:c r="O129" s="57" t="n">
        <x:f>IF(L129="VALID",IF(COUNTIFS($B$2:B129,B129,$M$2:M129,M129,$L$2:L129,"VALID")=1,1,0),0)</x:f>
        <x:v>0</x:v>
      </x:c>
    </x:row>
    <x:row r="130">
      <x:c r="A130" s="47"/>
      <x:c r="B130" s="47"/>
      <x:c r="C130" s="58"/>
      <x:c r="D130" s="47"/>
      <x:c r="E130" s="47"/>
      <x:c r="F130" s="47"/>
      <x:c r="G130" s="47"/>
      <x:c r="H130" s="48"/>
      <x:c r="I130" s="48"/>
      <x:c r="J130" s="47"/>
      <x:c r="K130" s="47"/>
      <x:c r="L130" s="57" t="str">
        <x:f>IF(COUNTA(A130:K130)=0,"",IF(K130="CANCELLED","CANCELLED",IF(A130="","INVOICE ID REQUIRED",IF(B130="","PROJECT ID REQUIRED",IF(NOT(ISNUMBER(C130)),"INVALID INVOICE DATE",IF(NOT(AND(ISNUMBER(C130),C130&gt;=2,C130&lt;=2958465,C130=INT(C130))),"INVALID INVOICE DATE",IF(NOT(OR(D130="MX",D130="US")),"ENTITY REQUIRED",IF(NOT(OR(E130="Strategic Services",E130="Brands")),"UNIT REQUIRED",IF(F130="","BRAND / N/A REQUIRED",IF(NOT(OR(G130="USD",G130="MXN")),"CURRENCY REQUIRED",IF(NOT(ISNUMBER(H130)),"AMOUNT REQUIRED",IF(J130="","ERP SOURCE REQUIRED",IF(NOT(OR(K130="ISSUED",K130="CANCELLED")),"INVOICE STATUS REQUIRED",IF(COUNTIFS($A$2:$A$501,A130,$B$2:$B$501,B130,$D$2:$D$501,D130)&gt;1,"DUPLICATE INVOICE / PROJECT",IF(AND(G130="MXN",NOT(AND(ISNUMBER(I130),Settings!$B$8="APPROVED",Settings!$B$9&lt;&gt;"",Settings!$B$10&lt;&gt;""))),"FX HOLD","VALID")))))))))))))))</x:f>
      </x:c>
      <x:c r="M130" s="57" t="str">
        <x:f>IF(ISNUMBER(C130),IF(AND(ISNUMBER(C130),C130&gt;=2,C130&lt;=2958465,C130=INT(C130)),TEXT(C130,"yyyy-mm"),""),"")</x:f>
      </x:c>
      <x:c r="N130" s="59" t="str">
        <x:f>IF(L130="VALID",IF(G130="USD",H130,I130),"")</x:f>
      </x:c>
      <x:c r="O130" s="57" t="n">
        <x:f>IF(L130="VALID",IF(COUNTIFS($B$2:B130,B130,$M$2:M130,M130,$L$2:L130,"VALID")=1,1,0),0)</x:f>
        <x:v>0</x:v>
      </x:c>
    </x:row>
    <x:row r="131">
      <x:c r="A131" s="47"/>
      <x:c r="B131" s="47"/>
      <x:c r="C131" s="58"/>
      <x:c r="D131" s="47"/>
      <x:c r="E131" s="47"/>
      <x:c r="F131" s="47"/>
      <x:c r="G131" s="47"/>
      <x:c r="H131" s="48"/>
      <x:c r="I131" s="48"/>
      <x:c r="J131" s="47"/>
      <x:c r="K131" s="47"/>
      <x:c r="L131" s="57" t="str">
        <x:f>IF(COUNTA(A131:K131)=0,"",IF(K131="CANCELLED","CANCELLED",IF(A131="","INVOICE ID REQUIRED",IF(B131="","PROJECT ID REQUIRED",IF(NOT(ISNUMBER(C131)),"INVALID INVOICE DATE",IF(NOT(AND(ISNUMBER(C131),C131&gt;=2,C131&lt;=2958465,C131=INT(C131))),"INVALID INVOICE DATE",IF(NOT(OR(D131="MX",D131="US")),"ENTITY REQUIRED",IF(NOT(OR(E131="Strategic Services",E131="Brands")),"UNIT REQUIRED",IF(F131="","BRAND / N/A REQUIRED",IF(NOT(OR(G131="USD",G131="MXN")),"CURRENCY REQUIRED",IF(NOT(ISNUMBER(H131)),"AMOUNT REQUIRED",IF(J131="","ERP SOURCE REQUIRED",IF(NOT(OR(K131="ISSUED",K131="CANCELLED")),"INVOICE STATUS REQUIRED",IF(COUNTIFS($A$2:$A$501,A131,$B$2:$B$501,B131,$D$2:$D$501,D131)&gt;1,"DUPLICATE INVOICE / PROJECT",IF(AND(G131="MXN",NOT(AND(ISNUMBER(I131),Settings!$B$8="APPROVED",Settings!$B$9&lt;&gt;"",Settings!$B$10&lt;&gt;""))),"FX HOLD","VALID")))))))))))))))</x:f>
      </x:c>
      <x:c r="M131" s="57" t="str">
        <x:f>IF(ISNUMBER(C131),IF(AND(ISNUMBER(C131),C131&gt;=2,C131&lt;=2958465,C131=INT(C131)),TEXT(C131,"yyyy-mm"),""),"")</x:f>
      </x:c>
      <x:c r="N131" s="59" t="str">
        <x:f>IF(L131="VALID",IF(G131="USD",H131,I131),"")</x:f>
      </x:c>
      <x:c r="O131" s="57" t="n">
        <x:f>IF(L131="VALID",IF(COUNTIFS($B$2:B131,B131,$M$2:M131,M131,$L$2:L131,"VALID")=1,1,0),0)</x:f>
        <x:v>0</x:v>
      </x:c>
    </x:row>
    <x:row r="132">
      <x:c r="A132" s="47"/>
      <x:c r="B132" s="47"/>
      <x:c r="C132" s="58"/>
      <x:c r="D132" s="47"/>
      <x:c r="E132" s="47"/>
      <x:c r="F132" s="47"/>
      <x:c r="G132" s="47"/>
      <x:c r="H132" s="48"/>
      <x:c r="I132" s="48"/>
      <x:c r="J132" s="47"/>
      <x:c r="K132" s="47"/>
      <x:c r="L132" s="57" t="str">
        <x:f>IF(COUNTA(A132:K132)=0,"",IF(K132="CANCELLED","CANCELLED",IF(A132="","INVOICE ID REQUIRED",IF(B132="","PROJECT ID REQUIRED",IF(NOT(ISNUMBER(C132)),"INVALID INVOICE DATE",IF(NOT(AND(ISNUMBER(C132),C132&gt;=2,C132&lt;=2958465,C132=INT(C132))),"INVALID INVOICE DATE",IF(NOT(OR(D132="MX",D132="US")),"ENTITY REQUIRED",IF(NOT(OR(E132="Strategic Services",E132="Brands")),"UNIT REQUIRED",IF(F132="","BRAND / N/A REQUIRED",IF(NOT(OR(G132="USD",G132="MXN")),"CURRENCY REQUIRED",IF(NOT(ISNUMBER(H132)),"AMOUNT REQUIRED",IF(J132="","ERP SOURCE REQUIRED",IF(NOT(OR(K132="ISSUED",K132="CANCELLED")),"INVOICE STATUS REQUIRED",IF(COUNTIFS($A$2:$A$501,A132,$B$2:$B$501,B132,$D$2:$D$501,D132)&gt;1,"DUPLICATE INVOICE / PROJECT",IF(AND(G132="MXN",NOT(AND(ISNUMBER(I132),Settings!$B$8="APPROVED",Settings!$B$9&lt;&gt;"",Settings!$B$10&lt;&gt;""))),"FX HOLD","VALID")))))))))))))))</x:f>
      </x:c>
      <x:c r="M132" s="57" t="str">
        <x:f>IF(ISNUMBER(C132),IF(AND(ISNUMBER(C132),C132&gt;=2,C132&lt;=2958465,C132=INT(C132)),TEXT(C132,"yyyy-mm"),""),"")</x:f>
      </x:c>
      <x:c r="N132" s="59" t="str">
        <x:f>IF(L132="VALID",IF(G132="USD",H132,I132),"")</x:f>
      </x:c>
      <x:c r="O132" s="57" t="n">
        <x:f>IF(L132="VALID",IF(COUNTIFS($B$2:B132,B132,$M$2:M132,M132,$L$2:L132,"VALID")=1,1,0),0)</x:f>
        <x:v>0</x:v>
      </x:c>
    </x:row>
    <x:row r="133">
      <x:c r="A133" s="47"/>
      <x:c r="B133" s="47"/>
      <x:c r="C133" s="58"/>
      <x:c r="D133" s="47"/>
      <x:c r="E133" s="47"/>
      <x:c r="F133" s="47"/>
      <x:c r="G133" s="47"/>
      <x:c r="H133" s="48"/>
      <x:c r="I133" s="48"/>
      <x:c r="J133" s="47"/>
      <x:c r="K133" s="47"/>
      <x:c r="L133" s="57" t="str">
        <x:f>IF(COUNTA(A133:K133)=0,"",IF(K133="CANCELLED","CANCELLED",IF(A133="","INVOICE ID REQUIRED",IF(B133="","PROJECT ID REQUIRED",IF(NOT(ISNUMBER(C133)),"INVALID INVOICE DATE",IF(NOT(AND(ISNUMBER(C133),C133&gt;=2,C133&lt;=2958465,C133=INT(C133))),"INVALID INVOICE DATE",IF(NOT(OR(D133="MX",D133="US")),"ENTITY REQUIRED",IF(NOT(OR(E133="Strategic Services",E133="Brands")),"UNIT REQUIRED",IF(F133="","BRAND / N/A REQUIRED",IF(NOT(OR(G133="USD",G133="MXN")),"CURRENCY REQUIRED",IF(NOT(ISNUMBER(H133)),"AMOUNT REQUIRED",IF(J133="","ERP SOURCE REQUIRED",IF(NOT(OR(K133="ISSUED",K133="CANCELLED")),"INVOICE STATUS REQUIRED",IF(COUNTIFS($A$2:$A$501,A133,$B$2:$B$501,B133,$D$2:$D$501,D133)&gt;1,"DUPLICATE INVOICE / PROJECT",IF(AND(G133="MXN",NOT(AND(ISNUMBER(I133),Settings!$B$8="APPROVED",Settings!$B$9&lt;&gt;"",Settings!$B$10&lt;&gt;""))),"FX HOLD","VALID")))))))))))))))</x:f>
      </x:c>
      <x:c r="M133" s="57" t="str">
        <x:f>IF(ISNUMBER(C133),IF(AND(ISNUMBER(C133),C133&gt;=2,C133&lt;=2958465,C133=INT(C133)),TEXT(C133,"yyyy-mm"),""),"")</x:f>
      </x:c>
      <x:c r="N133" s="59" t="str">
        <x:f>IF(L133="VALID",IF(G133="USD",H133,I133),"")</x:f>
      </x:c>
      <x:c r="O133" s="57" t="n">
        <x:f>IF(L133="VALID",IF(COUNTIFS($B$2:B133,B133,$M$2:M133,M133,$L$2:L133,"VALID")=1,1,0),0)</x:f>
        <x:v>0</x:v>
      </x:c>
    </x:row>
    <x:row r="134">
      <x:c r="A134" s="47"/>
      <x:c r="B134" s="47"/>
      <x:c r="C134" s="58"/>
      <x:c r="D134" s="47"/>
      <x:c r="E134" s="47"/>
      <x:c r="F134" s="47"/>
      <x:c r="G134" s="47"/>
      <x:c r="H134" s="48"/>
      <x:c r="I134" s="48"/>
      <x:c r="J134" s="47"/>
      <x:c r="K134" s="47"/>
      <x:c r="L134" s="57" t="str">
        <x:f>IF(COUNTA(A134:K134)=0,"",IF(K134="CANCELLED","CANCELLED",IF(A134="","INVOICE ID REQUIRED",IF(B134="","PROJECT ID REQUIRED",IF(NOT(ISNUMBER(C134)),"INVALID INVOICE DATE",IF(NOT(AND(ISNUMBER(C134),C134&gt;=2,C134&lt;=2958465,C134=INT(C134))),"INVALID INVOICE DATE",IF(NOT(OR(D134="MX",D134="US")),"ENTITY REQUIRED",IF(NOT(OR(E134="Strategic Services",E134="Brands")),"UNIT REQUIRED",IF(F134="","BRAND / N/A REQUIRED",IF(NOT(OR(G134="USD",G134="MXN")),"CURRENCY REQUIRED",IF(NOT(ISNUMBER(H134)),"AMOUNT REQUIRED",IF(J134="","ERP SOURCE REQUIRED",IF(NOT(OR(K134="ISSUED",K134="CANCELLED")),"INVOICE STATUS REQUIRED",IF(COUNTIFS($A$2:$A$501,A134,$B$2:$B$501,B134,$D$2:$D$501,D134)&gt;1,"DUPLICATE INVOICE / PROJECT",IF(AND(G134="MXN",NOT(AND(ISNUMBER(I134),Settings!$B$8="APPROVED",Settings!$B$9&lt;&gt;"",Settings!$B$10&lt;&gt;""))),"FX HOLD","VALID")))))))))))))))</x:f>
      </x:c>
      <x:c r="M134" s="57" t="str">
        <x:f>IF(ISNUMBER(C134),IF(AND(ISNUMBER(C134),C134&gt;=2,C134&lt;=2958465,C134=INT(C134)),TEXT(C134,"yyyy-mm"),""),"")</x:f>
      </x:c>
      <x:c r="N134" s="59" t="str">
        <x:f>IF(L134="VALID",IF(G134="USD",H134,I134),"")</x:f>
      </x:c>
      <x:c r="O134" s="57" t="n">
        <x:f>IF(L134="VALID",IF(COUNTIFS($B$2:B134,B134,$M$2:M134,M134,$L$2:L134,"VALID")=1,1,0),0)</x:f>
        <x:v>0</x:v>
      </x:c>
    </x:row>
    <x:row r="135">
      <x:c r="A135" s="47"/>
      <x:c r="B135" s="47"/>
      <x:c r="C135" s="58"/>
      <x:c r="D135" s="47"/>
      <x:c r="E135" s="47"/>
      <x:c r="F135" s="47"/>
      <x:c r="G135" s="47"/>
      <x:c r="H135" s="48"/>
      <x:c r="I135" s="48"/>
      <x:c r="J135" s="47"/>
      <x:c r="K135" s="47"/>
      <x:c r="L135" s="57" t="str">
        <x:f>IF(COUNTA(A135:K135)=0,"",IF(K135="CANCELLED","CANCELLED",IF(A135="","INVOICE ID REQUIRED",IF(B135="","PROJECT ID REQUIRED",IF(NOT(ISNUMBER(C135)),"INVALID INVOICE DATE",IF(NOT(AND(ISNUMBER(C135),C135&gt;=2,C135&lt;=2958465,C135=INT(C135))),"INVALID INVOICE DATE",IF(NOT(OR(D135="MX",D135="US")),"ENTITY REQUIRED",IF(NOT(OR(E135="Strategic Services",E135="Brands")),"UNIT REQUIRED",IF(F135="","BRAND / N/A REQUIRED",IF(NOT(OR(G135="USD",G135="MXN")),"CURRENCY REQUIRED",IF(NOT(ISNUMBER(H135)),"AMOUNT REQUIRED",IF(J135="","ERP SOURCE REQUIRED",IF(NOT(OR(K135="ISSUED",K135="CANCELLED")),"INVOICE STATUS REQUIRED",IF(COUNTIFS($A$2:$A$501,A135,$B$2:$B$501,B135,$D$2:$D$501,D135)&gt;1,"DUPLICATE INVOICE / PROJECT",IF(AND(G135="MXN",NOT(AND(ISNUMBER(I135),Settings!$B$8="APPROVED",Settings!$B$9&lt;&gt;"",Settings!$B$10&lt;&gt;""))),"FX HOLD","VALID")))))))))))))))</x:f>
      </x:c>
      <x:c r="M135" s="57" t="str">
        <x:f>IF(ISNUMBER(C135),IF(AND(ISNUMBER(C135),C135&gt;=2,C135&lt;=2958465,C135=INT(C135)),TEXT(C135,"yyyy-mm"),""),"")</x:f>
      </x:c>
      <x:c r="N135" s="59" t="str">
        <x:f>IF(L135="VALID",IF(G135="USD",H135,I135),"")</x:f>
      </x:c>
      <x:c r="O135" s="57" t="n">
        <x:f>IF(L135="VALID",IF(COUNTIFS($B$2:B135,B135,$M$2:M135,M135,$L$2:L135,"VALID")=1,1,0),0)</x:f>
        <x:v>0</x:v>
      </x:c>
    </x:row>
    <x:row r="136">
      <x:c r="A136" s="47"/>
      <x:c r="B136" s="47"/>
      <x:c r="C136" s="58"/>
      <x:c r="D136" s="47"/>
      <x:c r="E136" s="47"/>
      <x:c r="F136" s="47"/>
      <x:c r="G136" s="47"/>
      <x:c r="H136" s="48"/>
      <x:c r="I136" s="48"/>
      <x:c r="J136" s="47"/>
      <x:c r="K136" s="47"/>
      <x:c r="L136" s="57" t="str">
        <x:f>IF(COUNTA(A136:K136)=0,"",IF(K136="CANCELLED","CANCELLED",IF(A136="","INVOICE ID REQUIRED",IF(B136="","PROJECT ID REQUIRED",IF(NOT(ISNUMBER(C136)),"INVALID INVOICE DATE",IF(NOT(AND(ISNUMBER(C136),C136&gt;=2,C136&lt;=2958465,C136=INT(C136))),"INVALID INVOICE DATE",IF(NOT(OR(D136="MX",D136="US")),"ENTITY REQUIRED",IF(NOT(OR(E136="Strategic Services",E136="Brands")),"UNIT REQUIRED",IF(F136="","BRAND / N/A REQUIRED",IF(NOT(OR(G136="USD",G136="MXN")),"CURRENCY REQUIRED",IF(NOT(ISNUMBER(H136)),"AMOUNT REQUIRED",IF(J136="","ERP SOURCE REQUIRED",IF(NOT(OR(K136="ISSUED",K136="CANCELLED")),"INVOICE STATUS REQUIRED",IF(COUNTIFS($A$2:$A$501,A136,$B$2:$B$501,B136,$D$2:$D$501,D136)&gt;1,"DUPLICATE INVOICE / PROJECT",IF(AND(G136="MXN",NOT(AND(ISNUMBER(I136),Settings!$B$8="APPROVED",Settings!$B$9&lt;&gt;"",Settings!$B$10&lt;&gt;""))),"FX HOLD","VALID")))))))))))))))</x:f>
      </x:c>
      <x:c r="M136" s="57" t="str">
        <x:f>IF(ISNUMBER(C136),IF(AND(ISNUMBER(C136),C136&gt;=2,C136&lt;=2958465,C136=INT(C136)),TEXT(C136,"yyyy-mm"),""),"")</x:f>
      </x:c>
      <x:c r="N136" s="59" t="str">
        <x:f>IF(L136="VALID",IF(G136="USD",H136,I136),"")</x:f>
      </x:c>
      <x:c r="O136" s="57" t="n">
        <x:f>IF(L136="VALID",IF(COUNTIFS($B$2:B136,B136,$M$2:M136,M136,$L$2:L136,"VALID")=1,1,0),0)</x:f>
        <x:v>0</x:v>
      </x:c>
    </x:row>
    <x:row r="137">
      <x:c r="A137" s="47"/>
      <x:c r="B137" s="47"/>
      <x:c r="C137" s="58"/>
      <x:c r="D137" s="47"/>
      <x:c r="E137" s="47"/>
      <x:c r="F137" s="47"/>
      <x:c r="G137" s="47"/>
      <x:c r="H137" s="48"/>
      <x:c r="I137" s="48"/>
      <x:c r="J137" s="47"/>
      <x:c r="K137" s="47"/>
      <x:c r="L137" s="57" t="str">
        <x:f>IF(COUNTA(A137:K137)=0,"",IF(K137="CANCELLED","CANCELLED",IF(A137="","INVOICE ID REQUIRED",IF(B137="","PROJECT ID REQUIRED",IF(NOT(ISNUMBER(C137)),"INVALID INVOICE DATE",IF(NOT(AND(ISNUMBER(C137),C137&gt;=2,C137&lt;=2958465,C137=INT(C137))),"INVALID INVOICE DATE",IF(NOT(OR(D137="MX",D137="US")),"ENTITY REQUIRED",IF(NOT(OR(E137="Strategic Services",E137="Brands")),"UNIT REQUIRED",IF(F137="","BRAND / N/A REQUIRED",IF(NOT(OR(G137="USD",G137="MXN")),"CURRENCY REQUIRED",IF(NOT(ISNUMBER(H137)),"AMOUNT REQUIRED",IF(J137="","ERP SOURCE REQUIRED",IF(NOT(OR(K137="ISSUED",K137="CANCELLED")),"INVOICE STATUS REQUIRED",IF(COUNTIFS($A$2:$A$501,A137,$B$2:$B$501,B137,$D$2:$D$501,D137)&gt;1,"DUPLICATE INVOICE / PROJECT",IF(AND(G137="MXN",NOT(AND(ISNUMBER(I137),Settings!$B$8="APPROVED",Settings!$B$9&lt;&gt;"",Settings!$B$10&lt;&gt;""))),"FX HOLD","VALID")))))))))))))))</x:f>
      </x:c>
      <x:c r="M137" s="57" t="str">
        <x:f>IF(ISNUMBER(C137),IF(AND(ISNUMBER(C137),C137&gt;=2,C137&lt;=2958465,C137=INT(C137)),TEXT(C137,"yyyy-mm"),""),"")</x:f>
      </x:c>
      <x:c r="N137" s="59" t="str">
        <x:f>IF(L137="VALID",IF(G137="USD",H137,I137),"")</x:f>
      </x:c>
      <x:c r="O137" s="57" t="n">
        <x:f>IF(L137="VALID",IF(COUNTIFS($B$2:B137,B137,$M$2:M137,M137,$L$2:L137,"VALID")=1,1,0),0)</x:f>
        <x:v>0</x:v>
      </x:c>
    </x:row>
    <x:row r="138">
      <x:c r="A138" s="47"/>
      <x:c r="B138" s="47"/>
      <x:c r="C138" s="58"/>
      <x:c r="D138" s="47"/>
      <x:c r="E138" s="47"/>
      <x:c r="F138" s="47"/>
      <x:c r="G138" s="47"/>
      <x:c r="H138" s="48"/>
      <x:c r="I138" s="48"/>
      <x:c r="J138" s="47"/>
      <x:c r="K138" s="47"/>
      <x:c r="L138" s="57" t="str">
        <x:f>IF(COUNTA(A138:K138)=0,"",IF(K138="CANCELLED","CANCELLED",IF(A138="","INVOICE ID REQUIRED",IF(B138="","PROJECT ID REQUIRED",IF(NOT(ISNUMBER(C138)),"INVALID INVOICE DATE",IF(NOT(AND(ISNUMBER(C138),C138&gt;=2,C138&lt;=2958465,C138=INT(C138))),"INVALID INVOICE DATE",IF(NOT(OR(D138="MX",D138="US")),"ENTITY REQUIRED",IF(NOT(OR(E138="Strategic Services",E138="Brands")),"UNIT REQUIRED",IF(F138="","BRAND / N/A REQUIRED",IF(NOT(OR(G138="USD",G138="MXN")),"CURRENCY REQUIRED",IF(NOT(ISNUMBER(H138)),"AMOUNT REQUIRED",IF(J138="","ERP SOURCE REQUIRED",IF(NOT(OR(K138="ISSUED",K138="CANCELLED")),"INVOICE STATUS REQUIRED",IF(COUNTIFS($A$2:$A$501,A138,$B$2:$B$501,B138,$D$2:$D$501,D138)&gt;1,"DUPLICATE INVOICE / PROJECT",IF(AND(G138="MXN",NOT(AND(ISNUMBER(I138),Settings!$B$8="APPROVED",Settings!$B$9&lt;&gt;"",Settings!$B$10&lt;&gt;""))),"FX HOLD","VALID")))))))))))))))</x:f>
      </x:c>
      <x:c r="M138" s="57" t="str">
        <x:f>IF(ISNUMBER(C138),IF(AND(ISNUMBER(C138),C138&gt;=2,C138&lt;=2958465,C138=INT(C138)),TEXT(C138,"yyyy-mm"),""),"")</x:f>
      </x:c>
      <x:c r="N138" s="59" t="str">
        <x:f>IF(L138="VALID",IF(G138="USD",H138,I138),"")</x:f>
      </x:c>
      <x:c r="O138" s="57" t="n">
        <x:f>IF(L138="VALID",IF(COUNTIFS($B$2:B138,B138,$M$2:M138,M138,$L$2:L138,"VALID")=1,1,0),0)</x:f>
        <x:v>0</x:v>
      </x:c>
    </x:row>
    <x:row r="139">
      <x:c r="A139" s="47"/>
      <x:c r="B139" s="47"/>
      <x:c r="C139" s="58"/>
      <x:c r="D139" s="47"/>
      <x:c r="E139" s="47"/>
      <x:c r="F139" s="47"/>
      <x:c r="G139" s="47"/>
      <x:c r="H139" s="48"/>
      <x:c r="I139" s="48"/>
      <x:c r="J139" s="47"/>
      <x:c r="K139" s="47"/>
      <x:c r="L139" s="57" t="str">
        <x:f>IF(COUNTA(A139:K139)=0,"",IF(K139="CANCELLED","CANCELLED",IF(A139="","INVOICE ID REQUIRED",IF(B139="","PROJECT ID REQUIRED",IF(NOT(ISNUMBER(C139)),"INVALID INVOICE DATE",IF(NOT(AND(ISNUMBER(C139),C139&gt;=2,C139&lt;=2958465,C139=INT(C139))),"INVALID INVOICE DATE",IF(NOT(OR(D139="MX",D139="US")),"ENTITY REQUIRED",IF(NOT(OR(E139="Strategic Services",E139="Brands")),"UNIT REQUIRED",IF(F139="","BRAND / N/A REQUIRED",IF(NOT(OR(G139="USD",G139="MXN")),"CURRENCY REQUIRED",IF(NOT(ISNUMBER(H139)),"AMOUNT REQUIRED",IF(J139="","ERP SOURCE REQUIRED",IF(NOT(OR(K139="ISSUED",K139="CANCELLED")),"INVOICE STATUS REQUIRED",IF(COUNTIFS($A$2:$A$501,A139,$B$2:$B$501,B139,$D$2:$D$501,D139)&gt;1,"DUPLICATE INVOICE / PROJECT",IF(AND(G139="MXN",NOT(AND(ISNUMBER(I139),Settings!$B$8="APPROVED",Settings!$B$9&lt;&gt;"",Settings!$B$10&lt;&gt;""))),"FX HOLD","VALID")))))))))))))))</x:f>
      </x:c>
      <x:c r="M139" s="57" t="str">
        <x:f>IF(ISNUMBER(C139),IF(AND(ISNUMBER(C139),C139&gt;=2,C139&lt;=2958465,C139=INT(C139)),TEXT(C139,"yyyy-mm"),""),"")</x:f>
      </x:c>
      <x:c r="N139" s="59" t="str">
        <x:f>IF(L139="VALID",IF(G139="USD",H139,I139),"")</x:f>
      </x:c>
      <x:c r="O139" s="57" t="n">
        <x:f>IF(L139="VALID",IF(COUNTIFS($B$2:B139,B139,$M$2:M139,M139,$L$2:L139,"VALID")=1,1,0),0)</x:f>
        <x:v>0</x:v>
      </x:c>
    </x:row>
    <x:row r="140">
      <x:c r="A140" s="47"/>
      <x:c r="B140" s="47"/>
      <x:c r="C140" s="58"/>
      <x:c r="D140" s="47"/>
      <x:c r="E140" s="47"/>
      <x:c r="F140" s="47"/>
      <x:c r="G140" s="47"/>
      <x:c r="H140" s="48"/>
      <x:c r="I140" s="48"/>
      <x:c r="J140" s="47"/>
      <x:c r="K140" s="47"/>
      <x:c r="L140" s="57" t="str">
        <x:f>IF(COUNTA(A140:K140)=0,"",IF(K140="CANCELLED","CANCELLED",IF(A140="","INVOICE ID REQUIRED",IF(B140="","PROJECT ID REQUIRED",IF(NOT(ISNUMBER(C140)),"INVALID INVOICE DATE",IF(NOT(AND(ISNUMBER(C140),C140&gt;=2,C140&lt;=2958465,C140=INT(C140))),"INVALID INVOICE DATE",IF(NOT(OR(D140="MX",D140="US")),"ENTITY REQUIRED",IF(NOT(OR(E140="Strategic Services",E140="Brands")),"UNIT REQUIRED",IF(F140="","BRAND / N/A REQUIRED",IF(NOT(OR(G140="USD",G140="MXN")),"CURRENCY REQUIRED",IF(NOT(ISNUMBER(H140)),"AMOUNT REQUIRED",IF(J140="","ERP SOURCE REQUIRED",IF(NOT(OR(K140="ISSUED",K140="CANCELLED")),"INVOICE STATUS REQUIRED",IF(COUNTIFS($A$2:$A$501,A140,$B$2:$B$501,B140,$D$2:$D$501,D140)&gt;1,"DUPLICATE INVOICE / PROJECT",IF(AND(G140="MXN",NOT(AND(ISNUMBER(I140),Settings!$B$8="APPROVED",Settings!$B$9&lt;&gt;"",Settings!$B$10&lt;&gt;""))),"FX HOLD","VALID")))))))))))))))</x:f>
      </x:c>
      <x:c r="M140" s="57" t="str">
        <x:f>IF(ISNUMBER(C140),IF(AND(ISNUMBER(C140),C140&gt;=2,C140&lt;=2958465,C140=INT(C140)),TEXT(C140,"yyyy-mm"),""),"")</x:f>
      </x:c>
      <x:c r="N140" s="59" t="str">
        <x:f>IF(L140="VALID",IF(G140="USD",H140,I140),"")</x:f>
      </x:c>
      <x:c r="O140" s="57" t="n">
        <x:f>IF(L140="VALID",IF(COUNTIFS($B$2:B140,B140,$M$2:M140,M140,$L$2:L140,"VALID")=1,1,0),0)</x:f>
        <x:v>0</x:v>
      </x:c>
    </x:row>
    <x:row r="141">
      <x:c r="A141" s="47"/>
      <x:c r="B141" s="47"/>
      <x:c r="C141" s="58"/>
      <x:c r="D141" s="47"/>
      <x:c r="E141" s="47"/>
      <x:c r="F141" s="47"/>
      <x:c r="G141" s="47"/>
      <x:c r="H141" s="48"/>
      <x:c r="I141" s="48"/>
      <x:c r="J141" s="47"/>
      <x:c r="K141" s="47"/>
      <x:c r="L141" s="57" t="str">
        <x:f>IF(COUNTA(A141:K141)=0,"",IF(K141="CANCELLED","CANCELLED",IF(A141="","INVOICE ID REQUIRED",IF(B141="","PROJECT ID REQUIRED",IF(NOT(ISNUMBER(C141)),"INVALID INVOICE DATE",IF(NOT(AND(ISNUMBER(C141),C141&gt;=2,C141&lt;=2958465,C141=INT(C141))),"INVALID INVOICE DATE",IF(NOT(OR(D141="MX",D141="US")),"ENTITY REQUIRED",IF(NOT(OR(E141="Strategic Services",E141="Brands")),"UNIT REQUIRED",IF(F141="","BRAND / N/A REQUIRED",IF(NOT(OR(G141="USD",G141="MXN")),"CURRENCY REQUIRED",IF(NOT(ISNUMBER(H141)),"AMOUNT REQUIRED",IF(J141="","ERP SOURCE REQUIRED",IF(NOT(OR(K141="ISSUED",K141="CANCELLED")),"INVOICE STATUS REQUIRED",IF(COUNTIFS($A$2:$A$501,A141,$B$2:$B$501,B141,$D$2:$D$501,D141)&gt;1,"DUPLICATE INVOICE / PROJECT",IF(AND(G141="MXN",NOT(AND(ISNUMBER(I141),Settings!$B$8="APPROVED",Settings!$B$9&lt;&gt;"",Settings!$B$10&lt;&gt;""))),"FX HOLD","VALID")))))))))))))))</x:f>
      </x:c>
      <x:c r="M141" s="57" t="str">
        <x:f>IF(ISNUMBER(C141),IF(AND(ISNUMBER(C141),C141&gt;=2,C141&lt;=2958465,C141=INT(C141)),TEXT(C141,"yyyy-mm"),""),"")</x:f>
      </x:c>
      <x:c r="N141" s="59" t="str">
        <x:f>IF(L141="VALID",IF(G141="USD",H141,I141),"")</x:f>
      </x:c>
      <x:c r="O141" s="57" t="n">
        <x:f>IF(L141="VALID",IF(COUNTIFS($B$2:B141,B141,$M$2:M141,M141,$L$2:L141,"VALID")=1,1,0),0)</x:f>
        <x:v>0</x:v>
      </x:c>
    </x:row>
    <x:row r="142">
      <x:c r="A142" s="47"/>
      <x:c r="B142" s="47"/>
      <x:c r="C142" s="58"/>
      <x:c r="D142" s="47"/>
      <x:c r="E142" s="47"/>
      <x:c r="F142" s="47"/>
      <x:c r="G142" s="47"/>
      <x:c r="H142" s="48"/>
      <x:c r="I142" s="48"/>
      <x:c r="J142" s="47"/>
      <x:c r="K142" s="47"/>
      <x:c r="L142" s="57" t="str">
        <x:f>IF(COUNTA(A142:K142)=0,"",IF(K142="CANCELLED","CANCELLED",IF(A142="","INVOICE ID REQUIRED",IF(B142="","PROJECT ID REQUIRED",IF(NOT(ISNUMBER(C142)),"INVALID INVOICE DATE",IF(NOT(AND(ISNUMBER(C142),C142&gt;=2,C142&lt;=2958465,C142=INT(C142))),"INVALID INVOICE DATE",IF(NOT(OR(D142="MX",D142="US")),"ENTITY REQUIRED",IF(NOT(OR(E142="Strategic Services",E142="Brands")),"UNIT REQUIRED",IF(F142="","BRAND / N/A REQUIRED",IF(NOT(OR(G142="USD",G142="MXN")),"CURRENCY REQUIRED",IF(NOT(ISNUMBER(H142)),"AMOUNT REQUIRED",IF(J142="","ERP SOURCE REQUIRED",IF(NOT(OR(K142="ISSUED",K142="CANCELLED")),"INVOICE STATUS REQUIRED",IF(COUNTIFS($A$2:$A$501,A142,$B$2:$B$501,B142,$D$2:$D$501,D142)&gt;1,"DUPLICATE INVOICE / PROJECT",IF(AND(G142="MXN",NOT(AND(ISNUMBER(I142),Settings!$B$8="APPROVED",Settings!$B$9&lt;&gt;"",Settings!$B$10&lt;&gt;""))),"FX HOLD","VALID")))))))))))))))</x:f>
      </x:c>
      <x:c r="M142" s="57" t="str">
        <x:f>IF(ISNUMBER(C142),IF(AND(ISNUMBER(C142),C142&gt;=2,C142&lt;=2958465,C142=INT(C142)),TEXT(C142,"yyyy-mm"),""),"")</x:f>
      </x:c>
      <x:c r="N142" s="59" t="str">
        <x:f>IF(L142="VALID",IF(G142="USD",H142,I142),"")</x:f>
      </x:c>
      <x:c r="O142" s="57" t="n">
        <x:f>IF(L142="VALID",IF(COUNTIFS($B$2:B142,B142,$M$2:M142,M142,$L$2:L142,"VALID")=1,1,0),0)</x:f>
        <x:v>0</x:v>
      </x:c>
    </x:row>
    <x:row r="143">
      <x:c r="A143" s="47"/>
      <x:c r="B143" s="47"/>
      <x:c r="C143" s="58"/>
      <x:c r="D143" s="47"/>
      <x:c r="E143" s="47"/>
      <x:c r="F143" s="47"/>
      <x:c r="G143" s="47"/>
      <x:c r="H143" s="48"/>
      <x:c r="I143" s="48"/>
      <x:c r="J143" s="47"/>
      <x:c r="K143" s="47"/>
      <x:c r="L143" s="57" t="str">
        <x:f>IF(COUNTA(A143:K143)=0,"",IF(K143="CANCELLED","CANCELLED",IF(A143="","INVOICE ID REQUIRED",IF(B143="","PROJECT ID REQUIRED",IF(NOT(ISNUMBER(C143)),"INVALID INVOICE DATE",IF(NOT(AND(ISNUMBER(C143),C143&gt;=2,C143&lt;=2958465,C143=INT(C143))),"INVALID INVOICE DATE",IF(NOT(OR(D143="MX",D143="US")),"ENTITY REQUIRED",IF(NOT(OR(E143="Strategic Services",E143="Brands")),"UNIT REQUIRED",IF(F143="","BRAND / N/A REQUIRED",IF(NOT(OR(G143="USD",G143="MXN")),"CURRENCY REQUIRED",IF(NOT(ISNUMBER(H143)),"AMOUNT REQUIRED",IF(J143="","ERP SOURCE REQUIRED",IF(NOT(OR(K143="ISSUED",K143="CANCELLED")),"INVOICE STATUS REQUIRED",IF(COUNTIFS($A$2:$A$501,A143,$B$2:$B$501,B143,$D$2:$D$501,D143)&gt;1,"DUPLICATE INVOICE / PROJECT",IF(AND(G143="MXN",NOT(AND(ISNUMBER(I143),Settings!$B$8="APPROVED",Settings!$B$9&lt;&gt;"",Settings!$B$10&lt;&gt;""))),"FX HOLD","VALID")))))))))))))))</x:f>
      </x:c>
      <x:c r="M143" s="57" t="str">
        <x:f>IF(ISNUMBER(C143),IF(AND(ISNUMBER(C143),C143&gt;=2,C143&lt;=2958465,C143=INT(C143)),TEXT(C143,"yyyy-mm"),""),"")</x:f>
      </x:c>
      <x:c r="N143" s="59" t="str">
        <x:f>IF(L143="VALID",IF(G143="USD",H143,I143),"")</x:f>
      </x:c>
      <x:c r="O143" s="57" t="n">
        <x:f>IF(L143="VALID",IF(COUNTIFS($B$2:B143,B143,$M$2:M143,M143,$L$2:L143,"VALID")=1,1,0),0)</x:f>
        <x:v>0</x:v>
      </x:c>
    </x:row>
    <x:row r="144">
      <x:c r="A144" s="47"/>
      <x:c r="B144" s="47"/>
      <x:c r="C144" s="58"/>
      <x:c r="D144" s="47"/>
      <x:c r="E144" s="47"/>
      <x:c r="F144" s="47"/>
      <x:c r="G144" s="47"/>
      <x:c r="H144" s="48"/>
      <x:c r="I144" s="48"/>
      <x:c r="J144" s="47"/>
      <x:c r="K144" s="47"/>
      <x:c r="L144" s="57" t="str">
        <x:f>IF(COUNTA(A144:K144)=0,"",IF(K144="CANCELLED","CANCELLED",IF(A144="","INVOICE ID REQUIRED",IF(B144="","PROJECT ID REQUIRED",IF(NOT(ISNUMBER(C144)),"INVALID INVOICE DATE",IF(NOT(AND(ISNUMBER(C144),C144&gt;=2,C144&lt;=2958465,C144=INT(C144))),"INVALID INVOICE DATE",IF(NOT(OR(D144="MX",D144="US")),"ENTITY REQUIRED",IF(NOT(OR(E144="Strategic Services",E144="Brands")),"UNIT REQUIRED",IF(F144="","BRAND / N/A REQUIRED",IF(NOT(OR(G144="USD",G144="MXN")),"CURRENCY REQUIRED",IF(NOT(ISNUMBER(H144)),"AMOUNT REQUIRED",IF(J144="","ERP SOURCE REQUIRED",IF(NOT(OR(K144="ISSUED",K144="CANCELLED")),"INVOICE STATUS REQUIRED",IF(COUNTIFS($A$2:$A$501,A144,$B$2:$B$501,B144,$D$2:$D$501,D144)&gt;1,"DUPLICATE INVOICE / PROJECT",IF(AND(G144="MXN",NOT(AND(ISNUMBER(I144),Settings!$B$8="APPROVED",Settings!$B$9&lt;&gt;"",Settings!$B$10&lt;&gt;""))),"FX HOLD","VALID")))))))))))))))</x:f>
      </x:c>
      <x:c r="M144" s="57" t="str">
        <x:f>IF(ISNUMBER(C144),IF(AND(ISNUMBER(C144),C144&gt;=2,C144&lt;=2958465,C144=INT(C144)),TEXT(C144,"yyyy-mm"),""),"")</x:f>
      </x:c>
      <x:c r="N144" s="59" t="str">
        <x:f>IF(L144="VALID",IF(G144="USD",H144,I144),"")</x:f>
      </x:c>
      <x:c r="O144" s="57" t="n">
        <x:f>IF(L144="VALID",IF(COUNTIFS($B$2:B144,B144,$M$2:M144,M144,$L$2:L144,"VALID")=1,1,0),0)</x:f>
        <x:v>0</x:v>
      </x:c>
    </x:row>
    <x:row r="145">
      <x:c r="A145" s="47"/>
      <x:c r="B145" s="47"/>
      <x:c r="C145" s="58"/>
      <x:c r="D145" s="47"/>
      <x:c r="E145" s="47"/>
      <x:c r="F145" s="47"/>
      <x:c r="G145" s="47"/>
      <x:c r="H145" s="48"/>
      <x:c r="I145" s="48"/>
      <x:c r="J145" s="47"/>
      <x:c r="K145" s="47"/>
      <x:c r="L145" s="57" t="str">
        <x:f>IF(COUNTA(A145:K145)=0,"",IF(K145="CANCELLED","CANCELLED",IF(A145="","INVOICE ID REQUIRED",IF(B145="","PROJECT ID REQUIRED",IF(NOT(ISNUMBER(C145)),"INVALID INVOICE DATE",IF(NOT(AND(ISNUMBER(C145),C145&gt;=2,C145&lt;=2958465,C145=INT(C145))),"INVALID INVOICE DATE",IF(NOT(OR(D145="MX",D145="US")),"ENTITY REQUIRED",IF(NOT(OR(E145="Strategic Services",E145="Brands")),"UNIT REQUIRED",IF(F145="","BRAND / N/A REQUIRED",IF(NOT(OR(G145="USD",G145="MXN")),"CURRENCY REQUIRED",IF(NOT(ISNUMBER(H145)),"AMOUNT REQUIRED",IF(J145="","ERP SOURCE REQUIRED",IF(NOT(OR(K145="ISSUED",K145="CANCELLED")),"INVOICE STATUS REQUIRED",IF(COUNTIFS($A$2:$A$501,A145,$B$2:$B$501,B145,$D$2:$D$501,D145)&gt;1,"DUPLICATE INVOICE / PROJECT",IF(AND(G145="MXN",NOT(AND(ISNUMBER(I145),Settings!$B$8="APPROVED",Settings!$B$9&lt;&gt;"",Settings!$B$10&lt;&gt;""))),"FX HOLD","VALID")))))))))))))))</x:f>
      </x:c>
      <x:c r="M145" s="57" t="str">
        <x:f>IF(ISNUMBER(C145),IF(AND(ISNUMBER(C145),C145&gt;=2,C145&lt;=2958465,C145=INT(C145)),TEXT(C145,"yyyy-mm"),""),"")</x:f>
      </x:c>
      <x:c r="N145" s="59" t="str">
        <x:f>IF(L145="VALID",IF(G145="USD",H145,I145),"")</x:f>
      </x:c>
      <x:c r="O145" s="57" t="n">
        <x:f>IF(L145="VALID",IF(COUNTIFS($B$2:B145,B145,$M$2:M145,M145,$L$2:L145,"VALID")=1,1,0),0)</x:f>
        <x:v>0</x:v>
      </x:c>
    </x:row>
    <x:row r="146">
      <x:c r="A146" s="47"/>
      <x:c r="B146" s="47"/>
      <x:c r="C146" s="58"/>
      <x:c r="D146" s="47"/>
      <x:c r="E146" s="47"/>
      <x:c r="F146" s="47"/>
      <x:c r="G146" s="47"/>
      <x:c r="H146" s="48"/>
      <x:c r="I146" s="48"/>
      <x:c r="J146" s="47"/>
      <x:c r="K146" s="47"/>
      <x:c r="L146" s="57" t="str">
        <x:f>IF(COUNTA(A146:K146)=0,"",IF(K146="CANCELLED","CANCELLED",IF(A146="","INVOICE ID REQUIRED",IF(B146="","PROJECT ID REQUIRED",IF(NOT(ISNUMBER(C146)),"INVALID INVOICE DATE",IF(NOT(AND(ISNUMBER(C146),C146&gt;=2,C146&lt;=2958465,C146=INT(C146))),"INVALID INVOICE DATE",IF(NOT(OR(D146="MX",D146="US")),"ENTITY REQUIRED",IF(NOT(OR(E146="Strategic Services",E146="Brands")),"UNIT REQUIRED",IF(F146="","BRAND / N/A REQUIRED",IF(NOT(OR(G146="USD",G146="MXN")),"CURRENCY REQUIRED",IF(NOT(ISNUMBER(H146)),"AMOUNT REQUIRED",IF(J146="","ERP SOURCE REQUIRED",IF(NOT(OR(K146="ISSUED",K146="CANCELLED")),"INVOICE STATUS REQUIRED",IF(COUNTIFS($A$2:$A$501,A146,$B$2:$B$501,B146,$D$2:$D$501,D146)&gt;1,"DUPLICATE INVOICE / PROJECT",IF(AND(G146="MXN",NOT(AND(ISNUMBER(I146),Settings!$B$8="APPROVED",Settings!$B$9&lt;&gt;"",Settings!$B$10&lt;&gt;""))),"FX HOLD","VALID")))))))))))))))</x:f>
      </x:c>
      <x:c r="M146" s="57" t="str">
        <x:f>IF(ISNUMBER(C146),IF(AND(ISNUMBER(C146),C146&gt;=2,C146&lt;=2958465,C146=INT(C146)),TEXT(C146,"yyyy-mm"),""),"")</x:f>
      </x:c>
      <x:c r="N146" s="59" t="str">
        <x:f>IF(L146="VALID",IF(G146="USD",H146,I146),"")</x:f>
      </x:c>
      <x:c r="O146" s="57" t="n">
        <x:f>IF(L146="VALID",IF(COUNTIFS($B$2:B146,B146,$M$2:M146,M146,$L$2:L146,"VALID")=1,1,0),0)</x:f>
        <x:v>0</x:v>
      </x:c>
    </x:row>
    <x:row r="147">
      <x:c r="A147" s="47"/>
      <x:c r="B147" s="47"/>
      <x:c r="C147" s="58"/>
      <x:c r="D147" s="47"/>
      <x:c r="E147" s="47"/>
      <x:c r="F147" s="47"/>
      <x:c r="G147" s="47"/>
      <x:c r="H147" s="48"/>
      <x:c r="I147" s="48"/>
      <x:c r="J147" s="47"/>
      <x:c r="K147" s="47"/>
      <x:c r="L147" s="57" t="str">
        <x:f>IF(COUNTA(A147:K147)=0,"",IF(K147="CANCELLED","CANCELLED",IF(A147="","INVOICE ID REQUIRED",IF(B147="","PROJECT ID REQUIRED",IF(NOT(ISNUMBER(C147)),"INVALID INVOICE DATE",IF(NOT(AND(ISNUMBER(C147),C147&gt;=2,C147&lt;=2958465,C147=INT(C147))),"INVALID INVOICE DATE",IF(NOT(OR(D147="MX",D147="US")),"ENTITY REQUIRED",IF(NOT(OR(E147="Strategic Services",E147="Brands")),"UNIT REQUIRED",IF(F147="","BRAND / N/A REQUIRED",IF(NOT(OR(G147="USD",G147="MXN")),"CURRENCY REQUIRED",IF(NOT(ISNUMBER(H147)),"AMOUNT REQUIRED",IF(J147="","ERP SOURCE REQUIRED",IF(NOT(OR(K147="ISSUED",K147="CANCELLED")),"INVOICE STATUS REQUIRED",IF(COUNTIFS($A$2:$A$501,A147,$B$2:$B$501,B147,$D$2:$D$501,D147)&gt;1,"DUPLICATE INVOICE / PROJECT",IF(AND(G147="MXN",NOT(AND(ISNUMBER(I147),Settings!$B$8="APPROVED",Settings!$B$9&lt;&gt;"",Settings!$B$10&lt;&gt;""))),"FX HOLD","VALID")))))))))))))))</x:f>
      </x:c>
      <x:c r="M147" s="57" t="str">
        <x:f>IF(ISNUMBER(C147),IF(AND(ISNUMBER(C147),C147&gt;=2,C147&lt;=2958465,C147=INT(C147)),TEXT(C147,"yyyy-mm"),""),"")</x:f>
      </x:c>
      <x:c r="N147" s="59" t="str">
        <x:f>IF(L147="VALID",IF(G147="USD",H147,I147),"")</x:f>
      </x:c>
      <x:c r="O147" s="57" t="n">
        <x:f>IF(L147="VALID",IF(COUNTIFS($B$2:B147,B147,$M$2:M147,M147,$L$2:L147,"VALID")=1,1,0),0)</x:f>
        <x:v>0</x:v>
      </x:c>
    </x:row>
    <x:row r="148">
      <x:c r="A148" s="47"/>
      <x:c r="B148" s="47"/>
      <x:c r="C148" s="58"/>
      <x:c r="D148" s="47"/>
      <x:c r="E148" s="47"/>
      <x:c r="F148" s="47"/>
      <x:c r="G148" s="47"/>
      <x:c r="H148" s="48"/>
      <x:c r="I148" s="48"/>
      <x:c r="J148" s="47"/>
      <x:c r="K148" s="47"/>
      <x:c r="L148" s="57" t="str">
        <x:f>IF(COUNTA(A148:K148)=0,"",IF(K148="CANCELLED","CANCELLED",IF(A148="","INVOICE ID REQUIRED",IF(B148="","PROJECT ID REQUIRED",IF(NOT(ISNUMBER(C148)),"INVALID INVOICE DATE",IF(NOT(AND(ISNUMBER(C148),C148&gt;=2,C148&lt;=2958465,C148=INT(C148))),"INVALID INVOICE DATE",IF(NOT(OR(D148="MX",D148="US")),"ENTITY REQUIRED",IF(NOT(OR(E148="Strategic Services",E148="Brands")),"UNIT REQUIRED",IF(F148="","BRAND / N/A REQUIRED",IF(NOT(OR(G148="USD",G148="MXN")),"CURRENCY REQUIRED",IF(NOT(ISNUMBER(H148)),"AMOUNT REQUIRED",IF(J148="","ERP SOURCE REQUIRED",IF(NOT(OR(K148="ISSUED",K148="CANCELLED")),"INVOICE STATUS REQUIRED",IF(COUNTIFS($A$2:$A$501,A148,$B$2:$B$501,B148,$D$2:$D$501,D148)&gt;1,"DUPLICATE INVOICE / PROJECT",IF(AND(G148="MXN",NOT(AND(ISNUMBER(I148),Settings!$B$8="APPROVED",Settings!$B$9&lt;&gt;"",Settings!$B$10&lt;&gt;""))),"FX HOLD","VALID")))))))))))))))</x:f>
      </x:c>
      <x:c r="M148" s="57" t="str">
        <x:f>IF(ISNUMBER(C148),IF(AND(ISNUMBER(C148),C148&gt;=2,C148&lt;=2958465,C148=INT(C148)),TEXT(C148,"yyyy-mm"),""),"")</x:f>
      </x:c>
      <x:c r="N148" s="59" t="str">
        <x:f>IF(L148="VALID",IF(G148="USD",H148,I148),"")</x:f>
      </x:c>
      <x:c r="O148" s="57" t="n">
        <x:f>IF(L148="VALID",IF(COUNTIFS($B$2:B148,B148,$M$2:M148,M148,$L$2:L148,"VALID")=1,1,0),0)</x:f>
        <x:v>0</x:v>
      </x:c>
    </x:row>
    <x:row r="149">
      <x:c r="A149" s="47"/>
      <x:c r="B149" s="47"/>
      <x:c r="C149" s="58"/>
      <x:c r="D149" s="47"/>
      <x:c r="E149" s="47"/>
      <x:c r="F149" s="47"/>
      <x:c r="G149" s="47"/>
      <x:c r="H149" s="48"/>
      <x:c r="I149" s="48"/>
      <x:c r="J149" s="47"/>
      <x:c r="K149" s="47"/>
      <x:c r="L149" s="57" t="str">
        <x:f>IF(COUNTA(A149:K149)=0,"",IF(K149="CANCELLED","CANCELLED",IF(A149="","INVOICE ID REQUIRED",IF(B149="","PROJECT ID REQUIRED",IF(NOT(ISNUMBER(C149)),"INVALID INVOICE DATE",IF(NOT(AND(ISNUMBER(C149),C149&gt;=2,C149&lt;=2958465,C149=INT(C149))),"INVALID INVOICE DATE",IF(NOT(OR(D149="MX",D149="US")),"ENTITY REQUIRED",IF(NOT(OR(E149="Strategic Services",E149="Brands")),"UNIT REQUIRED",IF(F149="","BRAND / N/A REQUIRED",IF(NOT(OR(G149="USD",G149="MXN")),"CURRENCY REQUIRED",IF(NOT(ISNUMBER(H149)),"AMOUNT REQUIRED",IF(J149="","ERP SOURCE REQUIRED",IF(NOT(OR(K149="ISSUED",K149="CANCELLED")),"INVOICE STATUS REQUIRED",IF(COUNTIFS($A$2:$A$501,A149,$B$2:$B$501,B149,$D$2:$D$501,D149)&gt;1,"DUPLICATE INVOICE / PROJECT",IF(AND(G149="MXN",NOT(AND(ISNUMBER(I149),Settings!$B$8="APPROVED",Settings!$B$9&lt;&gt;"",Settings!$B$10&lt;&gt;""))),"FX HOLD","VALID")))))))))))))))</x:f>
      </x:c>
      <x:c r="M149" s="57" t="str">
        <x:f>IF(ISNUMBER(C149),IF(AND(ISNUMBER(C149),C149&gt;=2,C149&lt;=2958465,C149=INT(C149)),TEXT(C149,"yyyy-mm"),""),"")</x:f>
      </x:c>
      <x:c r="N149" s="59" t="str">
        <x:f>IF(L149="VALID",IF(G149="USD",H149,I149),"")</x:f>
      </x:c>
      <x:c r="O149" s="57" t="n">
        <x:f>IF(L149="VALID",IF(COUNTIFS($B$2:B149,B149,$M$2:M149,M149,$L$2:L149,"VALID")=1,1,0),0)</x:f>
        <x:v>0</x:v>
      </x:c>
    </x:row>
    <x:row r="150">
      <x:c r="A150" s="47"/>
      <x:c r="B150" s="47"/>
      <x:c r="C150" s="58"/>
      <x:c r="D150" s="47"/>
      <x:c r="E150" s="47"/>
      <x:c r="F150" s="47"/>
      <x:c r="G150" s="47"/>
      <x:c r="H150" s="48"/>
      <x:c r="I150" s="48"/>
      <x:c r="J150" s="47"/>
      <x:c r="K150" s="47"/>
      <x:c r="L150" s="57" t="str">
        <x:f>IF(COUNTA(A150:K150)=0,"",IF(K150="CANCELLED","CANCELLED",IF(A150="","INVOICE ID REQUIRED",IF(B150="","PROJECT ID REQUIRED",IF(NOT(ISNUMBER(C150)),"INVALID INVOICE DATE",IF(NOT(AND(ISNUMBER(C150),C150&gt;=2,C150&lt;=2958465,C150=INT(C150))),"INVALID INVOICE DATE",IF(NOT(OR(D150="MX",D150="US")),"ENTITY REQUIRED",IF(NOT(OR(E150="Strategic Services",E150="Brands")),"UNIT REQUIRED",IF(F150="","BRAND / N/A REQUIRED",IF(NOT(OR(G150="USD",G150="MXN")),"CURRENCY REQUIRED",IF(NOT(ISNUMBER(H150)),"AMOUNT REQUIRED",IF(J150="","ERP SOURCE REQUIRED",IF(NOT(OR(K150="ISSUED",K150="CANCELLED")),"INVOICE STATUS REQUIRED",IF(COUNTIFS($A$2:$A$501,A150,$B$2:$B$501,B150,$D$2:$D$501,D150)&gt;1,"DUPLICATE INVOICE / PROJECT",IF(AND(G150="MXN",NOT(AND(ISNUMBER(I150),Settings!$B$8="APPROVED",Settings!$B$9&lt;&gt;"",Settings!$B$10&lt;&gt;""))),"FX HOLD","VALID")))))))))))))))</x:f>
      </x:c>
      <x:c r="M150" s="57" t="str">
        <x:f>IF(ISNUMBER(C150),IF(AND(ISNUMBER(C150),C150&gt;=2,C150&lt;=2958465,C150=INT(C150)),TEXT(C150,"yyyy-mm"),""),"")</x:f>
      </x:c>
      <x:c r="N150" s="59" t="str">
        <x:f>IF(L150="VALID",IF(G150="USD",H150,I150),"")</x:f>
      </x:c>
      <x:c r="O150" s="57" t="n">
        <x:f>IF(L150="VALID",IF(COUNTIFS($B$2:B150,B150,$M$2:M150,M150,$L$2:L150,"VALID")=1,1,0),0)</x:f>
        <x:v>0</x:v>
      </x:c>
    </x:row>
    <x:row r="151">
      <x:c r="A151" s="47"/>
      <x:c r="B151" s="47"/>
      <x:c r="C151" s="58"/>
      <x:c r="D151" s="47"/>
      <x:c r="E151" s="47"/>
      <x:c r="F151" s="47"/>
      <x:c r="G151" s="47"/>
      <x:c r="H151" s="48"/>
      <x:c r="I151" s="48"/>
      <x:c r="J151" s="47"/>
      <x:c r="K151" s="47"/>
      <x:c r="L151" s="57" t="str">
        <x:f>IF(COUNTA(A151:K151)=0,"",IF(K151="CANCELLED","CANCELLED",IF(A151="","INVOICE ID REQUIRED",IF(B151="","PROJECT ID REQUIRED",IF(NOT(ISNUMBER(C151)),"INVALID INVOICE DATE",IF(NOT(AND(ISNUMBER(C151),C151&gt;=2,C151&lt;=2958465,C151=INT(C151))),"INVALID INVOICE DATE",IF(NOT(OR(D151="MX",D151="US")),"ENTITY REQUIRED",IF(NOT(OR(E151="Strategic Services",E151="Brands")),"UNIT REQUIRED",IF(F151="","BRAND / N/A REQUIRED",IF(NOT(OR(G151="USD",G151="MXN")),"CURRENCY REQUIRED",IF(NOT(ISNUMBER(H151)),"AMOUNT REQUIRED",IF(J151="","ERP SOURCE REQUIRED",IF(NOT(OR(K151="ISSUED",K151="CANCELLED")),"INVOICE STATUS REQUIRED",IF(COUNTIFS($A$2:$A$501,A151,$B$2:$B$501,B151,$D$2:$D$501,D151)&gt;1,"DUPLICATE INVOICE / PROJECT",IF(AND(G151="MXN",NOT(AND(ISNUMBER(I151),Settings!$B$8="APPROVED",Settings!$B$9&lt;&gt;"",Settings!$B$10&lt;&gt;""))),"FX HOLD","VALID")))))))))))))))</x:f>
      </x:c>
      <x:c r="M151" s="57" t="str">
        <x:f>IF(ISNUMBER(C151),IF(AND(ISNUMBER(C151),C151&gt;=2,C151&lt;=2958465,C151=INT(C151)),TEXT(C151,"yyyy-mm"),""),"")</x:f>
      </x:c>
      <x:c r="N151" s="59" t="str">
        <x:f>IF(L151="VALID",IF(G151="USD",H151,I151),"")</x:f>
      </x:c>
      <x:c r="O151" s="57" t="n">
        <x:f>IF(L151="VALID",IF(COUNTIFS($B$2:B151,B151,$M$2:M151,M151,$L$2:L151,"VALID")=1,1,0),0)</x:f>
        <x:v>0</x:v>
      </x:c>
    </x:row>
    <x:row r="152">
      <x:c r="A152" s="47"/>
      <x:c r="B152" s="47"/>
      <x:c r="C152" s="58"/>
      <x:c r="D152" s="47"/>
      <x:c r="E152" s="47"/>
      <x:c r="F152" s="47"/>
      <x:c r="G152" s="47"/>
      <x:c r="H152" s="48"/>
      <x:c r="I152" s="48"/>
      <x:c r="J152" s="47"/>
      <x:c r="K152" s="47"/>
      <x:c r="L152" s="57" t="str">
        <x:f>IF(COUNTA(A152:K152)=0,"",IF(K152="CANCELLED","CANCELLED",IF(A152="","INVOICE ID REQUIRED",IF(B152="","PROJECT ID REQUIRED",IF(NOT(ISNUMBER(C152)),"INVALID INVOICE DATE",IF(NOT(AND(ISNUMBER(C152),C152&gt;=2,C152&lt;=2958465,C152=INT(C152))),"INVALID INVOICE DATE",IF(NOT(OR(D152="MX",D152="US")),"ENTITY REQUIRED",IF(NOT(OR(E152="Strategic Services",E152="Brands")),"UNIT REQUIRED",IF(F152="","BRAND / N/A REQUIRED",IF(NOT(OR(G152="USD",G152="MXN")),"CURRENCY REQUIRED",IF(NOT(ISNUMBER(H152)),"AMOUNT REQUIRED",IF(J152="","ERP SOURCE REQUIRED",IF(NOT(OR(K152="ISSUED",K152="CANCELLED")),"INVOICE STATUS REQUIRED",IF(COUNTIFS($A$2:$A$501,A152,$B$2:$B$501,B152,$D$2:$D$501,D152)&gt;1,"DUPLICATE INVOICE / PROJECT",IF(AND(G152="MXN",NOT(AND(ISNUMBER(I152),Settings!$B$8="APPROVED",Settings!$B$9&lt;&gt;"",Settings!$B$10&lt;&gt;""))),"FX HOLD","VALID")))))))))))))))</x:f>
      </x:c>
      <x:c r="M152" s="57" t="str">
        <x:f>IF(ISNUMBER(C152),IF(AND(ISNUMBER(C152),C152&gt;=2,C152&lt;=2958465,C152=INT(C152)),TEXT(C152,"yyyy-mm"),""),"")</x:f>
      </x:c>
      <x:c r="N152" s="59" t="str">
        <x:f>IF(L152="VALID",IF(G152="USD",H152,I152),"")</x:f>
      </x:c>
      <x:c r="O152" s="57" t="n">
        <x:f>IF(L152="VALID",IF(COUNTIFS($B$2:B152,B152,$M$2:M152,M152,$L$2:L152,"VALID")=1,1,0),0)</x:f>
        <x:v>0</x:v>
      </x:c>
    </x:row>
    <x:row r="153">
      <x:c r="A153" s="47"/>
      <x:c r="B153" s="47"/>
      <x:c r="C153" s="58"/>
      <x:c r="D153" s="47"/>
      <x:c r="E153" s="47"/>
      <x:c r="F153" s="47"/>
      <x:c r="G153" s="47"/>
      <x:c r="H153" s="48"/>
      <x:c r="I153" s="48"/>
      <x:c r="J153" s="47"/>
      <x:c r="K153" s="47"/>
      <x:c r="L153" s="57" t="str">
        <x:f>IF(COUNTA(A153:K153)=0,"",IF(K153="CANCELLED","CANCELLED",IF(A153="","INVOICE ID REQUIRED",IF(B153="","PROJECT ID REQUIRED",IF(NOT(ISNUMBER(C153)),"INVALID INVOICE DATE",IF(NOT(AND(ISNUMBER(C153),C153&gt;=2,C153&lt;=2958465,C153=INT(C153))),"INVALID INVOICE DATE",IF(NOT(OR(D153="MX",D153="US")),"ENTITY REQUIRED",IF(NOT(OR(E153="Strategic Services",E153="Brands")),"UNIT REQUIRED",IF(F153="","BRAND / N/A REQUIRED",IF(NOT(OR(G153="USD",G153="MXN")),"CURRENCY REQUIRED",IF(NOT(ISNUMBER(H153)),"AMOUNT REQUIRED",IF(J153="","ERP SOURCE REQUIRED",IF(NOT(OR(K153="ISSUED",K153="CANCELLED")),"INVOICE STATUS REQUIRED",IF(COUNTIFS($A$2:$A$501,A153,$B$2:$B$501,B153,$D$2:$D$501,D153)&gt;1,"DUPLICATE INVOICE / PROJECT",IF(AND(G153="MXN",NOT(AND(ISNUMBER(I153),Settings!$B$8="APPROVED",Settings!$B$9&lt;&gt;"",Settings!$B$10&lt;&gt;""))),"FX HOLD","VALID")))))))))))))))</x:f>
      </x:c>
      <x:c r="M153" s="57" t="str">
        <x:f>IF(ISNUMBER(C153),IF(AND(ISNUMBER(C153),C153&gt;=2,C153&lt;=2958465,C153=INT(C153)),TEXT(C153,"yyyy-mm"),""),"")</x:f>
      </x:c>
      <x:c r="N153" s="59" t="str">
        <x:f>IF(L153="VALID",IF(G153="USD",H153,I153),"")</x:f>
      </x:c>
      <x:c r="O153" s="57" t="n">
        <x:f>IF(L153="VALID",IF(COUNTIFS($B$2:B153,B153,$M$2:M153,M153,$L$2:L153,"VALID")=1,1,0),0)</x:f>
        <x:v>0</x:v>
      </x:c>
    </x:row>
    <x:row r="154">
      <x:c r="A154" s="47"/>
      <x:c r="B154" s="47"/>
      <x:c r="C154" s="58"/>
      <x:c r="D154" s="47"/>
      <x:c r="E154" s="47"/>
      <x:c r="F154" s="47"/>
      <x:c r="G154" s="47"/>
      <x:c r="H154" s="48"/>
      <x:c r="I154" s="48"/>
      <x:c r="J154" s="47"/>
      <x:c r="K154" s="47"/>
      <x:c r="L154" s="57" t="str">
        <x:f>IF(COUNTA(A154:K154)=0,"",IF(K154="CANCELLED","CANCELLED",IF(A154="","INVOICE ID REQUIRED",IF(B154="","PROJECT ID REQUIRED",IF(NOT(ISNUMBER(C154)),"INVALID INVOICE DATE",IF(NOT(AND(ISNUMBER(C154),C154&gt;=2,C154&lt;=2958465,C154=INT(C154))),"INVALID INVOICE DATE",IF(NOT(OR(D154="MX",D154="US")),"ENTITY REQUIRED",IF(NOT(OR(E154="Strategic Services",E154="Brands")),"UNIT REQUIRED",IF(F154="","BRAND / N/A REQUIRED",IF(NOT(OR(G154="USD",G154="MXN")),"CURRENCY REQUIRED",IF(NOT(ISNUMBER(H154)),"AMOUNT REQUIRED",IF(J154="","ERP SOURCE REQUIRED",IF(NOT(OR(K154="ISSUED",K154="CANCELLED")),"INVOICE STATUS REQUIRED",IF(COUNTIFS($A$2:$A$501,A154,$B$2:$B$501,B154,$D$2:$D$501,D154)&gt;1,"DUPLICATE INVOICE / PROJECT",IF(AND(G154="MXN",NOT(AND(ISNUMBER(I154),Settings!$B$8="APPROVED",Settings!$B$9&lt;&gt;"",Settings!$B$10&lt;&gt;""))),"FX HOLD","VALID")))))))))))))))</x:f>
      </x:c>
      <x:c r="M154" s="57" t="str">
        <x:f>IF(ISNUMBER(C154),IF(AND(ISNUMBER(C154),C154&gt;=2,C154&lt;=2958465,C154=INT(C154)),TEXT(C154,"yyyy-mm"),""),"")</x:f>
      </x:c>
      <x:c r="N154" s="59" t="str">
        <x:f>IF(L154="VALID",IF(G154="USD",H154,I154),"")</x:f>
      </x:c>
      <x:c r="O154" s="57" t="n">
        <x:f>IF(L154="VALID",IF(COUNTIFS($B$2:B154,B154,$M$2:M154,M154,$L$2:L154,"VALID")=1,1,0),0)</x:f>
        <x:v>0</x:v>
      </x:c>
    </x:row>
    <x:row r="155">
      <x:c r="A155" s="47"/>
      <x:c r="B155" s="47"/>
      <x:c r="C155" s="58"/>
      <x:c r="D155" s="47"/>
      <x:c r="E155" s="47"/>
      <x:c r="F155" s="47"/>
      <x:c r="G155" s="47"/>
      <x:c r="H155" s="48"/>
      <x:c r="I155" s="48"/>
      <x:c r="J155" s="47"/>
      <x:c r="K155" s="47"/>
      <x:c r="L155" s="57" t="str">
        <x:f>IF(COUNTA(A155:K155)=0,"",IF(K155="CANCELLED","CANCELLED",IF(A155="","INVOICE ID REQUIRED",IF(B155="","PROJECT ID REQUIRED",IF(NOT(ISNUMBER(C155)),"INVALID INVOICE DATE",IF(NOT(AND(ISNUMBER(C155),C155&gt;=2,C155&lt;=2958465,C155=INT(C155))),"INVALID INVOICE DATE",IF(NOT(OR(D155="MX",D155="US")),"ENTITY REQUIRED",IF(NOT(OR(E155="Strategic Services",E155="Brands")),"UNIT REQUIRED",IF(F155="","BRAND / N/A REQUIRED",IF(NOT(OR(G155="USD",G155="MXN")),"CURRENCY REQUIRED",IF(NOT(ISNUMBER(H155)),"AMOUNT REQUIRED",IF(J155="","ERP SOURCE REQUIRED",IF(NOT(OR(K155="ISSUED",K155="CANCELLED")),"INVOICE STATUS REQUIRED",IF(COUNTIFS($A$2:$A$501,A155,$B$2:$B$501,B155,$D$2:$D$501,D155)&gt;1,"DUPLICATE INVOICE / PROJECT",IF(AND(G155="MXN",NOT(AND(ISNUMBER(I155),Settings!$B$8="APPROVED",Settings!$B$9&lt;&gt;"",Settings!$B$10&lt;&gt;""))),"FX HOLD","VALID")))))))))))))))</x:f>
      </x:c>
      <x:c r="M155" s="57" t="str">
        <x:f>IF(ISNUMBER(C155),IF(AND(ISNUMBER(C155),C155&gt;=2,C155&lt;=2958465,C155=INT(C155)),TEXT(C155,"yyyy-mm"),""),"")</x:f>
      </x:c>
      <x:c r="N155" s="59" t="str">
        <x:f>IF(L155="VALID",IF(G155="USD",H155,I155),"")</x:f>
      </x:c>
      <x:c r="O155" s="57" t="n">
        <x:f>IF(L155="VALID",IF(COUNTIFS($B$2:B155,B155,$M$2:M155,M155,$L$2:L155,"VALID")=1,1,0),0)</x:f>
        <x:v>0</x:v>
      </x:c>
    </x:row>
    <x:row r="156">
      <x:c r="A156" s="47"/>
      <x:c r="B156" s="47"/>
      <x:c r="C156" s="58"/>
      <x:c r="D156" s="47"/>
      <x:c r="E156" s="47"/>
      <x:c r="F156" s="47"/>
      <x:c r="G156" s="47"/>
      <x:c r="H156" s="48"/>
      <x:c r="I156" s="48"/>
      <x:c r="J156" s="47"/>
      <x:c r="K156" s="47"/>
      <x:c r="L156" s="57" t="str">
        <x:f>IF(COUNTA(A156:K156)=0,"",IF(K156="CANCELLED","CANCELLED",IF(A156="","INVOICE ID REQUIRED",IF(B156="","PROJECT ID REQUIRED",IF(NOT(ISNUMBER(C156)),"INVALID INVOICE DATE",IF(NOT(AND(ISNUMBER(C156),C156&gt;=2,C156&lt;=2958465,C156=INT(C156))),"INVALID INVOICE DATE",IF(NOT(OR(D156="MX",D156="US")),"ENTITY REQUIRED",IF(NOT(OR(E156="Strategic Services",E156="Brands")),"UNIT REQUIRED",IF(F156="","BRAND / N/A REQUIRED",IF(NOT(OR(G156="USD",G156="MXN")),"CURRENCY REQUIRED",IF(NOT(ISNUMBER(H156)),"AMOUNT REQUIRED",IF(J156="","ERP SOURCE REQUIRED",IF(NOT(OR(K156="ISSUED",K156="CANCELLED")),"INVOICE STATUS REQUIRED",IF(COUNTIFS($A$2:$A$501,A156,$B$2:$B$501,B156,$D$2:$D$501,D156)&gt;1,"DUPLICATE INVOICE / PROJECT",IF(AND(G156="MXN",NOT(AND(ISNUMBER(I156),Settings!$B$8="APPROVED",Settings!$B$9&lt;&gt;"",Settings!$B$10&lt;&gt;""))),"FX HOLD","VALID")))))))))))))))</x:f>
      </x:c>
      <x:c r="M156" s="57" t="str">
        <x:f>IF(ISNUMBER(C156),IF(AND(ISNUMBER(C156),C156&gt;=2,C156&lt;=2958465,C156=INT(C156)),TEXT(C156,"yyyy-mm"),""),"")</x:f>
      </x:c>
      <x:c r="N156" s="59" t="str">
        <x:f>IF(L156="VALID",IF(G156="USD",H156,I156),"")</x:f>
      </x:c>
      <x:c r="O156" s="57" t="n">
        <x:f>IF(L156="VALID",IF(COUNTIFS($B$2:B156,B156,$M$2:M156,M156,$L$2:L156,"VALID")=1,1,0),0)</x:f>
        <x:v>0</x:v>
      </x:c>
    </x:row>
    <x:row r="157">
      <x:c r="A157" s="47"/>
      <x:c r="B157" s="47"/>
      <x:c r="C157" s="58"/>
      <x:c r="D157" s="47"/>
      <x:c r="E157" s="47"/>
      <x:c r="F157" s="47"/>
      <x:c r="G157" s="47"/>
      <x:c r="H157" s="48"/>
      <x:c r="I157" s="48"/>
      <x:c r="J157" s="47"/>
      <x:c r="K157" s="47"/>
      <x:c r="L157" s="57" t="str">
        <x:f>IF(COUNTA(A157:K157)=0,"",IF(K157="CANCELLED","CANCELLED",IF(A157="","INVOICE ID REQUIRED",IF(B157="","PROJECT ID REQUIRED",IF(NOT(ISNUMBER(C157)),"INVALID INVOICE DATE",IF(NOT(AND(ISNUMBER(C157),C157&gt;=2,C157&lt;=2958465,C157=INT(C157))),"INVALID INVOICE DATE",IF(NOT(OR(D157="MX",D157="US")),"ENTITY REQUIRED",IF(NOT(OR(E157="Strategic Services",E157="Brands")),"UNIT REQUIRED",IF(F157="","BRAND / N/A REQUIRED",IF(NOT(OR(G157="USD",G157="MXN")),"CURRENCY REQUIRED",IF(NOT(ISNUMBER(H157)),"AMOUNT REQUIRED",IF(J157="","ERP SOURCE REQUIRED",IF(NOT(OR(K157="ISSUED",K157="CANCELLED")),"INVOICE STATUS REQUIRED",IF(COUNTIFS($A$2:$A$501,A157,$B$2:$B$501,B157,$D$2:$D$501,D157)&gt;1,"DUPLICATE INVOICE / PROJECT",IF(AND(G157="MXN",NOT(AND(ISNUMBER(I157),Settings!$B$8="APPROVED",Settings!$B$9&lt;&gt;"",Settings!$B$10&lt;&gt;""))),"FX HOLD","VALID")))))))))))))))</x:f>
      </x:c>
      <x:c r="M157" s="57" t="str">
        <x:f>IF(ISNUMBER(C157),IF(AND(ISNUMBER(C157),C157&gt;=2,C157&lt;=2958465,C157=INT(C157)),TEXT(C157,"yyyy-mm"),""),"")</x:f>
      </x:c>
      <x:c r="N157" s="59" t="str">
        <x:f>IF(L157="VALID",IF(G157="USD",H157,I157),"")</x:f>
      </x:c>
      <x:c r="O157" s="57" t="n">
        <x:f>IF(L157="VALID",IF(COUNTIFS($B$2:B157,B157,$M$2:M157,M157,$L$2:L157,"VALID")=1,1,0),0)</x:f>
        <x:v>0</x:v>
      </x:c>
    </x:row>
    <x:row r="158">
      <x:c r="A158" s="47"/>
      <x:c r="B158" s="47"/>
      <x:c r="C158" s="58"/>
      <x:c r="D158" s="47"/>
      <x:c r="E158" s="47"/>
      <x:c r="F158" s="47"/>
      <x:c r="G158" s="47"/>
      <x:c r="H158" s="48"/>
      <x:c r="I158" s="48"/>
      <x:c r="J158" s="47"/>
      <x:c r="K158" s="47"/>
      <x:c r="L158" s="57" t="str">
        <x:f>IF(COUNTA(A158:K158)=0,"",IF(K158="CANCELLED","CANCELLED",IF(A158="","INVOICE ID REQUIRED",IF(B158="","PROJECT ID REQUIRED",IF(NOT(ISNUMBER(C158)),"INVALID INVOICE DATE",IF(NOT(AND(ISNUMBER(C158),C158&gt;=2,C158&lt;=2958465,C158=INT(C158))),"INVALID INVOICE DATE",IF(NOT(OR(D158="MX",D158="US")),"ENTITY REQUIRED",IF(NOT(OR(E158="Strategic Services",E158="Brands")),"UNIT REQUIRED",IF(F158="","BRAND / N/A REQUIRED",IF(NOT(OR(G158="USD",G158="MXN")),"CURRENCY REQUIRED",IF(NOT(ISNUMBER(H158)),"AMOUNT REQUIRED",IF(J158="","ERP SOURCE REQUIRED",IF(NOT(OR(K158="ISSUED",K158="CANCELLED")),"INVOICE STATUS REQUIRED",IF(COUNTIFS($A$2:$A$501,A158,$B$2:$B$501,B158,$D$2:$D$501,D158)&gt;1,"DUPLICATE INVOICE / PROJECT",IF(AND(G158="MXN",NOT(AND(ISNUMBER(I158),Settings!$B$8="APPROVED",Settings!$B$9&lt;&gt;"",Settings!$B$10&lt;&gt;""))),"FX HOLD","VALID")))))))))))))))</x:f>
      </x:c>
      <x:c r="M158" s="57" t="str">
        <x:f>IF(ISNUMBER(C158),IF(AND(ISNUMBER(C158),C158&gt;=2,C158&lt;=2958465,C158=INT(C158)),TEXT(C158,"yyyy-mm"),""),"")</x:f>
      </x:c>
      <x:c r="N158" s="59" t="str">
        <x:f>IF(L158="VALID",IF(G158="USD",H158,I158),"")</x:f>
      </x:c>
      <x:c r="O158" s="57" t="n">
        <x:f>IF(L158="VALID",IF(COUNTIFS($B$2:B158,B158,$M$2:M158,M158,$L$2:L158,"VALID")=1,1,0),0)</x:f>
        <x:v>0</x:v>
      </x:c>
    </x:row>
    <x:row r="159">
      <x:c r="A159" s="47"/>
      <x:c r="B159" s="47"/>
      <x:c r="C159" s="58"/>
      <x:c r="D159" s="47"/>
      <x:c r="E159" s="47"/>
      <x:c r="F159" s="47"/>
      <x:c r="G159" s="47"/>
      <x:c r="H159" s="48"/>
      <x:c r="I159" s="48"/>
      <x:c r="J159" s="47"/>
      <x:c r="K159" s="47"/>
      <x:c r="L159" s="57" t="str">
        <x:f>IF(COUNTA(A159:K159)=0,"",IF(K159="CANCELLED","CANCELLED",IF(A159="","INVOICE ID REQUIRED",IF(B159="","PROJECT ID REQUIRED",IF(NOT(ISNUMBER(C159)),"INVALID INVOICE DATE",IF(NOT(AND(ISNUMBER(C159),C159&gt;=2,C159&lt;=2958465,C159=INT(C159))),"INVALID INVOICE DATE",IF(NOT(OR(D159="MX",D159="US")),"ENTITY REQUIRED",IF(NOT(OR(E159="Strategic Services",E159="Brands")),"UNIT REQUIRED",IF(F159="","BRAND / N/A REQUIRED",IF(NOT(OR(G159="USD",G159="MXN")),"CURRENCY REQUIRED",IF(NOT(ISNUMBER(H159)),"AMOUNT REQUIRED",IF(J159="","ERP SOURCE REQUIRED",IF(NOT(OR(K159="ISSUED",K159="CANCELLED")),"INVOICE STATUS REQUIRED",IF(COUNTIFS($A$2:$A$501,A159,$B$2:$B$501,B159,$D$2:$D$501,D159)&gt;1,"DUPLICATE INVOICE / PROJECT",IF(AND(G159="MXN",NOT(AND(ISNUMBER(I159),Settings!$B$8="APPROVED",Settings!$B$9&lt;&gt;"",Settings!$B$10&lt;&gt;""))),"FX HOLD","VALID")))))))))))))))</x:f>
      </x:c>
      <x:c r="M159" s="57" t="str">
        <x:f>IF(ISNUMBER(C159),IF(AND(ISNUMBER(C159),C159&gt;=2,C159&lt;=2958465,C159=INT(C159)),TEXT(C159,"yyyy-mm"),""),"")</x:f>
      </x:c>
      <x:c r="N159" s="59" t="str">
        <x:f>IF(L159="VALID",IF(G159="USD",H159,I159),"")</x:f>
      </x:c>
      <x:c r="O159" s="57" t="n">
        <x:f>IF(L159="VALID",IF(COUNTIFS($B$2:B159,B159,$M$2:M159,M159,$L$2:L159,"VALID")=1,1,0),0)</x:f>
        <x:v>0</x:v>
      </x:c>
    </x:row>
    <x:row r="160">
      <x:c r="A160" s="47"/>
      <x:c r="B160" s="47"/>
      <x:c r="C160" s="58"/>
      <x:c r="D160" s="47"/>
      <x:c r="E160" s="47"/>
      <x:c r="F160" s="47"/>
      <x:c r="G160" s="47"/>
      <x:c r="H160" s="48"/>
      <x:c r="I160" s="48"/>
      <x:c r="J160" s="47"/>
      <x:c r="K160" s="47"/>
      <x:c r="L160" s="57" t="str">
        <x:f>IF(COUNTA(A160:K160)=0,"",IF(K160="CANCELLED","CANCELLED",IF(A160="","INVOICE ID REQUIRED",IF(B160="","PROJECT ID REQUIRED",IF(NOT(ISNUMBER(C160)),"INVALID INVOICE DATE",IF(NOT(AND(ISNUMBER(C160),C160&gt;=2,C160&lt;=2958465,C160=INT(C160))),"INVALID INVOICE DATE",IF(NOT(OR(D160="MX",D160="US")),"ENTITY REQUIRED",IF(NOT(OR(E160="Strategic Services",E160="Brands")),"UNIT REQUIRED",IF(F160="","BRAND / N/A REQUIRED",IF(NOT(OR(G160="USD",G160="MXN")),"CURRENCY REQUIRED",IF(NOT(ISNUMBER(H160)),"AMOUNT REQUIRED",IF(J160="","ERP SOURCE REQUIRED",IF(NOT(OR(K160="ISSUED",K160="CANCELLED")),"INVOICE STATUS REQUIRED",IF(COUNTIFS($A$2:$A$501,A160,$B$2:$B$501,B160,$D$2:$D$501,D160)&gt;1,"DUPLICATE INVOICE / PROJECT",IF(AND(G160="MXN",NOT(AND(ISNUMBER(I160),Settings!$B$8="APPROVED",Settings!$B$9&lt;&gt;"",Settings!$B$10&lt;&gt;""))),"FX HOLD","VALID")))))))))))))))</x:f>
      </x:c>
      <x:c r="M160" s="57" t="str">
        <x:f>IF(ISNUMBER(C160),IF(AND(ISNUMBER(C160),C160&gt;=2,C160&lt;=2958465,C160=INT(C160)),TEXT(C160,"yyyy-mm"),""),"")</x:f>
      </x:c>
      <x:c r="N160" s="59" t="str">
        <x:f>IF(L160="VALID",IF(G160="USD",H160,I160),"")</x:f>
      </x:c>
      <x:c r="O160" s="57" t="n">
        <x:f>IF(L160="VALID",IF(COUNTIFS($B$2:B160,B160,$M$2:M160,M160,$L$2:L160,"VALID")=1,1,0),0)</x:f>
        <x:v>0</x:v>
      </x:c>
    </x:row>
    <x:row r="161">
      <x:c r="A161" s="47"/>
      <x:c r="B161" s="47"/>
      <x:c r="C161" s="58"/>
      <x:c r="D161" s="47"/>
      <x:c r="E161" s="47"/>
      <x:c r="F161" s="47"/>
      <x:c r="G161" s="47"/>
      <x:c r="H161" s="48"/>
      <x:c r="I161" s="48"/>
      <x:c r="J161" s="47"/>
      <x:c r="K161" s="47"/>
      <x:c r="L161" s="57" t="str">
        <x:f>IF(COUNTA(A161:K161)=0,"",IF(K161="CANCELLED","CANCELLED",IF(A161="","INVOICE ID REQUIRED",IF(B161="","PROJECT ID REQUIRED",IF(NOT(ISNUMBER(C161)),"INVALID INVOICE DATE",IF(NOT(AND(ISNUMBER(C161),C161&gt;=2,C161&lt;=2958465,C161=INT(C161))),"INVALID INVOICE DATE",IF(NOT(OR(D161="MX",D161="US")),"ENTITY REQUIRED",IF(NOT(OR(E161="Strategic Services",E161="Brands")),"UNIT REQUIRED",IF(F161="","BRAND / N/A REQUIRED",IF(NOT(OR(G161="USD",G161="MXN")),"CURRENCY REQUIRED",IF(NOT(ISNUMBER(H161)),"AMOUNT REQUIRED",IF(J161="","ERP SOURCE REQUIRED",IF(NOT(OR(K161="ISSUED",K161="CANCELLED")),"INVOICE STATUS REQUIRED",IF(COUNTIFS($A$2:$A$501,A161,$B$2:$B$501,B161,$D$2:$D$501,D161)&gt;1,"DUPLICATE INVOICE / PROJECT",IF(AND(G161="MXN",NOT(AND(ISNUMBER(I161),Settings!$B$8="APPROVED",Settings!$B$9&lt;&gt;"",Settings!$B$10&lt;&gt;""))),"FX HOLD","VALID")))))))))))))))</x:f>
      </x:c>
      <x:c r="M161" s="57" t="str">
        <x:f>IF(ISNUMBER(C161),IF(AND(ISNUMBER(C161),C161&gt;=2,C161&lt;=2958465,C161=INT(C161)),TEXT(C161,"yyyy-mm"),""),"")</x:f>
      </x:c>
      <x:c r="N161" s="59" t="str">
        <x:f>IF(L161="VALID",IF(G161="USD",H161,I161),"")</x:f>
      </x:c>
      <x:c r="O161" s="57" t="n">
        <x:f>IF(L161="VALID",IF(COUNTIFS($B$2:B161,B161,$M$2:M161,M161,$L$2:L161,"VALID")=1,1,0),0)</x:f>
        <x:v>0</x:v>
      </x:c>
    </x:row>
    <x:row r="162">
      <x:c r="A162" s="47"/>
      <x:c r="B162" s="47"/>
      <x:c r="C162" s="58"/>
      <x:c r="D162" s="47"/>
      <x:c r="E162" s="47"/>
      <x:c r="F162" s="47"/>
      <x:c r="G162" s="47"/>
      <x:c r="H162" s="48"/>
      <x:c r="I162" s="48"/>
      <x:c r="J162" s="47"/>
      <x:c r="K162" s="47"/>
      <x:c r="L162" s="57" t="str">
        <x:f>IF(COUNTA(A162:K162)=0,"",IF(K162="CANCELLED","CANCELLED",IF(A162="","INVOICE ID REQUIRED",IF(B162="","PROJECT ID REQUIRED",IF(NOT(ISNUMBER(C162)),"INVALID INVOICE DATE",IF(NOT(AND(ISNUMBER(C162),C162&gt;=2,C162&lt;=2958465,C162=INT(C162))),"INVALID INVOICE DATE",IF(NOT(OR(D162="MX",D162="US")),"ENTITY REQUIRED",IF(NOT(OR(E162="Strategic Services",E162="Brands")),"UNIT REQUIRED",IF(F162="","BRAND / N/A REQUIRED",IF(NOT(OR(G162="USD",G162="MXN")),"CURRENCY REQUIRED",IF(NOT(ISNUMBER(H162)),"AMOUNT REQUIRED",IF(J162="","ERP SOURCE REQUIRED",IF(NOT(OR(K162="ISSUED",K162="CANCELLED")),"INVOICE STATUS REQUIRED",IF(COUNTIFS($A$2:$A$501,A162,$B$2:$B$501,B162,$D$2:$D$501,D162)&gt;1,"DUPLICATE INVOICE / PROJECT",IF(AND(G162="MXN",NOT(AND(ISNUMBER(I162),Settings!$B$8="APPROVED",Settings!$B$9&lt;&gt;"",Settings!$B$10&lt;&gt;""))),"FX HOLD","VALID")))))))))))))))</x:f>
      </x:c>
      <x:c r="M162" s="57" t="str">
        <x:f>IF(ISNUMBER(C162),IF(AND(ISNUMBER(C162),C162&gt;=2,C162&lt;=2958465,C162=INT(C162)),TEXT(C162,"yyyy-mm"),""),"")</x:f>
      </x:c>
      <x:c r="N162" s="59" t="str">
        <x:f>IF(L162="VALID",IF(G162="USD",H162,I162),"")</x:f>
      </x:c>
      <x:c r="O162" s="57" t="n">
        <x:f>IF(L162="VALID",IF(COUNTIFS($B$2:B162,B162,$M$2:M162,M162,$L$2:L162,"VALID")=1,1,0),0)</x:f>
        <x:v>0</x:v>
      </x:c>
    </x:row>
    <x:row r="163">
      <x:c r="A163" s="47"/>
      <x:c r="B163" s="47"/>
      <x:c r="C163" s="58"/>
      <x:c r="D163" s="47"/>
      <x:c r="E163" s="47"/>
      <x:c r="F163" s="47"/>
      <x:c r="G163" s="47"/>
      <x:c r="H163" s="48"/>
      <x:c r="I163" s="48"/>
      <x:c r="J163" s="47"/>
      <x:c r="K163" s="47"/>
      <x:c r="L163" s="57" t="str">
        <x:f>IF(COUNTA(A163:K163)=0,"",IF(K163="CANCELLED","CANCELLED",IF(A163="","INVOICE ID REQUIRED",IF(B163="","PROJECT ID REQUIRED",IF(NOT(ISNUMBER(C163)),"INVALID INVOICE DATE",IF(NOT(AND(ISNUMBER(C163),C163&gt;=2,C163&lt;=2958465,C163=INT(C163))),"INVALID INVOICE DATE",IF(NOT(OR(D163="MX",D163="US")),"ENTITY REQUIRED",IF(NOT(OR(E163="Strategic Services",E163="Brands")),"UNIT REQUIRED",IF(F163="","BRAND / N/A REQUIRED",IF(NOT(OR(G163="USD",G163="MXN")),"CURRENCY REQUIRED",IF(NOT(ISNUMBER(H163)),"AMOUNT REQUIRED",IF(J163="","ERP SOURCE REQUIRED",IF(NOT(OR(K163="ISSUED",K163="CANCELLED")),"INVOICE STATUS REQUIRED",IF(COUNTIFS($A$2:$A$501,A163,$B$2:$B$501,B163,$D$2:$D$501,D163)&gt;1,"DUPLICATE INVOICE / PROJECT",IF(AND(G163="MXN",NOT(AND(ISNUMBER(I163),Settings!$B$8="APPROVED",Settings!$B$9&lt;&gt;"",Settings!$B$10&lt;&gt;""))),"FX HOLD","VALID")))))))))))))))</x:f>
      </x:c>
      <x:c r="M163" s="57" t="str">
        <x:f>IF(ISNUMBER(C163),IF(AND(ISNUMBER(C163),C163&gt;=2,C163&lt;=2958465,C163=INT(C163)),TEXT(C163,"yyyy-mm"),""),"")</x:f>
      </x:c>
      <x:c r="N163" s="59" t="str">
        <x:f>IF(L163="VALID",IF(G163="USD",H163,I163),"")</x:f>
      </x:c>
      <x:c r="O163" s="57" t="n">
        <x:f>IF(L163="VALID",IF(COUNTIFS($B$2:B163,B163,$M$2:M163,M163,$L$2:L163,"VALID")=1,1,0),0)</x:f>
        <x:v>0</x:v>
      </x:c>
    </x:row>
    <x:row r="164">
      <x:c r="A164" s="47"/>
      <x:c r="B164" s="47"/>
      <x:c r="C164" s="58"/>
      <x:c r="D164" s="47"/>
      <x:c r="E164" s="47"/>
      <x:c r="F164" s="47"/>
      <x:c r="G164" s="47"/>
      <x:c r="H164" s="48"/>
      <x:c r="I164" s="48"/>
      <x:c r="J164" s="47"/>
      <x:c r="K164" s="47"/>
      <x:c r="L164" s="57" t="str">
        <x:f>IF(COUNTA(A164:K164)=0,"",IF(K164="CANCELLED","CANCELLED",IF(A164="","INVOICE ID REQUIRED",IF(B164="","PROJECT ID REQUIRED",IF(NOT(ISNUMBER(C164)),"INVALID INVOICE DATE",IF(NOT(AND(ISNUMBER(C164),C164&gt;=2,C164&lt;=2958465,C164=INT(C164))),"INVALID INVOICE DATE",IF(NOT(OR(D164="MX",D164="US")),"ENTITY REQUIRED",IF(NOT(OR(E164="Strategic Services",E164="Brands")),"UNIT REQUIRED",IF(F164="","BRAND / N/A REQUIRED",IF(NOT(OR(G164="USD",G164="MXN")),"CURRENCY REQUIRED",IF(NOT(ISNUMBER(H164)),"AMOUNT REQUIRED",IF(J164="","ERP SOURCE REQUIRED",IF(NOT(OR(K164="ISSUED",K164="CANCELLED")),"INVOICE STATUS REQUIRED",IF(COUNTIFS($A$2:$A$501,A164,$B$2:$B$501,B164,$D$2:$D$501,D164)&gt;1,"DUPLICATE INVOICE / PROJECT",IF(AND(G164="MXN",NOT(AND(ISNUMBER(I164),Settings!$B$8="APPROVED",Settings!$B$9&lt;&gt;"",Settings!$B$10&lt;&gt;""))),"FX HOLD","VALID")))))))))))))))</x:f>
      </x:c>
      <x:c r="M164" s="57" t="str">
        <x:f>IF(ISNUMBER(C164),IF(AND(ISNUMBER(C164),C164&gt;=2,C164&lt;=2958465,C164=INT(C164)),TEXT(C164,"yyyy-mm"),""),"")</x:f>
      </x:c>
      <x:c r="N164" s="59" t="str">
        <x:f>IF(L164="VALID",IF(G164="USD",H164,I164),"")</x:f>
      </x:c>
      <x:c r="O164" s="57" t="n">
        <x:f>IF(L164="VALID",IF(COUNTIFS($B$2:B164,B164,$M$2:M164,M164,$L$2:L164,"VALID")=1,1,0),0)</x:f>
        <x:v>0</x:v>
      </x:c>
    </x:row>
    <x:row r="165">
      <x:c r="A165" s="47"/>
      <x:c r="B165" s="47"/>
      <x:c r="C165" s="58"/>
      <x:c r="D165" s="47"/>
      <x:c r="E165" s="47"/>
      <x:c r="F165" s="47"/>
      <x:c r="G165" s="47"/>
      <x:c r="H165" s="48"/>
      <x:c r="I165" s="48"/>
      <x:c r="J165" s="47"/>
      <x:c r="K165" s="47"/>
      <x:c r="L165" s="57" t="str">
        <x:f>IF(COUNTA(A165:K165)=0,"",IF(K165="CANCELLED","CANCELLED",IF(A165="","INVOICE ID REQUIRED",IF(B165="","PROJECT ID REQUIRED",IF(NOT(ISNUMBER(C165)),"INVALID INVOICE DATE",IF(NOT(AND(ISNUMBER(C165),C165&gt;=2,C165&lt;=2958465,C165=INT(C165))),"INVALID INVOICE DATE",IF(NOT(OR(D165="MX",D165="US")),"ENTITY REQUIRED",IF(NOT(OR(E165="Strategic Services",E165="Brands")),"UNIT REQUIRED",IF(F165="","BRAND / N/A REQUIRED",IF(NOT(OR(G165="USD",G165="MXN")),"CURRENCY REQUIRED",IF(NOT(ISNUMBER(H165)),"AMOUNT REQUIRED",IF(J165="","ERP SOURCE REQUIRED",IF(NOT(OR(K165="ISSUED",K165="CANCELLED")),"INVOICE STATUS REQUIRED",IF(COUNTIFS($A$2:$A$501,A165,$B$2:$B$501,B165,$D$2:$D$501,D165)&gt;1,"DUPLICATE INVOICE / PROJECT",IF(AND(G165="MXN",NOT(AND(ISNUMBER(I165),Settings!$B$8="APPROVED",Settings!$B$9&lt;&gt;"",Settings!$B$10&lt;&gt;""))),"FX HOLD","VALID")))))))))))))))</x:f>
      </x:c>
      <x:c r="M165" s="57" t="str">
        <x:f>IF(ISNUMBER(C165),IF(AND(ISNUMBER(C165),C165&gt;=2,C165&lt;=2958465,C165=INT(C165)),TEXT(C165,"yyyy-mm"),""),"")</x:f>
      </x:c>
      <x:c r="N165" s="59" t="str">
        <x:f>IF(L165="VALID",IF(G165="USD",H165,I165),"")</x:f>
      </x:c>
      <x:c r="O165" s="57" t="n">
        <x:f>IF(L165="VALID",IF(COUNTIFS($B$2:B165,B165,$M$2:M165,M165,$L$2:L165,"VALID")=1,1,0),0)</x:f>
        <x:v>0</x:v>
      </x:c>
    </x:row>
    <x:row r="166">
      <x:c r="A166" s="47"/>
      <x:c r="B166" s="47"/>
      <x:c r="C166" s="58"/>
      <x:c r="D166" s="47"/>
      <x:c r="E166" s="47"/>
      <x:c r="F166" s="47"/>
      <x:c r="G166" s="47"/>
      <x:c r="H166" s="48"/>
      <x:c r="I166" s="48"/>
      <x:c r="J166" s="47"/>
      <x:c r="K166" s="47"/>
      <x:c r="L166" s="57" t="str">
        <x:f>IF(COUNTA(A166:K166)=0,"",IF(K166="CANCELLED","CANCELLED",IF(A166="","INVOICE ID REQUIRED",IF(B166="","PROJECT ID REQUIRED",IF(NOT(ISNUMBER(C166)),"INVALID INVOICE DATE",IF(NOT(AND(ISNUMBER(C166),C166&gt;=2,C166&lt;=2958465,C166=INT(C166))),"INVALID INVOICE DATE",IF(NOT(OR(D166="MX",D166="US")),"ENTITY REQUIRED",IF(NOT(OR(E166="Strategic Services",E166="Brands")),"UNIT REQUIRED",IF(F166="","BRAND / N/A REQUIRED",IF(NOT(OR(G166="USD",G166="MXN")),"CURRENCY REQUIRED",IF(NOT(ISNUMBER(H166)),"AMOUNT REQUIRED",IF(J166="","ERP SOURCE REQUIRED",IF(NOT(OR(K166="ISSUED",K166="CANCELLED")),"INVOICE STATUS REQUIRED",IF(COUNTIFS($A$2:$A$501,A166,$B$2:$B$501,B166,$D$2:$D$501,D166)&gt;1,"DUPLICATE INVOICE / PROJECT",IF(AND(G166="MXN",NOT(AND(ISNUMBER(I166),Settings!$B$8="APPROVED",Settings!$B$9&lt;&gt;"",Settings!$B$10&lt;&gt;""))),"FX HOLD","VALID")))))))))))))))</x:f>
      </x:c>
      <x:c r="M166" s="57" t="str">
        <x:f>IF(ISNUMBER(C166),IF(AND(ISNUMBER(C166),C166&gt;=2,C166&lt;=2958465,C166=INT(C166)),TEXT(C166,"yyyy-mm"),""),"")</x:f>
      </x:c>
      <x:c r="N166" s="59" t="str">
        <x:f>IF(L166="VALID",IF(G166="USD",H166,I166),"")</x:f>
      </x:c>
      <x:c r="O166" s="57" t="n">
        <x:f>IF(L166="VALID",IF(COUNTIFS($B$2:B166,B166,$M$2:M166,M166,$L$2:L166,"VALID")=1,1,0),0)</x:f>
        <x:v>0</x:v>
      </x:c>
    </x:row>
    <x:row r="167">
      <x:c r="A167" s="47"/>
      <x:c r="B167" s="47"/>
      <x:c r="C167" s="58"/>
      <x:c r="D167" s="47"/>
      <x:c r="E167" s="47"/>
      <x:c r="F167" s="47"/>
      <x:c r="G167" s="47"/>
      <x:c r="H167" s="48"/>
      <x:c r="I167" s="48"/>
      <x:c r="J167" s="47"/>
      <x:c r="K167" s="47"/>
      <x:c r="L167" s="57" t="str">
        <x:f>IF(COUNTA(A167:K167)=0,"",IF(K167="CANCELLED","CANCELLED",IF(A167="","INVOICE ID REQUIRED",IF(B167="","PROJECT ID REQUIRED",IF(NOT(ISNUMBER(C167)),"INVALID INVOICE DATE",IF(NOT(AND(ISNUMBER(C167),C167&gt;=2,C167&lt;=2958465,C167=INT(C167))),"INVALID INVOICE DATE",IF(NOT(OR(D167="MX",D167="US")),"ENTITY REQUIRED",IF(NOT(OR(E167="Strategic Services",E167="Brands")),"UNIT REQUIRED",IF(F167="","BRAND / N/A REQUIRED",IF(NOT(OR(G167="USD",G167="MXN")),"CURRENCY REQUIRED",IF(NOT(ISNUMBER(H167)),"AMOUNT REQUIRED",IF(J167="","ERP SOURCE REQUIRED",IF(NOT(OR(K167="ISSUED",K167="CANCELLED")),"INVOICE STATUS REQUIRED",IF(COUNTIFS($A$2:$A$501,A167,$B$2:$B$501,B167,$D$2:$D$501,D167)&gt;1,"DUPLICATE INVOICE / PROJECT",IF(AND(G167="MXN",NOT(AND(ISNUMBER(I167),Settings!$B$8="APPROVED",Settings!$B$9&lt;&gt;"",Settings!$B$10&lt;&gt;""))),"FX HOLD","VALID")))))))))))))))</x:f>
      </x:c>
      <x:c r="M167" s="57" t="str">
        <x:f>IF(ISNUMBER(C167),IF(AND(ISNUMBER(C167),C167&gt;=2,C167&lt;=2958465,C167=INT(C167)),TEXT(C167,"yyyy-mm"),""),"")</x:f>
      </x:c>
      <x:c r="N167" s="59" t="str">
        <x:f>IF(L167="VALID",IF(G167="USD",H167,I167),"")</x:f>
      </x:c>
      <x:c r="O167" s="57" t="n">
        <x:f>IF(L167="VALID",IF(COUNTIFS($B$2:B167,B167,$M$2:M167,M167,$L$2:L167,"VALID")=1,1,0),0)</x:f>
        <x:v>0</x:v>
      </x:c>
    </x:row>
    <x:row r="168">
      <x:c r="A168" s="47"/>
      <x:c r="B168" s="47"/>
      <x:c r="C168" s="58"/>
      <x:c r="D168" s="47"/>
      <x:c r="E168" s="47"/>
      <x:c r="F168" s="47"/>
      <x:c r="G168" s="47"/>
      <x:c r="H168" s="48"/>
      <x:c r="I168" s="48"/>
      <x:c r="J168" s="47"/>
      <x:c r="K168" s="47"/>
      <x:c r="L168" s="57" t="str">
        <x:f>IF(COUNTA(A168:K168)=0,"",IF(K168="CANCELLED","CANCELLED",IF(A168="","INVOICE ID REQUIRED",IF(B168="","PROJECT ID REQUIRED",IF(NOT(ISNUMBER(C168)),"INVALID INVOICE DATE",IF(NOT(AND(ISNUMBER(C168),C168&gt;=2,C168&lt;=2958465,C168=INT(C168))),"INVALID INVOICE DATE",IF(NOT(OR(D168="MX",D168="US")),"ENTITY REQUIRED",IF(NOT(OR(E168="Strategic Services",E168="Brands")),"UNIT REQUIRED",IF(F168="","BRAND / N/A REQUIRED",IF(NOT(OR(G168="USD",G168="MXN")),"CURRENCY REQUIRED",IF(NOT(ISNUMBER(H168)),"AMOUNT REQUIRED",IF(J168="","ERP SOURCE REQUIRED",IF(NOT(OR(K168="ISSUED",K168="CANCELLED")),"INVOICE STATUS REQUIRED",IF(COUNTIFS($A$2:$A$501,A168,$B$2:$B$501,B168,$D$2:$D$501,D168)&gt;1,"DUPLICATE INVOICE / PROJECT",IF(AND(G168="MXN",NOT(AND(ISNUMBER(I168),Settings!$B$8="APPROVED",Settings!$B$9&lt;&gt;"",Settings!$B$10&lt;&gt;""))),"FX HOLD","VALID")))))))))))))))</x:f>
      </x:c>
      <x:c r="M168" s="57" t="str">
        <x:f>IF(ISNUMBER(C168),IF(AND(ISNUMBER(C168),C168&gt;=2,C168&lt;=2958465,C168=INT(C168)),TEXT(C168,"yyyy-mm"),""),"")</x:f>
      </x:c>
      <x:c r="N168" s="59" t="str">
        <x:f>IF(L168="VALID",IF(G168="USD",H168,I168),"")</x:f>
      </x:c>
      <x:c r="O168" s="57" t="n">
        <x:f>IF(L168="VALID",IF(COUNTIFS($B$2:B168,B168,$M$2:M168,M168,$L$2:L168,"VALID")=1,1,0),0)</x:f>
        <x:v>0</x:v>
      </x:c>
    </x:row>
    <x:row r="169">
      <x:c r="A169" s="47"/>
      <x:c r="B169" s="47"/>
      <x:c r="C169" s="58"/>
      <x:c r="D169" s="47"/>
      <x:c r="E169" s="47"/>
      <x:c r="F169" s="47"/>
      <x:c r="G169" s="47"/>
      <x:c r="H169" s="48"/>
      <x:c r="I169" s="48"/>
      <x:c r="J169" s="47"/>
      <x:c r="K169" s="47"/>
      <x:c r="L169" s="57" t="str">
        <x:f>IF(COUNTA(A169:K169)=0,"",IF(K169="CANCELLED","CANCELLED",IF(A169="","INVOICE ID REQUIRED",IF(B169="","PROJECT ID REQUIRED",IF(NOT(ISNUMBER(C169)),"INVALID INVOICE DATE",IF(NOT(AND(ISNUMBER(C169),C169&gt;=2,C169&lt;=2958465,C169=INT(C169))),"INVALID INVOICE DATE",IF(NOT(OR(D169="MX",D169="US")),"ENTITY REQUIRED",IF(NOT(OR(E169="Strategic Services",E169="Brands")),"UNIT REQUIRED",IF(F169="","BRAND / N/A REQUIRED",IF(NOT(OR(G169="USD",G169="MXN")),"CURRENCY REQUIRED",IF(NOT(ISNUMBER(H169)),"AMOUNT REQUIRED",IF(J169="","ERP SOURCE REQUIRED",IF(NOT(OR(K169="ISSUED",K169="CANCELLED")),"INVOICE STATUS REQUIRED",IF(COUNTIFS($A$2:$A$501,A169,$B$2:$B$501,B169,$D$2:$D$501,D169)&gt;1,"DUPLICATE INVOICE / PROJECT",IF(AND(G169="MXN",NOT(AND(ISNUMBER(I169),Settings!$B$8="APPROVED",Settings!$B$9&lt;&gt;"",Settings!$B$10&lt;&gt;""))),"FX HOLD","VALID")))))))))))))))</x:f>
      </x:c>
      <x:c r="M169" s="57" t="str">
        <x:f>IF(ISNUMBER(C169),IF(AND(ISNUMBER(C169),C169&gt;=2,C169&lt;=2958465,C169=INT(C169)),TEXT(C169,"yyyy-mm"),""),"")</x:f>
      </x:c>
      <x:c r="N169" s="59" t="str">
        <x:f>IF(L169="VALID",IF(G169="USD",H169,I169),"")</x:f>
      </x:c>
      <x:c r="O169" s="57" t="n">
        <x:f>IF(L169="VALID",IF(COUNTIFS($B$2:B169,B169,$M$2:M169,M169,$L$2:L169,"VALID")=1,1,0),0)</x:f>
        <x:v>0</x:v>
      </x:c>
    </x:row>
    <x:row r="170">
      <x:c r="A170" s="47"/>
      <x:c r="B170" s="47"/>
      <x:c r="C170" s="58"/>
      <x:c r="D170" s="47"/>
      <x:c r="E170" s="47"/>
      <x:c r="F170" s="47"/>
      <x:c r="G170" s="47"/>
      <x:c r="H170" s="48"/>
      <x:c r="I170" s="48"/>
      <x:c r="J170" s="47"/>
      <x:c r="K170" s="47"/>
      <x:c r="L170" s="57" t="str">
        <x:f>IF(COUNTA(A170:K170)=0,"",IF(K170="CANCELLED","CANCELLED",IF(A170="","INVOICE ID REQUIRED",IF(B170="","PROJECT ID REQUIRED",IF(NOT(ISNUMBER(C170)),"INVALID INVOICE DATE",IF(NOT(AND(ISNUMBER(C170),C170&gt;=2,C170&lt;=2958465,C170=INT(C170))),"INVALID INVOICE DATE",IF(NOT(OR(D170="MX",D170="US")),"ENTITY REQUIRED",IF(NOT(OR(E170="Strategic Services",E170="Brands")),"UNIT REQUIRED",IF(F170="","BRAND / N/A REQUIRED",IF(NOT(OR(G170="USD",G170="MXN")),"CURRENCY REQUIRED",IF(NOT(ISNUMBER(H170)),"AMOUNT REQUIRED",IF(J170="","ERP SOURCE REQUIRED",IF(NOT(OR(K170="ISSUED",K170="CANCELLED")),"INVOICE STATUS REQUIRED",IF(COUNTIFS($A$2:$A$501,A170,$B$2:$B$501,B170,$D$2:$D$501,D170)&gt;1,"DUPLICATE INVOICE / PROJECT",IF(AND(G170="MXN",NOT(AND(ISNUMBER(I170),Settings!$B$8="APPROVED",Settings!$B$9&lt;&gt;"",Settings!$B$10&lt;&gt;""))),"FX HOLD","VALID")))))))))))))))</x:f>
      </x:c>
      <x:c r="M170" s="57" t="str">
        <x:f>IF(ISNUMBER(C170),IF(AND(ISNUMBER(C170),C170&gt;=2,C170&lt;=2958465,C170=INT(C170)),TEXT(C170,"yyyy-mm"),""),"")</x:f>
      </x:c>
      <x:c r="N170" s="59" t="str">
        <x:f>IF(L170="VALID",IF(G170="USD",H170,I170),"")</x:f>
      </x:c>
      <x:c r="O170" s="57" t="n">
        <x:f>IF(L170="VALID",IF(COUNTIFS($B$2:B170,B170,$M$2:M170,M170,$L$2:L170,"VALID")=1,1,0),0)</x:f>
        <x:v>0</x:v>
      </x:c>
    </x:row>
    <x:row r="171">
      <x:c r="A171" s="47"/>
      <x:c r="B171" s="47"/>
      <x:c r="C171" s="58"/>
      <x:c r="D171" s="47"/>
      <x:c r="E171" s="47"/>
      <x:c r="F171" s="47"/>
      <x:c r="G171" s="47"/>
      <x:c r="H171" s="48"/>
      <x:c r="I171" s="48"/>
      <x:c r="J171" s="47"/>
      <x:c r="K171" s="47"/>
      <x:c r="L171" s="57" t="str">
        <x:f>IF(COUNTA(A171:K171)=0,"",IF(K171="CANCELLED","CANCELLED",IF(A171="","INVOICE ID REQUIRED",IF(B171="","PROJECT ID REQUIRED",IF(NOT(ISNUMBER(C171)),"INVALID INVOICE DATE",IF(NOT(AND(ISNUMBER(C171),C171&gt;=2,C171&lt;=2958465,C171=INT(C171))),"INVALID INVOICE DATE",IF(NOT(OR(D171="MX",D171="US")),"ENTITY REQUIRED",IF(NOT(OR(E171="Strategic Services",E171="Brands")),"UNIT REQUIRED",IF(F171="","BRAND / N/A REQUIRED",IF(NOT(OR(G171="USD",G171="MXN")),"CURRENCY REQUIRED",IF(NOT(ISNUMBER(H171)),"AMOUNT REQUIRED",IF(J171="","ERP SOURCE REQUIRED",IF(NOT(OR(K171="ISSUED",K171="CANCELLED")),"INVOICE STATUS REQUIRED",IF(COUNTIFS($A$2:$A$501,A171,$B$2:$B$501,B171,$D$2:$D$501,D171)&gt;1,"DUPLICATE INVOICE / PROJECT",IF(AND(G171="MXN",NOT(AND(ISNUMBER(I171),Settings!$B$8="APPROVED",Settings!$B$9&lt;&gt;"",Settings!$B$10&lt;&gt;""))),"FX HOLD","VALID")))))))))))))))</x:f>
      </x:c>
      <x:c r="M171" s="57" t="str">
        <x:f>IF(ISNUMBER(C171),IF(AND(ISNUMBER(C171),C171&gt;=2,C171&lt;=2958465,C171=INT(C171)),TEXT(C171,"yyyy-mm"),""),"")</x:f>
      </x:c>
      <x:c r="N171" s="59" t="str">
        <x:f>IF(L171="VALID",IF(G171="USD",H171,I171),"")</x:f>
      </x:c>
      <x:c r="O171" s="57" t="n">
        <x:f>IF(L171="VALID",IF(COUNTIFS($B$2:B171,B171,$M$2:M171,M171,$L$2:L171,"VALID")=1,1,0),0)</x:f>
        <x:v>0</x:v>
      </x:c>
    </x:row>
    <x:row r="172">
      <x:c r="A172" s="47"/>
      <x:c r="B172" s="47"/>
      <x:c r="C172" s="58"/>
      <x:c r="D172" s="47"/>
      <x:c r="E172" s="47"/>
      <x:c r="F172" s="47"/>
      <x:c r="G172" s="47"/>
      <x:c r="H172" s="48"/>
      <x:c r="I172" s="48"/>
      <x:c r="J172" s="47"/>
      <x:c r="K172" s="47"/>
      <x:c r="L172" s="57" t="str">
        <x:f>IF(COUNTA(A172:K172)=0,"",IF(K172="CANCELLED","CANCELLED",IF(A172="","INVOICE ID REQUIRED",IF(B172="","PROJECT ID REQUIRED",IF(NOT(ISNUMBER(C172)),"INVALID INVOICE DATE",IF(NOT(AND(ISNUMBER(C172),C172&gt;=2,C172&lt;=2958465,C172=INT(C172))),"INVALID INVOICE DATE",IF(NOT(OR(D172="MX",D172="US")),"ENTITY REQUIRED",IF(NOT(OR(E172="Strategic Services",E172="Brands")),"UNIT REQUIRED",IF(F172="","BRAND / N/A REQUIRED",IF(NOT(OR(G172="USD",G172="MXN")),"CURRENCY REQUIRED",IF(NOT(ISNUMBER(H172)),"AMOUNT REQUIRED",IF(J172="","ERP SOURCE REQUIRED",IF(NOT(OR(K172="ISSUED",K172="CANCELLED")),"INVOICE STATUS REQUIRED",IF(COUNTIFS($A$2:$A$501,A172,$B$2:$B$501,B172,$D$2:$D$501,D172)&gt;1,"DUPLICATE INVOICE / PROJECT",IF(AND(G172="MXN",NOT(AND(ISNUMBER(I172),Settings!$B$8="APPROVED",Settings!$B$9&lt;&gt;"",Settings!$B$10&lt;&gt;""))),"FX HOLD","VALID")))))))))))))))</x:f>
      </x:c>
      <x:c r="M172" s="57" t="str">
        <x:f>IF(ISNUMBER(C172),IF(AND(ISNUMBER(C172),C172&gt;=2,C172&lt;=2958465,C172=INT(C172)),TEXT(C172,"yyyy-mm"),""),"")</x:f>
      </x:c>
      <x:c r="N172" s="59" t="str">
        <x:f>IF(L172="VALID",IF(G172="USD",H172,I172),"")</x:f>
      </x:c>
      <x:c r="O172" s="57" t="n">
        <x:f>IF(L172="VALID",IF(COUNTIFS($B$2:B172,B172,$M$2:M172,M172,$L$2:L172,"VALID")=1,1,0),0)</x:f>
        <x:v>0</x:v>
      </x:c>
    </x:row>
    <x:row r="173">
      <x:c r="A173" s="47"/>
      <x:c r="B173" s="47"/>
      <x:c r="C173" s="58"/>
      <x:c r="D173" s="47"/>
      <x:c r="E173" s="47"/>
      <x:c r="F173" s="47"/>
      <x:c r="G173" s="47"/>
      <x:c r="H173" s="48"/>
      <x:c r="I173" s="48"/>
      <x:c r="J173" s="47"/>
      <x:c r="K173" s="47"/>
      <x:c r="L173" s="57" t="str">
        <x:f>IF(COUNTA(A173:K173)=0,"",IF(K173="CANCELLED","CANCELLED",IF(A173="","INVOICE ID REQUIRED",IF(B173="","PROJECT ID REQUIRED",IF(NOT(ISNUMBER(C173)),"INVALID INVOICE DATE",IF(NOT(AND(ISNUMBER(C173),C173&gt;=2,C173&lt;=2958465,C173=INT(C173))),"INVALID INVOICE DATE",IF(NOT(OR(D173="MX",D173="US")),"ENTITY REQUIRED",IF(NOT(OR(E173="Strategic Services",E173="Brands")),"UNIT REQUIRED",IF(F173="","BRAND / N/A REQUIRED",IF(NOT(OR(G173="USD",G173="MXN")),"CURRENCY REQUIRED",IF(NOT(ISNUMBER(H173)),"AMOUNT REQUIRED",IF(J173="","ERP SOURCE REQUIRED",IF(NOT(OR(K173="ISSUED",K173="CANCELLED")),"INVOICE STATUS REQUIRED",IF(COUNTIFS($A$2:$A$501,A173,$B$2:$B$501,B173,$D$2:$D$501,D173)&gt;1,"DUPLICATE INVOICE / PROJECT",IF(AND(G173="MXN",NOT(AND(ISNUMBER(I173),Settings!$B$8="APPROVED",Settings!$B$9&lt;&gt;"",Settings!$B$10&lt;&gt;""))),"FX HOLD","VALID")))))))))))))))</x:f>
      </x:c>
      <x:c r="M173" s="57" t="str">
        <x:f>IF(ISNUMBER(C173),IF(AND(ISNUMBER(C173),C173&gt;=2,C173&lt;=2958465,C173=INT(C173)),TEXT(C173,"yyyy-mm"),""),"")</x:f>
      </x:c>
      <x:c r="N173" s="59" t="str">
        <x:f>IF(L173="VALID",IF(G173="USD",H173,I173),"")</x:f>
      </x:c>
      <x:c r="O173" s="57" t="n">
        <x:f>IF(L173="VALID",IF(COUNTIFS($B$2:B173,B173,$M$2:M173,M173,$L$2:L173,"VALID")=1,1,0),0)</x:f>
        <x:v>0</x:v>
      </x:c>
    </x:row>
    <x:row r="174">
      <x:c r="A174" s="47"/>
      <x:c r="B174" s="47"/>
      <x:c r="C174" s="58"/>
      <x:c r="D174" s="47"/>
      <x:c r="E174" s="47"/>
      <x:c r="F174" s="47"/>
      <x:c r="G174" s="47"/>
      <x:c r="H174" s="48"/>
      <x:c r="I174" s="48"/>
      <x:c r="J174" s="47"/>
      <x:c r="K174" s="47"/>
      <x:c r="L174" s="57" t="str">
        <x:f>IF(COUNTA(A174:K174)=0,"",IF(K174="CANCELLED","CANCELLED",IF(A174="","INVOICE ID REQUIRED",IF(B174="","PROJECT ID REQUIRED",IF(NOT(ISNUMBER(C174)),"INVALID INVOICE DATE",IF(NOT(AND(ISNUMBER(C174),C174&gt;=2,C174&lt;=2958465,C174=INT(C174))),"INVALID INVOICE DATE",IF(NOT(OR(D174="MX",D174="US")),"ENTITY REQUIRED",IF(NOT(OR(E174="Strategic Services",E174="Brands")),"UNIT REQUIRED",IF(F174="","BRAND / N/A REQUIRED",IF(NOT(OR(G174="USD",G174="MXN")),"CURRENCY REQUIRED",IF(NOT(ISNUMBER(H174)),"AMOUNT REQUIRED",IF(J174="","ERP SOURCE REQUIRED",IF(NOT(OR(K174="ISSUED",K174="CANCELLED")),"INVOICE STATUS REQUIRED",IF(COUNTIFS($A$2:$A$501,A174,$B$2:$B$501,B174,$D$2:$D$501,D174)&gt;1,"DUPLICATE INVOICE / PROJECT",IF(AND(G174="MXN",NOT(AND(ISNUMBER(I174),Settings!$B$8="APPROVED",Settings!$B$9&lt;&gt;"",Settings!$B$10&lt;&gt;""))),"FX HOLD","VALID")))))))))))))))</x:f>
      </x:c>
      <x:c r="M174" s="57" t="str">
        <x:f>IF(ISNUMBER(C174),IF(AND(ISNUMBER(C174),C174&gt;=2,C174&lt;=2958465,C174=INT(C174)),TEXT(C174,"yyyy-mm"),""),"")</x:f>
      </x:c>
      <x:c r="N174" s="59" t="str">
        <x:f>IF(L174="VALID",IF(G174="USD",H174,I174),"")</x:f>
      </x:c>
      <x:c r="O174" s="57" t="n">
        <x:f>IF(L174="VALID",IF(COUNTIFS($B$2:B174,B174,$M$2:M174,M174,$L$2:L174,"VALID")=1,1,0),0)</x:f>
        <x:v>0</x:v>
      </x:c>
    </x:row>
    <x:row r="175">
      <x:c r="A175" s="47"/>
      <x:c r="B175" s="47"/>
      <x:c r="C175" s="58"/>
      <x:c r="D175" s="47"/>
      <x:c r="E175" s="47"/>
      <x:c r="F175" s="47"/>
      <x:c r="G175" s="47"/>
      <x:c r="H175" s="48"/>
      <x:c r="I175" s="48"/>
      <x:c r="J175" s="47"/>
      <x:c r="K175" s="47"/>
      <x:c r="L175" s="57" t="str">
        <x:f>IF(COUNTA(A175:K175)=0,"",IF(K175="CANCELLED","CANCELLED",IF(A175="","INVOICE ID REQUIRED",IF(B175="","PROJECT ID REQUIRED",IF(NOT(ISNUMBER(C175)),"INVALID INVOICE DATE",IF(NOT(AND(ISNUMBER(C175),C175&gt;=2,C175&lt;=2958465,C175=INT(C175))),"INVALID INVOICE DATE",IF(NOT(OR(D175="MX",D175="US")),"ENTITY REQUIRED",IF(NOT(OR(E175="Strategic Services",E175="Brands")),"UNIT REQUIRED",IF(F175="","BRAND / N/A REQUIRED",IF(NOT(OR(G175="USD",G175="MXN")),"CURRENCY REQUIRED",IF(NOT(ISNUMBER(H175)),"AMOUNT REQUIRED",IF(J175="","ERP SOURCE REQUIRED",IF(NOT(OR(K175="ISSUED",K175="CANCELLED")),"INVOICE STATUS REQUIRED",IF(COUNTIFS($A$2:$A$501,A175,$B$2:$B$501,B175,$D$2:$D$501,D175)&gt;1,"DUPLICATE INVOICE / PROJECT",IF(AND(G175="MXN",NOT(AND(ISNUMBER(I175),Settings!$B$8="APPROVED",Settings!$B$9&lt;&gt;"",Settings!$B$10&lt;&gt;""))),"FX HOLD","VALID")))))))))))))))</x:f>
      </x:c>
      <x:c r="M175" s="57" t="str">
        <x:f>IF(ISNUMBER(C175),IF(AND(ISNUMBER(C175),C175&gt;=2,C175&lt;=2958465,C175=INT(C175)),TEXT(C175,"yyyy-mm"),""),"")</x:f>
      </x:c>
      <x:c r="N175" s="59" t="str">
        <x:f>IF(L175="VALID",IF(G175="USD",H175,I175),"")</x:f>
      </x:c>
      <x:c r="O175" s="57" t="n">
        <x:f>IF(L175="VALID",IF(COUNTIFS($B$2:B175,B175,$M$2:M175,M175,$L$2:L175,"VALID")=1,1,0),0)</x:f>
        <x:v>0</x:v>
      </x:c>
    </x:row>
    <x:row r="176">
      <x:c r="A176" s="47"/>
      <x:c r="B176" s="47"/>
      <x:c r="C176" s="58"/>
      <x:c r="D176" s="47"/>
      <x:c r="E176" s="47"/>
      <x:c r="F176" s="47"/>
      <x:c r="G176" s="47"/>
      <x:c r="H176" s="48"/>
      <x:c r="I176" s="48"/>
      <x:c r="J176" s="47"/>
      <x:c r="K176" s="47"/>
      <x:c r="L176" s="57" t="str">
        <x:f>IF(COUNTA(A176:K176)=0,"",IF(K176="CANCELLED","CANCELLED",IF(A176="","INVOICE ID REQUIRED",IF(B176="","PROJECT ID REQUIRED",IF(NOT(ISNUMBER(C176)),"INVALID INVOICE DATE",IF(NOT(AND(ISNUMBER(C176),C176&gt;=2,C176&lt;=2958465,C176=INT(C176))),"INVALID INVOICE DATE",IF(NOT(OR(D176="MX",D176="US")),"ENTITY REQUIRED",IF(NOT(OR(E176="Strategic Services",E176="Brands")),"UNIT REQUIRED",IF(F176="","BRAND / N/A REQUIRED",IF(NOT(OR(G176="USD",G176="MXN")),"CURRENCY REQUIRED",IF(NOT(ISNUMBER(H176)),"AMOUNT REQUIRED",IF(J176="","ERP SOURCE REQUIRED",IF(NOT(OR(K176="ISSUED",K176="CANCELLED")),"INVOICE STATUS REQUIRED",IF(COUNTIFS($A$2:$A$501,A176,$B$2:$B$501,B176,$D$2:$D$501,D176)&gt;1,"DUPLICATE INVOICE / PROJECT",IF(AND(G176="MXN",NOT(AND(ISNUMBER(I176),Settings!$B$8="APPROVED",Settings!$B$9&lt;&gt;"",Settings!$B$10&lt;&gt;""))),"FX HOLD","VALID")))))))))))))))</x:f>
      </x:c>
      <x:c r="M176" s="57" t="str">
        <x:f>IF(ISNUMBER(C176),IF(AND(ISNUMBER(C176),C176&gt;=2,C176&lt;=2958465,C176=INT(C176)),TEXT(C176,"yyyy-mm"),""),"")</x:f>
      </x:c>
      <x:c r="N176" s="59" t="str">
        <x:f>IF(L176="VALID",IF(G176="USD",H176,I176),"")</x:f>
      </x:c>
      <x:c r="O176" s="57" t="n">
        <x:f>IF(L176="VALID",IF(COUNTIFS($B$2:B176,B176,$M$2:M176,M176,$L$2:L176,"VALID")=1,1,0),0)</x:f>
        <x:v>0</x:v>
      </x:c>
    </x:row>
    <x:row r="177">
      <x:c r="A177" s="47"/>
      <x:c r="B177" s="47"/>
      <x:c r="C177" s="58"/>
      <x:c r="D177" s="47"/>
      <x:c r="E177" s="47"/>
      <x:c r="F177" s="47"/>
      <x:c r="G177" s="47"/>
      <x:c r="H177" s="48"/>
      <x:c r="I177" s="48"/>
      <x:c r="J177" s="47"/>
      <x:c r="K177" s="47"/>
      <x:c r="L177" s="57" t="str">
        <x:f>IF(COUNTA(A177:K177)=0,"",IF(K177="CANCELLED","CANCELLED",IF(A177="","INVOICE ID REQUIRED",IF(B177="","PROJECT ID REQUIRED",IF(NOT(ISNUMBER(C177)),"INVALID INVOICE DATE",IF(NOT(AND(ISNUMBER(C177),C177&gt;=2,C177&lt;=2958465,C177=INT(C177))),"INVALID INVOICE DATE",IF(NOT(OR(D177="MX",D177="US")),"ENTITY REQUIRED",IF(NOT(OR(E177="Strategic Services",E177="Brands")),"UNIT REQUIRED",IF(F177="","BRAND / N/A REQUIRED",IF(NOT(OR(G177="USD",G177="MXN")),"CURRENCY REQUIRED",IF(NOT(ISNUMBER(H177)),"AMOUNT REQUIRED",IF(J177="","ERP SOURCE REQUIRED",IF(NOT(OR(K177="ISSUED",K177="CANCELLED")),"INVOICE STATUS REQUIRED",IF(COUNTIFS($A$2:$A$501,A177,$B$2:$B$501,B177,$D$2:$D$501,D177)&gt;1,"DUPLICATE INVOICE / PROJECT",IF(AND(G177="MXN",NOT(AND(ISNUMBER(I177),Settings!$B$8="APPROVED",Settings!$B$9&lt;&gt;"",Settings!$B$10&lt;&gt;""))),"FX HOLD","VALID")))))))))))))))</x:f>
      </x:c>
      <x:c r="M177" s="57" t="str">
        <x:f>IF(ISNUMBER(C177),IF(AND(ISNUMBER(C177),C177&gt;=2,C177&lt;=2958465,C177=INT(C177)),TEXT(C177,"yyyy-mm"),""),"")</x:f>
      </x:c>
      <x:c r="N177" s="59" t="str">
        <x:f>IF(L177="VALID",IF(G177="USD",H177,I177),"")</x:f>
      </x:c>
      <x:c r="O177" s="57" t="n">
        <x:f>IF(L177="VALID",IF(COUNTIFS($B$2:B177,B177,$M$2:M177,M177,$L$2:L177,"VALID")=1,1,0),0)</x:f>
        <x:v>0</x:v>
      </x:c>
    </x:row>
    <x:row r="178">
      <x:c r="A178" s="47"/>
      <x:c r="B178" s="47"/>
      <x:c r="C178" s="58"/>
      <x:c r="D178" s="47"/>
      <x:c r="E178" s="47"/>
      <x:c r="F178" s="47"/>
      <x:c r="G178" s="47"/>
      <x:c r="H178" s="48"/>
      <x:c r="I178" s="48"/>
      <x:c r="J178" s="47"/>
      <x:c r="K178" s="47"/>
      <x:c r="L178" s="57" t="str">
        <x:f>IF(COUNTA(A178:K178)=0,"",IF(K178="CANCELLED","CANCELLED",IF(A178="","INVOICE ID REQUIRED",IF(B178="","PROJECT ID REQUIRED",IF(NOT(ISNUMBER(C178)),"INVALID INVOICE DATE",IF(NOT(AND(ISNUMBER(C178),C178&gt;=2,C178&lt;=2958465,C178=INT(C178))),"INVALID INVOICE DATE",IF(NOT(OR(D178="MX",D178="US")),"ENTITY REQUIRED",IF(NOT(OR(E178="Strategic Services",E178="Brands")),"UNIT REQUIRED",IF(F178="","BRAND / N/A REQUIRED",IF(NOT(OR(G178="USD",G178="MXN")),"CURRENCY REQUIRED",IF(NOT(ISNUMBER(H178)),"AMOUNT REQUIRED",IF(J178="","ERP SOURCE REQUIRED",IF(NOT(OR(K178="ISSUED",K178="CANCELLED")),"INVOICE STATUS REQUIRED",IF(COUNTIFS($A$2:$A$501,A178,$B$2:$B$501,B178,$D$2:$D$501,D178)&gt;1,"DUPLICATE INVOICE / PROJECT",IF(AND(G178="MXN",NOT(AND(ISNUMBER(I178),Settings!$B$8="APPROVED",Settings!$B$9&lt;&gt;"",Settings!$B$10&lt;&gt;""))),"FX HOLD","VALID")))))))))))))))</x:f>
      </x:c>
      <x:c r="M178" s="57" t="str">
        <x:f>IF(ISNUMBER(C178),IF(AND(ISNUMBER(C178),C178&gt;=2,C178&lt;=2958465,C178=INT(C178)),TEXT(C178,"yyyy-mm"),""),"")</x:f>
      </x:c>
      <x:c r="N178" s="59" t="str">
        <x:f>IF(L178="VALID",IF(G178="USD",H178,I178),"")</x:f>
      </x:c>
      <x:c r="O178" s="57" t="n">
        <x:f>IF(L178="VALID",IF(COUNTIFS($B$2:B178,B178,$M$2:M178,M178,$L$2:L178,"VALID")=1,1,0),0)</x:f>
        <x:v>0</x:v>
      </x:c>
    </x:row>
    <x:row r="179">
      <x:c r="A179" s="47"/>
      <x:c r="B179" s="47"/>
      <x:c r="C179" s="58"/>
      <x:c r="D179" s="47"/>
      <x:c r="E179" s="47"/>
      <x:c r="F179" s="47"/>
      <x:c r="G179" s="47"/>
      <x:c r="H179" s="48"/>
      <x:c r="I179" s="48"/>
      <x:c r="J179" s="47"/>
      <x:c r="K179" s="47"/>
      <x:c r="L179" s="57" t="str">
        <x:f>IF(COUNTA(A179:K179)=0,"",IF(K179="CANCELLED","CANCELLED",IF(A179="","INVOICE ID REQUIRED",IF(B179="","PROJECT ID REQUIRED",IF(NOT(ISNUMBER(C179)),"INVALID INVOICE DATE",IF(NOT(AND(ISNUMBER(C179),C179&gt;=2,C179&lt;=2958465,C179=INT(C179))),"INVALID INVOICE DATE",IF(NOT(OR(D179="MX",D179="US")),"ENTITY REQUIRED",IF(NOT(OR(E179="Strategic Services",E179="Brands")),"UNIT REQUIRED",IF(F179="","BRAND / N/A REQUIRED",IF(NOT(OR(G179="USD",G179="MXN")),"CURRENCY REQUIRED",IF(NOT(ISNUMBER(H179)),"AMOUNT REQUIRED",IF(J179="","ERP SOURCE REQUIRED",IF(NOT(OR(K179="ISSUED",K179="CANCELLED")),"INVOICE STATUS REQUIRED",IF(COUNTIFS($A$2:$A$501,A179,$B$2:$B$501,B179,$D$2:$D$501,D179)&gt;1,"DUPLICATE INVOICE / PROJECT",IF(AND(G179="MXN",NOT(AND(ISNUMBER(I179),Settings!$B$8="APPROVED",Settings!$B$9&lt;&gt;"",Settings!$B$10&lt;&gt;""))),"FX HOLD","VALID")))))))))))))))</x:f>
      </x:c>
      <x:c r="M179" s="57" t="str">
        <x:f>IF(ISNUMBER(C179),IF(AND(ISNUMBER(C179),C179&gt;=2,C179&lt;=2958465,C179=INT(C179)),TEXT(C179,"yyyy-mm"),""),"")</x:f>
      </x:c>
      <x:c r="N179" s="59" t="str">
        <x:f>IF(L179="VALID",IF(G179="USD",H179,I179),"")</x:f>
      </x:c>
      <x:c r="O179" s="57" t="n">
        <x:f>IF(L179="VALID",IF(COUNTIFS($B$2:B179,B179,$M$2:M179,M179,$L$2:L179,"VALID")=1,1,0),0)</x:f>
        <x:v>0</x:v>
      </x:c>
    </x:row>
    <x:row r="180">
      <x:c r="A180" s="47"/>
      <x:c r="B180" s="47"/>
      <x:c r="C180" s="58"/>
      <x:c r="D180" s="47"/>
      <x:c r="E180" s="47"/>
      <x:c r="F180" s="47"/>
      <x:c r="G180" s="47"/>
      <x:c r="H180" s="48"/>
      <x:c r="I180" s="48"/>
      <x:c r="J180" s="47"/>
      <x:c r="K180" s="47"/>
      <x:c r="L180" s="57" t="str">
        <x:f>IF(COUNTA(A180:K180)=0,"",IF(K180="CANCELLED","CANCELLED",IF(A180="","INVOICE ID REQUIRED",IF(B180="","PROJECT ID REQUIRED",IF(NOT(ISNUMBER(C180)),"INVALID INVOICE DATE",IF(NOT(AND(ISNUMBER(C180),C180&gt;=2,C180&lt;=2958465,C180=INT(C180))),"INVALID INVOICE DATE",IF(NOT(OR(D180="MX",D180="US")),"ENTITY REQUIRED",IF(NOT(OR(E180="Strategic Services",E180="Brands")),"UNIT REQUIRED",IF(F180="","BRAND / N/A REQUIRED",IF(NOT(OR(G180="USD",G180="MXN")),"CURRENCY REQUIRED",IF(NOT(ISNUMBER(H180)),"AMOUNT REQUIRED",IF(J180="","ERP SOURCE REQUIRED",IF(NOT(OR(K180="ISSUED",K180="CANCELLED")),"INVOICE STATUS REQUIRED",IF(COUNTIFS($A$2:$A$501,A180,$B$2:$B$501,B180,$D$2:$D$501,D180)&gt;1,"DUPLICATE INVOICE / PROJECT",IF(AND(G180="MXN",NOT(AND(ISNUMBER(I180),Settings!$B$8="APPROVED",Settings!$B$9&lt;&gt;"",Settings!$B$10&lt;&gt;""))),"FX HOLD","VALID")))))))))))))))</x:f>
      </x:c>
      <x:c r="M180" s="57" t="str">
        <x:f>IF(ISNUMBER(C180),IF(AND(ISNUMBER(C180),C180&gt;=2,C180&lt;=2958465,C180=INT(C180)),TEXT(C180,"yyyy-mm"),""),"")</x:f>
      </x:c>
      <x:c r="N180" s="59" t="str">
        <x:f>IF(L180="VALID",IF(G180="USD",H180,I180),"")</x:f>
      </x:c>
      <x:c r="O180" s="57" t="n">
        <x:f>IF(L180="VALID",IF(COUNTIFS($B$2:B180,B180,$M$2:M180,M180,$L$2:L180,"VALID")=1,1,0),0)</x:f>
        <x:v>0</x:v>
      </x:c>
    </x:row>
    <x:row r="181">
      <x:c r="A181" s="47"/>
      <x:c r="B181" s="47"/>
      <x:c r="C181" s="58"/>
      <x:c r="D181" s="47"/>
      <x:c r="E181" s="47"/>
      <x:c r="F181" s="47"/>
      <x:c r="G181" s="47"/>
      <x:c r="H181" s="48"/>
      <x:c r="I181" s="48"/>
      <x:c r="J181" s="47"/>
      <x:c r="K181" s="47"/>
      <x:c r="L181" s="57" t="str">
        <x:f>IF(COUNTA(A181:K181)=0,"",IF(K181="CANCELLED","CANCELLED",IF(A181="","INVOICE ID REQUIRED",IF(B181="","PROJECT ID REQUIRED",IF(NOT(ISNUMBER(C181)),"INVALID INVOICE DATE",IF(NOT(AND(ISNUMBER(C181),C181&gt;=2,C181&lt;=2958465,C181=INT(C181))),"INVALID INVOICE DATE",IF(NOT(OR(D181="MX",D181="US")),"ENTITY REQUIRED",IF(NOT(OR(E181="Strategic Services",E181="Brands")),"UNIT REQUIRED",IF(F181="","BRAND / N/A REQUIRED",IF(NOT(OR(G181="USD",G181="MXN")),"CURRENCY REQUIRED",IF(NOT(ISNUMBER(H181)),"AMOUNT REQUIRED",IF(J181="","ERP SOURCE REQUIRED",IF(NOT(OR(K181="ISSUED",K181="CANCELLED")),"INVOICE STATUS REQUIRED",IF(COUNTIFS($A$2:$A$501,A181,$B$2:$B$501,B181,$D$2:$D$501,D181)&gt;1,"DUPLICATE INVOICE / PROJECT",IF(AND(G181="MXN",NOT(AND(ISNUMBER(I181),Settings!$B$8="APPROVED",Settings!$B$9&lt;&gt;"",Settings!$B$10&lt;&gt;""))),"FX HOLD","VALID")))))))))))))))</x:f>
      </x:c>
      <x:c r="M181" s="57" t="str">
        <x:f>IF(ISNUMBER(C181),IF(AND(ISNUMBER(C181),C181&gt;=2,C181&lt;=2958465,C181=INT(C181)),TEXT(C181,"yyyy-mm"),""),"")</x:f>
      </x:c>
      <x:c r="N181" s="59" t="str">
        <x:f>IF(L181="VALID",IF(G181="USD",H181,I181),"")</x:f>
      </x:c>
      <x:c r="O181" s="57" t="n">
        <x:f>IF(L181="VALID",IF(COUNTIFS($B$2:B181,B181,$M$2:M181,M181,$L$2:L181,"VALID")=1,1,0),0)</x:f>
        <x:v>0</x:v>
      </x:c>
    </x:row>
    <x:row r="182">
      <x:c r="A182" s="47"/>
      <x:c r="B182" s="47"/>
      <x:c r="C182" s="58"/>
      <x:c r="D182" s="47"/>
      <x:c r="E182" s="47"/>
      <x:c r="F182" s="47"/>
      <x:c r="G182" s="47"/>
      <x:c r="H182" s="48"/>
      <x:c r="I182" s="48"/>
      <x:c r="J182" s="47"/>
      <x:c r="K182" s="47"/>
      <x:c r="L182" s="57" t="str">
        <x:f>IF(COUNTA(A182:K182)=0,"",IF(K182="CANCELLED","CANCELLED",IF(A182="","INVOICE ID REQUIRED",IF(B182="","PROJECT ID REQUIRED",IF(NOT(ISNUMBER(C182)),"INVALID INVOICE DATE",IF(NOT(AND(ISNUMBER(C182),C182&gt;=2,C182&lt;=2958465,C182=INT(C182))),"INVALID INVOICE DATE",IF(NOT(OR(D182="MX",D182="US")),"ENTITY REQUIRED",IF(NOT(OR(E182="Strategic Services",E182="Brands")),"UNIT REQUIRED",IF(F182="","BRAND / N/A REQUIRED",IF(NOT(OR(G182="USD",G182="MXN")),"CURRENCY REQUIRED",IF(NOT(ISNUMBER(H182)),"AMOUNT REQUIRED",IF(J182="","ERP SOURCE REQUIRED",IF(NOT(OR(K182="ISSUED",K182="CANCELLED")),"INVOICE STATUS REQUIRED",IF(COUNTIFS($A$2:$A$501,A182,$B$2:$B$501,B182,$D$2:$D$501,D182)&gt;1,"DUPLICATE INVOICE / PROJECT",IF(AND(G182="MXN",NOT(AND(ISNUMBER(I182),Settings!$B$8="APPROVED",Settings!$B$9&lt;&gt;"",Settings!$B$10&lt;&gt;""))),"FX HOLD","VALID")))))))))))))))</x:f>
      </x:c>
      <x:c r="M182" s="57" t="str">
        <x:f>IF(ISNUMBER(C182),IF(AND(ISNUMBER(C182),C182&gt;=2,C182&lt;=2958465,C182=INT(C182)),TEXT(C182,"yyyy-mm"),""),"")</x:f>
      </x:c>
      <x:c r="N182" s="59" t="str">
        <x:f>IF(L182="VALID",IF(G182="USD",H182,I182),"")</x:f>
      </x:c>
      <x:c r="O182" s="57" t="n">
        <x:f>IF(L182="VALID",IF(COUNTIFS($B$2:B182,B182,$M$2:M182,M182,$L$2:L182,"VALID")=1,1,0),0)</x:f>
        <x:v>0</x:v>
      </x:c>
    </x:row>
    <x:row r="183">
      <x:c r="A183" s="47"/>
      <x:c r="B183" s="47"/>
      <x:c r="C183" s="58"/>
      <x:c r="D183" s="47"/>
      <x:c r="E183" s="47"/>
      <x:c r="F183" s="47"/>
      <x:c r="G183" s="47"/>
      <x:c r="H183" s="48"/>
      <x:c r="I183" s="48"/>
      <x:c r="J183" s="47"/>
      <x:c r="K183" s="47"/>
      <x:c r="L183" s="57" t="str">
        <x:f>IF(COUNTA(A183:K183)=0,"",IF(K183="CANCELLED","CANCELLED",IF(A183="","INVOICE ID REQUIRED",IF(B183="","PROJECT ID REQUIRED",IF(NOT(ISNUMBER(C183)),"INVALID INVOICE DATE",IF(NOT(AND(ISNUMBER(C183),C183&gt;=2,C183&lt;=2958465,C183=INT(C183))),"INVALID INVOICE DATE",IF(NOT(OR(D183="MX",D183="US")),"ENTITY REQUIRED",IF(NOT(OR(E183="Strategic Services",E183="Brands")),"UNIT REQUIRED",IF(F183="","BRAND / N/A REQUIRED",IF(NOT(OR(G183="USD",G183="MXN")),"CURRENCY REQUIRED",IF(NOT(ISNUMBER(H183)),"AMOUNT REQUIRED",IF(J183="","ERP SOURCE REQUIRED",IF(NOT(OR(K183="ISSUED",K183="CANCELLED")),"INVOICE STATUS REQUIRED",IF(COUNTIFS($A$2:$A$501,A183,$B$2:$B$501,B183,$D$2:$D$501,D183)&gt;1,"DUPLICATE INVOICE / PROJECT",IF(AND(G183="MXN",NOT(AND(ISNUMBER(I183),Settings!$B$8="APPROVED",Settings!$B$9&lt;&gt;"",Settings!$B$10&lt;&gt;""))),"FX HOLD","VALID")))))))))))))))</x:f>
      </x:c>
      <x:c r="M183" s="57" t="str">
        <x:f>IF(ISNUMBER(C183),IF(AND(ISNUMBER(C183),C183&gt;=2,C183&lt;=2958465,C183=INT(C183)),TEXT(C183,"yyyy-mm"),""),"")</x:f>
      </x:c>
      <x:c r="N183" s="59" t="str">
        <x:f>IF(L183="VALID",IF(G183="USD",H183,I183),"")</x:f>
      </x:c>
      <x:c r="O183" s="57" t="n">
        <x:f>IF(L183="VALID",IF(COUNTIFS($B$2:B183,B183,$M$2:M183,M183,$L$2:L183,"VALID")=1,1,0),0)</x:f>
        <x:v>0</x:v>
      </x:c>
    </x:row>
    <x:row r="184">
      <x:c r="A184" s="47"/>
      <x:c r="B184" s="47"/>
      <x:c r="C184" s="58"/>
      <x:c r="D184" s="47"/>
      <x:c r="E184" s="47"/>
      <x:c r="F184" s="47"/>
      <x:c r="G184" s="47"/>
      <x:c r="H184" s="48"/>
      <x:c r="I184" s="48"/>
      <x:c r="J184" s="47"/>
      <x:c r="K184" s="47"/>
      <x:c r="L184" s="57" t="str">
        <x:f>IF(COUNTA(A184:K184)=0,"",IF(K184="CANCELLED","CANCELLED",IF(A184="","INVOICE ID REQUIRED",IF(B184="","PROJECT ID REQUIRED",IF(NOT(ISNUMBER(C184)),"INVALID INVOICE DATE",IF(NOT(AND(ISNUMBER(C184),C184&gt;=2,C184&lt;=2958465,C184=INT(C184))),"INVALID INVOICE DATE",IF(NOT(OR(D184="MX",D184="US")),"ENTITY REQUIRED",IF(NOT(OR(E184="Strategic Services",E184="Brands")),"UNIT REQUIRED",IF(F184="","BRAND / N/A REQUIRED",IF(NOT(OR(G184="USD",G184="MXN")),"CURRENCY REQUIRED",IF(NOT(ISNUMBER(H184)),"AMOUNT REQUIRED",IF(J184="","ERP SOURCE REQUIRED",IF(NOT(OR(K184="ISSUED",K184="CANCELLED")),"INVOICE STATUS REQUIRED",IF(COUNTIFS($A$2:$A$501,A184,$B$2:$B$501,B184,$D$2:$D$501,D184)&gt;1,"DUPLICATE INVOICE / PROJECT",IF(AND(G184="MXN",NOT(AND(ISNUMBER(I184),Settings!$B$8="APPROVED",Settings!$B$9&lt;&gt;"",Settings!$B$10&lt;&gt;""))),"FX HOLD","VALID")))))))))))))))</x:f>
      </x:c>
      <x:c r="M184" s="57" t="str">
        <x:f>IF(ISNUMBER(C184),IF(AND(ISNUMBER(C184),C184&gt;=2,C184&lt;=2958465,C184=INT(C184)),TEXT(C184,"yyyy-mm"),""),"")</x:f>
      </x:c>
      <x:c r="N184" s="59" t="str">
        <x:f>IF(L184="VALID",IF(G184="USD",H184,I184),"")</x:f>
      </x:c>
      <x:c r="O184" s="57" t="n">
        <x:f>IF(L184="VALID",IF(COUNTIFS($B$2:B184,B184,$M$2:M184,M184,$L$2:L184,"VALID")=1,1,0),0)</x:f>
        <x:v>0</x:v>
      </x:c>
    </x:row>
    <x:row r="185">
      <x:c r="A185" s="47"/>
      <x:c r="B185" s="47"/>
      <x:c r="C185" s="58"/>
      <x:c r="D185" s="47"/>
      <x:c r="E185" s="47"/>
      <x:c r="F185" s="47"/>
      <x:c r="G185" s="47"/>
      <x:c r="H185" s="48"/>
      <x:c r="I185" s="48"/>
      <x:c r="J185" s="47"/>
      <x:c r="K185" s="47"/>
      <x:c r="L185" s="57" t="str">
        <x:f>IF(COUNTA(A185:K185)=0,"",IF(K185="CANCELLED","CANCELLED",IF(A185="","INVOICE ID REQUIRED",IF(B185="","PROJECT ID REQUIRED",IF(NOT(ISNUMBER(C185)),"INVALID INVOICE DATE",IF(NOT(AND(ISNUMBER(C185),C185&gt;=2,C185&lt;=2958465,C185=INT(C185))),"INVALID INVOICE DATE",IF(NOT(OR(D185="MX",D185="US")),"ENTITY REQUIRED",IF(NOT(OR(E185="Strategic Services",E185="Brands")),"UNIT REQUIRED",IF(F185="","BRAND / N/A REQUIRED",IF(NOT(OR(G185="USD",G185="MXN")),"CURRENCY REQUIRED",IF(NOT(ISNUMBER(H185)),"AMOUNT REQUIRED",IF(J185="","ERP SOURCE REQUIRED",IF(NOT(OR(K185="ISSUED",K185="CANCELLED")),"INVOICE STATUS REQUIRED",IF(COUNTIFS($A$2:$A$501,A185,$B$2:$B$501,B185,$D$2:$D$501,D185)&gt;1,"DUPLICATE INVOICE / PROJECT",IF(AND(G185="MXN",NOT(AND(ISNUMBER(I185),Settings!$B$8="APPROVED",Settings!$B$9&lt;&gt;"",Settings!$B$10&lt;&gt;""))),"FX HOLD","VALID")))))))))))))))</x:f>
      </x:c>
      <x:c r="M185" s="57" t="str">
        <x:f>IF(ISNUMBER(C185),IF(AND(ISNUMBER(C185),C185&gt;=2,C185&lt;=2958465,C185=INT(C185)),TEXT(C185,"yyyy-mm"),""),"")</x:f>
      </x:c>
      <x:c r="N185" s="59" t="str">
        <x:f>IF(L185="VALID",IF(G185="USD",H185,I185),"")</x:f>
      </x:c>
      <x:c r="O185" s="57" t="n">
        <x:f>IF(L185="VALID",IF(COUNTIFS($B$2:B185,B185,$M$2:M185,M185,$L$2:L185,"VALID")=1,1,0),0)</x:f>
        <x:v>0</x:v>
      </x:c>
    </x:row>
    <x:row r="186">
      <x:c r="A186" s="47"/>
      <x:c r="B186" s="47"/>
      <x:c r="C186" s="58"/>
      <x:c r="D186" s="47"/>
      <x:c r="E186" s="47"/>
      <x:c r="F186" s="47"/>
      <x:c r="G186" s="47"/>
      <x:c r="H186" s="48"/>
      <x:c r="I186" s="48"/>
      <x:c r="J186" s="47"/>
      <x:c r="K186" s="47"/>
      <x:c r="L186" s="57" t="str">
        <x:f>IF(COUNTA(A186:K186)=0,"",IF(K186="CANCELLED","CANCELLED",IF(A186="","INVOICE ID REQUIRED",IF(B186="","PROJECT ID REQUIRED",IF(NOT(ISNUMBER(C186)),"INVALID INVOICE DATE",IF(NOT(AND(ISNUMBER(C186),C186&gt;=2,C186&lt;=2958465,C186=INT(C186))),"INVALID INVOICE DATE",IF(NOT(OR(D186="MX",D186="US")),"ENTITY REQUIRED",IF(NOT(OR(E186="Strategic Services",E186="Brands")),"UNIT REQUIRED",IF(F186="","BRAND / N/A REQUIRED",IF(NOT(OR(G186="USD",G186="MXN")),"CURRENCY REQUIRED",IF(NOT(ISNUMBER(H186)),"AMOUNT REQUIRED",IF(J186="","ERP SOURCE REQUIRED",IF(NOT(OR(K186="ISSUED",K186="CANCELLED")),"INVOICE STATUS REQUIRED",IF(COUNTIFS($A$2:$A$501,A186,$B$2:$B$501,B186,$D$2:$D$501,D186)&gt;1,"DUPLICATE INVOICE / PROJECT",IF(AND(G186="MXN",NOT(AND(ISNUMBER(I186),Settings!$B$8="APPROVED",Settings!$B$9&lt;&gt;"",Settings!$B$10&lt;&gt;""))),"FX HOLD","VALID")))))))))))))))</x:f>
      </x:c>
      <x:c r="M186" s="57" t="str">
        <x:f>IF(ISNUMBER(C186),IF(AND(ISNUMBER(C186),C186&gt;=2,C186&lt;=2958465,C186=INT(C186)),TEXT(C186,"yyyy-mm"),""),"")</x:f>
      </x:c>
      <x:c r="N186" s="59" t="str">
        <x:f>IF(L186="VALID",IF(G186="USD",H186,I186),"")</x:f>
      </x:c>
      <x:c r="O186" s="57" t="n">
        <x:f>IF(L186="VALID",IF(COUNTIFS($B$2:B186,B186,$M$2:M186,M186,$L$2:L186,"VALID")=1,1,0),0)</x:f>
        <x:v>0</x:v>
      </x:c>
    </x:row>
    <x:row r="187">
      <x:c r="A187" s="47"/>
      <x:c r="B187" s="47"/>
      <x:c r="C187" s="58"/>
      <x:c r="D187" s="47"/>
      <x:c r="E187" s="47"/>
      <x:c r="F187" s="47"/>
      <x:c r="G187" s="47"/>
      <x:c r="H187" s="48"/>
      <x:c r="I187" s="48"/>
      <x:c r="J187" s="47"/>
      <x:c r="K187" s="47"/>
      <x:c r="L187" s="57" t="str">
        <x:f>IF(COUNTA(A187:K187)=0,"",IF(K187="CANCELLED","CANCELLED",IF(A187="","INVOICE ID REQUIRED",IF(B187="","PROJECT ID REQUIRED",IF(NOT(ISNUMBER(C187)),"INVALID INVOICE DATE",IF(NOT(AND(ISNUMBER(C187),C187&gt;=2,C187&lt;=2958465,C187=INT(C187))),"INVALID INVOICE DATE",IF(NOT(OR(D187="MX",D187="US")),"ENTITY REQUIRED",IF(NOT(OR(E187="Strategic Services",E187="Brands")),"UNIT REQUIRED",IF(F187="","BRAND / N/A REQUIRED",IF(NOT(OR(G187="USD",G187="MXN")),"CURRENCY REQUIRED",IF(NOT(ISNUMBER(H187)),"AMOUNT REQUIRED",IF(J187="","ERP SOURCE REQUIRED",IF(NOT(OR(K187="ISSUED",K187="CANCELLED")),"INVOICE STATUS REQUIRED",IF(COUNTIFS($A$2:$A$501,A187,$B$2:$B$501,B187,$D$2:$D$501,D187)&gt;1,"DUPLICATE INVOICE / PROJECT",IF(AND(G187="MXN",NOT(AND(ISNUMBER(I187),Settings!$B$8="APPROVED",Settings!$B$9&lt;&gt;"",Settings!$B$10&lt;&gt;""))),"FX HOLD","VALID")))))))))))))))</x:f>
      </x:c>
      <x:c r="M187" s="57" t="str">
        <x:f>IF(ISNUMBER(C187),IF(AND(ISNUMBER(C187),C187&gt;=2,C187&lt;=2958465,C187=INT(C187)),TEXT(C187,"yyyy-mm"),""),"")</x:f>
      </x:c>
      <x:c r="N187" s="59" t="str">
        <x:f>IF(L187="VALID",IF(G187="USD",H187,I187),"")</x:f>
      </x:c>
      <x:c r="O187" s="57" t="n">
        <x:f>IF(L187="VALID",IF(COUNTIFS($B$2:B187,B187,$M$2:M187,M187,$L$2:L187,"VALID")=1,1,0),0)</x:f>
        <x:v>0</x:v>
      </x:c>
    </x:row>
    <x:row r="188">
      <x:c r="A188" s="47"/>
      <x:c r="B188" s="47"/>
      <x:c r="C188" s="58"/>
      <x:c r="D188" s="47"/>
      <x:c r="E188" s="47"/>
      <x:c r="F188" s="47"/>
      <x:c r="G188" s="47"/>
      <x:c r="H188" s="48"/>
      <x:c r="I188" s="48"/>
      <x:c r="J188" s="47"/>
      <x:c r="K188" s="47"/>
      <x:c r="L188" s="57" t="str">
        <x:f>IF(COUNTA(A188:K188)=0,"",IF(K188="CANCELLED","CANCELLED",IF(A188="","INVOICE ID REQUIRED",IF(B188="","PROJECT ID REQUIRED",IF(NOT(ISNUMBER(C188)),"INVALID INVOICE DATE",IF(NOT(AND(ISNUMBER(C188),C188&gt;=2,C188&lt;=2958465,C188=INT(C188))),"INVALID INVOICE DATE",IF(NOT(OR(D188="MX",D188="US")),"ENTITY REQUIRED",IF(NOT(OR(E188="Strategic Services",E188="Brands")),"UNIT REQUIRED",IF(F188="","BRAND / N/A REQUIRED",IF(NOT(OR(G188="USD",G188="MXN")),"CURRENCY REQUIRED",IF(NOT(ISNUMBER(H188)),"AMOUNT REQUIRED",IF(J188="","ERP SOURCE REQUIRED",IF(NOT(OR(K188="ISSUED",K188="CANCELLED")),"INVOICE STATUS REQUIRED",IF(COUNTIFS($A$2:$A$501,A188,$B$2:$B$501,B188,$D$2:$D$501,D188)&gt;1,"DUPLICATE INVOICE / PROJECT",IF(AND(G188="MXN",NOT(AND(ISNUMBER(I188),Settings!$B$8="APPROVED",Settings!$B$9&lt;&gt;"",Settings!$B$10&lt;&gt;""))),"FX HOLD","VALID")))))))))))))))</x:f>
      </x:c>
      <x:c r="M188" s="57" t="str">
        <x:f>IF(ISNUMBER(C188),IF(AND(ISNUMBER(C188),C188&gt;=2,C188&lt;=2958465,C188=INT(C188)),TEXT(C188,"yyyy-mm"),""),"")</x:f>
      </x:c>
      <x:c r="N188" s="59" t="str">
        <x:f>IF(L188="VALID",IF(G188="USD",H188,I188),"")</x:f>
      </x:c>
      <x:c r="O188" s="57" t="n">
        <x:f>IF(L188="VALID",IF(COUNTIFS($B$2:B188,B188,$M$2:M188,M188,$L$2:L188,"VALID")=1,1,0),0)</x:f>
        <x:v>0</x:v>
      </x:c>
    </x:row>
    <x:row r="189">
      <x:c r="A189" s="47"/>
      <x:c r="B189" s="47"/>
      <x:c r="C189" s="58"/>
      <x:c r="D189" s="47"/>
      <x:c r="E189" s="47"/>
      <x:c r="F189" s="47"/>
      <x:c r="G189" s="47"/>
      <x:c r="H189" s="48"/>
      <x:c r="I189" s="48"/>
      <x:c r="J189" s="47"/>
      <x:c r="K189" s="47"/>
      <x:c r="L189" s="57" t="str">
        <x:f>IF(COUNTA(A189:K189)=0,"",IF(K189="CANCELLED","CANCELLED",IF(A189="","INVOICE ID REQUIRED",IF(B189="","PROJECT ID REQUIRED",IF(NOT(ISNUMBER(C189)),"INVALID INVOICE DATE",IF(NOT(AND(ISNUMBER(C189),C189&gt;=2,C189&lt;=2958465,C189=INT(C189))),"INVALID INVOICE DATE",IF(NOT(OR(D189="MX",D189="US")),"ENTITY REQUIRED",IF(NOT(OR(E189="Strategic Services",E189="Brands")),"UNIT REQUIRED",IF(F189="","BRAND / N/A REQUIRED",IF(NOT(OR(G189="USD",G189="MXN")),"CURRENCY REQUIRED",IF(NOT(ISNUMBER(H189)),"AMOUNT REQUIRED",IF(J189="","ERP SOURCE REQUIRED",IF(NOT(OR(K189="ISSUED",K189="CANCELLED")),"INVOICE STATUS REQUIRED",IF(COUNTIFS($A$2:$A$501,A189,$B$2:$B$501,B189,$D$2:$D$501,D189)&gt;1,"DUPLICATE INVOICE / PROJECT",IF(AND(G189="MXN",NOT(AND(ISNUMBER(I189),Settings!$B$8="APPROVED",Settings!$B$9&lt;&gt;"",Settings!$B$10&lt;&gt;""))),"FX HOLD","VALID")))))))))))))))</x:f>
      </x:c>
      <x:c r="M189" s="57" t="str">
        <x:f>IF(ISNUMBER(C189),IF(AND(ISNUMBER(C189),C189&gt;=2,C189&lt;=2958465,C189=INT(C189)),TEXT(C189,"yyyy-mm"),""),"")</x:f>
      </x:c>
      <x:c r="N189" s="59" t="str">
        <x:f>IF(L189="VALID",IF(G189="USD",H189,I189),"")</x:f>
      </x:c>
      <x:c r="O189" s="57" t="n">
        <x:f>IF(L189="VALID",IF(COUNTIFS($B$2:B189,B189,$M$2:M189,M189,$L$2:L189,"VALID")=1,1,0),0)</x:f>
        <x:v>0</x:v>
      </x:c>
    </x:row>
    <x:row r="190">
      <x:c r="A190" s="47"/>
      <x:c r="B190" s="47"/>
      <x:c r="C190" s="58"/>
      <x:c r="D190" s="47"/>
      <x:c r="E190" s="47"/>
      <x:c r="F190" s="47"/>
      <x:c r="G190" s="47"/>
      <x:c r="H190" s="48"/>
      <x:c r="I190" s="48"/>
      <x:c r="J190" s="47"/>
      <x:c r="K190" s="47"/>
      <x:c r="L190" s="57" t="str">
        <x:f>IF(COUNTA(A190:K190)=0,"",IF(K190="CANCELLED","CANCELLED",IF(A190="","INVOICE ID REQUIRED",IF(B190="","PROJECT ID REQUIRED",IF(NOT(ISNUMBER(C190)),"INVALID INVOICE DATE",IF(NOT(AND(ISNUMBER(C190),C190&gt;=2,C190&lt;=2958465,C190=INT(C190))),"INVALID INVOICE DATE",IF(NOT(OR(D190="MX",D190="US")),"ENTITY REQUIRED",IF(NOT(OR(E190="Strategic Services",E190="Brands")),"UNIT REQUIRED",IF(F190="","BRAND / N/A REQUIRED",IF(NOT(OR(G190="USD",G190="MXN")),"CURRENCY REQUIRED",IF(NOT(ISNUMBER(H190)),"AMOUNT REQUIRED",IF(J190="","ERP SOURCE REQUIRED",IF(NOT(OR(K190="ISSUED",K190="CANCELLED")),"INVOICE STATUS REQUIRED",IF(COUNTIFS($A$2:$A$501,A190,$B$2:$B$501,B190,$D$2:$D$501,D190)&gt;1,"DUPLICATE INVOICE / PROJECT",IF(AND(G190="MXN",NOT(AND(ISNUMBER(I190),Settings!$B$8="APPROVED",Settings!$B$9&lt;&gt;"",Settings!$B$10&lt;&gt;""))),"FX HOLD","VALID")))))))))))))))</x:f>
      </x:c>
      <x:c r="M190" s="57" t="str">
        <x:f>IF(ISNUMBER(C190),IF(AND(ISNUMBER(C190),C190&gt;=2,C190&lt;=2958465,C190=INT(C190)),TEXT(C190,"yyyy-mm"),""),"")</x:f>
      </x:c>
      <x:c r="N190" s="59" t="str">
        <x:f>IF(L190="VALID",IF(G190="USD",H190,I190),"")</x:f>
      </x:c>
      <x:c r="O190" s="57" t="n">
        <x:f>IF(L190="VALID",IF(COUNTIFS($B$2:B190,B190,$M$2:M190,M190,$L$2:L190,"VALID")=1,1,0),0)</x:f>
        <x:v>0</x:v>
      </x:c>
    </x:row>
    <x:row r="191">
      <x:c r="A191" s="47"/>
      <x:c r="B191" s="47"/>
      <x:c r="C191" s="58"/>
      <x:c r="D191" s="47"/>
      <x:c r="E191" s="47"/>
      <x:c r="F191" s="47"/>
      <x:c r="G191" s="47"/>
      <x:c r="H191" s="48"/>
      <x:c r="I191" s="48"/>
      <x:c r="J191" s="47"/>
      <x:c r="K191" s="47"/>
      <x:c r="L191" s="57" t="str">
        <x:f>IF(COUNTA(A191:K191)=0,"",IF(K191="CANCELLED","CANCELLED",IF(A191="","INVOICE ID REQUIRED",IF(B191="","PROJECT ID REQUIRED",IF(NOT(ISNUMBER(C191)),"INVALID INVOICE DATE",IF(NOT(AND(ISNUMBER(C191),C191&gt;=2,C191&lt;=2958465,C191=INT(C191))),"INVALID INVOICE DATE",IF(NOT(OR(D191="MX",D191="US")),"ENTITY REQUIRED",IF(NOT(OR(E191="Strategic Services",E191="Brands")),"UNIT REQUIRED",IF(F191="","BRAND / N/A REQUIRED",IF(NOT(OR(G191="USD",G191="MXN")),"CURRENCY REQUIRED",IF(NOT(ISNUMBER(H191)),"AMOUNT REQUIRED",IF(J191="","ERP SOURCE REQUIRED",IF(NOT(OR(K191="ISSUED",K191="CANCELLED")),"INVOICE STATUS REQUIRED",IF(COUNTIFS($A$2:$A$501,A191,$B$2:$B$501,B191,$D$2:$D$501,D191)&gt;1,"DUPLICATE INVOICE / PROJECT",IF(AND(G191="MXN",NOT(AND(ISNUMBER(I191),Settings!$B$8="APPROVED",Settings!$B$9&lt;&gt;"",Settings!$B$10&lt;&gt;""))),"FX HOLD","VALID")))))))))))))))</x:f>
      </x:c>
      <x:c r="M191" s="57" t="str">
        <x:f>IF(ISNUMBER(C191),IF(AND(ISNUMBER(C191),C191&gt;=2,C191&lt;=2958465,C191=INT(C191)),TEXT(C191,"yyyy-mm"),""),"")</x:f>
      </x:c>
      <x:c r="N191" s="59" t="str">
        <x:f>IF(L191="VALID",IF(G191="USD",H191,I191),"")</x:f>
      </x:c>
      <x:c r="O191" s="57" t="n">
        <x:f>IF(L191="VALID",IF(COUNTIFS($B$2:B191,B191,$M$2:M191,M191,$L$2:L191,"VALID")=1,1,0),0)</x:f>
        <x:v>0</x:v>
      </x:c>
    </x:row>
    <x:row r="192">
      <x:c r="A192" s="47"/>
      <x:c r="B192" s="47"/>
      <x:c r="C192" s="58"/>
      <x:c r="D192" s="47"/>
      <x:c r="E192" s="47"/>
      <x:c r="F192" s="47"/>
      <x:c r="G192" s="47"/>
      <x:c r="H192" s="48"/>
      <x:c r="I192" s="48"/>
      <x:c r="J192" s="47"/>
      <x:c r="K192" s="47"/>
      <x:c r="L192" s="57" t="str">
        <x:f>IF(COUNTA(A192:K192)=0,"",IF(K192="CANCELLED","CANCELLED",IF(A192="","INVOICE ID REQUIRED",IF(B192="","PROJECT ID REQUIRED",IF(NOT(ISNUMBER(C192)),"INVALID INVOICE DATE",IF(NOT(AND(ISNUMBER(C192),C192&gt;=2,C192&lt;=2958465,C192=INT(C192))),"INVALID INVOICE DATE",IF(NOT(OR(D192="MX",D192="US")),"ENTITY REQUIRED",IF(NOT(OR(E192="Strategic Services",E192="Brands")),"UNIT REQUIRED",IF(F192="","BRAND / N/A REQUIRED",IF(NOT(OR(G192="USD",G192="MXN")),"CURRENCY REQUIRED",IF(NOT(ISNUMBER(H192)),"AMOUNT REQUIRED",IF(J192="","ERP SOURCE REQUIRED",IF(NOT(OR(K192="ISSUED",K192="CANCELLED")),"INVOICE STATUS REQUIRED",IF(COUNTIFS($A$2:$A$501,A192,$B$2:$B$501,B192,$D$2:$D$501,D192)&gt;1,"DUPLICATE INVOICE / PROJECT",IF(AND(G192="MXN",NOT(AND(ISNUMBER(I192),Settings!$B$8="APPROVED",Settings!$B$9&lt;&gt;"",Settings!$B$10&lt;&gt;""))),"FX HOLD","VALID")))))))))))))))</x:f>
      </x:c>
      <x:c r="M192" s="57" t="str">
        <x:f>IF(ISNUMBER(C192),IF(AND(ISNUMBER(C192),C192&gt;=2,C192&lt;=2958465,C192=INT(C192)),TEXT(C192,"yyyy-mm"),""),"")</x:f>
      </x:c>
      <x:c r="N192" s="59" t="str">
        <x:f>IF(L192="VALID",IF(G192="USD",H192,I192),"")</x:f>
      </x:c>
      <x:c r="O192" s="57" t="n">
        <x:f>IF(L192="VALID",IF(COUNTIFS($B$2:B192,B192,$M$2:M192,M192,$L$2:L192,"VALID")=1,1,0),0)</x:f>
        <x:v>0</x:v>
      </x:c>
    </x:row>
    <x:row r="193">
      <x:c r="A193" s="47"/>
      <x:c r="B193" s="47"/>
      <x:c r="C193" s="58"/>
      <x:c r="D193" s="47"/>
      <x:c r="E193" s="47"/>
      <x:c r="F193" s="47"/>
      <x:c r="G193" s="47"/>
      <x:c r="H193" s="48"/>
      <x:c r="I193" s="48"/>
      <x:c r="J193" s="47"/>
      <x:c r="K193" s="47"/>
      <x:c r="L193" s="57" t="str">
        <x:f>IF(COUNTA(A193:K193)=0,"",IF(K193="CANCELLED","CANCELLED",IF(A193="","INVOICE ID REQUIRED",IF(B193="","PROJECT ID REQUIRED",IF(NOT(ISNUMBER(C193)),"INVALID INVOICE DATE",IF(NOT(AND(ISNUMBER(C193),C193&gt;=2,C193&lt;=2958465,C193=INT(C193))),"INVALID INVOICE DATE",IF(NOT(OR(D193="MX",D193="US")),"ENTITY REQUIRED",IF(NOT(OR(E193="Strategic Services",E193="Brands")),"UNIT REQUIRED",IF(F193="","BRAND / N/A REQUIRED",IF(NOT(OR(G193="USD",G193="MXN")),"CURRENCY REQUIRED",IF(NOT(ISNUMBER(H193)),"AMOUNT REQUIRED",IF(J193="","ERP SOURCE REQUIRED",IF(NOT(OR(K193="ISSUED",K193="CANCELLED")),"INVOICE STATUS REQUIRED",IF(COUNTIFS($A$2:$A$501,A193,$B$2:$B$501,B193,$D$2:$D$501,D193)&gt;1,"DUPLICATE INVOICE / PROJECT",IF(AND(G193="MXN",NOT(AND(ISNUMBER(I193),Settings!$B$8="APPROVED",Settings!$B$9&lt;&gt;"",Settings!$B$10&lt;&gt;""))),"FX HOLD","VALID")))))))))))))))</x:f>
      </x:c>
      <x:c r="M193" s="57" t="str">
        <x:f>IF(ISNUMBER(C193),IF(AND(ISNUMBER(C193),C193&gt;=2,C193&lt;=2958465,C193=INT(C193)),TEXT(C193,"yyyy-mm"),""),"")</x:f>
      </x:c>
      <x:c r="N193" s="59" t="str">
        <x:f>IF(L193="VALID",IF(G193="USD",H193,I193),"")</x:f>
      </x:c>
      <x:c r="O193" s="57" t="n">
        <x:f>IF(L193="VALID",IF(COUNTIFS($B$2:B193,B193,$M$2:M193,M193,$L$2:L193,"VALID")=1,1,0),0)</x:f>
        <x:v>0</x:v>
      </x:c>
    </x:row>
    <x:row r="194">
      <x:c r="A194" s="47"/>
      <x:c r="B194" s="47"/>
      <x:c r="C194" s="58"/>
      <x:c r="D194" s="47"/>
      <x:c r="E194" s="47"/>
      <x:c r="F194" s="47"/>
      <x:c r="G194" s="47"/>
      <x:c r="H194" s="48"/>
      <x:c r="I194" s="48"/>
      <x:c r="J194" s="47"/>
      <x:c r="K194" s="47"/>
      <x:c r="L194" s="57" t="str">
        <x:f>IF(COUNTA(A194:K194)=0,"",IF(K194="CANCELLED","CANCELLED",IF(A194="","INVOICE ID REQUIRED",IF(B194="","PROJECT ID REQUIRED",IF(NOT(ISNUMBER(C194)),"INVALID INVOICE DATE",IF(NOT(AND(ISNUMBER(C194),C194&gt;=2,C194&lt;=2958465,C194=INT(C194))),"INVALID INVOICE DATE",IF(NOT(OR(D194="MX",D194="US")),"ENTITY REQUIRED",IF(NOT(OR(E194="Strategic Services",E194="Brands")),"UNIT REQUIRED",IF(F194="","BRAND / N/A REQUIRED",IF(NOT(OR(G194="USD",G194="MXN")),"CURRENCY REQUIRED",IF(NOT(ISNUMBER(H194)),"AMOUNT REQUIRED",IF(J194="","ERP SOURCE REQUIRED",IF(NOT(OR(K194="ISSUED",K194="CANCELLED")),"INVOICE STATUS REQUIRED",IF(COUNTIFS($A$2:$A$501,A194,$B$2:$B$501,B194,$D$2:$D$501,D194)&gt;1,"DUPLICATE INVOICE / PROJECT",IF(AND(G194="MXN",NOT(AND(ISNUMBER(I194),Settings!$B$8="APPROVED",Settings!$B$9&lt;&gt;"",Settings!$B$10&lt;&gt;""))),"FX HOLD","VALID")))))))))))))))</x:f>
      </x:c>
      <x:c r="M194" s="57" t="str">
        <x:f>IF(ISNUMBER(C194),IF(AND(ISNUMBER(C194),C194&gt;=2,C194&lt;=2958465,C194=INT(C194)),TEXT(C194,"yyyy-mm"),""),"")</x:f>
      </x:c>
      <x:c r="N194" s="59" t="str">
        <x:f>IF(L194="VALID",IF(G194="USD",H194,I194),"")</x:f>
      </x:c>
      <x:c r="O194" s="57" t="n">
        <x:f>IF(L194="VALID",IF(COUNTIFS($B$2:B194,B194,$M$2:M194,M194,$L$2:L194,"VALID")=1,1,0),0)</x:f>
        <x:v>0</x:v>
      </x:c>
    </x:row>
    <x:row r="195">
      <x:c r="A195" s="47"/>
      <x:c r="B195" s="47"/>
      <x:c r="C195" s="58"/>
      <x:c r="D195" s="47"/>
      <x:c r="E195" s="47"/>
      <x:c r="F195" s="47"/>
      <x:c r="G195" s="47"/>
      <x:c r="H195" s="48"/>
      <x:c r="I195" s="48"/>
      <x:c r="J195" s="47"/>
      <x:c r="K195" s="47"/>
      <x:c r="L195" s="57" t="str">
        <x:f>IF(COUNTA(A195:K195)=0,"",IF(K195="CANCELLED","CANCELLED",IF(A195="","INVOICE ID REQUIRED",IF(B195="","PROJECT ID REQUIRED",IF(NOT(ISNUMBER(C195)),"INVALID INVOICE DATE",IF(NOT(AND(ISNUMBER(C195),C195&gt;=2,C195&lt;=2958465,C195=INT(C195))),"INVALID INVOICE DATE",IF(NOT(OR(D195="MX",D195="US")),"ENTITY REQUIRED",IF(NOT(OR(E195="Strategic Services",E195="Brands")),"UNIT REQUIRED",IF(F195="","BRAND / N/A REQUIRED",IF(NOT(OR(G195="USD",G195="MXN")),"CURRENCY REQUIRED",IF(NOT(ISNUMBER(H195)),"AMOUNT REQUIRED",IF(J195="","ERP SOURCE REQUIRED",IF(NOT(OR(K195="ISSUED",K195="CANCELLED")),"INVOICE STATUS REQUIRED",IF(COUNTIFS($A$2:$A$501,A195,$B$2:$B$501,B195,$D$2:$D$501,D195)&gt;1,"DUPLICATE INVOICE / PROJECT",IF(AND(G195="MXN",NOT(AND(ISNUMBER(I195),Settings!$B$8="APPROVED",Settings!$B$9&lt;&gt;"",Settings!$B$10&lt;&gt;""))),"FX HOLD","VALID")))))))))))))))</x:f>
      </x:c>
      <x:c r="M195" s="57" t="str">
        <x:f>IF(ISNUMBER(C195),IF(AND(ISNUMBER(C195),C195&gt;=2,C195&lt;=2958465,C195=INT(C195)),TEXT(C195,"yyyy-mm"),""),"")</x:f>
      </x:c>
      <x:c r="N195" s="59" t="str">
        <x:f>IF(L195="VALID",IF(G195="USD",H195,I195),"")</x:f>
      </x:c>
      <x:c r="O195" s="57" t="n">
        <x:f>IF(L195="VALID",IF(COUNTIFS($B$2:B195,B195,$M$2:M195,M195,$L$2:L195,"VALID")=1,1,0),0)</x:f>
        <x:v>0</x:v>
      </x:c>
    </x:row>
    <x:row r="196">
      <x:c r="A196" s="47"/>
      <x:c r="B196" s="47"/>
      <x:c r="C196" s="58"/>
      <x:c r="D196" s="47"/>
      <x:c r="E196" s="47"/>
      <x:c r="F196" s="47"/>
      <x:c r="G196" s="47"/>
      <x:c r="H196" s="48"/>
      <x:c r="I196" s="48"/>
      <x:c r="J196" s="47"/>
      <x:c r="K196" s="47"/>
      <x:c r="L196" s="57" t="str">
        <x:f>IF(COUNTA(A196:K196)=0,"",IF(K196="CANCELLED","CANCELLED",IF(A196="","INVOICE ID REQUIRED",IF(B196="","PROJECT ID REQUIRED",IF(NOT(ISNUMBER(C196)),"INVALID INVOICE DATE",IF(NOT(AND(ISNUMBER(C196),C196&gt;=2,C196&lt;=2958465,C196=INT(C196))),"INVALID INVOICE DATE",IF(NOT(OR(D196="MX",D196="US")),"ENTITY REQUIRED",IF(NOT(OR(E196="Strategic Services",E196="Brands")),"UNIT REQUIRED",IF(F196="","BRAND / N/A REQUIRED",IF(NOT(OR(G196="USD",G196="MXN")),"CURRENCY REQUIRED",IF(NOT(ISNUMBER(H196)),"AMOUNT REQUIRED",IF(J196="","ERP SOURCE REQUIRED",IF(NOT(OR(K196="ISSUED",K196="CANCELLED")),"INVOICE STATUS REQUIRED",IF(COUNTIFS($A$2:$A$501,A196,$B$2:$B$501,B196,$D$2:$D$501,D196)&gt;1,"DUPLICATE INVOICE / PROJECT",IF(AND(G196="MXN",NOT(AND(ISNUMBER(I196),Settings!$B$8="APPROVED",Settings!$B$9&lt;&gt;"",Settings!$B$10&lt;&gt;""))),"FX HOLD","VALID")))))))))))))))</x:f>
      </x:c>
      <x:c r="M196" s="57" t="str">
        <x:f>IF(ISNUMBER(C196),IF(AND(ISNUMBER(C196),C196&gt;=2,C196&lt;=2958465,C196=INT(C196)),TEXT(C196,"yyyy-mm"),""),"")</x:f>
      </x:c>
      <x:c r="N196" s="59" t="str">
        <x:f>IF(L196="VALID",IF(G196="USD",H196,I196),"")</x:f>
      </x:c>
      <x:c r="O196" s="57" t="n">
        <x:f>IF(L196="VALID",IF(COUNTIFS($B$2:B196,B196,$M$2:M196,M196,$L$2:L196,"VALID")=1,1,0),0)</x:f>
        <x:v>0</x:v>
      </x:c>
    </x:row>
    <x:row r="197">
      <x:c r="A197" s="47"/>
      <x:c r="B197" s="47"/>
      <x:c r="C197" s="58"/>
      <x:c r="D197" s="47"/>
      <x:c r="E197" s="47"/>
      <x:c r="F197" s="47"/>
      <x:c r="G197" s="47"/>
      <x:c r="H197" s="48"/>
      <x:c r="I197" s="48"/>
      <x:c r="J197" s="47"/>
      <x:c r="K197" s="47"/>
      <x:c r="L197" s="57" t="str">
        <x:f>IF(COUNTA(A197:K197)=0,"",IF(K197="CANCELLED","CANCELLED",IF(A197="","INVOICE ID REQUIRED",IF(B197="","PROJECT ID REQUIRED",IF(NOT(ISNUMBER(C197)),"INVALID INVOICE DATE",IF(NOT(AND(ISNUMBER(C197),C197&gt;=2,C197&lt;=2958465,C197=INT(C197))),"INVALID INVOICE DATE",IF(NOT(OR(D197="MX",D197="US")),"ENTITY REQUIRED",IF(NOT(OR(E197="Strategic Services",E197="Brands")),"UNIT REQUIRED",IF(F197="","BRAND / N/A REQUIRED",IF(NOT(OR(G197="USD",G197="MXN")),"CURRENCY REQUIRED",IF(NOT(ISNUMBER(H197)),"AMOUNT REQUIRED",IF(J197="","ERP SOURCE REQUIRED",IF(NOT(OR(K197="ISSUED",K197="CANCELLED")),"INVOICE STATUS REQUIRED",IF(COUNTIFS($A$2:$A$501,A197,$B$2:$B$501,B197,$D$2:$D$501,D197)&gt;1,"DUPLICATE INVOICE / PROJECT",IF(AND(G197="MXN",NOT(AND(ISNUMBER(I197),Settings!$B$8="APPROVED",Settings!$B$9&lt;&gt;"",Settings!$B$10&lt;&gt;""))),"FX HOLD","VALID")))))))))))))))</x:f>
      </x:c>
      <x:c r="M197" s="57" t="str">
        <x:f>IF(ISNUMBER(C197),IF(AND(ISNUMBER(C197),C197&gt;=2,C197&lt;=2958465,C197=INT(C197)),TEXT(C197,"yyyy-mm"),""),"")</x:f>
      </x:c>
      <x:c r="N197" s="59" t="str">
        <x:f>IF(L197="VALID",IF(G197="USD",H197,I197),"")</x:f>
      </x:c>
      <x:c r="O197" s="57" t="n">
        <x:f>IF(L197="VALID",IF(COUNTIFS($B$2:B197,B197,$M$2:M197,M197,$L$2:L197,"VALID")=1,1,0),0)</x:f>
        <x:v>0</x:v>
      </x:c>
    </x:row>
    <x:row r="198">
      <x:c r="A198" s="47"/>
      <x:c r="B198" s="47"/>
      <x:c r="C198" s="58"/>
      <x:c r="D198" s="47"/>
      <x:c r="E198" s="47"/>
      <x:c r="F198" s="47"/>
      <x:c r="G198" s="47"/>
      <x:c r="H198" s="48"/>
      <x:c r="I198" s="48"/>
      <x:c r="J198" s="47"/>
      <x:c r="K198" s="47"/>
      <x:c r="L198" s="57" t="str">
        <x:f>IF(COUNTA(A198:K198)=0,"",IF(K198="CANCELLED","CANCELLED",IF(A198="","INVOICE ID REQUIRED",IF(B198="","PROJECT ID REQUIRED",IF(NOT(ISNUMBER(C198)),"INVALID INVOICE DATE",IF(NOT(AND(ISNUMBER(C198),C198&gt;=2,C198&lt;=2958465,C198=INT(C198))),"INVALID INVOICE DATE",IF(NOT(OR(D198="MX",D198="US")),"ENTITY REQUIRED",IF(NOT(OR(E198="Strategic Services",E198="Brands")),"UNIT REQUIRED",IF(F198="","BRAND / N/A REQUIRED",IF(NOT(OR(G198="USD",G198="MXN")),"CURRENCY REQUIRED",IF(NOT(ISNUMBER(H198)),"AMOUNT REQUIRED",IF(J198="","ERP SOURCE REQUIRED",IF(NOT(OR(K198="ISSUED",K198="CANCELLED")),"INVOICE STATUS REQUIRED",IF(COUNTIFS($A$2:$A$501,A198,$B$2:$B$501,B198,$D$2:$D$501,D198)&gt;1,"DUPLICATE INVOICE / PROJECT",IF(AND(G198="MXN",NOT(AND(ISNUMBER(I198),Settings!$B$8="APPROVED",Settings!$B$9&lt;&gt;"",Settings!$B$10&lt;&gt;""))),"FX HOLD","VALID")))))))))))))))</x:f>
      </x:c>
      <x:c r="M198" s="57" t="str">
        <x:f>IF(ISNUMBER(C198),IF(AND(ISNUMBER(C198),C198&gt;=2,C198&lt;=2958465,C198=INT(C198)),TEXT(C198,"yyyy-mm"),""),"")</x:f>
      </x:c>
      <x:c r="N198" s="59" t="str">
        <x:f>IF(L198="VALID",IF(G198="USD",H198,I198),"")</x:f>
      </x:c>
      <x:c r="O198" s="57" t="n">
        <x:f>IF(L198="VALID",IF(COUNTIFS($B$2:B198,B198,$M$2:M198,M198,$L$2:L198,"VALID")=1,1,0),0)</x:f>
        <x:v>0</x:v>
      </x:c>
    </x:row>
    <x:row r="199">
      <x:c r="A199" s="47"/>
      <x:c r="B199" s="47"/>
      <x:c r="C199" s="58"/>
      <x:c r="D199" s="47"/>
      <x:c r="E199" s="47"/>
      <x:c r="F199" s="47"/>
      <x:c r="G199" s="47"/>
      <x:c r="H199" s="48"/>
      <x:c r="I199" s="48"/>
      <x:c r="J199" s="47"/>
      <x:c r="K199" s="47"/>
      <x:c r="L199" s="57" t="str">
        <x:f>IF(COUNTA(A199:K199)=0,"",IF(K199="CANCELLED","CANCELLED",IF(A199="","INVOICE ID REQUIRED",IF(B199="","PROJECT ID REQUIRED",IF(NOT(ISNUMBER(C199)),"INVALID INVOICE DATE",IF(NOT(AND(ISNUMBER(C199),C199&gt;=2,C199&lt;=2958465,C199=INT(C199))),"INVALID INVOICE DATE",IF(NOT(OR(D199="MX",D199="US")),"ENTITY REQUIRED",IF(NOT(OR(E199="Strategic Services",E199="Brands")),"UNIT REQUIRED",IF(F199="","BRAND / N/A REQUIRED",IF(NOT(OR(G199="USD",G199="MXN")),"CURRENCY REQUIRED",IF(NOT(ISNUMBER(H199)),"AMOUNT REQUIRED",IF(J199="","ERP SOURCE REQUIRED",IF(NOT(OR(K199="ISSUED",K199="CANCELLED")),"INVOICE STATUS REQUIRED",IF(COUNTIFS($A$2:$A$501,A199,$B$2:$B$501,B199,$D$2:$D$501,D199)&gt;1,"DUPLICATE INVOICE / PROJECT",IF(AND(G199="MXN",NOT(AND(ISNUMBER(I199),Settings!$B$8="APPROVED",Settings!$B$9&lt;&gt;"",Settings!$B$10&lt;&gt;""))),"FX HOLD","VALID")))))))))))))))</x:f>
      </x:c>
      <x:c r="M199" s="57" t="str">
        <x:f>IF(ISNUMBER(C199),IF(AND(ISNUMBER(C199),C199&gt;=2,C199&lt;=2958465,C199=INT(C199)),TEXT(C199,"yyyy-mm"),""),"")</x:f>
      </x:c>
      <x:c r="N199" s="59" t="str">
        <x:f>IF(L199="VALID",IF(G199="USD",H199,I199),"")</x:f>
      </x:c>
      <x:c r="O199" s="57" t="n">
        <x:f>IF(L199="VALID",IF(COUNTIFS($B$2:B199,B199,$M$2:M199,M199,$L$2:L199,"VALID")=1,1,0),0)</x:f>
        <x:v>0</x:v>
      </x:c>
    </x:row>
    <x:row r="200">
      <x:c r="A200" s="47"/>
      <x:c r="B200" s="47"/>
      <x:c r="C200" s="58"/>
      <x:c r="D200" s="47"/>
      <x:c r="E200" s="47"/>
      <x:c r="F200" s="47"/>
      <x:c r="G200" s="47"/>
      <x:c r="H200" s="48"/>
      <x:c r="I200" s="48"/>
      <x:c r="J200" s="47"/>
      <x:c r="K200" s="47"/>
      <x:c r="L200" s="57" t="str">
        <x:f>IF(COUNTA(A200:K200)=0,"",IF(K200="CANCELLED","CANCELLED",IF(A200="","INVOICE ID REQUIRED",IF(B200="","PROJECT ID REQUIRED",IF(NOT(ISNUMBER(C200)),"INVALID INVOICE DATE",IF(NOT(AND(ISNUMBER(C200),C200&gt;=2,C200&lt;=2958465,C200=INT(C200))),"INVALID INVOICE DATE",IF(NOT(OR(D200="MX",D200="US")),"ENTITY REQUIRED",IF(NOT(OR(E200="Strategic Services",E200="Brands")),"UNIT REQUIRED",IF(F200="","BRAND / N/A REQUIRED",IF(NOT(OR(G200="USD",G200="MXN")),"CURRENCY REQUIRED",IF(NOT(ISNUMBER(H200)),"AMOUNT REQUIRED",IF(J200="","ERP SOURCE REQUIRED",IF(NOT(OR(K200="ISSUED",K200="CANCELLED")),"INVOICE STATUS REQUIRED",IF(COUNTIFS($A$2:$A$501,A200,$B$2:$B$501,B200,$D$2:$D$501,D200)&gt;1,"DUPLICATE INVOICE / PROJECT",IF(AND(G200="MXN",NOT(AND(ISNUMBER(I200),Settings!$B$8="APPROVED",Settings!$B$9&lt;&gt;"",Settings!$B$10&lt;&gt;""))),"FX HOLD","VALID")))))))))))))))</x:f>
      </x:c>
      <x:c r="M200" s="57" t="str">
        <x:f>IF(ISNUMBER(C200),IF(AND(ISNUMBER(C200),C200&gt;=2,C200&lt;=2958465,C200=INT(C200)),TEXT(C200,"yyyy-mm"),""),"")</x:f>
      </x:c>
      <x:c r="N200" s="59" t="str">
        <x:f>IF(L200="VALID",IF(G200="USD",H200,I200),"")</x:f>
      </x:c>
      <x:c r="O200" s="57" t="n">
        <x:f>IF(L200="VALID",IF(COUNTIFS($B$2:B200,B200,$M$2:M200,M200,$L$2:L200,"VALID")=1,1,0),0)</x:f>
        <x:v>0</x:v>
      </x:c>
    </x:row>
    <x:row r="201">
      <x:c r="A201" s="47"/>
      <x:c r="B201" s="47"/>
      <x:c r="C201" s="58"/>
      <x:c r="D201" s="47"/>
      <x:c r="E201" s="47"/>
      <x:c r="F201" s="47"/>
      <x:c r="G201" s="47"/>
      <x:c r="H201" s="48"/>
      <x:c r="I201" s="48"/>
      <x:c r="J201" s="47"/>
      <x:c r="K201" s="47"/>
      <x:c r="L201" s="57" t="str">
        <x:f>IF(COUNTA(A201:K201)=0,"",IF(K201="CANCELLED","CANCELLED",IF(A201="","INVOICE ID REQUIRED",IF(B201="","PROJECT ID REQUIRED",IF(NOT(ISNUMBER(C201)),"INVALID INVOICE DATE",IF(NOT(AND(ISNUMBER(C201),C201&gt;=2,C201&lt;=2958465,C201=INT(C201))),"INVALID INVOICE DATE",IF(NOT(OR(D201="MX",D201="US")),"ENTITY REQUIRED",IF(NOT(OR(E201="Strategic Services",E201="Brands")),"UNIT REQUIRED",IF(F201="","BRAND / N/A REQUIRED",IF(NOT(OR(G201="USD",G201="MXN")),"CURRENCY REQUIRED",IF(NOT(ISNUMBER(H201)),"AMOUNT REQUIRED",IF(J201="","ERP SOURCE REQUIRED",IF(NOT(OR(K201="ISSUED",K201="CANCELLED")),"INVOICE STATUS REQUIRED",IF(COUNTIFS($A$2:$A$501,A201,$B$2:$B$501,B201,$D$2:$D$501,D201)&gt;1,"DUPLICATE INVOICE / PROJECT",IF(AND(G201="MXN",NOT(AND(ISNUMBER(I201),Settings!$B$8="APPROVED",Settings!$B$9&lt;&gt;"",Settings!$B$10&lt;&gt;""))),"FX HOLD","VALID")))))))))))))))</x:f>
      </x:c>
      <x:c r="M201" s="57" t="str">
        <x:f>IF(ISNUMBER(C201),IF(AND(ISNUMBER(C201),C201&gt;=2,C201&lt;=2958465,C201=INT(C201)),TEXT(C201,"yyyy-mm"),""),"")</x:f>
      </x:c>
      <x:c r="N201" s="59" t="str">
        <x:f>IF(L201="VALID",IF(G201="USD",H201,I201),"")</x:f>
      </x:c>
      <x:c r="O201" s="57" t="n">
        <x:f>IF(L201="VALID",IF(COUNTIFS($B$2:B201,B201,$M$2:M201,M201,$L$2:L201,"VALID")=1,1,0),0)</x:f>
        <x:v>0</x:v>
      </x:c>
    </x:row>
    <x:row r="202">
      <x:c r="A202" s="47"/>
      <x:c r="B202" s="47"/>
      <x:c r="C202" s="58"/>
      <x:c r="D202" s="47"/>
      <x:c r="E202" s="47"/>
      <x:c r="F202" s="47"/>
      <x:c r="G202" s="47"/>
      <x:c r="H202" s="48"/>
      <x:c r="I202" s="48"/>
      <x:c r="J202" s="47"/>
      <x:c r="K202" s="47"/>
      <x:c r="L202" s="57" t="str">
        <x:f>IF(COUNTA(A202:K202)=0,"",IF(K202="CANCELLED","CANCELLED",IF(A202="","INVOICE ID REQUIRED",IF(B202="","PROJECT ID REQUIRED",IF(NOT(ISNUMBER(C202)),"INVALID INVOICE DATE",IF(NOT(AND(ISNUMBER(C202),C202&gt;=2,C202&lt;=2958465,C202=INT(C202))),"INVALID INVOICE DATE",IF(NOT(OR(D202="MX",D202="US")),"ENTITY REQUIRED",IF(NOT(OR(E202="Strategic Services",E202="Brands")),"UNIT REQUIRED",IF(F202="","BRAND / N/A REQUIRED",IF(NOT(OR(G202="USD",G202="MXN")),"CURRENCY REQUIRED",IF(NOT(ISNUMBER(H202)),"AMOUNT REQUIRED",IF(J202="","ERP SOURCE REQUIRED",IF(NOT(OR(K202="ISSUED",K202="CANCELLED")),"INVOICE STATUS REQUIRED",IF(COUNTIFS($A$2:$A$501,A202,$B$2:$B$501,B202,$D$2:$D$501,D202)&gt;1,"DUPLICATE INVOICE / PROJECT",IF(AND(G202="MXN",NOT(AND(ISNUMBER(I202),Settings!$B$8="APPROVED",Settings!$B$9&lt;&gt;"",Settings!$B$10&lt;&gt;""))),"FX HOLD","VALID")))))))))))))))</x:f>
      </x:c>
      <x:c r="M202" s="57" t="str">
        <x:f>IF(ISNUMBER(C202),IF(AND(ISNUMBER(C202),C202&gt;=2,C202&lt;=2958465,C202=INT(C202)),TEXT(C202,"yyyy-mm"),""),"")</x:f>
      </x:c>
      <x:c r="N202" s="59" t="str">
        <x:f>IF(L202="VALID",IF(G202="USD",H202,I202),"")</x:f>
      </x:c>
      <x:c r="O202" s="57" t="n">
        <x:f>IF(L202="VALID",IF(COUNTIFS($B$2:B202,B202,$M$2:M202,M202,$L$2:L202,"VALID")=1,1,0),0)</x:f>
        <x:v>0</x:v>
      </x:c>
    </x:row>
    <x:row r="203">
      <x:c r="A203" s="47"/>
      <x:c r="B203" s="47"/>
      <x:c r="C203" s="58"/>
      <x:c r="D203" s="47"/>
      <x:c r="E203" s="47"/>
      <x:c r="F203" s="47"/>
      <x:c r="G203" s="47"/>
      <x:c r="H203" s="48"/>
      <x:c r="I203" s="48"/>
      <x:c r="J203" s="47"/>
      <x:c r="K203" s="47"/>
      <x:c r="L203" s="57" t="str">
        <x:f>IF(COUNTA(A203:K203)=0,"",IF(K203="CANCELLED","CANCELLED",IF(A203="","INVOICE ID REQUIRED",IF(B203="","PROJECT ID REQUIRED",IF(NOT(ISNUMBER(C203)),"INVALID INVOICE DATE",IF(NOT(AND(ISNUMBER(C203),C203&gt;=2,C203&lt;=2958465,C203=INT(C203))),"INVALID INVOICE DATE",IF(NOT(OR(D203="MX",D203="US")),"ENTITY REQUIRED",IF(NOT(OR(E203="Strategic Services",E203="Brands")),"UNIT REQUIRED",IF(F203="","BRAND / N/A REQUIRED",IF(NOT(OR(G203="USD",G203="MXN")),"CURRENCY REQUIRED",IF(NOT(ISNUMBER(H203)),"AMOUNT REQUIRED",IF(J203="","ERP SOURCE REQUIRED",IF(NOT(OR(K203="ISSUED",K203="CANCELLED")),"INVOICE STATUS REQUIRED",IF(COUNTIFS($A$2:$A$501,A203,$B$2:$B$501,B203,$D$2:$D$501,D203)&gt;1,"DUPLICATE INVOICE / PROJECT",IF(AND(G203="MXN",NOT(AND(ISNUMBER(I203),Settings!$B$8="APPROVED",Settings!$B$9&lt;&gt;"",Settings!$B$10&lt;&gt;""))),"FX HOLD","VALID")))))))))))))))</x:f>
      </x:c>
      <x:c r="M203" s="57" t="str">
        <x:f>IF(ISNUMBER(C203),IF(AND(ISNUMBER(C203),C203&gt;=2,C203&lt;=2958465,C203=INT(C203)),TEXT(C203,"yyyy-mm"),""),"")</x:f>
      </x:c>
      <x:c r="N203" s="59" t="str">
        <x:f>IF(L203="VALID",IF(G203="USD",H203,I203),"")</x:f>
      </x:c>
      <x:c r="O203" s="57" t="n">
        <x:f>IF(L203="VALID",IF(COUNTIFS($B$2:B203,B203,$M$2:M203,M203,$L$2:L203,"VALID")=1,1,0),0)</x:f>
        <x:v>0</x:v>
      </x:c>
    </x:row>
    <x:row r="204">
      <x:c r="A204" s="47"/>
      <x:c r="B204" s="47"/>
      <x:c r="C204" s="58"/>
      <x:c r="D204" s="47"/>
      <x:c r="E204" s="47"/>
      <x:c r="F204" s="47"/>
      <x:c r="G204" s="47"/>
      <x:c r="H204" s="48"/>
      <x:c r="I204" s="48"/>
      <x:c r="J204" s="47"/>
      <x:c r="K204" s="47"/>
      <x:c r="L204" s="57" t="str">
        <x:f>IF(COUNTA(A204:K204)=0,"",IF(K204="CANCELLED","CANCELLED",IF(A204="","INVOICE ID REQUIRED",IF(B204="","PROJECT ID REQUIRED",IF(NOT(ISNUMBER(C204)),"INVALID INVOICE DATE",IF(NOT(AND(ISNUMBER(C204),C204&gt;=2,C204&lt;=2958465,C204=INT(C204))),"INVALID INVOICE DATE",IF(NOT(OR(D204="MX",D204="US")),"ENTITY REQUIRED",IF(NOT(OR(E204="Strategic Services",E204="Brands")),"UNIT REQUIRED",IF(F204="","BRAND / N/A REQUIRED",IF(NOT(OR(G204="USD",G204="MXN")),"CURRENCY REQUIRED",IF(NOT(ISNUMBER(H204)),"AMOUNT REQUIRED",IF(J204="","ERP SOURCE REQUIRED",IF(NOT(OR(K204="ISSUED",K204="CANCELLED")),"INVOICE STATUS REQUIRED",IF(COUNTIFS($A$2:$A$501,A204,$B$2:$B$501,B204,$D$2:$D$501,D204)&gt;1,"DUPLICATE INVOICE / PROJECT",IF(AND(G204="MXN",NOT(AND(ISNUMBER(I204),Settings!$B$8="APPROVED",Settings!$B$9&lt;&gt;"",Settings!$B$10&lt;&gt;""))),"FX HOLD","VALID")))))))))))))))</x:f>
      </x:c>
      <x:c r="M204" s="57" t="str">
        <x:f>IF(ISNUMBER(C204),IF(AND(ISNUMBER(C204),C204&gt;=2,C204&lt;=2958465,C204=INT(C204)),TEXT(C204,"yyyy-mm"),""),"")</x:f>
      </x:c>
      <x:c r="N204" s="59" t="str">
        <x:f>IF(L204="VALID",IF(G204="USD",H204,I204),"")</x:f>
      </x:c>
      <x:c r="O204" s="57" t="n">
        <x:f>IF(L204="VALID",IF(COUNTIFS($B$2:B204,B204,$M$2:M204,M204,$L$2:L204,"VALID")=1,1,0),0)</x:f>
        <x:v>0</x:v>
      </x:c>
    </x:row>
    <x:row r="205">
      <x:c r="A205" s="47"/>
      <x:c r="B205" s="47"/>
      <x:c r="C205" s="58"/>
      <x:c r="D205" s="47"/>
      <x:c r="E205" s="47"/>
      <x:c r="F205" s="47"/>
      <x:c r="G205" s="47"/>
      <x:c r="H205" s="48"/>
      <x:c r="I205" s="48"/>
      <x:c r="J205" s="47"/>
      <x:c r="K205" s="47"/>
      <x:c r="L205" s="57" t="str">
        <x:f>IF(COUNTA(A205:K205)=0,"",IF(K205="CANCELLED","CANCELLED",IF(A205="","INVOICE ID REQUIRED",IF(B205="","PROJECT ID REQUIRED",IF(NOT(ISNUMBER(C205)),"INVALID INVOICE DATE",IF(NOT(AND(ISNUMBER(C205),C205&gt;=2,C205&lt;=2958465,C205=INT(C205))),"INVALID INVOICE DATE",IF(NOT(OR(D205="MX",D205="US")),"ENTITY REQUIRED",IF(NOT(OR(E205="Strategic Services",E205="Brands")),"UNIT REQUIRED",IF(F205="","BRAND / N/A REQUIRED",IF(NOT(OR(G205="USD",G205="MXN")),"CURRENCY REQUIRED",IF(NOT(ISNUMBER(H205)),"AMOUNT REQUIRED",IF(J205="","ERP SOURCE REQUIRED",IF(NOT(OR(K205="ISSUED",K205="CANCELLED")),"INVOICE STATUS REQUIRED",IF(COUNTIFS($A$2:$A$501,A205,$B$2:$B$501,B205,$D$2:$D$501,D205)&gt;1,"DUPLICATE INVOICE / PROJECT",IF(AND(G205="MXN",NOT(AND(ISNUMBER(I205),Settings!$B$8="APPROVED",Settings!$B$9&lt;&gt;"",Settings!$B$10&lt;&gt;""))),"FX HOLD","VALID")))))))))))))))</x:f>
      </x:c>
      <x:c r="M205" s="57" t="str">
        <x:f>IF(ISNUMBER(C205),IF(AND(ISNUMBER(C205),C205&gt;=2,C205&lt;=2958465,C205=INT(C205)),TEXT(C205,"yyyy-mm"),""),"")</x:f>
      </x:c>
      <x:c r="N205" s="59" t="str">
        <x:f>IF(L205="VALID",IF(G205="USD",H205,I205),"")</x:f>
      </x:c>
      <x:c r="O205" s="57" t="n">
        <x:f>IF(L205="VALID",IF(COUNTIFS($B$2:B205,B205,$M$2:M205,M205,$L$2:L205,"VALID")=1,1,0),0)</x:f>
        <x:v>0</x:v>
      </x:c>
    </x:row>
    <x:row r="206">
      <x:c r="A206" s="47"/>
      <x:c r="B206" s="47"/>
      <x:c r="C206" s="58"/>
      <x:c r="D206" s="47"/>
      <x:c r="E206" s="47"/>
      <x:c r="F206" s="47"/>
      <x:c r="G206" s="47"/>
      <x:c r="H206" s="48"/>
      <x:c r="I206" s="48"/>
      <x:c r="J206" s="47"/>
      <x:c r="K206" s="47"/>
      <x:c r="L206" s="57" t="str">
        <x:f>IF(COUNTA(A206:K206)=0,"",IF(K206="CANCELLED","CANCELLED",IF(A206="","INVOICE ID REQUIRED",IF(B206="","PROJECT ID REQUIRED",IF(NOT(ISNUMBER(C206)),"INVALID INVOICE DATE",IF(NOT(AND(ISNUMBER(C206),C206&gt;=2,C206&lt;=2958465,C206=INT(C206))),"INVALID INVOICE DATE",IF(NOT(OR(D206="MX",D206="US")),"ENTITY REQUIRED",IF(NOT(OR(E206="Strategic Services",E206="Brands")),"UNIT REQUIRED",IF(F206="","BRAND / N/A REQUIRED",IF(NOT(OR(G206="USD",G206="MXN")),"CURRENCY REQUIRED",IF(NOT(ISNUMBER(H206)),"AMOUNT REQUIRED",IF(J206="","ERP SOURCE REQUIRED",IF(NOT(OR(K206="ISSUED",K206="CANCELLED")),"INVOICE STATUS REQUIRED",IF(COUNTIFS($A$2:$A$501,A206,$B$2:$B$501,B206,$D$2:$D$501,D206)&gt;1,"DUPLICATE INVOICE / PROJECT",IF(AND(G206="MXN",NOT(AND(ISNUMBER(I206),Settings!$B$8="APPROVED",Settings!$B$9&lt;&gt;"",Settings!$B$10&lt;&gt;""))),"FX HOLD","VALID")))))))))))))))</x:f>
      </x:c>
      <x:c r="M206" s="57" t="str">
        <x:f>IF(ISNUMBER(C206),IF(AND(ISNUMBER(C206),C206&gt;=2,C206&lt;=2958465,C206=INT(C206)),TEXT(C206,"yyyy-mm"),""),"")</x:f>
      </x:c>
      <x:c r="N206" s="59" t="str">
        <x:f>IF(L206="VALID",IF(G206="USD",H206,I206),"")</x:f>
      </x:c>
      <x:c r="O206" s="57" t="n">
        <x:f>IF(L206="VALID",IF(COUNTIFS($B$2:B206,B206,$M$2:M206,M206,$L$2:L206,"VALID")=1,1,0),0)</x:f>
        <x:v>0</x:v>
      </x:c>
    </x:row>
    <x:row r="207">
      <x:c r="A207" s="47"/>
      <x:c r="B207" s="47"/>
      <x:c r="C207" s="58"/>
      <x:c r="D207" s="47"/>
      <x:c r="E207" s="47"/>
      <x:c r="F207" s="47"/>
      <x:c r="G207" s="47"/>
      <x:c r="H207" s="48"/>
      <x:c r="I207" s="48"/>
      <x:c r="J207" s="47"/>
      <x:c r="K207" s="47"/>
      <x:c r="L207" s="57" t="str">
        <x:f>IF(COUNTA(A207:K207)=0,"",IF(K207="CANCELLED","CANCELLED",IF(A207="","INVOICE ID REQUIRED",IF(B207="","PROJECT ID REQUIRED",IF(NOT(ISNUMBER(C207)),"INVALID INVOICE DATE",IF(NOT(AND(ISNUMBER(C207),C207&gt;=2,C207&lt;=2958465,C207=INT(C207))),"INVALID INVOICE DATE",IF(NOT(OR(D207="MX",D207="US")),"ENTITY REQUIRED",IF(NOT(OR(E207="Strategic Services",E207="Brands")),"UNIT REQUIRED",IF(F207="","BRAND / N/A REQUIRED",IF(NOT(OR(G207="USD",G207="MXN")),"CURRENCY REQUIRED",IF(NOT(ISNUMBER(H207)),"AMOUNT REQUIRED",IF(J207="","ERP SOURCE REQUIRED",IF(NOT(OR(K207="ISSUED",K207="CANCELLED")),"INVOICE STATUS REQUIRED",IF(COUNTIFS($A$2:$A$501,A207,$B$2:$B$501,B207,$D$2:$D$501,D207)&gt;1,"DUPLICATE INVOICE / PROJECT",IF(AND(G207="MXN",NOT(AND(ISNUMBER(I207),Settings!$B$8="APPROVED",Settings!$B$9&lt;&gt;"",Settings!$B$10&lt;&gt;""))),"FX HOLD","VALID")))))))))))))))</x:f>
      </x:c>
      <x:c r="M207" s="57" t="str">
        <x:f>IF(ISNUMBER(C207),IF(AND(ISNUMBER(C207),C207&gt;=2,C207&lt;=2958465,C207=INT(C207)),TEXT(C207,"yyyy-mm"),""),"")</x:f>
      </x:c>
      <x:c r="N207" s="59" t="str">
        <x:f>IF(L207="VALID",IF(G207="USD",H207,I207),"")</x:f>
      </x:c>
      <x:c r="O207" s="57" t="n">
        <x:f>IF(L207="VALID",IF(COUNTIFS($B$2:B207,B207,$M$2:M207,M207,$L$2:L207,"VALID")=1,1,0),0)</x:f>
        <x:v>0</x:v>
      </x:c>
    </x:row>
    <x:row r="208">
      <x:c r="A208" s="47"/>
      <x:c r="B208" s="47"/>
      <x:c r="C208" s="58"/>
      <x:c r="D208" s="47"/>
      <x:c r="E208" s="47"/>
      <x:c r="F208" s="47"/>
      <x:c r="G208" s="47"/>
      <x:c r="H208" s="48"/>
      <x:c r="I208" s="48"/>
      <x:c r="J208" s="47"/>
      <x:c r="K208" s="47"/>
      <x:c r="L208" s="57" t="str">
        <x:f>IF(COUNTA(A208:K208)=0,"",IF(K208="CANCELLED","CANCELLED",IF(A208="","INVOICE ID REQUIRED",IF(B208="","PROJECT ID REQUIRED",IF(NOT(ISNUMBER(C208)),"INVALID INVOICE DATE",IF(NOT(AND(ISNUMBER(C208),C208&gt;=2,C208&lt;=2958465,C208=INT(C208))),"INVALID INVOICE DATE",IF(NOT(OR(D208="MX",D208="US")),"ENTITY REQUIRED",IF(NOT(OR(E208="Strategic Services",E208="Brands")),"UNIT REQUIRED",IF(F208="","BRAND / N/A REQUIRED",IF(NOT(OR(G208="USD",G208="MXN")),"CURRENCY REQUIRED",IF(NOT(ISNUMBER(H208)),"AMOUNT REQUIRED",IF(J208="","ERP SOURCE REQUIRED",IF(NOT(OR(K208="ISSUED",K208="CANCELLED")),"INVOICE STATUS REQUIRED",IF(COUNTIFS($A$2:$A$501,A208,$B$2:$B$501,B208,$D$2:$D$501,D208)&gt;1,"DUPLICATE INVOICE / PROJECT",IF(AND(G208="MXN",NOT(AND(ISNUMBER(I208),Settings!$B$8="APPROVED",Settings!$B$9&lt;&gt;"",Settings!$B$10&lt;&gt;""))),"FX HOLD","VALID")))))))))))))))</x:f>
      </x:c>
      <x:c r="M208" s="57" t="str">
        <x:f>IF(ISNUMBER(C208),IF(AND(ISNUMBER(C208),C208&gt;=2,C208&lt;=2958465,C208=INT(C208)),TEXT(C208,"yyyy-mm"),""),"")</x:f>
      </x:c>
      <x:c r="N208" s="59" t="str">
        <x:f>IF(L208="VALID",IF(G208="USD",H208,I208),"")</x:f>
      </x:c>
      <x:c r="O208" s="57" t="n">
        <x:f>IF(L208="VALID",IF(COUNTIFS($B$2:B208,B208,$M$2:M208,M208,$L$2:L208,"VALID")=1,1,0),0)</x:f>
        <x:v>0</x:v>
      </x:c>
    </x:row>
    <x:row r="209">
      <x:c r="A209" s="47"/>
      <x:c r="B209" s="47"/>
      <x:c r="C209" s="58"/>
      <x:c r="D209" s="47"/>
      <x:c r="E209" s="47"/>
      <x:c r="F209" s="47"/>
      <x:c r="G209" s="47"/>
      <x:c r="H209" s="48"/>
      <x:c r="I209" s="48"/>
      <x:c r="J209" s="47"/>
      <x:c r="K209" s="47"/>
      <x:c r="L209" s="57" t="str">
        <x:f>IF(COUNTA(A209:K209)=0,"",IF(K209="CANCELLED","CANCELLED",IF(A209="","INVOICE ID REQUIRED",IF(B209="","PROJECT ID REQUIRED",IF(NOT(ISNUMBER(C209)),"INVALID INVOICE DATE",IF(NOT(AND(ISNUMBER(C209),C209&gt;=2,C209&lt;=2958465,C209=INT(C209))),"INVALID INVOICE DATE",IF(NOT(OR(D209="MX",D209="US")),"ENTITY REQUIRED",IF(NOT(OR(E209="Strategic Services",E209="Brands")),"UNIT REQUIRED",IF(F209="","BRAND / N/A REQUIRED",IF(NOT(OR(G209="USD",G209="MXN")),"CURRENCY REQUIRED",IF(NOT(ISNUMBER(H209)),"AMOUNT REQUIRED",IF(J209="","ERP SOURCE REQUIRED",IF(NOT(OR(K209="ISSUED",K209="CANCELLED")),"INVOICE STATUS REQUIRED",IF(COUNTIFS($A$2:$A$501,A209,$B$2:$B$501,B209,$D$2:$D$501,D209)&gt;1,"DUPLICATE INVOICE / PROJECT",IF(AND(G209="MXN",NOT(AND(ISNUMBER(I209),Settings!$B$8="APPROVED",Settings!$B$9&lt;&gt;"",Settings!$B$10&lt;&gt;""))),"FX HOLD","VALID")))))))))))))))</x:f>
      </x:c>
      <x:c r="M209" s="57" t="str">
        <x:f>IF(ISNUMBER(C209),IF(AND(ISNUMBER(C209),C209&gt;=2,C209&lt;=2958465,C209=INT(C209)),TEXT(C209,"yyyy-mm"),""),"")</x:f>
      </x:c>
      <x:c r="N209" s="59" t="str">
        <x:f>IF(L209="VALID",IF(G209="USD",H209,I209),"")</x:f>
      </x:c>
      <x:c r="O209" s="57" t="n">
        <x:f>IF(L209="VALID",IF(COUNTIFS($B$2:B209,B209,$M$2:M209,M209,$L$2:L209,"VALID")=1,1,0),0)</x:f>
        <x:v>0</x:v>
      </x:c>
    </x:row>
    <x:row r="210">
      <x:c r="A210" s="47"/>
      <x:c r="B210" s="47"/>
      <x:c r="C210" s="58"/>
      <x:c r="D210" s="47"/>
      <x:c r="E210" s="47"/>
      <x:c r="F210" s="47"/>
      <x:c r="G210" s="47"/>
      <x:c r="H210" s="48"/>
      <x:c r="I210" s="48"/>
      <x:c r="J210" s="47"/>
      <x:c r="K210" s="47"/>
      <x:c r="L210" s="57" t="str">
        <x:f>IF(COUNTA(A210:K210)=0,"",IF(K210="CANCELLED","CANCELLED",IF(A210="","INVOICE ID REQUIRED",IF(B210="","PROJECT ID REQUIRED",IF(NOT(ISNUMBER(C210)),"INVALID INVOICE DATE",IF(NOT(AND(ISNUMBER(C210),C210&gt;=2,C210&lt;=2958465,C210=INT(C210))),"INVALID INVOICE DATE",IF(NOT(OR(D210="MX",D210="US")),"ENTITY REQUIRED",IF(NOT(OR(E210="Strategic Services",E210="Brands")),"UNIT REQUIRED",IF(F210="","BRAND / N/A REQUIRED",IF(NOT(OR(G210="USD",G210="MXN")),"CURRENCY REQUIRED",IF(NOT(ISNUMBER(H210)),"AMOUNT REQUIRED",IF(J210="","ERP SOURCE REQUIRED",IF(NOT(OR(K210="ISSUED",K210="CANCELLED")),"INVOICE STATUS REQUIRED",IF(COUNTIFS($A$2:$A$501,A210,$B$2:$B$501,B210,$D$2:$D$501,D210)&gt;1,"DUPLICATE INVOICE / PROJECT",IF(AND(G210="MXN",NOT(AND(ISNUMBER(I210),Settings!$B$8="APPROVED",Settings!$B$9&lt;&gt;"",Settings!$B$10&lt;&gt;""))),"FX HOLD","VALID")))))))))))))))</x:f>
      </x:c>
      <x:c r="M210" s="57" t="str">
        <x:f>IF(ISNUMBER(C210),IF(AND(ISNUMBER(C210),C210&gt;=2,C210&lt;=2958465,C210=INT(C210)),TEXT(C210,"yyyy-mm"),""),"")</x:f>
      </x:c>
      <x:c r="N210" s="59" t="str">
        <x:f>IF(L210="VALID",IF(G210="USD",H210,I210),"")</x:f>
      </x:c>
      <x:c r="O210" s="57" t="n">
        <x:f>IF(L210="VALID",IF(COUNTIFS($B$2:B210,B210,$M$2:M210,M210,$L$2:L210,"VALID")=1,1,0),0)</x:f>
        <x:v>0</x:v>
      </x:c>
    </x:row>
    <x:row r="211">
      <x:c r="A211" s="47"/>
      <x:c r="B211" s="47"/>
      <x:c r="C211" s="58"/>
      <x:c r="D211" s="47"/>
      <x:c r="E211" s="47"/>
      <x:c r="F211" s="47"/>
      <x:c r="G211" s="47"/>
      <x:c r="H211" s="48"/>
      <x:c r="I211" s="48"/>
      <x:c r="J211" s="47"/>
      <x:c r="K211" s="47"/>
      <x:c r="L211" s="57" t="str">
        <x:f>IF(COUNTA(A211:K211)=0,"",IF(K211="CANCELLED","CANCELLED",IF(A211="","INVOICE ID REQUIRED",IF(B211="","PROJECT ID REQUIRED",IF(NOT(ISNUMBER(C211)),"INVALID INVOICE DATE",IF(NOT(AND(ISNUMBER(C211),C211&gt;=2,C211&lt;=2958465,C211=INT(C211))),"INVALID INVOICE DATE",IF(NOT(OR(D211="MX",D211="US")),"ENTITY REQUIRED",IF(NOT(OR(E211="Strategic Services",E211="Brands")),"UNIT REQUIRED",IF(F211="","BRAND / N/A REQUIRED",IF(NOT(OR(G211="USD",G211="MXN")),"CURRENCY REQUIRED",IF(NOT(ISNUMBER(H211)),"AMOUNT REQUIRED",IF(J211="","ERP SOURCE REQUIRED",IF(NOT(OR(K211="ISSUED",K211="CANCELLED")),"INVOICE STATUS REQUIRED",IF(COUNTIFS($A$2:$A$501,A211,$B$2:$B$501,B211,$D$2:$D$501,D211)&gt;1,"DUPLICATE INVOICE / PROJECT",IF(AND(G211="MXN",NOT(AND(ISNUMBER(I211),Settings!$B$8="APPROVED",Settings!$B$9&lt;&gt;"",Settings!$B$10&lt;&gt;""))),"FX HOLD","VALID")))))))))))))))</x:f>
      </x:c>
      <x:c r="M211" s="57" t="str">
        <x:f>IF(ISNUMBER(C211),IF(AND(ISNUMBER(C211),C211&gt;=2,C211&lt;=2958465,C211=INT(C211)),TEXT(C211,"yyyy-mm"),""),"")</x:f>
      </x:c>
      <x:c r="N211" s="59" t="str">
        <x:f>IF(L211="VALID",IF(G211="USD",H211,I211),"")</x:f>
      </x:c>
      <x:c r="O211" s="57" t="n">
        <x:f>IF(L211="VALID",IF(COUNTIFS($B$2:B211,B211,$M$2:M211,M211,$L$2:L211,"VALID")=1,1,0),0)</x:f>
        <x:v>0</x:v>
      </x:c>
    </x:row>
    <x:row r="212">
      <x:c r="A212" s="47"/>
      <x:c r="B212" s="47"/>
      <x:c r="C212" s="58"/>
      <x:c r="D212" s="47"/>
      <x:c r="E212" s="47"/>
      <x:c r="F212" s="47"/>
      <x:c r="G212" s="47"/>
      <x:c r="H212" s="48"/>
      <x:c r="I212" s="48"/>
      <x:c r="J212" s="47"/>
      <x:c r="K212" s="47"/>
      <x:c r="L212" s="57" t="str">
        <x:f>IF(COUNTA(A212:K212)=0,"",IF(K212="CANCELLED","CANCELLED",IF(A212="","INVOICE ID REQUIRED",IF(B212="","PROJECT ID REQUIRED",IF(NOT(ISNUMBER(C212)),"INVALID INVOICE DATE",IF(NOT(AND(ISNUMBER(C212),C212&gt;=2,C212&lt;=2958465,C212=INT(C212))),"INVALID INVOICE DATE",IF(NOT(OR(D212="MX",D212="US")),"ENTITY REQUIRED",IF(NOT(OR(E212="Strategic Services",E212="Brands")),"UNIT REQUIRED",IF(F212="","BRAND / N/A REQUIRED",IF(NOT(OR(G212="USD",G212="MXN")),"CURRENCY REQUIRED",IF(NOT(ISNUMBER(H212)),"AMOUNT REQUIRED",IF(J212="","ERP SOURCE REQUIRED",IF(NOT(OR(K212="ISSUED",K212="CANCELLED")),"INVOICE STATUS REQUIRED",IF(COUNTIFS($A$2:$A$501,A212,$B$2:$B$501,B212,$D$2:$D$501,D212)&gt;1,"DUPLICATE INVOICE / PROJECT",IF(AND(G212="MXN",NOT(AND(ISNUMBER(I212),Settings!$B$8="APPROVED",Settings!$B$9&lt;&gt;"",Settings!$B$10&lt;&gt;""))),"FX HOLD","VALID")))))))))))))))</x:f>
      </x:c>
      <x:c r="M212" s="57" t="str">
        <x:f>IF(ISNUMBER(C212),IF(AND(ISNUMBER(C212),C212&gt;=2,C212&lt;=2958465,C212=INT(C212)),TEXT(C212,"yyyy-mm"),""),"")</x:f>
      </x:c>
      <x:c r="N212" s="59" t="str">
        <x:f>IF(L212="VALID",IF(G212="USD",H212,I212),"")</x:f>
      </x:c>
      <x:c r="O212" s="57" t="n">
        <x:f>IF(L212="VALID",IF(COUNTIFS($B$2:B212,B212,$M$2:M212,M212,$L$2:L212,"VALID")=1,1,0),0)</x:f>
        <x:v>0</x:v>
      </x:c>
    </x:row>
    <x:row r="213">
      <x:c r="A213" s="47"/>
      <x:c r="B213" s="47"/>
      <x:c r="C213" s="58"/>
      <x:c r="D213" s="47"/>
      <x:c r="E213" s="47"/>
      <x:c r="F213" s="47"/>
      <x:c r="G213" s="47"/>
      <x:c r="H213" s="48"/>
      <x:c r="I213" s="48"/>
      <x:c r="J213" s="47"/>
      <x:c r="K213" s="47"/>
      <x:c r="L213" s="57" t="str">
        <x:f>IF(COUNTA(A213:K213)=0,"",IF(K213="CANCELLED","CANCELLED",IF(A213="","INVOICE ID REQUIRED",IF(B213="","PROJECT ID REQUIRED",IF(NOT(ISNUMBER(C213)),"INVALID INVOICE DATE",IF(NOT(AND(ISNUMBER(C213),C213&gt;=2,C213&lt;=2958465,C213=INT(C213))),"INVALID INVOICE DATE",IF(NOT(OR(D213="MX",D213="US")),"ENTITY REQUIRED",IF(NOT(OR(E213="Strategic Services",E213="Brands")),"UNIT REQUIRED",IF(F213="","BRAND / N/A REQUIRED",IF(NOT(OR(G213="USD",G213="MXN")),"CURRENCY REQUIRED",IF(NOT(ISNUMBER(H213)),"AMOUNT REQUIRED",IF(J213="","ERP SOURCE REQUIRED",IF(NOT(OR(K213="ISSUED",K213="CANCELLED")),"INVOICE STATUS REQUIRED",IF(COUNTIFS($A$2:$A$501,A213,$B$2:$B$501,B213,$D$2:$D$501,D213)&gt;1,"DUPLICATE INVOICE / PROJECT",IF(AND(G213="MXN",NOT(AND(ISNUMBER(I213),Settings!$B$8="APPROVED",Settings!$B$9&lt;&gt;"",Settings!$B$10&lt;&gt;""))),"FX HOLD","VALID")))))))))))))))</x:f>
      </x:c>
      <x:c r="M213" s="57" t="str">
        <x:f>IF(ISNUMBER(C213),IF(AND(ISNUMBER(C213),C213&gt;=2,C213&lt;=2958465,C213=INT(C213)),TEXT(C213,"yyyy-mm"),""),"")</x:f>
      </x:c>
      <x:c r="N213" s="59" t="str">
        <x:f>IF(L213="VALID",IF(G213="USD",H213,I213),"")</x:f>
      </x:c>
      <x:c r="O213" s="57" t="n">
        <x:f>IF(L213="VALID",IF(COUNTIFS($B$2:B213,B213,$M$2:M213,M213,$L$2:L213,"VALID")=1,1,0),0)</x:f>
        <x:v>0</x:v>
      </x:c>
    </x:row>
    <x:row r="214">
      <x:c r="A214" s="47"/>
      <x:c r="B214" s="47"/>
      <x:c r="C214" s="58"/>
      <x:c r="D214" s="47"/>
      <x:c r="E214" s="47"/>
      <x:c r="F214" s="47"/>
      <x:c r="G214" s="47"/>
      <x:c r="H214" s="48"/>
      <x:c r="I214" s="48"/>
      <x:c r="J214" s="47"/>
      <x:c r="K214" s="47"/>
      <x:c r="L214" s="57" t="str">
        <x:f>IF(COUNTA(A214:K214)=0,"",IF(K214="CANCELLED","CANCELLED",IF(A214="","INVOICE ID REQUIRED",IF(B214="","PROJECT ID REQUIRED",IF(NOT(ISNUMBER(C214)),"INVALID INVOICE DATE",IF(NOT(AND(ISNUMBER(C214),C214&gt;=2,C214&lt;=2958465,C214=INT(C214))),"INVALID INVOICE DATE",IF(NOT(OR(D214="MX",D214="US")),"ENTITY REQUIRED",IF(NOT(OR(E214="Strategic Services",E214="Brands")),"UNIT REQUIRED",IF(F214="","BRAND / N/A REQUIRED",IF(NOT(OR(G214="USD",G214="MXN")),"CURRENCY REQUIRED",IF(NOT(ISNUMBER(H214)),"AMOUNT REQUIRED",IF(J214="","ERP SOURCE REQUIRED",IF(NOT(OR(K214="ISSUED",K214="CANCELLED")),"INVOICE STATUS REQUIRED",IF(COUNTIFS($A$2:$A$501,A214,$B$2:$B$501,B214,$D$2:$D$501,D214)&gt;1,"DUPLICATE INVOICE / PROJECT",IF(AND(G214="MXN",NOT(AND(ISNUMBER(I214),Settings!$B$8="APPROVED",Settings!$B$9&lt;&gt;"",Settings!$B$10&lt;&gt;""))),"FX HOLD","VALID")))))))))))))))</x:f>
      </x:c>
      <x:c r="M214" s="57" t="str">
        <x:f>IF(ISNUMBER(C214),IF(AND(ISNUMBER(C214),C214&gt;=2,C214&lt;=2958465,C214=INT(C214)),TEXT(C214,"yyyy-mm"),""),"")</x:f>
      </x:c>
      <x:c r="N214" s="59" t="str">
        <x:f>IF(L214="VALID",IF(G214="USD",H214,I214),"")</x:f>
      </x:c>
      <x:c r="O214" s="57" t="n">
        <x:f>IF(L214="VALID",IF(COUNTIFS($B$2:B214,B214,$M$2:M214,M214,$L$2:L214,"VALID")=1,1,0),0)</x:f>
        <x:v>0</x:v>
      </x:c>
    </x:row>
    <x:row r="215">
      <x:c r="A215" s="47"/>
      <x:c r="B215" s="47"/>
      <x:c r="C215" s="58"/>
      <x:c r="D215" s="47"/>
      <x:c r="E215" s="47"/>
      <x:c r="F215" s="47"/>
      <x:c r="G215" s="47"/>
      <x:c r="H215" s="48"/>
      <x:c r="I215" s="48"/>
      <x:c r="J215" s="47"/>
      <x:c r="K215" s="47"/>
      <x:c r="L215" s="57" t="str">
        <x:f>IF(COUNTA(A215:K215)=0,"",IF(K215="CANCELLED","CANCELLED",IF(A215="","INVOICE ID REQUIRED",IF(B215="","PROJECT ID REQUIRED",IF(NOT(ISNUMBER(C215)),"INVALID INVOICE DATE",IF(NOT(AND(ISNUMBER(C215),C215&gt;=2,C215&lt;=2958465,C215=INT(C215))),"INVALID INVOICE DATE",IF(NOT(OR(D215="MX",D215="US")),"ENTITY REQUIRED",IF(NOT(OR(E215="Strategic Services",E215="Brands")),"UNIT REQUIRED",IF(F215="","BRAND / N/A REQUIRED",IF(NOT(OR(G215="USD",G215="MXN")),"CURRENCY REQUIRED",IF(NOT(ISNUMBER(H215)),"AMOUNT REQUIRED",IF(J215="","ERP SOURCE REQUIRED",IF(NOT(OR(K215="ISSUED",K215="CANCELLED")),"INVOICE STATUS REQUIRED",IF(COUNTIFS($A$2:$A$501,A215,$B$2:$B$501,B215,$D$2:$D$501,D215)&gt;1,"DUPLICATE INVOICE / PROJECT",IF(AND(G215="MXN",NOT(AND(ISNUMBER(I215),Settings!$B$8="APPROVED",Settings!$B$9&lt;&gt;"",Settings!$B$10&lt;&gt;""))),"FX HOLD","VALID")))))))))))))))</x:f>
      </x:c>
      <x:c r="M215" s="57" t="str">
        <x:f>IF(ISNUMBER(C215),IF(AND(ISNUMBER(C215),C215&gt;=2,C215&lt;=2958465,C215=INT(C215)),TEXT(C215,"yyyy-mm"),""),"")</x:f>
      </x:c>
      <x:c r="N215" s="59" t="str">
        <x:f>IF(L215="VALID",IF(G215="USD",H215,I215),"")</x:f>
      </x:c>
      <x:c r="O215" s="57" t="n">
        <x:f>IF(L215="VALID",IF(COUNTIFS($B$2:B215,B215,$M$2:M215,M215,$L$2:L215,"VALID")=1,1,0),0)</x:f>
        <x:v>0</x:v>
      </x:c>
    </x:row>
    <x:row r="216">
      <x:c r="A216" s="47"/>
      <x:c r="B216" s="47"/>
      <x:c r="C216" s="58"/>
      <x:c r="D216" s="47"/>
      <x:c r="E216" s="47"/>
      <x:c r="F216" s="47"/>
      <x:c r="G216" s="47"/>
      <x:c r="H216" s="48"/>
      <x:c r="I216" s="48"/>
      <x:c r="J216" s="47"/>
      <x:c r="K216" s="47"/>
      <x:c r="L216" s="57" t="str">
        <x:f>IF(COUNTA(A216:K216)=0,"",IF(K216="CANCELLED","CANCELLED",IF(A216="","INVOICE ID REQUIRED",IF(B216="","PROJECT ID REQUIRED",IF(NOT(ISNUMBER(C216)),"INVALID INVOICE DATE",IF(NOT(AND(ISNUMBER(C216),C216&gt;=2,C216&lt;=2958465,C216=INT(C216))),"INVALID INVOICE DATE",IF(NOT(OR(D216="MX",D216="US")),"ENTITY REQUIRED",IF(NOT(OR(E216="Strategic Services",E216="Brands")),"UNIT REQUIRED",IF(F216="","BRAND / N/A REQUIRED",IF(NOT(OR(G216="USD",G216="MXN")),"CURRENCY REQUIRED",IF(NOT(ISNUMBER(H216)),"AMOUNT REQUIRED",IF(J216="","ERP SOURCE REQUIRED",IF(NOT(OR(K216="ISSUED",K216="CANCELLED")),"INVOICE STATUS REQUIRED",IF(COUNTIFS($A$2:$A$501,A216,$B$2:$B$501,B216,$D$2:$D$501,D216)&gt;1,"DUPLICATE INVOICE / PROJECT",IF(AND(G216="MXN",NOT(AND(ISNUMBER(I216),Settings!$B$8="APPROVED",Settings!$B$9&lt;&gt;"",Settings!$B$10&lt;&gt;""))),"FX HOLD","VALID")))))))))))))))</x:f>
      </x:c>
      <x:c r="M216" s="57" t="str">
        <x:f>IF(ISNUMBER(C216),IF(AND(ISNUMBER(C216),C216&gt;=2,C216&lt;=2958465,C216=INT(C216)),TEXT(C216,"yyyy-mm"),""),"")</x:f>
      </x:c>
      <x:c r="N216" s="59" t="str">
        <x:f>IF(L216="VALID",IF(G216="USD",H216,I216),"")</x:f>
      </x:c>
      <x:c r="O216" s="57" t="n">
        <x:f>IF(L216="VALID",IF(COUNTIFS($B$2:B216,B216,$M$2:M216,M216,$L$2:L216,"VALID")=1,1,0),0)</x:f>
        <x:v>0</x:v>
      </x:c>
    </x:row>
    <x:row r="217">
      <x:c r="A217" s="47"/>
      <x:c r="B217" s="47"/>
      <x:c r="C217" s="58"/>
      <x:c r="D217" s="47"/>
      <x:c r="E217" s="47"/>
      <x:c r="F217" s="47"/>
      <x:c r="G217" s="47"/>
      <x:c r="H217" s="48"/>
      <x:c r="I217" s="48"/>
      <x:c r="J217" s="47"/>
      <x:c r="K217" s="47"/>
      <x:c r="L217" s="57" t="str">
        <x:f>IF(COUNTA(A217:K217)=0,"",IF(K217="CANCELLED","CANCELLED",IF(A217="","INVOICE ID REQUIRED",IF(B217="","PROJECT ID REQUIRED",IF(NOT(ISNUMBER(C217)),"INVALID INVOICE DATE",IF(NOT(AND(ISNUMBER(C217),C217&gt;=2,C217&lt;=2958465,C217=INT(C217))),"INVALID INVOICE DATE",IF(NOT(OR(D217="MX",D217="US")),"ENTITY REQUIRED",IF(NOT(OR(E217="Strategic Services",E217="Brands")),"UNIT REQUIRED",IF(F217="","BRAND / N/A REQUIRED",IF(NOT(OR(G217="USD",G217="MXN")),"CURRENCY REQUIRED",IF(NOT(ISNUMBER(H217)),"AMOUNT REQUIRED",IF(J217="","ERP SOURCE REQUIRED",IF(NOT(OR(K217="ISSUED",K217="CANCELLED")),"INVOICE STATUS REQUIRED",IF(COUNTIFS($A$2:$A$501,A217,$B$2:$B$501,B217,$D$2:$D$501,D217)&gt;1,"DUPLICATE INVOICE / PROJECT",IF(AND(G217="MXN",NOT(AND(ISNUMBER(I217),Settings!$B$8="APPROVED",Settings!$B$9&lt;&gt;"",Settings!$B$10&lt;&gt;""))),"FX HOLD","VALID")))))))))))))))</x:f>
      </x:c>
      <x:c r="M217" s="57" t="str">
        <x:f>IF(ISNUMBER(C217),IF(AND(ISNUMBER(C217),C217&gt;=2,C217&lt;=2958465,C217=INT(C217)),TEXT(C217,"yyyy-mm"),""),"")</x:f>
      </x:c>
      <x:c r="N217" s="59" t="str">
        <x:f>IF(L217="VALID",IF(G217="USD",H217,I217),"")</x:f>
      </x:c>
      <x:c r="O217" s="57" t="n">
        <x:f>IF(L217="VALID",IF(COUNTIFS($B$2:B217,B217,$M$2:M217,M217,$L$2:L217,"VALID")=1,1,0),0)</x:f>
        <x:v>0</x:v>
      </x:c>
    </x:row>
    <x:row r="218">
      <x:c r="A218" s="47"/>
      <x:c r="B218" s="47"/>
      <x:c r="C218" s="58"/>
      <x:c r="D218" s="47"/>
      <x:c r="E218" s="47"/>
      <x:c r="F218" s="47"/>
      <x:c r="G218" s="47"/>
      <x:c r="H218" s="48"/>
      <x:c r="I218" s="48"/>
      <x:c r="J218" s="47"/>
      <x:c r="K218" s="47"/>
      <x:c r="L218" s="57" t="str">
        <x:f>IF(COUNTA(A218:K218)=0,"",IF(K218="CANCELLED","CANCELLED",IF(A218="","INVOICE ID REQUIRED",IF(B218="","PROJECT ID REQUIRED",IF(NOT(ISNUMBER(C218)),"INVALID INVOICE DATE",IF(NOT(AND(ISNUMBER(C218),C218&gt;=2,C218&lt;=2958465,C218=INT(C218))),"INVALID INVOICE DATE",IF(NOT(OR(D218="MX",D218="US")),"ENTITY REQUIRED",IF(NOT(OR(E218="Strategic Services",E218="Brands")),"UNIT REQUIRED",IF(F218="","BRAND / N/A REQUIRED",IF(NOT(OR(G218="USD",G218="MXN")),"CURRENCY REQUIRED",IF(NOT(ISNUMBER(H218)),"AMOUNT REQUIRED",IF(J218="","ERP SOURCE REQUIRED",IF(NOT(OR(K218="ISSUED",K218="CANCELLED")),"INVOICE STATUS REQUIRED",IF(COUNTIFS($A$2:$A$501,A218,$B$2:$B$501,B218,$D$2:$D$501,D218)&gt;1,"DUPLICATE INVOICE / PROJECT",IF(AND(G218="MXN",NOT(AND(ISNUMBER(I218),Settings!$B$8="APPROVED",Settings!$B$9&lt;&gt;"",Settings!$B$10&lt;&gt;""))),"FX HOLD","VALID")))))))))))))))</x:f>
      </x:c>
      <x:c r="M218" s="57" t="str">
        <x:f>IF(ISNUMBER(C218),IF(AND(ISNUMBER(C218),C218&gt;=2,C218&lt;=2958465,C218=INT(C218)),TEXT(C218,"yyyy-mm"),""),"")</x:f>
      </x:c>
      <x:c r="N218" s="59" t="str">
        <x:f>IF(L218="VALID",IF(G218="USD",H218,I218),"")</x:f>
      </x:c>
      <x:c r="O218" s="57" t="n">
        <x:f>IF(L218="VALID",IF(COUNTIFS($B$2:B218,B218,$M$2:M218,M218,$L$2:L218,"VALID")=1,1,0),0)</x:f>
        <x:v>0</x:v>
      </x:c>
    </x:row>
    <x:row r="219">
      <x:c r="A219" s="47"/>
      <x:c r="B219" s="47"/>
      <x:c r="C219" s="58"/>
      <x:c r="D219" s="47"/>
      <x:c r="E219" s="47"/>
      <x:c r="F219" s="47"/>
      <x:c r="G219" s="47"/>
      <x:c r="H219" s="48"/>
      <x:c r="I219" s="48"/>
      <x:c r="J219" s="47"/>
      <x:c r="K219" s="47"/>
      <x:c r="L219" s="57" t="str">
        <x:f>IF(COUNTA(A219:K219)=0,"",IF(K219="CANCELLED","CANCELLED",IF(A219="","INVOICE ID REQUIRED",IF(B219="","PROJECT ID REQUIRED",IF(NOT(ISNUMBER(C219)),"INVALID INVOICE DATE",IF(NOT(AND(ISNUMBER(C219),C219&gt;=2,C219&lt;=2958465,C219=INT(C219))),"INVALID INVOICE DATE",IF(NOT(OR(D219="MX",D219="US")),"ENTITY REQUIRED",IF(NOT(OR(E219="Strategic Services",E219="Brands")),"UNIT REQUIRED",IF(F219="","BRAND / N/A REQUIRED",IF(NOT(OR(G219="USD",G219="MXN")),"CURRENCY REQUIRED",IF(NOT(ISNUMBER(H219)),"AMOUNT REQUIRED",IF(J219="","ERP SOURCE REQUIRED",IF(NOT(OR(K219="ISSUED",K219="CANCELLED")),"INVOICE STATUS REQUIRED",IF(COUNTIFS($A$2:$A$501,A219,$B$2:$B$501,B219,$D$2:$D$501,D219)&gt;1,"DUPLICATE INVOICE / PROJECT",IF(AND(G219="MXN",NOT(AND(ISNUMBER(I219),Settings!$B$8="APPROVED",Settings!$B$9&lt;&gt;"",Settings!$B$10&lt;&gt;""))),"FX HOLD","VALID")))))))))))))))</x:f>
      </x:c>
      <x:c r="M219" s="57" t="str">
        <x:f>IF(ISNUMBER(C219),IF(AND(ISNUMBER(C219),C219&gt;=2,C219&lt;=2958465,C219=INT(C219)),TEXT(C219,"yyyy-mm"),""),"")</x:f>
      </x:c>
      <x:c r="N219" s="59" t="str">
        <x:f>IF(L219="VALID",IF(G219="USD",H219,I219),"")</x:f>
      </x:c>
      <x:c r="O219" s="57" t="n">
        <x:f>IF(L219="VALID",IF(COUNTIFS($B$2:B219,B219,$M$2:M219,M219,$L$2:L219,"VALID")=1,1,0),0)</x:f>
        <x:v>0</x:v>
      </x:c>
    </x:row>
    <x:row r="220">
      <x:c r="A220" s="47"/>
      <x:c r="B220" s="47"/>
      <x:c r="C220" s="58"/>
      <x:c r="D220" s="47"/>
      <x:c r="E220" s="47"/>
      <x:c r="F220" s="47"/>
      <x:c r="G220" s="47"/>
      <x:c r="H220" s="48"/>
      <x:c r="I220" s="48"/>
      <x:c r="J220" s="47"/>
      <x:c r="K220" s="47"/>
      <x:c r="L220" s="57" t="str">
        <x:f>IF(COUNTA(A220:K220)=0,"",IF(K220="CANCELLED","CANCELLED",IF(A220="","INVOICE ID REQUIRED",IF(B220="","PROJECT ID REQUIRED",IF(NOT(ISNUMBER(C220)),"INVALID INVOICE DATE",IF(NOT(AND(ISNUMBER(C220),C220&gt;=2,C220&lt;=2958465,C220=INT(C220))),"INVALID INVOICE DATE",IF(NOT(OR(D220="MX",D220="US")),"ENTITY REQUIRED",IF(NOT(OR(E220="Strategic Services",E220="Brands")),"UNIT REQUIRED",IF(F220="","BRAND / N/A REQUIRED",IF(NOT(OR(G220="USD",G220="MXN")),"CURRENCY REQUIRED",IF(NOT(ISNUMBER(H220)),"AMOUNT REQUIRED",IF(J220="","ERP SOURCE REQUIRED",IF(NOT(OR(K220="ISSUED",K220="CANCELLED")),"INVOICE STATUS REQUIRED",IF(COUNTIFS($A$2:$A$501,A220,$B$2:$B$501,B220,$D$2:$D$501,D220)&gt;1,"DUPLICATE INVOICE / PROJECT",IF(AND(G220="MXN",NOT(AND(ISNUMBER(I220),Settings!$B$8="APPROVED",Settings!$B$9&lt;&gt;"",Settings!$B$10&lt;&gt;""))),"FX HOLD","VALID")))))))))))))))</x:f>
      </x:c>
      <x:c r="M220" s="57" t="str">
        <x:f>IF(ISNUMBER(C220),IF(AND(ISNUMBER(C220),C220&gt;=2,C220&lt;=2958465,C220=INT(C220)),TEXT(C220,"yyyy-mm"),""),"")</x:f>
      </x:c>
      <x:c r="N220" s="59" t="str">
        <x:f>IF(L220="VALID",IF(G220="USD",H220,I220),"")</x:f>
      </x:c>
      <x:c r="O220" s="57" t="n">
        <x:f>IF(L220="VALID",IF(COUNTIFS($B$2:B220,B220,$M$2:M220,M220,$L$2:L220,"VALID")=1,1,0),0)</x:f>
        <x:v>0</x:v>
      </x:c>
    </x:row>
    <x:row r="221">
      <x:c r="A221" s="47"/>
      <x:c r="B221" s="47"/>
      <x:c r="C221" s="58"/>
      <x:c r="D221" s="47"/>
      <x:c r="E221" s="47"/>
      <x:c r="F221" s="47"/>
      <x:c r="G221" s="47"/>
      <x:c r="H221" s="48"/>
      <x:c r="I221" s="48"/>
      <x:c r="J221" s="47"/>
      <x:c r="K221" s="47"/>
      <x:c r="L221" s="57" t="str">
        <x:f>IF(COUNTA(A221:K221)=0,"",IF(K221="CANCELLED","CANCELLED",IF(A221="","INVOICE ID REQUIRED",IF(B221="","PROJECT ID REQUIRED",IF(NOT(ISNUMBER(C221)),"INVALID INVOICE DATE",IF(NOT(AND(ISNUMBER(C221),C221&gt;=2,C221&lt;=2958465,C221=INT(C221))),"INVALID INVOICE DATE",IF(NOT(OR(D221="MX",D221="US")),"ENTITY REQUIRED",IF(NOT(OR(E221="Strategic Services",E221="Brands")),"UNIT REQUIRED",IF(F221="","BRAND / N/A REQUIRED",IF(NOT(OR(G221="USD",G221="MXN")),"CURRENCY REQUIRED",IF(NOT(ISNUMBER(H221)),"AMOUNT REQUIRED",IF(J221="","ERP SOURCE REQUIRED",IF(NOT(OR(K221="ISSUED",K221="CANCELLED")),"INVOICE STATUS REQUIRED",IF(COUNTIFS($A$2:$A$501,A221,$B$2:$B$501,B221,$D$2:$D$501,D221)&gt;1,"DUPLICATE INVOICE / PROJECT",IF(AND(G221="MXN",NOT(AND(ISNUMBER(I221),Settings!$B$8="APPROVED",Settings!$B$9&lt;&gt;"",Settings!$B$10&lt;&gt;""))),"FX HOLD","VALID")))))))))))))))</x:f>
      </x:c>
      <x:c r="M221" s="57" t="str">
        <x:f>IF(ISNUMBER(C221),IF(AND(ISNUMBER(C221),C221&gt;=2,C221&lt;=2958465,C221=INT(C221)),TEXT(C221,"yyyy-mm"),""),"")</x:f>
      </x:c>
      <x:c r="N221" s="59" t="str">
        <x:f>IF(L221="VALID",IF(G221="USD",H221,I221),"")</x:f>
      </x:c>
      <x:c r="O221" s="57" t="n">
        <x:f>IF(L221="VALID",IF(COUNTIFS($B$2:B221,B221,$M$2:M221,M221,$L$2:L221,"VALID")=1,1,0),0)</x:f>
        <x:v>0</x:v>
      </x:c>
    </x:row>
    <x:row r="222">
      <x:c r="A222" s="47"/>
      <x:c r="B222" s="47"/>
      <x:c r="C222" s="58"/>
      <x:c r="D222" s="47"/>
      <x:c r="E222" s="47"/>
      <x:c r="F222" s="47"/>
      <x:c r="G222" s="47"/>
      <x:c r="H222" s="48"/>
      <x:c r="I222" s="48"/>
      <x:c r="J222" s="47"/>
      <x:c r="K222" s="47"/>
      <x:c r="L222" s="57" t="str">
        <x:f>IF(COUNTA(A222:K222)=0,"",IF(K222="CANCELLED","CANCELLED",IF(A222="","INVOICE ID REQUIRED",IF(B222="","PROJECT ID REQUIRED",IF(NOT(ISNUMBER(C222)),"INVALID INVOICE DATE",IF(NOT(AND(ISNUMBER(C222),C222&gt;=2,C222&lt;=2958465,C222=INT(C222))),"INVALID INVOICE DATE",IF(NOT(OR(D222="MX",D222="US")),"ENTITY REQUIRED",IF(NOT(OR(E222="Strategic Services",E222="Brands")),"UNIT REQUIRED",IF(F222="","BRAND / N/A REQUIRED",IF(NOT(OR(G222="USD",G222="MXN")),"CURRENCY REQUIRED",IF(NOT(ISNUMBER(H222)),"AMOUNT REQUIRED",IF(J222="","ERP SOURCE REQUIRED",IF(NOT(OR(K222="ISSUED",K222="CANCELLED")),"INVOICE STATUS REQUIRED",IF(COUNTIFS($A$2:$A$501,A222,$B$2:$B$501,B222,$D$2:$D$501,D222)&gt;1,"DUPLICATE INVOICE / PROJECT",IF(AND(G222="MXN",NOT(AND(ISNUMBER(I222),Settings!$B$8="APPROVED",Settings!$B$9&lt;&gt;"",Settings!$B$10&lt;&gt;""))),"FX HOLD","VALID")))))))))))))))</x:f>
      </x:c>
      <x:c r="M222" s="57" t="str">
        <x:f>IF(ISNUMBER(C222),IF(AND(ISNUMBER(C222),C222&gt;=2,C222&lt;=2958465,C222=INT(C222)),TEXT(C222,"yyyy-mm"),""),"")</x:f>
      </x:c>
      <x:c r="N222" s="59" t="str">
        <x:f>IF(L222="VALID",IF(G222="USD",H222,I222),"")</x:f>
      </x:c>
      <x:c r="O222" s="57" t="n">
        <x:f>IF(L222="VALID",IF(COUNTIFS($B$2:B222,B222,$M$2:M222,M222,$L$2:L222,"VALID")=1,1,0),0)</x:f>
        <x:v>0</x:v>
      </x:c>
    </x:row>
    <x:row r="223">
      <x:c r="A223" s="47"/>
      <x:c r="B223" s="47"/>
      <x:c r="C223" s="58"/>
      <x:c r="D223" s="47"/>
      <x:c r="E223" s="47"/>
      <x:c r="F223" s="47"/>
      <x:c r="G223" s="47"/>
      <x:c r="H223" s="48"/>
      <x:c r="I223" s="48"/>
      <x:c r="J223" s="47"/>
      <x:c r="K223" s="47"/>
      <x:c r="L223" s="57" t="str">
        <x:f>IF(COUNTA(A223:K223)=0,"",IF(K223="CANCELLED","CANCELLED",IF(A223="","INVOICE ID REQUIRED",IF(B223="","PROJECT ID REQUIRED",IF(NOT(ISNUMBER(C223)),"INVALID INVOICE DATE",IF(NOT(AND(ISNUMBER(C223),C223&gt;=2,C223&lt;=2958465,C223=INT(C223))),"INVALID INVOICE DATE",IF(NOT(OR(D223="MX",D223="US")),"ENTITY REQUIRED",IF(NOT(OR(E223="Strategic Services",E223="Brands")),"UNIT REQUIRED",IF(F223="","BRAND / N/A REQUIRED",IF(NOT(OR(G223="USD",G223="MXN")),"CURRENCY REQUIRED",IF(NOT(ISNUMBER(H223)),"AMOUNT REQUIRED",IF(J223="","ERP SOURCE REQUIRED",IF(NOT(OR(K223="ISSUED",K223="CANCELLED")),"INVOICE STATUS REQUIRED",IF(COUNTIFS($A$2:$A$501,A223,$B$2:$B$501,B223,$D$2:$D$501,D223)&gt;1,"DUPLICATE INVOICE / PROJECT",IF(AND(G223="MXN",NOT(AND(ISNUMBER(I223),Settings!$B$8="APPROVED",Settings!$B$9&lt;&gt;"",Settings!$B$10&lt;&gt;""))),"FX HOLD","VALID")))))))))))))))</x:f>
      </x:c>
      <x:c r="M223" s="57" t="str">
        <x:f>IF(ISNUMBER(C223),IF(AND(ISNUMBER(C223),C223&gt;=2,C223&lt;=2958465,C223=INT(C223)),TEXT(C223,"yyyy-mm"),""),"")</x:f>
      </x:c>
      <x:c r="N223" s="59" t="str">
        <x:f>IF(L223="VALID",IF(G223="USD",H223,I223),"")</x:f>
      </x:c>
      <x:c r="O223" s="57" t="n">
        <x:f>IF(L223="VALID",IF(COUNTIFS($B$2:B223,B223,$M$2:M223,M223,$L$2:L223,"VALID")=1,1,0),0)</x:f>
        <x:v>0</x:v>
      </x:c>
    </x:row>
    <x:row r="224">
      <x:c r="A224" s="47"/>
      <x:c r="B224" s="47"/>
      <x:c r="C224" s="58"/>
      <x:c r="D224" s="47"/>
      <x:c r="E224" s="47"/>
      <x:c r="F224" s="47"/>
      <x:c r="G224" s="47"/>
      <x:c r="H224" s="48"/>
      <x:c r="I224" s="48"/>
      <x:c r="J224" s="47"/>
      <x:c r="K224" s="47"/>
      <x:c r="L224" s="57" t="str">
        <x:f>IF(COUNTA(A224:K224)=0,"",IF(K224="CANCELLED","CANCELLED",IF(A224="","INVOICE ID REQUIRED",IF(B224="","PROJECT ID REQUIRED",IF(NOT(ISNUMBER(C224)),"INVALID INVOICE DATE",IF(NOT(AND(ISNUMBER(C224),C224&gt;=2,C224&lt;=2958465,C224=INT(C224))),"INVALID INVOICE DATE",IF(NOT(OR(D224="MX",D224="US")),"ENTITY REQUIRED",IF(NOT(OR(E224="Strategic Services",E224="Brands")),"UNIT REQUIRED",IF(F224="","BRAND / N/A REQUIRED",IF(NOT(OR(G224="USD",G224="MXN")),"CURRENCY REQUIRED",IF(NOT(ISNUMBER(H224)),"AMOUNT REQUIRED",IF(J224="","ERP SOURCE REQUIRED",IF(NOT(OR(K224="ISSUED",K224="CANCELLED")),"INVOICE STATUS REQUIRED",IF(COUNTIFS($A$2:$A$501,A224,$B$2:$B$501,B224,$D$2:$D$501,D224)&gt;1,"DUPLICATE INVOICE / PROJECT",IF(AND(G224="MXN",NOT(AND(ISNUMBER(I224),Settings!$B$8="APPROVED",Settings!$B$9&lt;&gt;"",Settings!$B$10&lt;&gt;""))),"FX HOLD","VALID")))))))))))))))</x:f>
      </x:c>
      <x:c r="M224" s="57" t="str">
        <x:f>IF(ISNUMBER(C224),IF(AND(ISNUMBER(C224),C224&gt;=2,C224&lt;=2958465,C224=INT(C224)),TEXT(C224,"yyyy-mm"),""),"")</x:f>
      </x:c>
      <x:c r="N224" s="59" t="str">
        <x:f>IF(L224="VALID",IF(G224="USD",H224,I224),"")</x:f>
      </x:c>
      <x:c r="O224" s="57" t="n">
        <x:f>IF(L224="VALID",IF(COUNTIFS($B$2:B224,B224,$M$2:M224,M224,$L$2:L224,"VALID")=1,1,0),0)</x:f>
        <x:v>0</x:v>
      </x:c>
    </x:row>
    <x:row r="225">
      <x:c r="A225" s="47"/>
      <x:c r="B225" s="47"/>
      <x:c r="C225" s="58"/>
      <x:c r="D225" s="47"/>
      <x:c r="E225" s="47"/>
      <x:c r="F225" s="47"/>
      <x:c r="G225" s="47"/>
      <x:c r="H225" s="48"/>
      <x:c r="I225" s="48"/>
      <x:c r="J225" s="47"/>
      <x:c r="K225" s="47"/>
      <x:c r="L225" s="57" t="str">
        <x:f>IF(COUNTA(A225:K225)=0,"",IF(K225="CANCELLED","CANCELLED",IF(A225="","INVOICE ID REQUIRED",IF(B225="","PROJECT ID REQUIRED",IF(NOT(ISNUMBER(C225)),"INVALID INVOICE DATE",IF(NOT(AND(ISNUMBER(C225),C225&gt;=2,C225&lt;=2958465,C225=INT(C225))),"INVALID INVOICE DATE",IF(NOT(OR(D225="MX",D225="US")),"ENTITY REQUIRED",IF(NOT(OR(E225="Strategic Services",E225="Brands")),"UNIT REQUIRED",IF(F225="","BRAND / N/A REQUIRED",IF(NOT(OR(G225="USD",G225="MXN")),"CURRENCY REQUIRED",IF(NOT(ISNUMBER(H225)),"AMOUNT REQUIRED",IF(J225="","ERP SOURCE REQUIRED",IF(NOT(OR(K225="ISSUED",K225="CANCELLED")),"INVOICE STATUS REQUIRED",IF(COUNTIFS($A$2:$A$501,A225,$B$2:$B$501,B225,$D$2:$D$501,D225)&gt;1,"DUPLICATE INVOICE / PROJECT",IF(AND(G225="MXN",NOT(AND(ISNUMBER(I225),Settings!$B$8="APPROVED",Settings!$B$9&lt;&gt;"",Settings!$B$10&lt;&gt;""))),"FX HOLD","VALID")))))))))))))))</x:f>
      </x:c>
      <x:c r="M225" s="57" t="str">
        <x:f>IF(ISNUMBER(C225),IF(AND(ISNUMBER(C225),C225&gt;=2,C225&lt;=2958465,C225=INT(C225)),TEXT(C225,"yyyy-mm"),""),"")</x:f>
      </x:c>
      <x:c r="N225" s="59" t="str">
        <x:f>IF(L225="VALID",IF(G225="USD",H225,I225),"")</x:f>
      </x:c>
      <x:c r="O225" s="57" t="n">
        <x:f>IF(L225="VALID",IF(COUNTIFS($B$2:B225,B225,$M$2:M225,M225,$L$2:L225,"VALID")=1,1,0),0)</x:f>
        <x:v>0</x:v>
      </x:c>
    </x:row>
    <x:row r="226">
      <x:c r="A226" s="47"/>
      <x:c r="B226" s="47"/>
      <x:c r="C226" s="58"/>
      <x:c r="D226" s="47"/>
      <x:c r="E226" s="47"/>
      <x:c r="F226" s="47"/>
      <x:c r="G226" s="47"/>
      <x:c r="H226" s="48"/>
      <x:c r="I226" s="48"/>
      <x:c r="J226" s="47"/>
      <x:c r="K226" s="47"/>
      <x:c r="L226" s="57" t="str">
        <x:f>IF(COUNTA(A226:K226)=0,"",IF(K226="CANCELLED","CANCELLED",IF(A226="","INVOICE ID REQUIRED",IF(B226="","PROJECT ID REQUIRED",IF(NOT(ISNUMBER(C226)),"INVALID INVOICE DATE",IF(NOT(AND(ISNUMBER(C226),C226&gt;=2,C226&lt;=2958465,C226=INT(C226))),"INVALID INVOICE DATE",IF(NOT(OR(D226="MX",D226="US")),"ENTITY REQUIRED",IF(NOT(OR(E226="Strategic Services",E226="Brands")),"UNIT REQUIRED",IF(F226="","BRAND / N/A REQUIRED",IF(NOT(OR(G226="USD",G226="MXN")),"CURRENCY REQUIRED",IF(NOT(ISNUMBER(H226)),"AMOUNT REQUIRED",IF(J226="","ERP SOURCE REQUIRED",IF(NOT(OR(K226="ISSUED",K226="CANCELLED")),"INVOICE STATUS REQUIRED",IF(COUNTIFS($A$2:$A$501,A226,$B$2:$B$501,B226,$D$2:$D$501,D226)&gt;1,"DUPLICATE INVOICE / PROJECT",IF(AND(G226="MXN",NOT(AND(ISNUMBER(I226),Settings!$B$8="APPROVED",Settings!$B$9&lt;&gt;"",Settings!$B$10&lt;&gt;""))),"FX HOLD","VALID")))))))))))))))</x:f>
      </x:c>
      <x:c r="M226" s="57" t="str">
        <x:f>IF(ISNUMBER(C226),IF(AND(ISNUMBER(C226),C226&gt;=2,C226&lt;=2958465,C226=INT(C226)),TEXT(C226,"yyyy-mm"),""),"")</x:f>
      </x:c>
      <x:c r="N226" s="59" t="str">
        <x:f>IF(L226="VALID",IF(G226="USD",H226,I226),"")</x:f>
      </x:c>
      <x:c r="O226" s="57" t="n">
        <x:f>IF(L226="VALID",IF(COUNTIFS($B$2:B226,B226,$M$2:M226,M226,$L$2:L226,"VALID")=1,1,0),0)</x:f>
        <x:v>0</x:v>
      </x:c>
    </x:row>
    <x:row r="227">
      <x:c r="A227" s="47"/>
      <x:c r="B227" s="47"/>
      <x:c r="C227" s="58"/>
      <x:c r="D227" s="47"/>
      <x:c r="E227" s="47"/>
      <x:c r="F227" s="47"/>
      <x:c r="G227" s="47"/>
      <x:c r="H227" s="48"/>
      <x:c r="I227" s="48"/>
      <x:c r="J227" s="47"/>
      <x:c r="K227" s="47"/>
      <x:c r="L227" s="57" t="str">
        <x:f>IF(COUNTA(A227:K227)=0,"",IF(K227="CANCELLED","CANCELLED",IF(A227="","INVOICE ID REQUIRED",IF(B227="","PROJECT ID REQUIRED",IF(NOT(ISNUMBER(C227)),"INVALID INVOICE DATE",IF(NOT(AND(ISNUMBER(C227),C227&gt;=2,C227&lt;=2958465,C227=INT(C227))),"INVALID INVOICE DATE",IF(NOT(OR(D227="MX",D227="US")),"ENTITY REQUIRED",IF(NOT(OR(E227="Strategic Services",E227="Brands")),"UNIT REQUIRED",IF(F227="","BRAND / N/A REQUIRED",IF(NOT(OR(G227="USD",G227="MXN")),"CURRENCY REQUIRED",IF(NOT(ISNUMBER(H227)),"AMOUNT REQUIRED",IF(J227="","ERP SOURCE REQUIRED",IF(NOT(OR(K227="ISSUED",K227="CANCELLED")),"INVOICE STATUS REQUIRED",IF(COUNTIFS($A$2:$A$501,A227,$B$2:$B$501,B227,$D$2:$D$501,D227)&gt;1,"DUPLICATE INVOICE / PROJECT",IF(AND(G227="MXN",NOT(AND(ISNUMBER(I227),Settings!$B$8="APPROVED",Settings!$B$9&lt;&gt;"",Settings!$B$10&lt;&gt;""))),"FX HOLD","VALID")))))))))))))))</x:f>
      </x:c>
      <x:c r="M227" s="57" t="str">
        <x:f>IF(ISNUMBER(C227),IF(AND(ISNUMBER(C227),C227&gt;=2,C227&lt;=2958465,C227=INT(C227)),TEXT(C227,"yyyy-mm"),""),"")</x:f>
      </x:c>
      <x:c r="N227" s="59" t="str">
        <x:f>IF(L227="VALID",IF(G227="USD",H227,I227),"")</x:f>
      </x:c>
      <x:c r="O227" s="57" t="n">
        <x:f>IF(L227="VALID",IF(COUNTIFS($B$2:B227,B227,$M$2:M227,M227,$L$2:L227,"VALID")=1,1,0),0)</x:f>
        <x:v>0</x:v>
      </x:c>
    </x:row>
    <x:row r="228">
      <x:c r="A228" s="47"/>
      <x:c r="B228" s="47"/>
      <x:c r="C228" s="58"/>
      <x:c r="D228" s="47"/>
      <x:c r="E228" s="47"/>
      <x:c r="F228" s="47"/>
      <x:c r="G228" s="47"/>
      <x:c r="H228" s="48"/>
      <x:c r="I228" s="48"/>
      <x:c r="J228" s="47"/>
      <x:c r="K228" s="47"/>
      <x:c r="L228" s="57" t="str">
        <x:f>IF(COUNTA(A228:K228)=0,"",IF(K228="CANCELLED","CANCELLED",IF(A228="","INVOICE ID REQUIRED",IF(B228="","PROJECT ID REQUIRED",IF(NOT(ISNUMBER(C228)),"INVALID INVOICE DATE",IF(NOT(AND(ISNUMBER(C228),C228&gt;=2,C228&lt;=2958465,C228=INT(C228))),"INVALID INVOICE DATE",IF(NOT(OR(D228="MX",D228="US")),"ENTITY REQUIRED",IF(NOT(OR(E228="Strategic Services",E228="Brands")),"UNIT REQUIRED",IF(F228="","BRAND / N/A REQUIRED",IF(NOT(OR(G228="USD",G228="MXN")),"CURRENCY REQUIRED",IF(NOT(ISNUMBER(H228)),"AMOUNT REQUIRED",IF(J228="","ERP SOURCE REQUIRED",IF(NOT(OR(K228="ISSUED",K228="CANCELLED")),"INVOICE STATUS REQUIRED",IF(COUNTIFS($A$2:$A$501,A228,$B$2:$B$501,B228,$D$2:$D$501,D228)&gt;1,"DUPLICATE INVOICE / PROJECT",IF(AND(G228="MXN",NOT(AND(ISNUMBER(I228),Settings!$B$8="APPROVED",Settings!$B$9&lt;&gt;"",Settings!$B$10&lt;&gt;""))),"FX HOLD","VALID")))))))))))))))</x:f>
      </x:c>
      <x:c r="M228" s="57" t="str">
        <x:f>IF(ISNUMBER(C228),IF(AND(ISNUMBER(C228),C228&gt;=2,C228&lt;=2958465,C228=INT(C228)),TEXT(C228,"yyyy-mm"),""),"")</x:f>
      </x:c>
      <x:c r="N228" s="59" t="str">
        <x:f>IF(L228="VALID",IF(G228="USD",H228,I228),"")</x:f>
      </x:c>
      <x:c r="O228" s="57" t="n">
        <x:f>IF(L228="VALID",IF(COUNTIFS($B$2:B228,B228,$M$2:M228,M228,$L$2:L228,"VALID")=1,1,0),0)</x:f>
        <x:v>0</x:v>
      </x:c>
    </x:row>
    <x:row r="229">
      <x:c r="A229" s="47"/>
      <x:c r="B229" s="47"/>
      <x:c r="C229" s="58"/>
      <x:c r="D229" s="47"/>
      <x:c r="E229" s="47"/>
      <x:c r="F229" s="47"/>
      <x:c r="G229" s="47"/>
      <x:c r="H229" s="48"/>
      <x:c r="I229" s="48"/>
      <x:c r="J229" s="47"/>
      <x:c r="K229" s="47"/>
      <x:c r="L229" s="57" t="str">
        <x:f>IF(COUNTA(A229:K229)=0,"",IF(K229="CANCELLED","CANCELLED",IF(A229="","INVOICE ID REQUIRED",IF(B229="","PROJECT ID REQUIRED",IF(NOT(ISNUMBER(C229)),"INVALID INVOICE DATE",IF(NOT(AND(ISNUMBER(C229),C229&gt;=2,C229&lt;=2958465,C229=INT(C229))),"INVALID INVOICE DATE",IF(NOT(OR(D229="MX",D229="US")),"ENTITY REQUIRED",IF(NOT(OR(E229="Strategic Services",E229="Brands")),"UNIT REQUIRED",IF(F229="","BRAND / N/A REQUIRED",IF(NOT(OR(G229="USD",G229="MXN")),"CURRENCY REQUIRED",IF(NOT(ISNUMBER(H229)),"AMOUNT REQUIRED",IF(J229="","ERP SOURCE REQUIRED",IF(NOT(OR(K229="ISSUED",K229="CANCELLED")),"INVOICE STATUS REQUIRED",IF(COUNTIFS($A$2:$A$501,A229,$B$2:$B$501,B229,$D$2:$D$501,D229)&gt;1,"DUPLICATE INVOICE / PROJECT",IF(AND(G229="MXN",NOT(AND(ISNUMBER(I229),Settings!$B$8="APPROVED",Settings!$B$9&lt;&gt;"",Settings!$B$10&lt;&gt;""))),"FX HOLD","VALID")))))))))))))))</x:f>
      </x:c>
      <x:c r="M229" s="57" t="str">
        <x:f>IF(ISNUMBER(C229),IF(AND(ISNUMBER(C229),C229&gt;=2,C229&lt;=2958465,C229=INT(C229)),TEXT(C229,"yyyy-mm"),""),"")</x:f>
      </x:c>
      <x:c r="N229" s="59" t="str">
        <x:f>IF(L229="VALID",IF(G229="USD",H229,I229),"")</x:f>
      </x:c>
      <x:c r="O229" s="57" t="n">
        <x:f>IF(L229="VALID",IF(COUNTIFS($B$2:B229,B229,$M$2:M229,M229,$L$2:L229,"VALID")=1,1,0),0)</x:f>
        <x:v>0</x:v>
      </x:c>
    </x:row>
    <x:row r="230">
      <x:c r="A230" s="47"/>
      <x:c r="B230" s="47"/>
      <x:c r="C230" s="58"/>
      <x:c r="D230" s="47"/>
      <x:c r="E230" s="47"/>
      <x:c r="F230" s="47"/>
      <x:c r="G230" s="47"/>
      <x:c r="H230" s="48"/>
      <x:c r="I230" s="48"/>
      <x:c r="J230" s="47"/>
      <x:c r="K230" s="47"/>
      <x:c r="L230" s="57" t="str">
        <x:f>IF(COUNTA(A230:K230)=0,"",IF(K230="CANCELLED","CANCELLED",IF(A230="","INVOICE ID REQUIRED",IF(B230="","PROJECT ID REQUIRED",IF(NOT(ISNUMBER(C230)),"INVALID INVOICE DATE",IF(NOT(AND(ISNUMBER(C230),C230&gt;=2,C230&lt;=2958465,C230=INT(C230))),"INVALID INVOICE DATE",IF(NOT(OR(D230="MX",D230="US")),"ENTITY REQUIRED",IF(NOT(OR(E230="Strategic Services",E230="Brands")),"UNIT REQUIRED",IF(F230="","BRAND / N/A REQUIRED",IF(NOT(OR(G230="USD",G230="MXN")),"CURRENCY REQUIRED",IF(NOT(ISNUMBER(H230)),"AMOUNT REQUIRED",IF(J230="","ERP SOURCE REQUIRED",IF(NOT(OR(K230="ISSUED",K230="CANCELLED")),"INVOICE STATUS REQUIRED",IF(COUNTIFS($A$2:$A$501,A230,$B$2:$B$501,B230,$D$2:$D$501,D230)&gt;1,"DUPLICATE INVOICE / PROJECT",IF(AND(G230="MXN",NOT(AND(ISNUMBER(I230),Settings!$B$8="APPROVED",Settings!$B$9&lt;&gt;"",Settings!$B$10&lt;&gt;""))),"FX HOLD","VALID")))))))))))))))</x:f>
      </x:c>
      <x:c r="M230" s="57" t="str">
        <x:f>IF(ISNUMBER(C230),IF(AND(ISNUMBER(C230),C230&gt;=2,C230&lt;=2958465,C230=INT(C230)),TEXT(C230,"yyyy-mm"),""),"")</x:f>
      </x:c>
      <x:c r="N230" s="59" t="str">
        <x:f>IF(L230="VALID",IF(G230="USD",H230,I230),"")</x:f>
      </x:c>
      <x:c r="O230" s="57" t="n">
        <x:f>IF(L230="VALID",IF(COUNTIFS($B$2:B230,B230,$M$2:M230,M230,$L$2:L230,"VALID")=1,1,0),0)</x:f>
        <x:v>0</x:v>
      </x:c>
    </x:row>
    <x:row r="231">
      <x:c r="A231" s="47"/>
      <x:c r="B231" s="47"/>
      <x:c r="C231" s="58"/>
      <x:c r="D231" s="47"/>
      <x:c r="E231" s="47"/>
      <x:c r="F231" s="47"/>
      <x:c r="G231" s="47"/>
      <x:c r="H231" s="48"/>
      <x:c r="I231" s="48"/>
      <x:c r="J231" s="47"/>
      <x:c r="K231" s="47"/>
      <x:c r="L231" s="57" t="str">
        <x:f>IF(COUNTA(A231:K231)=0,"",IF(K231="CANCELLED","CANCELLED",IF(A231="","INVOICE ID REQUIRED",IF(B231="","PROJECT ID REQUIRED",IF(NOT(ISNUMBER(C231)),"INVALID INVOICE DATE",IF(NOT(AND(ISNUMBER(C231),C231&gt;=2,C231&lt;=2958465,C231=INT(C231))),"INVALID INVOICE DATE",IF(NOT(OR(D231="MX",D231="US")),"ENTITY REQUIRED",IF(NOT(OR(E231="Strategic Services",E231="Brands")),"UNIT REQUIRED",IF(F231="","BRAND / N/A REQUIRED",IF(NOT(OR(G231="USD",G231="MXN")),"CURRENCY REQUIRED",IF(NOT(ISNUMBER(H231)),"AMOUNT REQUIRED",IF(J231="","ERP SOURCE REQUIRED",IF(NOT(OR(K231="ISSUED",K231="CANCELLED")),"INVOICE STATUS REQUIRED",IF(COUNTIFS($A$2:$A$501,A231,$B$2:$B$501,B231,$D$2:$D$501,D231)&gt;1,"DUPLICATE INVOICE / PROJECT",IF(AND(G231="MXN",NOT(AND(ISNUMBER(I231),Settings!$B$8="APPROVED",Settings!$B$9&lt;&gt;"",Settings!$B$10&lt;&gt;""))),"FX HOLD","VALID")))))))))))))))</x:f>
      </x:c>
      <x:c r="M231" s="57" t="str">
        <x:f>IF(ISNUMBER(C231),IF(AND(ISNUMBER(C231),C231&gt;=2,C231&lt;=2958465,C231=INT(C231)),TEXT(C231,"yyyy-mm"),""),"")</x:f>
      </x:c>
      <x:c r="N231" s="59" t="str">
        <x:f>IF(L231="VALID",IF(G231="USD",H231,I231),"")</x:f>
      </x:c>
      <x:c r="O231" s="57" t="n">
        <x:f>IF(L231="VALID",IF(COUNTIFS($B$2:B231,B231,$M$2:M231,M231,$L$2:L231,"VALID")=1,1,0),0)</x:f>
        <x:v>0</x:v>
      </x:c>
    </x:row>
    <x:row r="232">
      <x:c r="A232" s="47"/>
      <x:c r="B232" s="47"/>
      <x:c r="C232" s="58"/>
      <x:c r="D232" s="47"/>
      <x:c r="E232" s="47"/>
      <x:c r="F232" s="47"/>
      <x:c r="G232" s="47"/>
      <x:c r="H232" s="48"/>
      <x:c r="I232" s="48"/>
      <x:c r="J232" s="47"/>
      <x:c r="K232" s="47"/>
      <x:c r="L232" s="57" t="str">
        <x:f>IF(COUNTA(A232:K232)=0,"",IF(K232="CANCELLED","CANCELLED",IF(A232="","INVOICE ID REQUIRED",IF(B232="","PROJECT ID REQUIRED",IF(NOT(ISNUMBER(C232)),"INVALID INVOICE DATE",IF(NOT(AND(ISNUMBER(C232),C232&gt;=2,C232&lt;=2958465,C232=INT(C232))),"INVALID INVOICE DATE",IF(NOT(OR(D232="MX",D232="US")),"ENTITY REQUIRED",IF(NOT(OR(E232="Strategic Services",E232="Brands")),"UNIT REQUIRED",IF(F232="","BRAND / N/A REQUIRED",IF(NOT(OR(G232="USD",G232="MXN")),"CURRENCY REQUIRED",IF(NOT(ISNUMBER(H232)),"AMOUNT REQUIRED",IF(J232="","ERP SOURCE REQUIRED",IF(NOT(OR(K232="ISSUED",K232="CANCELLED")),"INVOICE STATUS REQUIRED",IF(COUNTIFS($A$2:$A$501,A232,$B$2:$B$501,B232,$D$2:$D$501,D232)&gt;1,"DUPLICATE INVOICE / PROJECT",IF(AND(G232="MXN",NOT(AND(ISNUMBER(I232),Settings!$B$8="APPROVED",Settings!$B$9&lt;&gt;"",Settings!$B$10&lt;&gt;""))),"FX HOLD","VALID")))))))))))))))</x:f>
      </x:c>
      <x:c r="M232" s="57" t="str">
        <x:f>IF(ISNUMBER(C232),IF(AND(ISNUMBER(C232),C232&gt;=2,C232&lt;=2958465,C232=INT(C232)),TEXT(C232,"yyyy-mm"),""),"")</x:f>
      </x:c>
      <x:c r="N232" s="59" t="str">
        <x:f>IF(L232="VALID",IF(G232="USD",H232,I232),"")</x:f>
      </x:c>
      <x:c r="O232" s="57" t="n">
        <x:f>IF(L232="VALID",IF(COUNTIFS($B$2:B232,B232,$M$2:M232,M232,$L$2:L232,"VALID")=1,1,0),0)</x:f>
        <x:v>0</x:v>
      </x:c>
    </x:row>
    <x:row r="233">
      <x:c r="A233" s="47"/>
      <x:c r="B233" s="47"/>
      <x:c r="C233" s="58"/>
      <x:c r="D233" s="47"/>
      <x:c r="E233" s="47"/>
      <x:c r="F233" s="47"/>
      <x:c r="G233" s="47"/>
      <x:c r="H233" s="48"/>
      <x:c r="I233" s="48"/>
      <x:c r="J233" s="47"/>
      <x:c r="K233" s="47"/>
      <x:c r="L233" s="57" t="str">
        <x:f>IF(COUNTA(A233:K233)=0,"",IF(K233="CANCELLED","CANCELLED",IF(A233="","INVOICE ID REQUIRED",IF(B233="","PROJECT ID REQUIRED",IF(NOT(ISNUMBER(C233)),"INVALID INVOICE DATE",IF(NOT(AND(ISNUMBER(C233),C233&gt;=2,C233&lt;=2958465,C233=INT(C233))),"INVALID INVOICE DATE",IF(NOT(OR(D233="MX",D233="US")),"ENTITY REQUIRED",IF(NOT(OR(E233="Strategic Services",E233="Brands")),"UNIT REQUIRED",IF(F233="","BRAND / N/A REQUIRED",IF(NOT(OR(G233="USD",G233="MXN")),"CURRENCY REQUIRED",IF(NOT(ISNUMBER(H233)),"AMOUNT REQUIRED",IF(J233="","ERP SOURCE REQUIRED",IF(NOT(OR(K233="ISSUED",K233="CANCELLED")),"INVOICE STATUS REQUIRED",IF(COUNTIFS($A$2:$A$501,A233,$B$2:$B$501,B233,$D$2:$D$501,D233)&gt;1,"DUPLICATE INVOICE / PROJECT",IF(AND(G233="MXN",NOT(AND(ISNUMBER(I233),Settings!$B$8="APPROVED",Settings!$B$9&lt;&gt;"",Settings!$B$10&lt;&gt;""))),"FX HOLD","VALID")))))))))))))))</x:f>
      </x:c>
      <x:c r="M233" s="57" t="str">
        <x:f>IF(ISNUMBER(C233),IF(AND(ISNUMBER(C233),C233&gt;=2,C233&lt;=2958465,C233=INT(C233)),TEXT(C233,"yyyy-mm"),""),"")</x:f>
      </x:c>
      <x:c r="N233" s="59" t="str">
        <x:f>IF(L233="VALID",IF(G233="USD",H233,I233),"")</x:f>
      </x:c>
      <x:c r="O233" s="57" t="n">
        <x:f>IF(L233="VALID",IF(COUNTIFS($B$2:B233,B233,$M$2:M233,M233,$L$2:L233,"VALID")=1,1,0),0)</x:f>
        <x:v>0</x:v>
      </x:c>
    </x:row>
    <x:row r="234">
      <x:c r="A234" s="47"/>
      <x:c r="B234" s="47"/>
      <x:c r="C234" s="58"/>
      <x:c r="D234" s="47"/>
      <x:c r="E234" s="47"/>
      <x:c r="F234" s="47"/>
      <x:c r="G234" s="47"/>
      <x:c r="H234" s="48"/>
      <x:c r="I234" s="48"/>
      <x:c r="J234" s="47"/>
      <x:c r="K234" s="47"/>
      <x:c r="L234" s="57" t="str">
        <x:f>IF(COUNTA(A234:K234)=0,"",IF(K234="CANCELLED","CANCELLED",IF(A234="","INVOICE ID REQUIRED",IF(B234="","PROJECT ID REQUIRED",IF(NOT(ISNUMBER(C234)),"INVALID INVOICE DATE",IF(NOT(AND(ISNUMBER(C234),C234&gt;=2,C234&lt;=2958465,C234=INT(C234))),"INVALID INVOICE DATE",IF(NOT(OR(D234="MX",D234="US")),"ENTITY REQUIRED",IF(NOT(OR(E234="Strategic Services",E234="Brands")),"UNIT REQUIRED",IF(F234="","BRAND / N/A REQUIRED",IF(NOT(OR(G234="USD",G234="MXN")),"CURRENCY REQUIRED",IF(NOT(ISNUMBER(H234)),"AMOUNT REQUIRED",IF(J234="","ERP SOURCE REQUIRED",IF(NOT(OR(K234="ISSUED",K234="CANCELLED")),"INVOICE STATUS REQUIRED",IF(COUNTIFS($A$2:$A$501,A234,$B$2:$B$501,B234,$D$2:$D$501,D234)&gt;1,"DUPLICATE INVOICE / PROJECT",IF(AND(G234="MXN",NOT(AND(ISNUMBER(I234),Settings!$B$8="APPROVED",Settings!$B$9&lt;&gt;"",Settings!$B$10&lt;&gt;""))),"FX HOLD","VALID")))))))))))))))</x:f>
      </x:c>
      <x:c r="M234" s="57" t="str">
        <x:f>IF(ISNUMBER(C234),IF(AND(ISNUMBER(C234),C234&gt;=2,C234&lt;=2958465,C234=INT(C234)),TEXT(C234,"yyyy-mm"),""),"")</x:f>
      </x:c>
      <x:c r="N234" s="59" t="str">
        <x:f>IF(L234="VALID",IF(G234="USD",H234,I234),"")</x:f>
      </x:c>
      <x:c r="O234" s="57" t="n">
        <x:f>IF(L234="VALID",IF(COUNTIFS($B$2:B234,B234,$M$2:M234,M234,$L$2:L234,"VALID")=1,1,0),0)</x:f>
        <x:v>0</x:v>
      </x:c>
    </x:row>
    <x:row r="235">
      <x:c r="A235" s="47"/>
      <x:c r="B235" s="47"/>
      <x:c r="C235" s="58"/>
      <x:c r="D235" s="47"/>
      <x:c r="E235" s="47"/>
      <x:c r="F235" s="47"/>
      <x:c r="G235" s="47"/>
      <x:c r="H235" s="48"/>
      <x:c r="I235" s="48"/>
      <x:c r="J235" s="47"/>
      <x:c r="K235" s="47"/>
      <x:c r="L235" s="57" t="str">
        <x:f>IF(COUNTA(A235:K235)=0,"",IF(K235="CANCELLED","CANCELLED",IF(A235="","INVOICE ID REQUIRED",IF(B235="","PROJECT ID REQUIRED",IF(NOT(ISNUMBER(C235)),"INVALID INVOICE DATE",IF(NOT(AND(ISNUMBER(C235),C235&gt;=2,C235&lt;=2958465,C235=INT(C235))),"INVALID INVOICE DATE",IF(NOT(OR(D235="MX",D235="US")),"ENTITY REQUIRED",IF(NOT(OR(E235="Strategic Services",E235="Brands")),"UNIT REQUIRED",IF(F235="","BRAND / N/A REQUIRED",IF(NOT(OR(G235="USD",G235="MXN")),"CURRENCY REQUIRED",IF(NOT(ISNUMBER(H235)),"AMOUNT REQUIRED",IF(J235="","ERP SOURCE REQUIRED",IF(NOT(OR(K235="ISSUED",K235="CANCELLED")),"INVOICE STATUS REQUIRED",IF(COUNTIFS($A$2:$A$501,A235,$B$2:$B$501,B235,$D$2:$D$501,D235)&gt;1,"DUPLICATE INVOICE / PROJECT",IF(AND(G235="MXN",NOT(AND(ISNUMBER(I235),Settings!$B$8="APPROVED",Settings!$B$9&lt;&gt;"",Settings!$B$10&lt;&gt;""))),"FX HOLD","VALID")))))))))))))))</x:f>
      </x:c>
      <x:c r="M235" s="57" t="str">
        <x:f>IF(ISNUMBER(C235),IF(AND(ISNUMBER(C235),C235&gt;=2,C235&lt;=2958465,C235=INT(C235)),TEXT(C235,"yyyy-mm"),""),"")</x:f>
      </x:c>
      <x:c r="N235" s="59" t="str">
        <x:f>IF(L235="VALID",IF(G235="USD",H235,I235),"")</x:f>
      </x:c>
      <x:c r="O235" s="57" t="n">
        <x:f>IF(L235="VALID",IF(COUNTIFS($B$2:B235,B235,$M$2:M235,M235,$L$2:L235,"VALID")=1,1,0),0)</x:f>
        <x:v>0</x:v>
      </x:c>
    </x:row>
    <x:row r="236">
      <x:c r="A236" s="47"/>
      <x:c r="B236" s="47"/>
      <x:c r="C236" s="58"/>
      <x:c r="D236" s="47"/>
      <x:c r="E236" s="47"/>
      <x:c r="F236" s="47"/>
      <x:c r="G236" s="47"/>
      <x:c r="H236" s="48"/>
      <x:c r="I236" s="48"/>
      <x:c r="J236" s="47"/>
      <x:c r="K236" s="47"/>
      <x:c r="L236" s="57" t="str">
        <x:f>IF(COUNTA(A236:K236)=0,"",IF(K236="CANCELLED","CANCELLED",IF(A236="","INVOICE ID REQUIRED",IF(B236="","PROJECT ID REQUIRED",IF(NOT(ISNUMBER(C236)),"INVALID INVOICE DATE",IF(NOT(AND(ISNUMBER(C236),C236&gt;=2,C236&lt;=2958465,C236=INT(C236))),"INVALID INVOICE DATE",IF(NOT(OR(D236="MX",D236="US")),"ENTITY REQUIRED",IF(NOT(OR(E236="Strategic Services",E236="Brands")),"UNIT REQUIRED",IF(F236="","BRAND / N/A REQUIRED",IF(NOT(OR(G236="USD",G236="MXN")),"CURRENCY REQUIRED",IF(NOT(ISNUMBER(H236)),"AMOUNT REQUIRED",IF(J236="","ERP SOURCE REQUIRED",IF(NOT(OR(K236="ISSUED",K236="CANCELLED")),"INVOICE STATUS REQUIRED",IF(COUNTIFS($A$2:$A$501,A236,$B$2:$B$501,B236,$D$2:$D$501,D236)&gt;1,"DUPLICATE INVOICE / PROJECT",IF(AND(G236="MXN",NOT(AND(ISNUMBER(I236),Settings!$B$8="APPROVED",Settings!$B$9&lt;&gt;"",Settings!$B$10&lt;&gt;""))),"FX HOLD","VALID")))))))))))))))</x:f>
      </x:c>
      <x:c r="M236" s="57" t="str">
        <x:f>IF(ISNUMBER(C236),IF(AND(ISNUMBER(C236),C236&gt;=2,C236&lt;=2958465,C236=INT(C236)),TEXT(C236,"yyyy-mm"),""),"")</x:f>
      </x:c>
      <x:c r="N236" s="59" t="str">
        <x:f>IF(L236="VALID",IF(G236="USD",H236,I236),"")</x:f>
      </x:c>
      <x:c r="O236" s="57" t="n">
        <x:f>IF(L236="VALID",IF(COUNTIFS($B$2:B236,B236,$M$2:M236,M236,$L$2:L236,"VALID")=1,1,0),0)</x:f>
        <x:v>0</x:v>
      </x:c>
    </x:row>
    <x:row r="237">
      <x:c r="A237" s="47"/>
      <x:c r="B237" s="47"/>
      <x:c r="C237" s="58"/>
      <x:c r="D237" s="47"/>
      <x:c r="E237" s="47"/>
      <x:c r="F237" s="47"/>
      <x:c r="G237" s="47"/>
      <x:c r="H237" s="48"/>
      <x:c r="I237" s="48"/>
      <x:c r="J237" s="47"/>
      <x:c r="K237" s="47"/>
      <x:c r="L237" s="57" t="str">
        <x:f>IF(COUNTA(A237:K237)=0,"",IF(K237="CANCELLED","CANCELLED",IF(A237="","INVOICE ID REQUIRED",IF(B237="","PROJECT ID REQUIRED",IF(NOT(ISNUMBER(C237)),"INVALID INVOICE DATE",IF(NOT(AND(ISNUMBER(C237),C237&gt;=2,C237&lt;=2958465,C237=INT(C237))),"INVALID INVOICE DATE",IF(NOT(OR(D237="MX",D237="US")),"ENTITY REQUIRED",IF(NOT(OR(E237="Strategic Services",E237="Brands")),"UNIT REQUIRED",IF(F237="","BRAND / N/A REQUIRED",IF(NOT(OR(G237="USD",G237="MXN")),"CURRENCY REQUIRED",IF(NOT(ISNUMBER(H237)),"AMOUNT REQUIRED",IF(J237="","ERP SOURCE REQUIRED",IF(NOT(OR(K237="ISSUED",K237="CANCELLED")),"INVOICE STATUS REQUIRED",IF(COUNTIFS($A$2:$A$501,A237,$B$2:$B$501,B237,$D$2:$D$501,D237)&gt;1,"DUPLICATE INVOICE / PROJECT",IF(AND(G237="MXN",NOT(AND(ISNUMBER(I237),Settings!$B$8="APPROVED",Settings!$B$9&lt;&gt;"",Settings!$B$10&lt;&gt;""))),"FX HOLD","VALID")))))))))))))))</x:f>
      </x:c>
      <x:c r="M237" s="57" t="str">
        <x:f>IF(ISNUMBER(C237),IF(AND(ISNUMBER(C237),C237&gt;=2,C237&lt;=2958465,C237=INT(C237)),TEXT(C237,"yyyy-mm"),""),"")</x:f>
      </x:c>
      <x:c r="N237" s="59" t="str">
        <x:f>IF(L237="VALID",IF(G237="USD",H237,I237),"")</x:f>
      </x:c>
      <x:c r="O237" s="57" t="n">
        <x:f>IF(L237="VALID",IF(COUNTIFS($B$2:B237,B237,$M$2:M237,M237,$L$2:L237,"VALID")=1,1,0),0)</x:f>
        <x:v>0</x:v>
      </x:c>
    </x:row>
    <x:row r="238">
      <x:c r="A238" s="47"/>
      <x:c r="B238" s="47"/>
      <x:c r="C238" s="58"/>
      <x:c r="D238" s="47"/>
      <x:c r="E238" s="47"/>
      <x:c r="F238" s="47"/>
      <x:c r="G238" s="47"/>
      <x:c r="H238" s="48"/>
      <x:c r="I238" s="48"/>
      <x:c r="J238" s="47"/>
      <x:c r="K238" s="47"/>
      <x:c r="L238" s="57" t="str">
        <x:f>IF(COUNTA(A238:K238)=0,"",IF(K238="CANCELLED","CANCELLED",IF(A238="","INVOICE ID REQUIRED",IF(B238="","PROJECT ID REQUIRED",IF(NOT(ISNUMBER(C238)),"INVALID INVOICE DATE",IF(NOT(AND(ISNUMBER(C238),C238&gt;=2,C238&lt;=2958465,C238=INT(C238))),"INVALID INVOICE DATE",IF(NOT(OR(D238="MX",D238="US")),"ENTITY REQUIRED",IF(NOT(OR(E238="Strategic Services",E238="Brands")),"UNIT REQUIRED",IF(F238="","BRAND / N/A REQUIRED",IF(NOT(OR(G238="USD",G238="MXN")),"CURRENCY REQUIRED",IF(NOT(ISNUMBER(H238)),"AMOUNT REQUIRED",IF(J238="","ERP SOURCE REQUIRED",IF(NOT(OR(K238="ISSUED",K238="CANCELLED")),"INVOICE STATUS REQUIRED",IF(COUNTIFS($A$2:$A$501,A238,$B$2:$B$501,B238,$D$2:$D$501,D238)&gt;1,"DUPLICATE INVOICE / PROJECT",IF(AND(G238="MXN",NOT(AND(ISNUMBER(I238),Settings!$B$8="APPROVED",Settings!$B$9&lt;&gt;"",Settings!$B$10&lt;&gt;""))),"FX HOLD","VALID")))))))))))))))</x:f>
      </x:c>
      <x:c r="M238" s="57" t="str">
        <x:f>IF(ISNUMBER(C238),IF(AND(ISNUMBER(C238),C238&gt;=2,C238&lt;=2958465,C238=INT(C238)),TEXT(C238,"yyyy-mm"),""),"")</x:f>
      </x:c>
      <x:c r="N238" s="59" t="str">
        <x:f>IF(L238="VALID",IF(G238="USD",H238,I238),"")</x:f>
      </x:c>
      <x:c r="O238" s="57" t="n">
        <x:f>IF(L238="VALID",IF(COUNTIFS($B$2:B238,B238,$M$2:M238,M238,$L$2:L238,"VALID")=1,1,0),0)</x:f>
        <x:v>0</x:v>
      </x:c>
    </x:row>
    <x:row r="239">
      <x:c r="A239" s="47"/>
      <x:c r="B239" s="47"/>
      <x:c r="C239" s="58"/>
      <x:c r="D239" s="47"/>
      <x:c r="E239" s="47"/>
      <x:c r="F239" s="47"/>
      <x:c r="G239" s="47"/>
      <x:c r="H239" s="48"/>
      <x:c r="I239" s="48"/>
      <x:c r="J239" s="47"/>
      <x:c r="K239" s="47"/>
      <x:c r="L239" s="57" t="str">
        <x:f>IF(COUNTA(A239:K239)=0,"",IF(K239="CANCELLED","CANCELLED",IF(A239="","INVOICE ID REQUIRED",IF(B239="","PROJECT ID REQUIRED",IF(NOT(ISNUMBER(C239)),"INVALID INVOICE DATE",IF(NOT(AND(ISNUMBER(C239),C239&gt;=2,C239&lt;=2958465,C239=INT(C239))),"INVALID INVOICE DATE",IF(NOT(OR(D239="MX",D239="US")),"ENTITY REQUIRED",IF(NOT(OR(E239="Strategic Services",E239="Brands")),"UNIT REQUIRED",IF(F239="","BRAND / N/A REQUIRED",IF(NOT(OR(G239="USD",G239="MXN")),"CURRENCY REQUIRED",IF(NOT(ISNUMBER(H239)),"AMOUNT REQUIRED",IF(J239="","ERP SOURCE REQUIRED",IF(NOT(OR(K239="ISSUED",K239="CANCELLED")),"INVOICE STATUS REQUIRED",IF(COUNTIFS($A$2:$A$501,A239,$B$2:$B$501,B239,$D$2:$D$501,D239)&gt;1,"DUPLICATE INVOICE / PROJECT",IF(AND(G239="MXN",NOT(AND(ISNUMBER(I239),Settings!$B$8="APPROVED",Settings!$B$9&lt;&gt;"",Settings!$B$10&lt;&gt;""))),"FX HOLD","VALID")))))))))))))))</x:f>
      </x:c>
      <x:c r="M239" s="57" t="str">
        <x:f>IF(ISNUMBER(C239),IF(AND(ISNUMBER(C239),C239&gt;=2,C239&lt;=2958465,C239=INT(C239)),TEXT(C239,"yyyy-mm"),""),"")</x:f>
      </x:c>
      <x:c r="N239" s="59" t="str">
        <x:f>IF(L239="VALID",IF(G239="USD",H239,I239),"")</x:f>
      </x:c>
      <x:c r="O239" s="57" t="n">
        <x:f>IF(L239="VALID",IF(COUNTIFS($B$2:B239,B239,$M$2:M239,M239,$L$2:L239,"VALID")=1,1,0),0)</x:f>
        <x:v>0</x:v>
      </x:c>
    </x:row>
    <x:row r="240">
      <x:c r="A240" s="47"/>
      <x:c r="B240" s="47"/>
      <x:c r="C240" s="58"/>
      <x:c r="D240" s="47"/>
      <x:c r="E240" s="47"/>
      <x:c r="F240" s="47"/>
      <x:c r="G240" s="47"/>
      <x:c r="H240" s="48"/>
      <x:c r="I240" s="48"/>
      <x:c r="J240" s="47"/>
      <x:c r="K240" s="47"/>
      <x:c r="L240" s="57" t="str">
        <x:f>IF(COUNTA(A240:K240)=0,"",IF(K240="CANCELLED","CANCELLED",IF(A240="","INVOICE ID REQUIRED",IF(B240="","PROJECT ID REQUIRED",IF(NOT(ISNUMBER(C240)),"INVALID INVOICE DATE",IF(NOT(AND(ISNUMBER(C240),C240&gt;=2,C240&lt;=2958465,C240=INT(C240))),"INVALID INVOICE DATE",IF(NOT(OR(D240="MX",D240="US")),"ENTITY REQUIRED",IF(NOT(OR(E240="Strategic Services",E240="Brands")),"UNIT REQUIRED",IF(F240="","BRAND / N/A REQUIRED",IF(NOT(OR(G240="USD",G240="MXN")),"CURRENCY REQUIRED",IF(NOT(ISNUMBER(H240)),"AMOUNT REQUIRED",IF(J240="","ERP SOURCE REQUIRED",IF(NOT(OR(K240="ISSUED",K240="CANCELLED")),"INVOICE STATUS REQUIRED",IF(COUNTIFS($A$2:$A$501,A240,$B$2:$B$501,B240,$D$2:$D$501,D240)&gt;1,"DUPLICATE INVOICE / PROJECT",IF(AND(G240="MXN",NOT(AND(ISNUMBER(I240),Settings!$B$8="APPROVED",Settings!$B$9&lt;&gt;"",Settings!$B$10&lt;&gt;""))),"FX HOLD","VALID")))))))))))))))</x:f>
      </x:c>
      <x:c r="M240" s="57" t="str">
        <x:f>IF(ISNUMBER(C240),IF(AND(ISNUMBER(C240),C240&gt;=2,C240&lt;=2958465,C240=INT(C240)),TEXT(C240,"yyyy-mm"),""),"")</x:f>
      </x:c>
      <x:c r="N240" s="59" t="str">
        <x:f>IF(L240="VALID",IF(G240="USD",H240,I240),"")</x:f>
      </x:c>
      <x:c r="O240" s="57" t="n">
        <x:f>IF(L240="VALID",IF(COUNTIFS($B$2:B240,B240,$M$2:M240,M240,$L$2:L240,"VALID")=1,1,0),0)</x:f>
        <x:v>0</x:v>
      </x:c>
    </x:row>
    <x:row r="241">
      <x:c r="A241" s="47"/>
      <x:c r="B241" s="47"/>
      <x:c r="C241" s="58"/>
      <x:c r="D241" s="47"/>
      <x:c r="E241" s="47"/>
      <x:c r="F241" s="47"/>
      <x:c r="G241" s="47"/>
      <x:c r="H241" s="48"/>
      <x:c r="I241" s="48"/>
      <x:c r="J241" s="47"/>
      <x:c r="K241" s="47"/>
      <x:c r="L241" s="57" t="str">
        <x:f>IF(COUNTA(A241:K241)=0,"",IF(K241="CANCELLED","CANCELLED",IF(A241="","INVOICE ID REQUIRED",IF(B241="","PROJECT ID REQUIRED",IF(NOT(ISNUMBER(C241)),"INVALID INVOICE DATE",IF(NOT(AND(ISNUMBER(C241),C241&gt;=2,C241&lt;=2958465,C241=INT(C241))),"INVALID INVOICE DATE",IF(NOT(OR(D241="MX",D241="US")),"ENTITY REQUIRED",IF(NOT(OR(E241="Strategic Services",E241="Brands")),"UNIT REQUIRED",IF(F241="","BRAND / N/A REQUIRED",IF(NOT(OR(G241="USD",G241="MXN")),"CURRENCY REQUIRED",IF(NOT(ISNUMBER(H241)),"AMOUNT REQUIRED",IF(J241="","ERP SOURCE REQUIRED",IF(NOT(OR(K241="ISSUED",K241="CANCELLED")),"INVOICE STATUS REQUIRED",IF(COUNTIFS($A$2:$A$501,A241,$B$2:$B$501,B241,$D$2:$D$501,D241)&gt;1,"DUPLICATE INVOICE / PROJECT",IF(AND(G241="MXN",NOT(AND(ISNUMBER(I241),Settings!$B$8="APPROVED",Settings!$B$9&lt;&gt;"",Settings!$B$10&lt;&gt;""))),"FX HOLD","VALID")))))))))))))))</x:f>
      </x:c>
      <x:c r="M241" s="57" t="str">
        <x:f>IF(ISNUMBER(C241),IF(AND(ISNUMBER(C241),C241&gt;=2,C241&lt;=2958465,C241=INT(C241)),TEXT(C241,"yyyy-mm"),""),"")</x:f>
      </x:c>
      <x:c r="N241" s="59" t="str">
        <x:f>IF(L241="VALID",IF(G241="USD",H241,I241),"")</x:f>
      </x:c>
      <x:c r="O241" s="57" t="n">
        <x:f>IF(L241="VALID",IF(COUNTIFS($B$2:B241,B241,$M$2:M241,M241,$L$2:L241,"VALID")=1,1,0),0)</x:f>
        <x:v>0</x:v>
      </x:c>
    </x:row>
    <x:row r="242">
      <x:c r="A242" s="47"/>
      <x:c r="B242" s="47"/>
      <x:c r="C242" s="58"/>
      <x:c r="D242" s="47"/>
      <x:c r="E242" s="47"/>
      <x:c r="F242" s="47"/>
      <x:c r="G242" s="47"/>
      <x:c r="H242" s="48"/>
      <x:c r="I242" s="48"/>
      <x:c r="J242" s="47"/>
      <x:c r="K242" s="47"/>
      <x:c r="L242" s="57" t="str">
        <x:f>IF(COUNTA(A242:K242)=0,"",IF(K242="CANCELLED","CANCELLED",IF(A242="","INVOICE ID REQUIRED",IF(B242="","PROJECT ID REQUIRED",IF(NOT(ISNUMBER(C242)),"INVALID INVOICE DATE",IF(NOT(AND(ISNUMBER(C242),C242&gt;=2,C242&lt;=2958465,C242=INT(C242))),"INVALID INVOICE DATE",IF(NOT(OR(D242="MX",D242="US")),"ENTITY REQUIRED",IF(NOT(OR(E242="Strategic Services",E242="Brands")),"UNIT REQUIRED",IF(F242="","BRAND / N/A REQUIRED",IF(NOT(OR(G242="USD",G242="MXN")),"CURRENCY REQUIRED",IF(NOT(ISNUMBER(H242)),"AMOUNT REQUIRED",IF(J242="","ERP SOURCE REQUIRED",IF(NOT(OR(K242="ISSUED",K242="CANCELLED")),"INVOICE STATUS REQUIRED",IF(COUNTIFS($A$2:$A$501,A242,$B$2:$B$501,B242,$D$2:$D$501,D242)&gt;1,"DUPLICATE INVOICE / PROJECT",IF(AND(G242="MXN",NOT(AND(ISNUMBER(I242),Settings!$B$8="APPROVED",Settings!$B$9&lt;&gt;"",Settings!$B$10&lt;&gt;""))),"FX HOLD","VALID")))))))))))))))</x:f>
      </x:c>
      <x:c r="M242" s="57" t="str">
        <x:f>IF(ISNUMBER(C242),IF(AND(ISNUMBER(C242),C242&gt;=2,C242&lt;=2958465,C242=INT(C242)),TEXT(C242,"yyyy-mm"),""),"")</x:f>
      </x:c>
      <x:c r="N242" s="59" t="str">
        <x:f>IF(L242="VALID",IF(G242="USD",H242,I242),"")</x:f>
      </x:c>
      <x:c r="O242" s="57" t="n">
        <x:f>IF(L242="VALID",IF(COUNTIFS($B$2:B242,B242,$M$2:M242,M242,$L$2:L242,"VALID")=1,1,0),0)</x:f>
        <x:v>0</x:v>
      </x:c>
    </x:row>
    <x:row r="243">
      <x:c r="A243" s="47"/>
      <x:c r="B243" s="47"/>
      <x:c r="C243" s="58"/>
      <x:c r="D243" s="47"/>
      <x:c r="E243" s="47"/>
      <x:c r="F243" s="47"/>
      <x:c r="G243" s="47"/>
      <x:c r="H243" s="48"/>
      <x:c r="I243" s="48"/>
      <x:c r="J243" s="47"/>
      <x:c r="K243" s="47"/>
      <x:c r="L243" s="57" t="str">
        <x:f>IF(COUNTA(A243:K243)=0,"",IF(K243="CANCELLED","CANCELLED",IF(A243="","INVOICE ID REQUIRED",IF(B243="","PROJECT ID REQUIRED",IF(NOT(ISNUMBER(C243)),"INVALID INVOICE DATE",IF(NOT(AND(ISNUMBER(C243),C243&gt;=2,C243&lt;=2958465,C243=INT(C243))),"INVALID INVOICE DATE",IF(NOT(OR(D243="MX",D243="US")),"ENTITY REQUIRED",IF(NOT(OR(E243="Strategic Services",E243="Brands")),"UNIT REQUIRED",IF(F243="","BRAND / N/A REQUIRED",IF(NOT(OR(G243="USD",G243="MXN")),"CURRENCY REQUIRED",IF(NOT(ISNUMBER(H243)),"AMOUNT REQUIRED",IF(J243="","ERP SOURCE REQUIRED",IF(NOT(OR(K243="ISSUED",K243="CANCELLED")),"INVOICE STATUS REQUIRED",IF(COUNTIFS($A$2:$A$501,A243,$B$2:$B$501,B243,$D$2:$D$501,D243)&gt;1,"DUPLICATE INVOICE / PROJECT",IF(AND(G243="MXN",NOT(AND(ISNUMBER(I243),Settings!$B$8="APPROVED",Settings!$B$9&lt;&gt;"",Settings!$B$10&lt;&gt;""))),"FX HOLD","VALID")))))))))))))))</x:f>
      </x:c>
      <x:c r="M243" s="57" t="str">
        <x:f>IF(ISNUMBER(C243),IF(AND(ISNUMBER(C243),C243&gt;=2,C243&lt;=2958465,C243=INT(C243)),TEXT(C243,"yyyy-mm"),""),"")</x:f>
      </x:c>
      <x:c r="N243" s="59" t="str">
        <x:f>IF(L243="VALID",IF(G243="USD",H243,I243),"")</x:f>
      </x:c>
      <x:c r="O243" s="57" t="n">
        <x:f>IF(L243="VALID",IF(COUNTIFS($B$2:B243,B243,$M$2:M243,M243,$L$2:L243,"VALID")=1,1,0),0)</x:f>
        <x:v>0</x:v>
      </x:c>
    </x:row>
    <x:row r="244">
      <x:c r="A244" s="47"/>
      <x:c r="B244" s="47"/>
      <x:c r="C244" s="58"/>
      <x:c r="D244" s="47"/>
      <x:c r="E244" s="47"/>
      <x:c r="F244" s="47"/>
      <x:c r="G244" s="47"/>
      <x:c r="H244" s="48"/>
      <x:c r="I244" s="48"/>
      <x:c r="J244" s="47"/>
      <x:c r="K244" s="47"/>
      <x:c r="L244" s="57" t="str">
        <x:f>IF(COUNTA(A244:K244)=0,"",IF(K244="CANCELLED","CANCELLED",IF(A244="","INVOICE ID REQUIRED",IF(B244="","PROJECT ID REQUIRED",IF(NOT(ISNUMBER(C244)),"INVALID INVOICE DATE",IF(NOT(AND(ISNUMBER(C244),C244&gt;=2,C244&lt;=2958465,C244=INT(C244))),"INVALID INVOICE DATE",IF(NOT(OR(D244="MX",D244="US")),"ENTITY REQUIRED",IF(NOT(OR(E244="Strategic Services",E244="Brands")),"UNIT REQUIRED",IF(F244="","BRAND / N/A REQUIRED",IF(NOT(OR(G244="USD",G244="MXN")),"CURRENCY REQUIRED",IF(NOT(ISNUMBER(H244)),"AMOUNT REQUIRED",IF(J244="","ERP SOURCE REQUIRED",IF(NOT(OR(K244="ISSUED",K244="CANCELLED")),"INVOICE STATUS REQUIRED",IF(COUNTIFS($A$2:$A$501,A244,$B$2:$B$501,B244,$D$2:$D$501,D244)&gt;1,"DUPLICATE INVOICE / PROJECT",IF(AND(G244="MXN",NOT(AND(ISNUMBER(I244),Settings!$B$8="APPROVED",Settings!$B$9&lt;&gt;"",Settings!$B$10&lt;&gt;""))),"FX HOLD","VALID")))))))))))))))</x:f>
      </x:c>
      <x:c r="M244" s="57" t="str">
        <x:f>IF(ISNUMBER(C244),IF(AND(ISNUMBER(C244),C244&gt;=2,C244&lt;=2958465,C244=INT(C244)),TEXT(C244,"yyyy-mm"),""),"")</x:f>
      </x:c>
      <x:c r="N244" s="59" t="str">
        <x:f>IF(L244="VALID",IF(G244="USD",H244,I244),"")</x:f>
      </x:c>
      <x:c r="O244" s="57" t="n">
        <x:f>IF(L244="VALID",IF(COUNTIFS($B$2:B244,B244,$M$2:M244,M244,$L$2:L244,"VALID")=1,1,0),0)</x:f>
        <x:v>0</x:v>
      </x:c>
    </x:row>
    <x:row r="245">
      <x:c r="A245" s="47"/>
      <x:c r="B245" s="47"/>
      <x:c r="C245" s="58"/>
      <x:c r="D245" s="47"/>
      <x:c r="E245" s="47"/>
      <x:c r="F245" s="47"/>
      <x:c r="G245" s="47"/>
      <x:c r="H245" s="48"/>
      <x:c r="I245" s="48"/>
      <x:c r="J245" s="47"/>
      <x:c r="K245" s="47"/>
      <x:c r="L245" s="57" t="str">
        <x:f>IF(COUNTA(A245:K245)=0,"",IF(K245="CANCELLED","CANCELLED",IF(A245="","INVOICE ID REQUIRED",IF(B245="","PROJECT ID REQUIRED",IF(NOT(ISNUMBER(C245)),"INVALID INVOICE DATE",IF(NOT(AND(ISNUMBER(C245),C245&gt;=2,C245&lt;=2958465,C245=INT(C245))),"INVALID INVOICE DATE",IF(NOT(OR(D245="MX",D245="US")),"ENTITY REQUIRED",IF(NOT(OR(E245="Strategic Services",E245="Brands")),"UNIT REQUIRED",IF(F245="","BRAND / N/A REQUIRED",IF(NOT(OR(G245="USD",G245="MXN")),"CURRENCY REQUIRED",IF(NOT(ISNUMBER(H245)),"AMOUNT REQUIRED",IF(J245="","ERP SOURCE REQUIRED",IF(NOT(OR(K245="ISSUED",K245="CANCELLED")),"INVOICE STATUS REQUIRED",IF(COUNTIFS($A$2:$A$501,A245,$B$2:$B$501,B245,$D$2:$D$501,D245)&gt;1,"DUPLICATE INVOICE / PROJECT",IF(AND(G245="MXN",NOT(AND(ISNUMBER(I245),Settings!$B$8="APPROVED",Settings!$B$9&lt;&gt;"",Settings!$B$10&lt;&gt;""))),"FX HOLD","VALID")))))))))))))))</x:f>
      </x:c>
      <x:c r="M245" s="57" t="str">
        <x:f>IF(ISNUMBER(C245),IF(AND(ISNUMBER(C245),C245&gt;=2,C245&lt;=2958465,C245=INT(C245)),TEXT(C245,"yyyy-mm"),""),"")</x:f>
      </x:c>
      <x:c r="N245" s="59" t="str">
        <x:f>IF(L245="VALID",IF(G245="USD",H245,I245),"")</x:f>
      </x:c>
      <x:c r="O245" s="57" t="n">
        <x:f>IF(L245="VALID",IF(COUNTIFS($B$2:B245,B245,$M$2:M245,M245,$L$2:L245,"VALID")=1,1,0),0)</x:f>
        <x:v>0</x:v>
      </x:c>
    </x:row>
    <x:row r="246">
      <x:c r="A246" s="47"/>
      <x:c r="B246" s="47"/>
      <x:c r="C246" s="58"/>
      <x:c r="D246" s="47"/>
      <x:c r="E246" s="47"/>
      <x:c r="F246" s="47"/>
      <x:c r="G246" s="47"/>
      <x:c r="H246" s="48"/>
      <x:c r="I246" s="48"/>
      <x:c r="J246" s="47"/>
      <x:c r="K246" s="47"/>
      <x:c r="L246" s="57" t="str">
        <x:f>IF(COUNTA(A246:K246)=0,"",IF(K246="CANCELLED","CANCELLED",IF(A246="","INVOICE ID REQUIRED",IF(B246="","PROJECT ID REQUIRED",IF(NOT(ISNUMBER(C246)),"INVALID INVOICE DATE",IF(NOT(AND(ISNUMBER(C246),C246&gt;=2,C246&lt;=2958465,C246=INT(C246))),"INVALID INVOICE DATE",IF(NOT(OR(D246="MX",D246="US")),"ENTITY REQUIRED",IF(NOT(OR(E246="Strategic Services",E246="Brands")),"UNIT REQUIRED",IF(F246="","BRAND / N/A REQUIRED",IF(NOT(OR(G246="USD",G246="MXN")),"CURRENCY REQUIRED",IF(NOT(ISNUMBER(H246)),"AMOUNT REQUIRED",IF(J246="","ERP SOURCE REQUIRED",IF(NOT(OR(K246="ISSUED",K246="CANCELLED")),"INVOICE STATUS REQUIRED",IF(COUNTIFS($A$2:$A$501,A246,$B$2:$B$501,B246,$D$2:$D$501,D246)&gt;1,"DUPLICATE INVOICE / PROJECT",IF(AND(G246="MXN",NOT(AND(ISNUMBER(I246),Settings!$B$8="APPROVED",Settings!$B$9&lt;&gt;"",Settings!$B$10&lt;&gt;""))),"FX HOLD","VALID")))))))))))))))</x:f>
      </x:c>
      <x:c r="M246" s="57" t="str">
        <x:f>IF(ISNUMBER(C246),IF(AND(ISNUMBER(C246),C246&gt;=2,C246&lt;=2958465,C246=INT(C246)),TEXT(C246,"yyyy-mm"),""),"")</x:f>
      </x:c>
      <x:c r="N246" s="59" t="str">
        <x:f>IF(L246="VALID",IF(G246="USD",H246,I246),"")</x:f>
      </x:c>
      <x:c r="O246" s="57" t="n">
        <x:f>IF(L246="VALID",IF(COUNTIFS($B$2:B246,B246,$M$2:M246,M246,$L$2:L246,"VALID")=1,1,0),0)</x:f>
        <x:v>0</x:v>
      </x:c>
    </x:row>
    <x:row r="247">
      <x:c r="A247" s="47"/>
      <x:c r="B247" s="47"/>
      <x:c r="C247" s="58"/>
      <x:c r="D247" s="47"/>
      <x:c r="E247" s="47"/>
      <x:c r="F247" s="47"/>
      <x:c r="G247" s="47"/>
      <x:c r="H247" s="48"/>
      <x:c r="I247" s="48"/>
      <x:c r="J247" s="47"/>
      <x:c r="K247" s="47"/>
      <x:c r="L247" s="57" t="str">
        <x:f>IF(COUNTA(A247:K247)=0,"",IF(K247="CANCELLED","CANCELLED",IF(A247="","INVOICE ID REQUIRED",IF(B247="","PROJECT ID REQUIRED",IF(NOT(ISNUMBER(C247)),"INVALID INVOICE DATE",IF(NOT(AND(ISNUMBER(C247),C247&gt;=2,C247&lt;=2958465,C247=INT(C247))),"INVALID INVOICE DATE",IF(NOT(OR(D247="MX",D247="US")),"ENTITY REQUIRED",IF(NOT(OR(E247="Strategic Services",E247="Brands")),"UNIT REQUIRED",IF(F247="","BRAND / N/A REQUIRED",IF(NOT(OR(G247="USD",G247="MXN")),"CURRENCY REQUIRED",IF(NOT(ISNUMBER(H247)),"AMOUNT REQUIRED",IF(J247="","ERP SOURCE REQUIRED",IF(NOT(OR(K247="ISSUED",K247="CANCELLED")),"INVOICE STATUS REQUIRED",IF(COUNTIFS($A$2:$A$501,A247,$B$2:$B$501,B247,$D$2:$D$501,D247)&gt;1,"DUPLICATE INVOICE / PROJECT",IF(AND(G247="MXN",NOT(AND(ISNUMBER(I247),Settings!$B$8="APPROVED",Settings!$B$9&lt;&gt;"",Settings!$B$10&lt;&gt;""))),"FX HOLD","VALID")))))))))))))))</x:f>
      </x:c>
      <x:c r="M247" s="57" t="str">
        <x:f>IF(ISNUMBER(C247),IF(AND(ISNUMBER(C247),C247&gt;=2,C247&lt;=2958465,C247=INT(C247)),TEXT(C247,"yyyy-mm"),""),"")</x:f>
      </x:c>
      <x:c r="N247" s="59" t="str">
        <x:f>IF(L247="VALID",IF(G247="USD",H247,I247),"")</x:f>
      </x:c>
      <x:c r="O247" s="57" t="n">
        <x:f>IF(L247="VALID",IF(COUNTIFS($B$2:B247,B247,$M$2:M247,M247,$L$2:L247,"VALID")=1,1,0),0)</x:f>
        <x:v>0</x:v>
      </x:c>
    </x:row>
    <x:row r="248">
      <x:c r="A248" s="47"/>
      <x:c r="B248" s="47"/>
      <x:c r="C248" s="58"/>
      <x:c r="D248" s="47"/>
      <x:c r="E248" s="47"/>
      <x:c r="F248" s="47"/>
      <x:c r="G248" s="47"/>
      <x:c r="H248" s="48"/>
      <x:c r="I248" s="48"/>
      <x:c r="J248" s="47"/>
      <x:c r="K248" s="47"/>
      <x:c r="L248" s="57" t="str">
        <x:f>IF(COUNTA(A248:K248)=0,"",IF(K248="CANCELLED","CANCELLED",IF(A248="","INVOICE ID REQUIRED",IF(B248="","PROJECT ID REQUIRED",IF(NOT(ISNUMBER(C248)),"INVALID INVOICE DATE",IF(NOT(AND(ISNUMBER(C248),C248&gt;=2,C248&lt;=2958465,C248=INT(C248))),"INVALID INVOICE DATE",IF(NOT(OR(D248="MX",D248="US")),"ENTITY REQUIRED",IF(NOT(OR(E248="Strategic Services",E248="Brands")),"UNIT REQUIRED",IF(F248="","BRAND / N/A REQUIRED",IF(NOT(OR(G248="USD",G248="MXN")),"CURRENCY REQUIRED",IF(NOT(ISNUMBER(H248)),"AMOUNT REQUIRED",IF(J248="","ERP SOURCE REQUIRED",IF(NOT(OR(K248="ISSUED",K248="CANCELLED")),"INVOICE STATUS REQUIRED",IF(COUNTIFS($A$2:$A$501,A248,$B$2:$B$501,B248,$D$2:$D$501,D248)&gt;1,"DUPLICATE INVOICE / PROJECT",IF(AND(G248="MXN",NOT(AND(ISNUMBER(I248),Settings!$B$8="APPROVED",Settings!$B$9&lt;&gt;"",Settings!$B$10&lt;&gt;""))),"FX HOLD","VALID")))))))))))))))</x:f>
      </x:c>
      <x:c r="M248" s="57" t="str">
        <x:f>IF(ISNUMBER(C248),IF(AND(ISNUMBER(C248),C248&gt;=2,C248&lt;=2958465,C248=INT(C248)),TEXT(C248,"yyyy-mm"),""),"")</x:f>
      </x:c>
      <x:c r="N248" s="59" t="str">
        <x:f>IF(L248="VALID",IF(G248="USD",H248,I248),"")</x:f>
      </x:c>
      <x:c r="O248" s="57" t="n">
        <x:f>IF(L248="VALID",IF(COUNTIFS($B$2:B248,B248,$M$2:M248,M248,$L$2:L248,"VALID")=1,1,0),0)</x:f>
        <x:v>0</x:v>
      </x:c>
    </x:row>
    <x:row r="249">
      <x:c r="A249" s="47"/>
      <x:c r="B249" s="47"/>
      <x:c r="C249" s="58"/>
      <x:c r="D249" s="47"/>
      <x:c r="E249" s="47"/>
      <x:c r="F249" s="47"/>
      <x:c r="G249" s="47"/>
      <x:c r="H249" s="48"/>
      <x:c r="I249" s="48"/>
      <x:c r="J249" s="47"/>
      <x:c r="K249" s="47"/>
      <x:c r="L249" s="57" t="str">
        <x:f>IF(COUNTA(A249:K249)=0,"",IF(K249="CANCELLED","CANCELLED",IF(A249="","INVOICE ID REQUIRED",IF(B249="","PROJECT ID REQUIRED",IF(NOT(ISNUMBER(C249)),"INVALID INVOICE DATE",IF(NOT(AND(ISNUMBER(C249),C249&gt;=2,C249&lt;=2958465,C249=INT(C249))),"INVALID INVOICE DATE",IF(NOT(OR(D249="MX",D249="US")),"ENTITY REQUIRED",IF(NOT(OR(E249="Strategic Services",E249="Brands")),"UNIT REQUIRED",IF(F249="","BRAND / N/A REQUIRED",IF(NOT(OR(G249="USD",G249="MXN")),"CURRENCY REQUIRED",IF(NOT(ISNUMBER(H249)),"AMOUNT REQUIRED",IF(J249="","ERP SOURCE REQUIRED",IF(NOT(OR(K249="ISSUED",K249="CANCELLED")),"INVOICE STATUS REQUIRED",IF(COUNTIFS($A$2:$A$501,A249,$B$2:$B$501,B249,$D$2:$D$501,D249)&gt;1,"DUPLICATE INVOICE / PROJECT",IF(AND(G249="MXN",NOT(AND(ISNUMBER(I249),Settings!$B$8="APPROVED",Settings!$B$9&lt;&gt;"",Settings!$B$10&lt;&gt;""))),"FX HOLD","VALID")))))))))))))))</x:f>
      </x:c>
      <x:c r="M249" s="57" t="str">
        <x:f>IF(ISNUMBER(C249),IF(AND(ISNUMBER(C249),C249&gt;=2,C249&lt;=2958465,C249=INT(C249)),TEXT(C249,"yyyy-mm"),""),"")</x:f>
      </x:c>
      <x:c r="N249" s="59" t="str">
        <x:f>IF(L249="VALID",IF(G249="USD",H249,I249),"")</x:f>
      </x:c>
      <x:c r="O249" s="57" t="n">
        <x:f>IF(L249="VALID",IF(COUNTIFS($B$2:B249,B249,$M$2:M249,M249,$L$2:L249,"VALID")=1,1,0),0)</x:f>
        <x:v>0</x:v>
      </x:c>
    </x:row>
    <x:row r="250">
      <x:c r="A250" s="47"/>
      <x:c r="B250" s="47"/>
      <x:c r="C250" s="58"/>
      <x:c r="D250" s="47"/>
      <x:c r="E250" s="47"/>
      <x:c r="F250" s="47"/>
      <x:c r="G250" s="47"/>
      <x:c r="H250" s="48"/>
      <x:c r="I250" s="48"/>
      <x:c r="J250" s="47"/>
      <x:c r="K250" s="47"/>
      <x:c r="L250" s="57" t="str">
        <x:f>IF(COUNTA(A250:K250)=0,"",IF(K250="CANCELLED","CANCELLED",IF(A250="","INVOICE ID REQUIRED",IF(B250="","PROJECT ID REQUIRED",IF(NOT(ISNUMBER(C250)),"INVALID INVOICE DATE",IF(NOT(AND(ISNUMBER(C250),C250&gt;=2,C250&lt;=2958465,C250=INT(C250))),"INVALID INVOICE DATE",IF(NOT(OR(D250="MX",D250="US")),"ENTITY REQUIRED",IF(NOT(OR(E250="Strategic Services",E250="Brands")),"UNIT REQUIRED",IF(F250="","BRAND / N/A REQUIRED",IF(NOT(OR(G250="USD",G250="MXN")),"CURRENCY REQUIRED",IF(NOT(ISNUMBER(H250)),"AMOUNT REQUIRED",IF(J250="","ERP SOURCE REQUIRED",IF(NOT(OR(K250="ISSUED",K250="CANCELLED")),"INVOICE STATUS REQUIRED",IF(COUNTIFS($A$2:$A$501,A250,$B$2:$B$501,B250,$D$2:$D$501,D250)&gt;1,"DUPLICATE INVOICE / PROJECT",IF(AND(G250="MXN",NOT(AND(ISNUMBER(I250),Settings!$B$8="APPROVED",Settings!$B$9&lt;&gt;"",Settings!$B$10&lt;&gt;""))),"FX HOLD","VALID")))))))))))))))</x:f>
      </x:c>
      <x:c r="M250" s="57" t="str">
        <x:f>IF(ISNUMBER(C250),IF(AND(ISNUMBER(C250),C250&gt;=2,C250&lt;=2958465,C250=INT(C250)),TEXT(C250,"yyyy-mm"),""),"")</x:f>
      </x:c>
      <x:c r="N250" s="59" t="str">
        <x:f>IF(L250="VALID",IF(G250="USD",H250,I250),"")</x:f>
      </x:c>
      <x:c r="O250" s="57" t="n">
        <x:f>IF(L250="VALID",IF(COUNTIFS($B$2:B250,B250,$M$2:M250,M250,$L$2:L250,"VALID")=1,1,0),0)</x:f>
        <x:v>0</x:v>
      </x:c>
    </x:row>
    <x:row r="251">
      <x:c r="A251" s="47"/>
      <x:c r="B251" s="47"/>
      <x:c r="C251" s="58"/>
      <x:c r="D251" s="47"/>
      <x:c r="E251" s="47"/>
      <x:c r="F251" s="47"/>
      <x:c r="G251" s="47"/>
      <x:c r="H251" s="48"/>
      <x:c r="I251" s="48"/>
      <x:c r="J251" s="47"/>
      <x:c r="K251" s="47"/>
      <x:c r="L251" s="57" t="str">
        <x:f>IF(COUNTA(A251:K251)=0,"",IF(K251="CANCELLED","CANCELLED",IF(A251="","INVOICE ID REQUIRED",IF(B251="","PROJECT ID REQUIRED",IF(NOT(ISNUMBER(C251)),"INVALID INVOICE DATE",IF(NOT(AND(ISNUMBER(C251),C251&gt;=2,C251&lt;=2958465,C251=INT(C251))),"INVALID INVOICE DATE",IF(NOT(OR(D251="MX",D251="US")),"ENTITY REQUIRED",IF(NOT(OR(E251="Strategic Services",E251="Brands")),"UNIT REQUIRED",IF(F251="","BRAND / N/A REQUIRED",IF(NOT(OR(G251="USD",G251="MXN")),"CURRENCY REQUIRED",IF(NOT(ISNUMBER(H251)),"AMOUNT REQUIRED",IF(J251="","ERP SOURCE REQUIRED",IF(NOT(OR(K251="ISSUED",K251="CANCELLED")),"INVOICE STATUS REQUIRED",IF(COUNTIFS($A$2:$A$501,A251,$B$2:$B$501,B251,$D$2:$D$501,D251)&gt;1,"DUPLICATE INVOICE / PROJECT",IF(AND(G251="MXN",NOT(AND(ISNUMBER(I251),Settings!$B$8="APPROVED",Settings!$B$9&lt;&gt;"",Settings!$B$10&lt;&gt;""))),"FX HOLD","VALID")))))))))))))))</x:f>
      </x:c>
      <x:c r="M251" s="57" t="str">
        <x:f>IF(ISNUMBER(C251),IF(AND(ISNUMBER(C251),C251&gt;=2,C251&lt;=2958465,C251=INT(C251)),TEXT(C251,"yyyy-mm"),""),"")</x:f>
      </x:c>
      <x:c r="N251" s="59" t="str">
        <x:f>IF(L251="VALID",IF(G251="USD",H251,I251),"")</x:f>
      </x:c>
      <x:c r="O251" s="57" t="n">
        <x:f>IF(L251="VALID",IF(COUNTIFS($B$2:B251,B251,$M$2:M251,M251,$L$2:L251,"VALID")=1,1,0),0)</x:f>
        <x:v>0</x:v>
      </x:c>
    </x:row>
    <x:row r="252">
      <x:c r="A252" s="47"/>
      <x:c r="B252" s="47"/>
      <x:c r="C252" s="58"/>
      <x:c r="D252" s="47"/>
      <x:c r="E252" s="47"/>
      <x:c r="F252" s="47"/>
      <x:c r="G252" s="47"/>
      <x:c r="H252" s="48"/>
      <x:c r="I252" s="48"/>
      <x:c r="J252" s="47"/>
      <x:c r="K252" s="47"/>
      <x:c r="L252" s="57" t="str">
        <x:f>IF(COUNTA(A252:K252)=0,"",IF(K252="CANCELLED","CANCELLED",IF(A252="","INVOICE ID REQUIRED",IF(B252="","PROJECT ID REQUIRED",IF(NOT(ISNUMBER(C252)),"INVALID INVOICE DATE",IF(NOT(AND(ISNUMBER(C252),C252&gt;=2,C252&lt;=2958465,C252=INT(C252))),"INVALID INVOICE DATE",IF(NOT(OR(D252="MX",D252="US")),"ENTITY REQUIRED",IF(NOT(OR(E252="Strategic Services",E252="Brands")),"UNIT REQUIRED",IF(F252="","BRAND / N/A REQUIRED",IF(NOT(OR(G252="USD",G252="MXN")),"CURRENCY REQUIRED",IF(NOT(ISNUMBER(H252)),"AMOUNT REQUIRED",IF(J252="","ERP SOURCE REQUIRED",IF(NOT(OR(K252="ISSUED",K252="CANCELLED")),"INVOICE STATUS REQUIRED",IF(COUNTIFS($A$2:$A$501,A252,$B$2:$B$501,B252,$D$2:$D$501,D252)&gt;1,"DUPLICATE INVOICE / PROJECT",IF(AND(G252="MXN",NOT(AND(ISNUMBER(I252),Settings!$B$8="APPROVED",Settings!$B$9&lt;&gt;"",Settings!$B$10&lt;&gt;""))),"FX HOLD","VALID")))))))))))))))</x:f>
      </x:c>
      <x:c r="M252" s="57" t="str">
        <x:f>IF(ISNUMBER(C252),IF(AND(ISNUMBER(C252),C252&gt;=2,C252&lt;=2958465,C252=INT(C252)),TEXT(C252,"yyyy-mm"),""),"")</x:f>
      </x:c>
      <x:c r="N252" s="59" t="str">
        <x:f>IF(L252="VALID",IF(G252="USD",H252,I252),"")</x:f>
      </x:c>
      <x:c r="O252" s="57" t="n">
        <x:f>IF(L252="VALID",IF(COUNTIFS($B$2:B252,B252,$M$2:M252,M252,$L$2:L252,"VALID")=1,1,0),0)</x:f>
        <x:v>0</x:v>
      </x:c>
    </x:row>
    <x:row r="253">
      <x:c r="A253" s="47"/>
      <x:c r="B253" s="47"/>
      <x:c r="C253" s="58"/>
      <x:c r="D253" s="47"/>
      <x:c r="E253" s="47"/>
      <x:c r="F253" s="47"/>
      <x:c r="G253" s="47"/>
      <x:c r="H253" s="48"/>
      <x:c r="I253" s="48"/>
      <x:c r="J253" s="47"/>
      <x:c r="K253" s="47"/>
      <x:c r="L253" s="57" t="str">
        <x:f>IF(COUNTA(A253:K253)=0,"",IF(K253="CANCELLED","CANCELLED",IF(A253="","INVOICE ID REQUIRED",IF(B253="","PROJECT ID REQUIRED",IF(NOT(ISNUMBER(C253)),"INVALID INVOICE DATE",IF(NOT(AND(ISNUMBER(C253),C253&gt;=2,C253&lt;=2958465,C253=INT(C253))),"INVALID INVOICE DATE",IF(NOT(OR(D253="MX",D253="US")),"ENTITY REQUIRED",IF(NOT(OR(E253="Strategic Services",E253="Brands")),"UNIT REQUIRED",IF(F253="","BRAND / N/A REQUIRED",IF(NOT(OR(G253="USD",G253="MXN")),"CURRENCY REQUIRED",IF(NOT(ISNUMBER(H253)),"AMOUNT REQUIRED",IF(J253="","ERP SOURCE REQUIRED",IF(NOT(OR(K253="ISSUED",K253="CANCELLED")),"INVOICE STATUS REQUIRED",IF(COUNTIFS($A$2:$A$501,A253,$B$2:$B$501,B253,$D$2:$D$501,D253)&gt;1,"DUPLICATE INVOICE / PROJECT",IF(AND(G253="MXN",NOT(AND(ISNUMBER(I253),Settings!$B$8="APPROVED",Settings!$B$9&lt;&gt;"",Settings!$B$10&lt;&gt;""))),"FX HOLD","VALID")))))))))))))))</x:f>
      </x:c>
      <x:c r="M253" s="57" t="str">
        <x:f>IF(ISNUMBER(C253),IF(AND(ISNUMBER(C253),C253&gt;=2,C253&lt;=2958465,C253=INT(C253)),TEXT(C253,"yyyy-mm"),""),"")</x:f>
      </x:c>
      <x:c r="N253" s="59" t="str">
        <x:f>IF(L253="VALID",IF(G253="USD",H253,I253),"")</x:f>
      </x:c>
      <x:c r="O253" s="57" t="n">
        <x:f>IF(L253="VALID",IF(COUNTIFS($B$2:B253,B253,$M$2:M253,M253,$L$2:L253,"VALID")=1,1,0),0)</x:f>
        <x:v>0</x:v>
      </x:c>
    </x:row>
    <x:row r="254">
      <x:c r="A254" s="47"/>
      <x:c r="B254" s="47"/>
      <x:c r="C254" s="58"/>
      <x:c r="D254" s="47"/>
      <x:c r="E254" s="47"/>
      <x:c r="F254" s="47"/>
      <x:c r="G254" s="47"/>
      <x:c r="H254" s="48"/>
      <x:c r="I254" s="48"/>
      <x:c r="J254" s="47"/>
      <x:c r="K254" s="47"/>
      <x:c r="L254" s="57" t="str">
        <x:f>IF(COUNTA(A254:K254)=0,"",IF(K254="CANCELLED","CANCELLED",IF(A254="","INVOICE ID REQUIRED",IF(B254="","PROJECT ID REQUIRED",IF(NOT(ISNUMBER(C254)),"INVALID INVOICE DATE",IF(NOT(AND(ISNUMBER(C254),C254&gt;=2,C254&lt;=2958465,C254=INT(C254))),"INVALID INVOICE DATE",IF(NOT(OR(D254="MX",D254="US")),"ENTITY REQUIRED",IF(NOT(OR(E254="Strategic Services",E254="Brands")),"UNIT REQUIRED",IF(F254="","BRAND / N/A REQUIRED",IF(NOT(OR(G254="USD",G254="MXN")),"CURRENCY REQUIRED",IF(NOT(ISNUMBER(H254)),"AMOUNT REQUIRED",IF(J254="","ERP SOURCE REQUIRED",IF(NOT(OR(K254="ISSUED",K254="CANCELLED")),"INVOICE STATUS REQUIRED",IF(COUNTIFS($A$2:$A$501,A254,$B$2:$B$501,B254,$D$2:$D$501,D254)&gt;1,"DUPLICATE INVOICE / PROJECT",IF(AND(G254="MXN",NOT(AND(ISNUMBER(I254),Settings!$B$8="APPROVED",Settings!$B$9&lt;&gt;"",Settings!$B$10&lt;&gt;""))),"FX HOLD","VALID")))))))))))))))</x:f>
      </x:c>
      <x:c r="M254" s="57" t="str">
        <x:f>IF(ISNUMBER(C254),IF(AND(ISNUMBER(C254),C254&gt;=2,C254&lt;=2958465,C254=INT(C254)),TEXT(C254,"yyyy-mm"),""),"")</x:f>
      </x:c>
      <x:c r="N254" s="59" t="str">
        <x:f>IF(L254="VALID",IF(G254="USD",H254,I254),"")</x:f>
      </x:c>
      <x:c r="O254" s="57" t="n">
        <x:f>IF(L254="VALID",IF(COUNTIFS($B$2:B254,B254,$M$2:M254,M254,$L$2:L254,"VALID")=1,1,0),0)</x:f>
        <x:v>0</x:v>
      </x:c>
    </x:row>
    <x:row r="255">
      <x:c r="A255" s="47"/>
      <x:c r="B255" s="47"/>
      <x:c r="C255" s="58"/>
      <x:c r="D255" s="47"/>
      <x:c r="E255" s="47"/>
      <x:c r="F255" s="47"/>
      <x:c r="G255" s="47"/>
      <x:c r="H255" s="48"/>
      <x:c r="I255" s="48"/>
      <x:c r="J255" s="47"/>
      <x:c r="K255" s="47"/>
      <x:c r="L255" s="57" t="str">
        <x:f>IF(COUNTA(A255:K255)=0,"",IF(K255="CANCELLED","CANCELLED",IF(A255="","INVOICE ID REQUIRED",IF(B255="","PROJECT ID REQUIRED",IF(NOT(ISNUMBER(C255)),"INVALID INVOICE DATE",IF(NOT(AND(ISNUMBER(C255),C255&gt;=2,C255&lt;=2958465,C255=INT(C255))),"INVALID INVOICE DATE",IF(NOT(OR(D255="MX",D255="US")),"ENTITY REQUIRED",IF(NOT(OR(E255="Strategic Services",E255="Brands")),"UNIT REQUIRED",IF(F255="","BRAND / N/A REQUIRED",IF(NOT(OR(G255="USD",G255="MXN")),"CURRENCY REQUIRED",IF(NOT(ISNUMBER(H255)),"AMOUNT REQUIRED",IF(J255="","ERP SOURCE REQUIRED",IF(NOT(OR(K255="ISSUED",K255="CANCELLED")),"INVOICE STATUS REQUIRED",IF(COUNTIFS($A$2:$A$501,A255,$B$2:$B$501,B255,$D$2:$D$501,D255)&gt;1,"DUPLICATE INVOICE / PROJECT",IF(AND(G255="MXN",NOT(AND(ISNUMBER(I255),Settings!$B$8="APPROVED",Settings!$B$9&lt;&gt;"",Settings!$B$10&lt;&gt;""))),"FX HOLD","VALID")))))))))))))))</x:f>
      </x:c>
      <x:c r="M255" s="57" t="str">
        <x:f>IF(ISNUMBER(C255),IF(AND(ISNUMBER(C255),C255&gt;=2,C255&lt;=2958465,C255=INT(C255)),TEXT(C255,"yyyy-mm"),""),"")</x:f>
      </x:c>
      <x:c r="N255" s="59" t="str">
        <x:f>IF(L255="VALID",IF(G255="USD",H255,I255),"")</x:f>
      </x:c>
      <x:c r="O255" s="57" t="n">
        <x:f>IF(L255="VALID",IF(COUNTIFS($B$2:B255,B255,$M$2:M255,M255,$L$2:L255,"VALID")=1,1,0),0)</x:f>
        <x:v>0</x:v>
      </x:c>
    </x:row>
    <x:row r="256">
      <x:c r="A256" s="47"/>
      <x:c r="B256" s="47"/>
      <x:c r="C256" s="58"/>
      <x:c r="D256" s="47"/>
      <x:c r="E256" s="47"/>
      <x:c r="F256" s="47"/>
      <x:c r="G256" s="47"/>
      <x:c r="H256" s="48"/>
      <x:c r="I256" s="48"/>
      <x:c r="J256" s="47"/>
      <x:c r="K256" s="47"/>
      <x:c r="L256" s="57" t="str">
        <x:f>IF(COUNTA(A256:K256)=0,"",IF(K256="CANCELLED","CANCELLED",IF(A256="","INVOICE ID REQUIRED",IF(B256="","PROJECT ID REQUIRED",IF(NOT(ISNUMBER(C256)),"INVALID INVOICE DATE",IF(NOT(AND(ISNUMBER(C256),C256&gt;=2,C256&lt;=2958465,C256=INT(C256))),"INVALID INVOICE DATE",IF(NOT(OR(D256="MX",D256="US")),"ENTITY REQUIRED",IF(NOT(OR(E256="Strategic Services",E256="Brands")),"UNIT REQUIRED",IF(F256="","BRAND / N/A REQUIRED",IF(NOT(OR(G256="USD",G256="MXN")),"CURRENCY REQUIRED",IF(NOT(ISNUMBER(H256)),"AMOUNT REQUIRED",IF(J256="","ERP SOURCE REQUIRED",IF(NOT(OR(K256="ISSUED",K256="CANCELLED")),"INVOICE STATUS REQUIRED",IF(COUNTIFS($A$2:$A$501,A256,$B$2:$B$501,B256,$D$2:$D$501,D256)&gt;1,"DUPLICATE INVOICE / PROJECT",IF(AND(G256="MXN",NOT(AND(ISNUMBER(I256),Settings!$B$8="APPROVED",Settings!$B$9&lt;&gt;"",Settings!$B$10&lt;&gt;""))),"FX HOLD","VALID")))))))))))))))</x:f>
      </x:c>
      <x:c r="M256" s="57" t="str">
        <x:f>IF(ISNUMBER(C256),IF(AND(ISNUMBER(C256),C256&gt;=2,C256&lt;=2958465,C256=INT(C256)),TEXT(C256,"yyyy-mm"),""),"")</x:f>
      </x:c>
      <x:c r="N256" s="59" t="str">
        <x:f>IF(L256="VALID",IF(G256="USD",H256,I256),"")</x:f>
      </x:c>
      <x:c r="O256" s="57" t="n">
        <x:f>IF(L256="VALID",IF(COUNTIFS($B$2:B256,B256,$M$2:M256,M256,$L$2:L256,"VALID")=1,1,0),0)</x:f>
        <x:v>0</x:v>
      </x:c>
    </x:row>
    <x:row r="257">
      <x:c r="A257" s="47"/>
      <x:c r="B257" s="47"/>
      <x:c r="C257" s="58"/>
      <x:c r="D257" s="47"/>
      <x:c r="E257" s="47"/>
      <x:c r="F257" s="47"/>
      <x:c r="G257" s="47"/>
      <x:c r="H257" s="48"/>
      <x:c r="I257" s="48"/>
      <x:c r="J257" s="47"/>
      <x:c r="K257" s="47"/>
      <x:c r="L257" s="57" t="str">
        <x:f>IF(COUNTA(A257:K257)=0,"",IF(K257="CANCELLED","CANCELLED",IF(A257="","INVOICE ID REQUIRED",IF(B257="","PROJECT ID REQUIRED",IF(NOT(ISNUMBER(C257)),"INVALID INVOICE DATE",IF(NOT(AND(ISNUMBER(C257),C257&gt;=2,C257&lt;=2958465,C257=INT(C257))),"INVALID INVOICE DATE",IF(NOT(OR(D257="MX",D257="US")),"ENTITY REQUIRED",IF(NOT(OR(E257="Strategic Services",E257="Brands")),"UNIT REQUIRED",IF(F257="","BRAND / N/A REQUIRED",IF(NOT(OR(G257="USD",G257="MXN")),"CURRENCY REQUIRED",IF(NOT(ISNUMBER(H257)),"AMOUNT REQUIRED",IF(J257="","ERP SOURCE REQUIRED",IF(NOT(OR(K257="ISSUED",K257="CANCELLED")),"INVOICE STATUS REQUIRED",IF(COUNTIFS($A$2:$A$501,A257,$B$2:$B$501,B257,$D$2:$D$501,D257)&gt;1,"DUPLICATE INVOICE / PROJECT",IF(AND(G257="MXN",NOT(AND(ISNUMBER(I257),Settings!$B$8="APPROVED",Settings!$B$9&lt;&gt;"",Settings!$B$10&lt;&gt;""))),"FX HOLD","VALID")))))))))))))))</x:f>
      </x:c>
      <x:c r="M257" s="57" t="str">
        <x:f>IF(ISNUMBER(C257),IF(AND(ISNUMBER(C257),C257&gt;=2,C257&lt;=2958465,C257=INT(C257)),TEXT(C257,"yyyy-mm"),""),"")</x:f>
      </x:c>
      <x:c r="N257" s="59" t="str">
        <x:f>IF(L257="VALID",IF(G257="USD",H257,I257),"")</x:f>
      </x:c>
      <x:c r="O257" s="57" t="n">
        <x:f>IF(L257="VALID",IF(COUNTIFS($B$2:B257,B257,$M$2:M257,M257,$L$2:L257,"VALID")=1,1,0),0)</x:f>
        <x:v>0</x:v>
      </x:c>
    </x:row>
    <x:row r="258">
      <x:c r="A258" s="47"/>
      <x:c r="B258" s="47"/>
      <x:c r="C258" s="58"/>
      <x:c r="D258" s="47"/>
      <x:c r="E258" s="47"/>
      <x:c r="F258" s="47"/>
      <x:c r="G258" s="47"/>
      <x:c r="H258" s="48"/>
      <x:c r="I258" s="48"/>
      <x:c r="J258" s="47"/>
      <x:c r="K258" s="47"/>
      <x:c r="L258" s="57" t="str">
        <x:f>IF(COUNTA(A258:K258)=0,"",IF(K258="CANCELLED","CANCELLED",IF(A258="","INVOICE ID REQUIRED",IF(B258="","PROJECT ID REQUIRED",IF(NOT(ISNUMBER(C258)),"INVALID INVOICE DATE",IF(NOT(AND(ISNUMBER(C258),C258&gt;=2,C258&lt;=2958465,C258=INT(C258))),"INVALID INVOICE DATE",IF(NOT(OR(D258="MX",D258="US")),"ENTITY REQUIRED",IF(NOT(OR(E258="Strategic Services",E258="Brands")),"UNIT REQUIRED",IF(F258="","BRAND / N/A REQUIRED",IF(NOT(OR(G258="USD",G258="MXN")),"CURRENCY REQUIRED",IF(NOT(ISNUMBER(H258)),"AMOUNT REQUIRED",IF(J258="","ERP SOURCE REQUIRED",IF(NOT(OR(K258="ISSUED",K258="CANCELLED")),"INVOICE STATUS REQUIRED",IF(COUNTIFS($A$2:$A$501,A258,$B$2:$B$501,B258,$D$2:$D$501,D258)&gt;1,"DUPLICATE INVOICE / PROJECT",IF(AND(G258="MXN",NOT(AND(ISNUMBER(I258),Settings!$B$8="APPROVED",Settings!$B$9&lt;&gt;"",Settings!$B$10&lt;&gt;""))),"FX HOLD","VALID")))))))))))))))</x:f>
      </x:c>
      <x:c r="M258" s="57" t="str">
        <x:f>IF(ISNUMBER(C258),IF(AND(ISNUMBER(C258),C258&gt;=2,C258&lt;=2958465,C258=INT(C258)),TEXT(C258,"yyyy-mm"),""),"")</x:f>
      </x:c>
      <x:c r="N258" s="59" t="str">
        <x:f>IF(L258="VALID",IF(G258="USD",H258,I258),"")</x:f>
      </x:c>
      <x:c r="O258" s="57" t="n">
        <x:f>IF(L258="VALID",IF(COUNTIFS($B$2:B258,B258,$M$2:M258,M258,$L$2:L258,"VALID")=1,1,0),0)</x:f>
        <x:v>0</x:v>
      </x:c>
    </x:row>
    <x:row r="259">
      <x:c r="A259" s="47"/>
      <x:c r="B259" s="47"/>
      <x:c r="C259" s="58"/>
      <x:c r="D259" s="47"/>
      <x:c r="E259" s="47"/>
      <x:c r="F259" s="47"/>
      <x:c r="G259" s="47"/>
      <x:c r="H259" s="48"/>
      <x:c r="I259" s="48"/>
      <x:c r="J259" s="47"/>
      <x:c r="K259" s="47"/>
      <x:c r="L259" s="57" t="str">
        <x:f>IF(COUNTA(A259:K259)=0,"",IF(K259="CANCELLED","CANCELLED",IF(A259="","INVOICE ID REQUIRED",IF(B259="","PROJECT ID REQUIRED",IF(NOT(ISNUMBER(C259)),"INVALID INVOICE DATE",IF(NOT(AND(ISNUMBER(C259),C259&gt;=2,C259&lt;=2958465,C259=INT(C259))),"INVALID INVOICE DATE",IF(NOT(OR(D259="MX",D259="US")),"ENTITY REQUIRED",IF(NOT(OR(E259="Strategic Services",E259="Brands")),"UNIT REQUIRED",IF(F259="","BRAND / N/A REQUIRED",IF(NOT(OR(G259="USD",G259="MXN")),"CURRENCY REQUIRED",IF(NOT(ISNUMBER(H259)),"AMOUNT REQUIRED",IF(J259="","ERP SOURCE REQUIRED",IF(NOT(OR(K259="ISSUED",K259="CANCELLED")),"INVOICE STATUS REQUIRED",IF(COUNTIFS($A$2:$A$501,A259,$B$2:$B$501,B259,$D$2:$D$501,D259)&gt;1,"DUPLICATE INVOICE / PROJECT",IF(AND(G259="MXN",NOT(AND(ISNUMBER(I259),Settings!$B$8="APPROVED",Settings!$B$9&lt;&gt;"",Settings!$B$10&lt;&gt;""))),"FX HOLD","VALID")))))))))))))))</x:f>
      </x:c>
      <x:c r="M259" s="57" t="str">
        <x:f>IF(ISNUMBER(C259),IF(AND(ISNUMBER(C259),C259&gt;=2,C259&lt;=2958465,C259=INT(C259)),TEXT(C259,"yyyy-mm"),""),"")</x:f>
      </x:c>
      <x:c r="N259" s="59" t="str">
        <x:f>IF(L259="VALID",IF(G259="USD",H259,I259),"")</x:f>
      </x:c>
      <x:c r="O259" s="57" t="n">
        <x:f>IF(L259="VALID",IF(COUNTIFS($B$2:B259,B259,$M$2:M259,M259,$L$2:L259,"VALID")=1,1,0),0)</x:f>
        <x:v>0</x:v>
      </x:c>
    </x:row>
    <x:row r="260">
      <x:c r="A260" s="47"/>
      <x:c r="B260" s="47"/>
      <x:c r="C260" s="58"/>
      <x:c r="D260" s="47"/>
      <x:c r="E260" s="47"/>
      <x:c r="F260" s="47"/>
      <x:c r="G260" s="47"/>
      <x:c r="H260" s="48"/>
      <x:c r="I260" s="48"/>
      <x:c r="J260" s="47"/>
      <x:c r="K260" s="47"/>
      <x:c r="L260" s="57" t="str">
        <x:f>IF(COUNTA(A260:K260)=0,"",IF(K260="CANCELLED","CANCELLED",IF(A260="","INVOICE ID REQUIRED",IF(B260="","PROJECT ID REQUIRED",IF(NOT(ISNUMBER(C260)),"INVALID INVOICE DATE",IF(NOT(AND(ISNUMBER(C260),C260&gt;=2,C260&lt;=2958465,C260=INT(C260))),"INVALID INVOICE DATE",IF(NOT(OR(D260="MX",D260="US")),"ENTITY REQUIRED",IF(NOT(OR(E260="Strategic Services",E260="Brands")),"UNIT REQUIRED",IF(F260="","BRAND / N/A REQUIRED",IF(NOT(OR(G260="USD",G260="MXN")),"CURRENCY REQUIRED",IF(NOT(ISNUMBER(H260)),"AMOUNT REQUIRED",IF(J260="","ERP SOURCE REQUIRED",IF(NOT(OR(K260="ISSUED",K260="CANCELLED")),"INVOICE STATUS REQUIRED",IF(COUNTIFS($A$2:$A$501,A260,$B$2:$B$501,B260,$D$2:$D$501,D260)&gt;1,"DUPLICATE INVOICE / PROJECT",IF(AND(G260="MXN",NOT(AND(ISNUMBER(I260),Settings!$B$8="APPROVED",Settings!$B$9&lt;&gt;"",Settings!$B$10&lt;&gt;""))),"FX HOLD","VALID")))))))))))))))</x:f>
      </x:c>
      <x:c r="M260" s="57" t="str">
        <x:f>IF(ISNUMBER(C260),IF(AND(ISNUMBER(C260),C260&gt;=2,C260&lt;=2958465,C260=INT(C260)),TEXT(C260,"yyyy-mm"),""),"")</x:f>
      </x:c>
      <x:c r="N260" s="59" t="str">
        <x:f>IF(L260="VALID",IF(G260="USD",H260,I260),"")</x:f>
      </x:c>
      <x:c r="O260" s="57" t="n">
        <x:f>IF(L260="VALID",IF(COUNTIFS($B$2:B260,B260,$M$2:M260,M260,$L$2:L260,"VALID")=1,1,0),0)</x:f>
        <x:v>0</x:v>
      </x:c>
    </x:row>
    <x:row r="261">
      <x:c r="A261" s="47"/>
      <x:c r="B261" s="47"/>
      <x:c r="C261" s="58"/>
      <x:c r="D261" s="47"/>
      <x:c r="E261" s="47"/>
      <x:c r="F261" s="47"/>
      <x:c r="G261" s="47"/>
      <x:c r="H261" s="48"/>
      <x:c r="I261" s="48"/>
      <x:c r="J261" s="47"/>
      <x:c r="K261" s="47"/>
      <x:c r="L261" s="57" t="str">
        <x:f>IF(COUNTA(A261:K261)=0,"",IF(K261="CANCELLED","CANCELLED",IF(A261="","INVOICE ID REQUIRED",IF(B261="","PROJECT ID REQUIRED",IF(NOT(ISNUMBER(C261)),"INVALID INVOICE DATE",IF(NOT(AND(ISNUMBER(C261),C261&gt;=2,C261&lt;=2958465,C261=INT(C261))),"INVALID INVOICE DATE",IF(NOT(OR(D261="MX",D261="US")),"ENTITY REQUIRED",IF(NOT(OR(E261="Strategic Services",E261="Brands")),"UNIT REQUIRED",IF(F261="","BRAND / N/A REQUIRED",IF(NOT(OR(G261="USD",G261="MXN")),"CURRENCY REQUIRED",IF(NOT(ISNUMBER(H261)),"AMOUNT REQUIRED",IF(J261="","ERP SOURCE REQUIRED",IF(NOT(OR(K261="ISSUED",K261="CANCELLED")),"INVOICE STATUS REQUIRED",IF(COUNTIFS($A$2:$A$501,A261,$B$2:$B$501,B261,$D$2:$D$501,D261)&gt;1,"DUPLICATE INVOICE / PROJECT",IF(AND(G261="MXN",NOT(AND(ISNUMBER(I261),Settings!$B$8="APPROVED",Settings!$B$9&lt;&gt;"",Settings!$B$10&lt;&gt;""))),"FX HOLD","VALID")))))))))))))))</x:f>
      </x:c>
      <x:c r="M261" s="57" t="str">
        <x:f>IF(ISNUMBER(C261),IF(AND(ISNUMBER(C261),C261&gt;=2,C261&lt;=2958465,C261=INT(C261)),TEXT(C261,"yyyy-mm"),""),"")</x:f>
      </x:c>
      <x:c r="N261" s="59" t="str">
        <x:f>IF(L261="VALID",IF(G261="USD",H261,I261),"")</x:f>
      </x:c>
      <x:c r="O261" s="57" t="n">
        <x:f>IF(L261="VALID",IF(COUNTIFS($B$2:B261,B261,$M$2:M261,M261,$L$2:L261,"VALID")=1,1,0),0)</x:f>
        <x:v>0</x:v>
      </x:c>
    </x:row>
    <x:row r="262">
      <x:c r="A262" s="47"/>
      <x:c r="B262" s="47"/>
      <x:c r="C262" s="58"/>
      <x:c r="D262" s="47"/>
      <x:c r="E262" s="47"/>
      <x:c r="F262" s="47"/>
      <x:c r="G262" s="47"/>
      <x:c r="H262" s="48"/>
      <x:c r="I262" s="48"/>
      <x:c r="J262" s="47"/>
      <x:c r="K262" s="47"/>
      <x:c r="L262" s="57" t="str">
        <x:f>IF(COUNTA(A262:K262)=0,"",IF(K262="CANCELLED","CANCELLED",IF(A262="","INVOICE ID REQUIRED",IF(B262="","PROJECT ID REQUIRED",IF(NOT(ISNUMBER(C262)),"INVALID INVOICE DATE",IF(NOT(AND(ISNUMBER(C262),C262&gt;=2,C262&lt;=2958465,C262=INT(C262))),"INVALID INVOICE DATE",IF(NOT(OR(D262="MX",D262="US")),"ENTITY REQUIRED",IF(NOT(OR(E262="Strategic Services",E262="Brands")),"UNIT REQUIRED",IF(F262="","BRAND / N/A REQUIRED",IF(NOT(OR(G262="USD",G262="MXN")),"CURRENCY REQUIRED",IF(NOT(ISNUMBER(H262)),"AMOUNT REQUIRED",IF(J262="","ERP SOURCE REQUIRED",IF(NOT(OR(K262="ISSUED",K262="CANCELLED")),"INVOICE STATUS REQUIRED",IF(COUNTIFS($A$2:$A$501,A262,$B$2:$B$501,B262,$D$2:$D$501,D262)&gt;1,"DUPLICATE INVOICE / PROJECT",IF(AND(G262="MXN",NOT(AND(ISNUMBER(I262),Settings!$B$8="APPROVED",Settings!$B$9&lt;&gt;"",Settings!$B$10&lt;&gt;""))),"FX HOLD","VALID")))))))))))))))</x:f>
      </x:c>
      <x:c r="M262" s="57" t="str">
        <x:f>IF(ISNUMBER(C262),IF(AND(ISNUMBER(C262),C262&gt;=2,C262&lt;=2958465,C262=INT(C262)),TEXT(C262,"yyyy-mm"),""),"")</x:f>
      </x:c>
      <x:c r="N262" s="59" t="str">
        <x:f>IF(L262="VALID",IF(G262="USD",H262,I262),"")</x:f>
      </x:c>
      <x:c r="O262" s="57" t="n">
        <x:f>IF(L262="VALID",IF(COUNTIFS($B$2:B262,B262,$M$2:M262,M262,$L$2:L262,"VALID")=1,1,0),0)</x:f>
        <x:v>0</x:v>
      </x:c>
    </x:row>
    <x:row r="263">
      <x:c r="A263" s="47"/>
      <x:c r="B263" s="47"/>
      <x:c r="C263" s="58"/>
      <x:c r="D263" s="47"/>
      <x:c r="E263" s="47"/>
      <x:c r="F263" s="47"/>
      <x:c r="G263" s="47"/>
      <x:c r="H263" s="48"/>
      <x:c r="I263" s="48"/>
      <x:c r="J263" s="47"/>
      <x:c r="K263" s="47"/>
      <x:c r="L263" s="57" t="str">
        <x:f>IF(COUNTA(A263:K263)=0,"",IF(K263="CANCELLED","CANCELLED",IF(A263="","INVOICE ID REQUIRED",IF(B263="","PROJECT ID REQUIRED",IF(NOT(ISNUMBER(C263)),"INVALID INVOICE DATE",IF(NOT(AND(ISNUMBER(C263),C263&gt;=2,C263&lt;=2958465,C263=INT(C263))),"INVALID INVOICE DATE",IF(NOT(OR(D263="MX",D263="US")),"ENTITY REQUIRED",IF(NOT(OR(E263="Strategic Services",E263="Brands")),"UNIT REQUIRED",IF(F263="","BRAND / N/A REQUIRED",IF(NOT(OR(G263="USD",G263="MXN")),"CURRENCY REQUIRED",IF(NOT(ISNUMBER(H263)),"AMOUNT REQUIRED",IF(J263="","ERP SOURCE REQUIRED",IF(NOT(OR(K263="ISSUED",K263="CANCELLED")),"INVOICE STATUS REQUIRED",IF(COUNTIFS($A$2:$A$501,A263,$B$2:$B$501,B263,$D$2:$D$501,D263)&gt;1,"DUPLICATE INVOICE / PROJECT",IF(AND(G263="MXN",NOT(AND(ISNUMBER(I263),Settings!$B$8="APPROVED",Settings!$B$9&lt;&gt;"",Settings!$B$10&lt;&gt;""))),"FX HOLD","VALID")))))))))))))))</x:f>
      </x:c>
      <x:c r="M263" s="57" t="str">
        <x:f>IF(ISNUMBER(C263),IF(AND(ISNUMBER(C263),C263&gt;=2,C263&lt;=2958465,C263=INT(C263)),TEXT(C263,"yyyy-mm"),""),"")</x:f>
      </x:c>
      <x:c r="N263" s="59" t="str">
        <x:f>IF(L263="VALID",IF(G263="USD",H263,I263),"")</x:f>
      </x:c>
      <x:c r="O263" s="57" t="n">
        <x:f>IF(L263="VALID",IF(COUNTIFS($B$2:B263,B263,$M$2:M263,M263,$L$2:L263,"VALID")=1,1,0),0)</x:f>
        <x:v>0</x:v>
      </x:c>
    </x:row>
    <x:row r="264">
      <x:c r="A264" s="47"/>
      <x:c r="B264" s="47"/>
      <x:c r="C264" s="58"/>
      <x:c r="D264" s="47"/>
      <x:c r="E264" s="47"/>
      <x:c r="F264" s="47"/>
      <x:c r="G264" s="47"/>
      <x:c r="H264" s="48"/>
      <x:c r="I264" s="48"/>
      <x:c r="J264" s="47"/>
      <x:c r="K264" s="47"/>
      <x:c r="L264" s="57" t="str">
        <x:f>IF(COUNTA(A264:K264)=0,"",IF(K264="CANCELLED","CANCELLED",IF(A264="","INVOICE ID REQUIRED",IF(B264="","PROJECT ID REQUIRED",IF(NOT(ISNUMBER(C264)),"INVALID INVOICE DATE",IF(NOT(AND(ISNUMBER(C264),C264&gt;=2,C264&lt;=2958465,C264=INT(C264))),"INVALID INVOICE DATE",IF(NOT(OR(D264="MX",D264="US")),"ENTITY REQUIRED",IF(NOT(OR(E264="Strategic Services",E264="Brands")),"UNIT REQUIRED",IF(F264="","BRAND / N/A REQUIRED",IF(NOT(OR(G264="USD",G264="MXN")),"CURRENCY REQUIRED",IF(NOT(ISNUMBER(H264)),"AMOUNT REQUIRED",IF(J264="","ERP SOURCE REQUIRED",IF(NOT(OR(K264="ISSUED",K264="CANCELLED")),"INVOICE STATUS REQUIRED",IF(COUNTIFS($A$2:$A$501,A264,$B$2:$B$501,B264,$D$2:$D$501,D264)&gt;1,"DUPLICATE INVOICE / PROJECT",IF(AND(G264="MXN",NOT(AND(ISNUMBER(I264),Settings!$B$8="APPROVED",Settings!$B$9&lt;&gt;"",Settings!$B$10&lt;&gt;""))),"FX HOLD","VALID")))))))))))))))</x:f>
      </x:c>
      <x:c r="M264" s="57" t="str">
        <x:f>IF(ISNUMBER(C264),IF(AND(ISNUMBER(C264),C264&gt;=2,C264&lt;=2958465,C264=INT(C264)),TEXT(C264,"yyyy-mm"),""),"")</x:f>
      </x:c>
      <x:c r="N264" s="59" t="str">
        <x:f>IF(L264="VALID",IF(G264="USD",H264,I264),"")</x:f>
      </x:c>
      <x:c r="O264" s="57" t="n">
        <x:f>IF(L264="VALID",IF(COUNTIFS($B$2:B264,B264,$M$2:M264,M264,$L$2:L264,"VALID")=1,1,0),0)</x:f>
        <x:v>0</x:v>
      </x:c>
    </x:row>
    <x:row r="265">
      <x:c r="A265" s="47"/>
      <x:c r="B265" s="47"/>
      <x:c r="C265" s="58"/>
      <x:c r="D265" s="47"/>
      <x:c r="E265" s="47"/>
      <x:c r="F265" s="47"/>
      <x:c r="G265" s="47"/>
      <x:c r="H265" s="48"/>
      <x:c r="I265" s="48"/>
      <x:c r="J265" s="47"/>
      <x:c r="K265" s="47"/>
      <x:c r="L265" s="57" t="str">
        <x:f>IF(COUNTA(A265:K265)=0,"",IF(K265="CANCELLED","CANCELLED",IF(A265="","INVOICE ID REQUIRED",IF(B265="","PROJECT ID REQUIRED",IF(NOT(ISNUMBER(C265)),"INVALID INVOICE DATE",IF(NOT(AND(ISNUMBER(C265),C265&gt;=2,C265&lt;=2958465,C265=INT(C265))),"INVALID INVOICE DATE",IF(NOT(OR(D265="MX",D265="US")),"ENTITY REQUIRED",IF(NOT(OR(E265="Strategic Services",E265="Brands")),"UNIT REQUIRED",IF(F265="","BRAND / N/A REQUIRED",IF(NOT(OR(G265="USD",G265="MXN")),"CURRENCY REQUIRED",IF(NOT(ISNUMBER(H265)),"AMOUNT REQUIRED",IF(J265="","ERP SOURCE REQUIRED",IF(NOT(OR(K265="ISSUED",K265="CANCELLED")),"INVOICE STATUS REQUIRED",IF(COUNTIFS($A$2:$A$501,A265,$B$2:$B$501,B265,$D$2:$D$501,D265)&gt;1,"DUPLICATE INVOICE / PROJECT",IF(AND(G265="MXN",NOT(AND(ISNUMBER(I265),Settings!$B$8="APPROVED",Settings!$B$9&lt;&gt;"",Settings!$B$10&lt;&gt;""))),"FX HOLD","VALID")))))))))))))))</x:f>
      </x:c>
      <x:c r="M265" s="57" t="str">
        <x:f>IF(ISNUMBER(C265),IF(AND(ISNUMBER(C265),C265&gt;=2,C265&lt;=2958465,C265=INT(C265)),TEXT(C265,"yyyy-mm"),""),"")</x:f>
      </x:c>
      <x:c r="N265" s="59" t="str">
        <x:f>IF(L265="VALID",IF(G265="USD",H265,I265),"")</x:f>
      </x:c>
      <x:c r="O265" s="57" t="n">
        <x:f>IF(L265="VALID",IF(COUNTIFS($B$2:B265,B265,$M$2:M265,M265,$L$2:L265,"VALID")=1,1,0),0)</x:f>
        <x:v>0</x:v>
      </x:c>
    </x:row>
    <x:row r="266">
      <x:c r="A266" s="47"/>
      <x:c r="B266" s="47"/>
      <x:c r="C266" s="58"/>
      <x:c r="D266" s="47"/>
      <x:c r="E266" s="47"/>
      <x:c r="F266" s="47"/>
      <x:c r="G266" s="47"/>
      <x:c r="H266" s="48"/>
      <x:c r="I266" s="48"/>
      <x:c r="J266" s="47"/>
      <x:c r="K266" s="47"/>
      <x:c r="L266" s="57" t="str">
        <x:f>IF(COUNTA(A266:K266)=0,"",IF(K266="CANCELLED","CANCELLED",IF(A266="","INVOICE ID REQUIRED",IF(B266="","PROJECT ID REQUIRED",IF(NOT(ISNUMBER(C266)),"INVALID INVOICE DATE",IF(NOT(AND(ISNUMBER(C266),C266&gt;=2,C266&lt;=2958465,C266=INT(C266))),"INVALID INVOICE DATE",IF(NOT(OR(D266="MX",D266="US")),"ENTITY REQUIRED",IF(NOT(OR(E266="Strategic Services",E266="Brands")),"UNIT REQUIRED",IF(F266="","BRAND / N/A REQUIRED",IF(NOT(OR(G266="USD",G266="MXN")),"CURRENCY REQUIRED",IF(NOT(ISNUMBER(H266)),"AMOUNT REQUIRED",IF(J266="","ERP SOURCE REQUIRED",IF(NOT(OR(K266="ISSUED",K266="CANCELLED")),"INVOICE STATUS REQUIRED",IF(COUNTIFS($A$2:$A$501,A266,$B$2:$B$501,B266,$D$2:$D$501,D266)&gt;1,"DUPLICATE INVOICE / PROJECT",IF(AND(G266="MXN",NOT(AND(ISNUMBER(I266),Settings!$B$8="APPROVED",Settings!$B$9&lt;&gt;"",Settings!$B$10&lt;&gt;""))),"FX HOLD","VALID")))))))))))))))</x:f>
      </x:c>
      <x:c r="M266" s="57" t="str">
        <x:f>IF(ISNUMBER(C266),IF(AND(ISNUMBER(C266),C266&gt;=2,C266&lt;=2958465,C266=INT(C266)),TEXT(C266,"yyyy-mm"),""),"")</x:f>
      </x:c>
      <x:c r="N266" s="59" t="str">
        <x:f>IF(L266="VALID",IF(G266="USD",H266,I266),"")</x:f>
      </x:c>
      <x:c r="O266" s="57" t="n">
        <x:f>IF(L266="VALID",IF(COUNTIFS($B$2:B266,B266,$M$2:M266,M266,$L$2:L266,"VALID")=1,1,0),0)</x:f>
        <x:v>0</x:v>
      </x:c>
    </x:row>
    <x:row r="267">
      <x:c r="A267" s="47"/>
      <x:c r="B267" s="47"/>
      <x:c r="C267" s="58"/>
      <x:c r="D267" s="47"/>
      <x:c r="E267" s="47"/>
      <x:c r="F267" s="47"/>
      <x:c r="G267" s="47"/>
      <x:c r="H267" s="48"/>
      <x:c r="I267" s="48"/>
      <x:c r="J267" s="47"/>
      <x:c r="K267" s="47"/>
      <x:c r="L267" s="57" t="str">
        <x:f>IF(COUNTA(A267:K267)=0,"",IF(K267="CANCELLED","CANCELLED",IF(A267="","INVOICE ID REQUIRED",IF(B267="","PROJECT ID REQUIRED",IF(NOT(ISNUMBER(C267)),"INVALID INVOICE DATE",IF(NOT(AND(ISNUMBER(C267),C267&gt;=2,C267&lt;=2958465,C267=INT(C267))),"INVALID INVOICE DATE",IF(NOT(OR(D267="MX",D267="US")),"ENTITY REQUIRED",IF(NOT(OR(E267="Strategic Services",E267="Brands")),"UNIT REQUIRED",IF(F267="","BRAND / N/A REQUIRED",IF(NOT(OR(G267="USD",G267="MXN")),"CURRENCY REQUIRED",IF(NOT(ISNUMBER(H267)),"AMOUNT REQUIRED",IF(J267="","ERP SOURCE REQUIRED",IF(NOT(OR(K267="ISSUED",K267="CANCELLED")),"INVOICE STATUS REQUIRED",IF(COUNTIFS($A$2:$A$501,A267,$B$2:$B$501,B267,$D$2:$D$501,D267)&gt;1,"DUPLICATE INVOICE / PROJECT",IF(AND(G267="MXN",NOT(AND(ISNUMBER(I267),Settings!$B$8="APPROVED",Settings!$B$9&lt;&gt;"",Settings!$B$10&lt;&gt;""))),"FX HOLD","VALID")))))))))))))))</x:f>
      </x:c>
      <x:c r="M267" s="57" t="str">
        <x:f>IF(ISNUMBER(C267),IF(AND(ISNUMBER(C267),C267&gt;=2,C267&lt;=2958465,C267=INT(C267)),TEXT(C267,"yyyy-mm"),""),"")</x:f>
      </x:c>
      <x:c r="N267" s="59" t="str">
        <x:f>IF(L267="VALID",IF(G267="USD",H267,I267),"")</x:f>
      </x:c>
      <x:c r="O267" s="57" t="n">
        <x:f>IF(L267="VALID",IF(COUNTIFS($B$2:B267,B267,$M$2:M267,M267,$L$2:L267,"VALID")=1,1,0),0)</x:f>
        <x:v>0</x:v>
      </x:c>
    </x:row>
    <x:row r="268">
      <x:c r="A268" s="47"/>
      <x:c r="B268" s="47"/>
      <x:c r="C268" s="58"/>
      <x:c r="D268" s="47"/>
      <x:c r="E268" s="47"/>
      <x:c r="F268" s="47"/>
      <x:c r="G268" s="47"/>
      <x:c r="H268" s="48"/>
      <x:c r="I268" s="48"/>
      <x:c r="J268" s="47"/>
      <x:c r="K268" s="47"/>
      <x:c r="L268" s="57" t="str">
        <x:f>IF(COUNTA(A268:K268)=0,"",IF(K268="CANCELLED","CANCELLED",IF(A268="","INVOICE ID REQUIRED",IF(B268="","PROJECT ID REQUIRED",IF(NOT(ISNUMBER(C268)),"INVALID INVOICE DATE",IF(NOT(AND(ISNUMBER(C268),C268&gt;=2,C268&lt;=2958465,C268=INT(C268))),"INVALID INVOICE DATE",IF(NOT(OR(D268="MX",D268="US")),"ENTITY REQUIRED",IF(NOT(OR(E268="Strategic Services",E268="Brands")),"UNIT REQUIRED",IF(F268="","BRAND / N/A REQUIRED",IF(NOT(OR(G268="USD",G268="MXN")),"CURRENCY REQUIRED",IF(NOT(ISNUMBER(H268)),"AMOUNT REQUIRED",IF(J268="","ERP SOURCE REQUIRED",IF(NOT(OR(K268="ISSUED",K268="CANCELLED")),"INVOICE STATUS REQUIRED",IF(COUNTIFS($A$2:$A$501,A268,$B$2:$B$501,B268,$D$2:$D$501,D268)&gt;1,"DUPLICATE INVOICE / PROJECT",IF(AND(G268="MXN",NOT(AND(ISNUMBER(I268),Settings!$B$8="APPROVED",Settings!$B$9&lt;&gt;"",Settings!$B$10&lt;&gt;""))),"FX HOLD","VALID")))))))))))))))</x:f>
      </x:c>
      <x:c r="M268" s="57" t="str">
        <x:f>IF(ISNUMBER(C268),IF(AND(ISNUMBER(C268),C268&gt;=2,C268&lt;=2958465,C268=INT(C268)),TEXT(C268,"yyyy-mm"),""),"")</x:f>
      </x:c>
      <x:c r="N268" s="59" t="str">
        <x:f>IF(L268="VALID",IF(G268="USD",H268,I268),"")</x:f>
      </x:c>
      <x:c r="O268" s="57" t="n">
        <x:f>IF(L268="VALID",IF(COUNTIFS($B$2:B268,B268,$M$2:M268,M268,$L$2:L268,"VALID")=1,1,0),0)</x:f>
        <x:v>0</x:v>
      </x:c>
    </x:row>
    <x:row r="269">
      <x:c r="A269" s="47"/>
      <x:c r="B269" s="47"/>
      <x:c r="C269" s="58"/>
      <x:c r="D269" s="47"/>
      <x:c r="E269" s="47"/>
      <x:c r="F269" s="47"/>
      <x:c r="G269" s="47"/>
      <x:c r="H269" s="48"/>
      <x:c r="I269" s="48"/>
      <x:c r="J269" s="47"/>
      <x:c r="K269" s="47"/>
      <x:c r="L269" s="57" t="str">
        <x:f>IF(COUNTA(A269:K269)=0,"",IF(K269="CANCELLED","CANCELLED",IF(A269="","INVOICE ID REQUIRED",IF(B269="","PROJECT ID REQUIRED",IF(NOT(ISNUMBER(C269)),"INVALID INVOICE DATE",IF(NOT(AND(ISNUMBER(C269),C269&gt;=2,C269&lt;=2958465,C269=INT(C269))),"INVALID INVOICE DATE",IF(NOT(OR(D269="MX",D269="US")),"ENTITY REQUIRED",IF(NOT(OR(E269="Strategic Services",E269="Brands")),"UNIT REQUIRED",IF(F269="","BRAND / N/A REQUIRED",IF(NOT(OR(G269="USD",G269="MXN")),"CURRENCY REQUIRED",IF(NOT(ISNUMBER(H269)),"AMOUNT REQUIRED",IF(J269="","ERP SOURCE REQUIRED",IF(NOT(OR(K269="ISSUED",K269="CANCELLED")),"INVOICE STATUS REQUIRED",IF(COUNTIFS($A$2:$A$501,A269,$B$2:$B$501,B269,$D$2:$D$501,D269)&gt;1,"DUPLICATE INVOICE / PROJECT",IF(AND(G269="MXN",NOT(AND(ISNUMBER(I269),Settings!$B$8="APPROVED",Settings!$B$9&lt;&gt;"",Settings!$B$10&lt;&gt;""))),"FX HOLD","VALID")))))))))))))))</x:f>
      </x:c>
      <x:c r="M269" s="57" t="str">
        <x:f>IF(ISNUMBER(C269),IF(AND(ISNUMBER(C269),C269&gt;=2,C269&lt;=2958465,C269=INT(C269)),TEXT(C269,"yyyy-mm"),""),"")</x:f>
      </x:c>
      <x:c r="N269" s="59" t="str">
        <x:f>IF(L269="VALID",IF(G269="USD",H269,I269),"")</x:f>
      </x:c>
      <x:c r="O269" s="57" t="n">
        <x:f>IF(L269="VALID",IF(COUNTIFS($B$2:B269,B269,$M$2:M269,M269,$L$2:L269,"VALID")=1,1,0),0)</x:f>
        <x:v>0</x:v>
      </x:c>
    </x:row>
    <x:row r="270">
      <x:c r="A270" s="47"/>
      <x:c r="B270" s="47"/>
      <x:c r="C270" s="58"/>
      <x:c r="D270" s="47"/>
      <x:c r="E270" s="47"/>
      <x:c r="F270" s="47"/>
      <x:c r="G270" s="47"/>
      <x:c r="H270" s="48"/>
      <x:c r="I270" s="48"/>
      <x:c r="J270" s="47"/>
      <x:c r="K270" s="47"/>
      <x:c r="L270" s="57" t="str">
        <x:f>IF(COUNTA(A270:K270)=0,"",IF(K270="CANCELLED","CANCELLED",IF(A270="","INVOICE ID REQUIRED",IF(B270="","PROJECT ID REQUIRED",IF(NOT(ISNUMBER(C270)),"INVALID INVOICE DATE",IF(NOT(AND(ISNUMBER(C270),C270&gt;=2,C270&lt;=2958465,C270=INT(C270))),"INVALID INVOICE DATE",IF(NOT(OR(D270="MX",D270="US")),"ENTITY REQUIRED",IF(NOT(OR(E270="Strategic Services",E270="Brands")),"UNIT REQUIRED",IF(F270="","BRAND / N/A REQUIRED",IF(NOT(OR(G270="USD",G270="MXN")),"CURRENCY REQUIRED",IF(NOT(ISNUMBER(H270)),"AMOUNT REQUIRED",IF(J270="","ERP SOURCE REQUIRED",IF(NOT(OR(K270="ISSUED",K270="CANCELLED")),"INVOICE STATUS REQUIRED",IF(COUNTIFS($A$2:$A$501,A270,$B$2:$B$501,B270,$D$2:$D$501,D270)&gt;1,"DUPLICATE INVOICE / PROJECT",IF(AND(G270="MXN",NOT(AND(ISNUMBER(I270),Settings!$B$8="APPROVED",Settings!$B$9&lt;&gt;"",Settings!$B$10&lt;&gt;""))),"FX HOLD","VALID")))))))))))))))</x:f>
      </x:c>
      <x:c r="M270" s="57" t="str">
        <x:f>IF(ISNUMBER(C270),IF(AND(ISNUMBER(C270),C270&gt;=2,C270&lt;=2958465,C270=INT(C270)),TEXT(C270,"yyyy-mm"),""),"")</x:f>
      </x:c>
      <x:c r="N270" s="59" t="str">
        <x:f>IF(L270="VALID",IF(G270="USD",H270,I270),"")</x:f>
      </x:c>
      <x:c r="O270" s="57" t="n">
        <x:f>IF(L270="VALID",IF(COUNTIFS($B$2:B270,B270,$M$2:M270,M270,$L$2:L270,"VALID")=1,1,0),0)</x:f>
        <x:v>0</x:v>
      </x:c>
    </x:row>
    <x:row r="271">
      <x:c r="A271" s="47"/>
      <x:c r="B271" s="47"/>
      <x:c r="C271" s="58"/>
      <x:c r="D271" s="47"/>
      <x:c r="E271" s="47"/>
      <x:c r="F271" s="47"/>
      <x:c r="G271" s="47"/>
      <x:c r="H271" s="48"/>
      <x:c r="I271" s="48"/>
      <x:c r="J271" s="47"/>
      <x:c r="K271" s="47"/>
      <x:c r="L271" s="57" t="str">
        <x:f>IF(COUNTA(A271:K271)=0,"",IF(K271="CANCELLED","CANCELLED",IF(A271="","INVOICE ID REQUIRED",IF(B271="","PROJECT ID REQUIRED",IF(NOT(ISNUMBER(C271)),"INVALID INVOICE DATE",IF(NOT(AND(ISNUMBER(C271),C271&gt;=2,C271&lt;=2958465,C271=INT(C271))),"INVALID INVOICE DATE",IF(NOT(OR(D271="MX",D271="US")),"ENTITY REQUIRED",IF(NOT(OR(E271="Strategic Services",E271="Brands")),"UNIT REQUIRED",IF(F271="","BRAND / N/A REQUIRED",IF(NOT(OR(G271="USD",G271="MXN")),"CURRENCY REQUIRED",IF(NOT(ISNUMBER(H271)),"AMOUNT REQUIRED",IF(J271="","ERP SOURCE REQUIRED",IF(NOT(OR(K271="ISSUED",K271="CANCELLED")),"INVOICE STATUS REQUIRED",IF(COUNTIFS($A$2:$A$501,A271,$B$2:$B$501,B271,$D$2:$D$501,D271)&gt;1,"DUPLICATE INVOICE / PROJECT",IF(AND(G271="MXN",NOT(AND(ISNUMBER(I271),Settings!$B$8="APPROVED",Settings!$B$9&lt;&gt;"",Settings!$B$10&lt;&gt;""))),"FX HOLD","VALID")))))))))))))))</x:f>
      </x:c>
      <x:c r="M271" s="57" t="str">
        <x:f>IF(ISNUMBER(C271),IF(AND(ISNUMBER(C271),C271&gt;=2,C271&lt;=2958465,C271=INT(C271)),TEXT(C271,"yyyy-mm"),""),"")</x:f>
      </x:c>
      <x:c r="N271" s="59" t="str">
        <x:f>IF(L271="VALID",IF(G271="USD",H271,I271),"")</x:f>
      </x:c>
      <x:c r="O271" s="57" t="n">
        <x:f>IF(L271="VALID",IF(COUNTIFS($B$2:B271,B271,$M$2:M271,M271,$L$2:L271,"VALID")=1,1,0),0)</x:f>
        <x:v>0</x:v>
      </x:c>
    </x:row>
    <x:row r="272">
      <x:c r="A272" s="47"/>
      <x:c r="B272" s="47"/>
      <x:c r="C272" s="58"/>
      <x:c r="D272" s="47"/>
      <x:c r="E272" s="47"/>
      <x:c r="F272" s="47"/>
      <x:c r="G272" s="47"/>
      <x:c r="H272" s="48"/>
      <x:c r="I272" s="48"/>
      <x:c r="J272" s="47"/>
      <x:c r="K272" s="47"/>
      <x:c r="L272" s="57" t="str">
        <x:f>IF(COUNTA(A272:K272)=0,"",IF(K272="CANCELLED","CANCELLED",IF(A272="","INVOICE ID REQUIRED",IF(B272="","PROJECT ID REQUIRED",IF(NOT(ISNUMBER(C272)),"INVALID INVOICE DATE",IF(NOT(AND(ISNUMBER(C272),C272&gt;=2,C272&lt;=2958465,C272=INT(C272))),"INVALID INVOICE DATE",IF(NOT(OR(D272="MX",D272="US")),"ENTITY REQUIRED",IF(NOT(OR(E272="Strategic Services",E272="Brands")),"UNIT REQUIRED",IF(F272="","BRAND / N/A REQUIRED",IF(NOT(OR(G272="USD",G272="MXN")),"CURRENCY REQUIRED",IF(NOT(ISNUMBER(H272)),"AMOUNT REQUIRED",IF(J272="","ERP SOURCE REQUIRED",IF(NOT(OR(K272="ISSUED",K272="CANCELLED")),"INVOICE STATUS REQUIRED",IF(COUNTIFS($A$2:$A$501,A272,$B$2:$B$501,B272,$D$2:$D$501,D272)&gt;1,"DUPLICATE INVOICE / PROJECT",IF(AND(G272="MXN",NOT(AND(ISNUMBER(I272),Settings!$B$8="APPROVED",Settings!$B$9&lt;&gt;"",Settings!$B$10&lt;&gt;""))),"FX HOLD","VALID")))))))))))))))</x:f>
      </x:c>
      <x:c r="M272" s="57" t="str">
        <x:f>IF(ISNUMBER(C272),IF(AND(ISNUMBER(C272),C272&gt;=2,C272&lt;=2958465,C272=INT(C272)),TEXT(C272,"yyyy-mm"),""),"")</x:f>
      </x:c>
      <x:c r="N272" s="59" t="str">
        <x:f>IF(L272="VALID",IF(G272="USD",H272,I272),"")</x:f>
      </x:c>
      <x:c r="O272" s="57" t="n">
        <x:f>IF(L272="VALID",IF(COUNTIFS($B$2:B272,B272,$M$2:M272,M272,$L$2:L272,"VALID")=1,1,0),0)</x:f>
        <x:v>0</x:v>
      </x:c>
    </x:row>
    <x:row r="273">
      <x:c r="A273" s="47"/>
      <x:c r="B273" s="47"/>
      <x:c r="C273" s="58"/>
      <x:c r="D273" s="47"/>
      <x:c r="E273" s="47"/>
      <x:c r="F273" s="47"/>
      <x:c r="G273" s="47"/>
      <x:c r="H273" s="48"/>
      <x:c r="I273" s="48"/>
      <x:c r="J273" s="47"/>
      <x:c r="K273" s="47"/>
      <x:c r="L273" s="57" t="str">
        <x:f>IF(COUNTA(A273:K273)=0,"",IF(K273="CANCELLED","CANCELLED",IF(A273="","INVOICE ID REQUIRED",IF(B273="","PROJECT ID REQUIRED",IF(NOT(ISNUMBER(C273)),"INVALID INVOICE DATE",IF(NOT(AND(ISNUMBER(C273),C273&gt;=2,C273&lt;=2958465,C273=INT(C273))),"INVALID INVOICE DATE",IF(NOT(OR(D273="MX",D273="US")),"ENTITY REQUIRED",IF(NOT(OR(E273="Strategic Services",E273="Brands")),"UNIT REQUIRED",IF(F273="","BRAND / N/A REQUIRED",IF(NOT(OR(G273="USD",G273="MXN")),"CURRENCY REQUIRED",IF(NOT(ISNUMBER(H273)),"AMOUNT REQUIRED",IF(J273="","ERP SOURCE REQUIRED",IF(NOT(OR(K273="ISSUED",K273="CANCELLED")),"INVOICE STATUS REQUIRED",IF(COUNTIFS($A$2:$A$501,A273,$B$2:$B$501,B273,$D$2:$D$501,D273)&gt;1,"DUPLICATE INVOICE / PROJECT",IF(AND(G273="MXN",NOT(AND(ISNUMBER(I273),Settings!$B$8="APPROVED",Settings!$B$9&lt;&gt;"",Settings!$B$10&lt;&gt;""))),"FX HOLD","VALID")))))))))))))))</x:f>
      </x:c>
      <x:c r="M273" s="57" t="str">
        <x:f>IF(ISNUMBER(C273),IF(AND(ISNUMBER(C273),C273&gt;=2,C273&lt;=2958465,C273=INT(C273)),TEXT(C273,"yyyy-mm"),""),"")</x:f>
      </x:c>
      <x:c r="N273" s="59" t="str">
        <x:f>IF(L273="VALID",IF(G273="USD",H273,I273),"")</x:f>
      </x:c>
      <x:c r="O273" s="57" t="n">
        <x:f>IF(L273="VALID",IF(COUNTIFS($B$2:B273,B273,$M$2:M273,M273,$L$2:L273,"VALID")=1,1,0),0)</x:f>
        <x:v>0</x:v>
      </x:c>
    </x:row>
    <x:row r="274">
      <x:c r="A274" s="47"/>
      <x:c r="B274" s="47"/>
      <x:c r="C274" s="58"/>
      <x:c r="D274" s="47"/>
      <x:c r="E274" s="47"/>
      <x:c r="F274" s="47"/>
      <x:c r="G274" s="47"/>
      <x:c r="H274" s="48"/>
      <x:c r="I274" s="48"/>
      <x:c r="J274" s="47"/>
      <x:c r="K274" s="47"/>
      <x:c r="L274" s="57" t="str">
        <x:f>IF(COUNTA(A274:K274)=0,"",IF(K274="CANCELLED","CANCELLED",IF(A274="","INVOICE ID REQUIRED",IF(B274="","PROJECT ID REQUIRED",IF(NOT(ISNUMBER(C274)),"INVALID INVOICE DATE",IF(NOT(AND(ISNUMBER(C274),C274&gt;=2,C274&lt;=2958465,C274=INT(C274))),"INVALID INVOICE DATE",IF(NOT(OR(D274="MX",D274="US")),"ENTITY REQUIRED",IF(NOT(OR(E274="Strategic Services",E274="Brands")),"UNIT REQUIRED",IF(F274="","BRAND / N/A REQUIRED",IF(NOT(OR(G274="USD",G274="MXN")),"CURRENCY REQUIRED",IF(NOT(ISNUMBER(H274)),"AMOUNT REQUIRED",IF(J274="","ERP SOURCE REQUIRED",IF(NOT(OR(K274="ISSUED",K274="CANCELLED")),"INVOICE STATUS REQUIRED",IF(COUNTIFS($A$2:$A$501,A274,$B$2:$B$501,B274,$D$2:$D$501,D274)&gt;1,"DUPLICATE INVOICE / PROJECT",IF(AND(G274="MXN",NOT(AND(ISNUMBER(I274),Settings!$B$8="APPROVED",Settings!$B$9&lt;&gt;"",Settings!$B$10&lt;&gt;""))),"FX HOLD","VALID")))))))))))))))</x:f>
      </x:c>
      <x:c r="M274" s="57" t="str">
        <x:f>IF(ISNUMBER(C274),IF(AND(ISNUMBER(C274),C274&gt;=2,C274&lt;=2958465,C274=INT(C274)),TEXT(C274,"yyyy-mm"),""),"")</x:f>
      </x:c>
      <x:c r="N274" s="59" t="str">
        <x:f>IF(L274="VALID",IF(G274="USD",H274,I274),"")</x:f>
      </x:c>
      <x:c r="O274" s="57" t="n">
        <x:f>IF(L274="VALID",IF(COUNTIFS($B$2:B274,B274,$M$2:M274,M274,$L$2:L274,"VALID")=1,1,0),0)</x:f>
        <x:v>0</x:v>
      </x:c>
    </x:row>
    <x:row r="275">
      <x:c r="A275" s="47"/>
      <x:c r="B275" s="47"/>
      <x:c r="C275" s="58"/>
      <x:c r="D275" s="47"/>
      <x:c r="E275" s="47"/>
      <x:c r="F275" s="47"/>
      <x:c r="G275" s="47"/>
      <x:c r="H275" s="48"/>
      <x:c r="I275" s="48"/>
      <x:c r="J275" s="47"/>
      <x:c r="K275" s="47"/>
      <x:c r="L275" s="57" t="str">
        <x:f>IF(COUNTA(A275:K275)=0,"",IF(K275="CANCELLED","CANCELLED",IF(A275="","INVOICE ID REQUIRED",IF(B275="","PROJECT ID REQUIRED",IF(NOT(ISNUMBER(C275)),"INVALID INVOICE DATE",IF(NOT(AND(ISNUMBER(C275),C275&gt;=2,C275&lt;=2958465,C275=INT(C275))),"INVALID INVOICE DATE",IF(NOT(OR(D275="MX",D275="US")),"ENTITY REQUIRED",IF(NOT(OR(E275="Strategic Services",E275="Brands")),"UNIT REQUIRED",IF(F275="","BRAND / N/A REQUIRED",IF(NOT(OR(G275="USD",G275="MXN")),"CURRENCY REQUIRED",IF(NOT(ISNUMBER(H275)),"AMOUNT REQUIRED",IF(J275="","ERP SOURCE REQUIRED",IF(NOT(OR(K275="ISSUED",K275="CANCELLED")),"INVOICE STATUS REQUIRED",IF(COUNTIFS($A$2:$A$501,A275,$B$2:$B$501,B275,$D$2:$D$501,D275)&gt;1,"DUPLICATE INVOICE / PROJECT",IF(AND(G275="MXN",NOT(AND(ISNUMBER(I275),Settings!$B$8="APPROVED",Settings!$B$9&lt;&gt;"",Settings!$B$10&lt;&gt;""))),"FX HOLD","VALID")))))))))))))))</x:f>
      </x:c>
      <x:c r="M275" s="57" t="str">
        <x:f>IF(ISNUMBER(C275),IF(AND(ISNUMBER(C275),C275&gt;=2,C275&lt;=2958465,C275=INT(C275)),TEXT(C275,"yyyy-mm"),""),"")</x:f>
      </x:c>
      <x:c r="N275" s="59" t="str">
        <x:f>IF(L275="VALID",IF(G275="USD",H275,I275),"")</x:f>
      </x:c>
      <x:c r="O275" s="57" t="n">
        <x:f>IF(L275="VALID",IF(COUNTIFS($B$2:B275,B275,$M$2:M275,M275,$L$2:L275,"VALID")=1,1,0),0)</x:f>
        <x:v>0</x:v>
      </x:c>
    </x:row>
    <x:row r="276">
      <x:c r="A276" s="47"/>
      <x:c r="B276" s="47"/>
      <x:c r="C276" s="58"/>
      <x:c r="D276" s="47"/>
      <x:c r="E276" s="47"/>
      <x:c r="F276" s="47"/>
      <x:c r="G276" s="47"/>
      <x:c r="H276" s="48"/>
      <x:c r="I276" s="48"/>
      <x:c r="J276" s="47"/>
      <x:c r="K276" s="47"/>
      <x:c r="L276" s="57" t="str">
        <x:f>IF(COUNTA(A276:K276)=0,"",IF(K276="CANCELLED","CANCELLED",IF(A276="","INVOICE ID REQUIRED",IF(B276="","PROJECT ID REQUIRED",IF(NOT(ISNUMBER(C276)),"INVALID INVOICE DATE",IF(NOT(AND(ISNUMBER(C276),C276&gt;=2,C276&lt;=2958465,C276=INT(C276))),"INVALID INVOICE DATE",IF(NOT(OR(D276="MX",D276="US")),"ENTITY REQUIRED",IF(NOT(OR(E276="Strategic Services",E276="Brands")),"UNIT REQUIRED",IF(F276="","BRAND / N/A REQUIRED",IF(NOT(OR(G276="USD",G276="MXN")),"CURRENCY REQUIRED",IF(NOT(ISNUMBER(H276)),"AMOUNT REQUIRED",IF(J276="","ERP SOURCE REQUIRED",IF(NOT(OR(K276="ISSUED",K276="CANCELLED")),"INVOICE STATUS REQUIRED",IF(COUNTIFS($A$2:$A$501,A276,$B$2:$B$501,B276,$D$2:$D$501,D276)&gt;1,"DUPLICATE INVOICE / PROJECT",IF(AND(G276="MXN",NOT(AND(ISNUMBER(I276),Settings!$B$8="APPROVED",Settings!$B$9&lt;&gt;"",Settings!$B$10&lt;&gt;""))),"FX HOLD","VALID")))))))))))))))</x:f>
      </x:c>
      <x:c r="M276" s="57" t="str">
        <x:f>IF(ISNUMBER(C276),IF(AND(ISNUMBER(C276),C276&gt;=2,C276&lt;=2958465,C276=INT(C276)),TEXT(C276,"yyyy-mm"),""),"")</x:f>
      </x:c>
      <x:c r="N276" s="59" t="str">
        <x:f>IF(L276="VALID",IF(G276="USD",H276,I276),"")</x:f>
      </x:c>
      <x:c r="O276" s="57" t="n">
        <x:f>IF(L276="VALID",IF(COUNTIFS($B$2:B276,B276,$M$2:M276,M276,$L$2:L276,"VALID")=1,1,0),0)</x:f>
        <x:v>0</x:v>
      </x:c>
    </x:row>
    <x:row r="277">
      <x:c r="A277" s="47"/>
      <x:c r="B277" s="47"/>
      <x:c r="C277" s="58"/>
      <x:c r="D277" s="47"/>
      <x:c r="E277" s="47"/>
      <x:c r="F277" s="47"/>
      <x:c r="G277" s="47"/>
      <x:c r="H277" s="48"/>
      <x:c r="I277" s="48"/>
      <x:c r="J277" s="47"/>
      <x:c r="K277" s="47"/>
      <x:c r="L277" s="57" t="str">
        <x:f>IF(COUNTA(A277:K277)=0,"",IF(K277="CANCELLED","CANCELLED",IF(A277="","INVOICE ID REQUIRED",IF(B277="","PROJECT ID REQUIRED",IF(NOT(ISNUMBER(C277)),"INVALID INVOICE DATE",IF(NOT(AND(ISNUMBER(C277),C277&gt;=2,C277&lt;=2958465,C277=INT(C277))),"INVALID INVOICE DATE",IF(NOT(OR(D277="MX",D277="US")),"ENTITY REQUIRED",IF(NOT(OR(E277="Strategic Services",E277="Brands")),"UNIT REQUIRED",IF(F277="","BRAND / N/A REQUIRED",IF(NOT(OR(G277="USD",G277="MXN")),"CURRENCY REQUIRED",IF(NOT(ISNUMBER(H277)),"AMOUNT REQUIRED",IF(J277="","ERP SOURCE REQUIRED",IF(NOT(OR(K277="ISSUED",K277="CANCELLED")),"INVOICE STATUS REQUIRED",IF(COUNTIFS($A$2:$A$501,A277,$B$2:$B$501,B277,$D$2:$D$501,D277)&gt;1,"DUPLICATE INVOICE / PROJECT",IF(AND(G277="MXN",NOT(AND(ISNUMBER(I277),Settings!$B$8="APPROVED",Settings!$B$9&lt;&gt;"",Settings!$B$10&lt;&gt;""))),"FX HOLD","VALID")))))))))))))))</x:f>
      </x:c>
      <x:c r="M277" s="57" t="str">
        <x:f>IF(ISNUMBER(C277),IF(AND(ISNUMBER(C277),C277&gt;=2,C277&lt;=2958465,C277=INT(C277)),TEXT(C277,"yyyy-mm"),""),"")</x:f>
      </x:c>
      <x:c r="N277" s="59" t="str">
        <x:f>IF(L277="VALID",IF(G277="USD",H277,I277),"")</x:f>
      </x:c>
      <x:c r="O277" s="57" t="n">
        <x:f>IF(L277="VALID",IF(COUNTIFS($B$2:B277,B277,$M$2:M277,M277,$L$2:L277,"VALID")=1,1,0),0)</x:f>
        <x:v>0</x:v>
      </x:c>
    </x:row>
    <x:row r="278">
      <x:c r="A278" s="47"/>
      <x:c r="B278" s="47"/>
      <x:c r="C278" s="58"/>
      <x:c r="D278" s="47"/>
      <x:c r="E278" s="47"/>
      <x:c r="F278" s="47"/>
      <x:c r="G278" s="47"/>
      <x:c r="H278" s="48"/>
      <x:c r="I278" s="48"/>
      <x:c r="J278" s="47"/>
      <x:c r="K278" s="47"/>
      <x:c r="L278" s="57" t="str">
        <x:f>IF(COUNTA(A278:K278)=0,"",IF(K278="CANCELLED","CANCELLED",IF(A278="","INVOICE ID REQUIRED",IF(B278="","PROJECT ID REQUIRED",IF(NOT(ISNUMBER(C278)),"INVALID INVOICE DATE",IF(NOT(AND(ISNUMBER(C278),C278&gt;=2,C278&lt;=2958465,C278=INT(C278))),"INVALID INVOICE DATE",IF(NOT(OR(D278="MX",D278="US")),"ENTITY REQUIRED",IF(NOT(OR(E278="Strategic Services",E278="Brands")),"UNIT REQUIRED",IF(F278="","BRAND / N/A REQUIRED",IF(NOT(OR(G278="USD",G278="MXN")),"CURRENCY REQUIRED",IF(NOT(ISNUMBER(H278)),"AMOUNT REQUIRED",IF(J278="","ERP SOURCE REQUIRED",IF(NOT(OR(K278="ISSUED",K278="CANCELLED")),"INVOICE STATUS REQUIRED",IF(COUNTIFS($A$2:$A$501,A278,$B$2:$B$501,B278,$D$2:$D$501,D278)&gt;1,"DUPLICATE INVOICE / PROJECT",IF(AND(G278="MXN",NOT(AND(ISNUMBER(I278),Settings!$B$8="APPROVED",Settings!$B$9&lt;&gt;"",Settings!$B$10&lt;&gt;""))),"FX HOLD","VALID")))))))))))))))</x:f>
      </x:c>
      <x:c r="M278" s="57" t="str">
        <x:f>IF(ISNUMBER(C278),IF(AND(ISNUMBER(C278),C278&gt;=2,C278&lt;=2958465,C278=INT(C278)),TEXT(C278,"yyyy-mm"),""),"")</x:f>
      </x:c>
      <x:c r="N278" s="59" t="str">
        <x:f>IF(L278="VALID",IF(G278="USD",H278,I278),"")</x:f>
      </x:c>
      <x:c r="O278" s="57" t="n">
        <x:f>IF(L278="VALID",IF(COUNTIFS($B$2:B278,B278,$M$2:M278,M278,$L$2:L278,"VALID")=1,1,0),0)</x:f>
        <x:v>0</x:v>
      </x:c>
    </x:row>
    <x:row r="279">
      <x:c r="A279" s="47"/>
      <x:c r="B279" s="47"/>
      <x:c r="C279" s="58"/>
      <x:c r="D279" s="47"/>
      <x:c r="E279" s="47"/>
      <x:c r="F279" s="47"/>
      <x:c r="G279" s="47"/>
      <x:c r="H279" s="48"/>
      <x:c r="I279" s="48"/>
      <x:c r="J279" s="47"/>
      <x:c r="K279" s="47"/>
      <x:c r="L279" s="57" t="str">
        <x:f>IF(COUNTA(A279:K279)=0,"",IF(K279="CANCELLED","CANCELLED",IF(A279="","INVOICE ID REQUIRED",IF(B279="","PROJECT ID REQUIRED",IF(NOT(ISNUMBER(C279)),"INVALID INVOICE DATE",IF(NOT(AND(ISNUMBER(C279),C279&gt;=2,C279&lt;=2958465,C279=INT(C279))),"INVALID INVOICE DATE",IF(NOT(OR(D279="MX",D279="US")),"ENTITY REQUIRED",IF(NOT(OR(E279="Strategic Services",E279="Brands")),"UNIT REQUIRED",IF(F279="","BRAND / N/A REQUIRED",IF(NOT(OR(G279="USD",G279="MXN")),"CURRENCY REQUIRED",IF(NOT(ISNUMBER(H279)),"AMOUNT REQUIRED",IF(J279="","ERP SOURCE REQUIRED",IF(NOT(OR(K279="ISSUED",K279="CANCELLED")),"INVOICE STATUS REQUIRED",IF(COUNTIFS($A$2:$A$501,A279,$B$2:$B$501,B279,$D$2:$D$501,D279)&gt;1,"DUPLICATE INVOICE / PROJECT",IF(AND(G279="MXN",NOT(AND(ISNUMBER(I279),Settings!$B$8="APPROVED",Settings!$B$9&lt;&gt;"",Settings!$B$10&lt;&gt;""))),"FX HOLD","VALID")))))))))))))))</x:f>
      </x:c>
      <x:c r="M279" s="57" t="str">
        <x:f>IF(ISNUMBER(C279),IF(AND(ISNUMBER(C279),C279&gt;=2,C279&lt;=2958465,C279=INT(C279)),TEXT(C279,"yyyy-mm"),""),"")</x:f>
      </x:c>
      <x:c r="N279" s="59" t="str">
        <x:f>IF(L279="VALID",IF(G279="USD",H279,I279),"")</x:f>
      </x:c>
      <x:c r="O279" s="57" t="n">
        <x:f>IF(L279="VALID",IF(COUNTIFS($B$2:B279,B279,$M$2:M279,M279,$L$2:L279,"VALID")=1,1,0),0)</x:f>
        <x:v>0</x:v>
      </x:c>
    </x:row>
    <x:row r="280">
      <x:c r="A280" s="47"/>
      <x:c r="B280" s="47"/>
      <x:c r="C280" s="58"/>
      <x:c r="D280" s="47"/>
      <x:c r="E280" s="47"/>
      <x:c r="F280" s="47"/>
      <x:c r="G280" s="47"/>
      <x:c r="H280" s="48"/>
      <x:c r="I280" s="48"/>
      <x:c r="J280" s="47"/>
      <x:c r="K280" s="47"/>
      <x:c r="L280" s="57" t="str">
        <x:f>IF(COUNTA(A280:K280)=0,"",IF(K280="CANCELLED","CANCELLED",IF(A280="","INVOICE ID REQUIRED",IF(B280="","PROJECT ID REQUIRED",IF(NOT(ISNUMBER(C280)),"INVALID INVOICE DATE",IF(NOT(AND(ISNUMBER(C280),C280&gt;=2,C280&lt;=2958465,C280=INT(C280))),"INVALID INVOICE DATE",IF(NOT(OR(D280="MX",D280="US")),"ENTITY REQUIRED",IF(NOT(OR(E280="Strategic Services",E280="Brands")),"UNIT REQUIRED",IF(F280="","BRAND / N/A REQUIRED",IF(NOT(OR(G280="USD",G280="MXN")),"CURRENCY REQUIRED",IF(NOT(ISNUMBER(H280)),"AMOUNT REQUIRED",IF(J280="","ERP SOURCE REQUIRED",IF(NOT(OR(K280="ISSUED",K280="CANCELLED")),"INVOICE STATUS REQUIRED",IF(COUNTIFS($A$2:$A$501,A280,$B$2:$B$501,B280,$D$2:$D$501,D280)&gt;1,"DUPLICATE INVOICE / PROJECT",IF(AND(G280="MXN",NOT(AND(ISNUMBER(I280),Settings!$B$8="APPROVED",Settings!$B$9&lt;&gt;"",Settings!$B$10&lt;&gt;""))),"FX HOLD","VALID")))))))))))))))</x:f>
      </x:c>
      <x:c r="M280" s="57" t="str">
        <x:f>IF(ISNUMBER(C280),IF(AND(ISNUMBER(C280),C280&gt;=2,C280&lt;=2958465,C280=INT(C280)),TEXT(C280,"yyyy-mm"),""),"")</x:f>
      </x:c>
      <x:c r="N280" s="59" t="str">
        <x:f>IF(L280="VALID",IF(G280="USD",H280,I280),"")</x:f>
      </x:c>
      <x:c r="O280" s="57" t="n">
        <x:f>IF(L280="VALID",IF(COUNTIFS($B$2:B280,B280,$M$2:M280,M280,$L$2:L280,"VALID")=1,1,0),0)</x:f>
        <x:v>0</x:v>
      </x:c>
    </x:row>
    <x:row r="281">
      <x:c r="A281" s="47"/>
      <x:c r="B281" s="47"/>
      <x:c r="C281" s="58"/>
      <x:c r="D281" s="47"/>
      <x:c r="E281" s="47"/>
      <x:c r="F281" s="47"/>
      <x:c r="G281" s="47"/>
      <x:c r="H281" s="48"/>
      <x:c r="I281" s="48"/>
      <x:c r="J281" s="47"/>
      <x:c r="K281" s="47"/>
      <x:c r="L281" s="57" t="str">
        <x:f>IF(COUNTA(A281:K281)=0,"",IF(K281="CANCELLED","CANCELLED",IF(A281="","INVOICE ID REQUIRED",IF(B281="","PROJECT ID REQUIRED",IF(NOT(ISNUMBER(C281)),"INVALID INVOICE DATE",IF(NOT(AND(ISNUMBER(C281),C281&gt;=2,C281&lt;=2958465,C281=INT(C281))),"INVALID INVOICE DATE",IF(NOT(OR(D281="MX",D281="US")),"ENTITY REQUIRED",IF(NOT(OR(E281="Strategic Services",E281="Brands")),"UNIT REQUIRED",IF(F281="","BRAND / N/A REQUIRED",IF(NOT(OR(G281="USD",G281="MXN")),"CURRENCY REQUIRED",IF(NOT(ISNUMBER(H281)),"AMOUNT REQUIRED",IF(J281="","ERP SOURCE REQUIRED",IF(NOT(OR(K281="ISSUED",K281="CANCELLED")),"INVOICE STATUS REQUIRED",IF(COUNTIFS($A$2:$A$501,A281,$B$2:$B$501,B281,$D$2:$D$501,D281)&gt;1,"DUPLICATE INVOICE / PROJECT",IF(AND(G281="MXN",NOT(AND(ISNUMBER(I281),Settings!$B$8="APPROVED",Settings!$B$9&lt;&gt;"",Settings!$B$10&lt;&gt;""))),"FX HOLD","VALID")))))))))))))))</x:f>
      </x:c>
      <x:c r="M281" s="57" t="str">
        <x:f>IF(ISNUMBER(C281),IF(AND(ISNUMBER(C281),C281&gt;=2,C281&lt;=2958465,C281=INT(C281)),TEXT(C281,"yyyy-mm"),""),"")</x:f>
      </x:c>
      <x:c r="N281" s="59" t="str">
        <x:f>IF(L281="VALID",IF(G281="USD",H281,I281),"")</x:f>
      </x:c>
      <x:c r="O281" s="57" t="n">
        <x:f>IF(L281="VALID",IF(COUNTIFS($B$2:B281,B281,$M$2:M281,M281,$L$2:L281,"VALID")=1,1,0),0)</x:f>
        <x:v>0</x:v>
      </x:c>
    </x:row>
    <x:row r="282">
      <x:c r="A282" s="47"/>
      <x:c r="B282" s="47"/>
      <x:c r="C282" s="58"/>
      <x:c r="D282" s="47"/>
      <x:c r="E282" s="47"/>
      <x:c r="F282" s="47"/>
      <x:c r="G282" s="47"/>
      <x:c r="H282" s="48"/>
      <x:c r="I282" s="48"/>
      <x:c r="J282" s="47"/>
      <x:c r="K282" s="47"/>
      <x:c r="L282" s="57" t="str">
        <x:f>IF(COUNTA(A282:K282)=0,"",IF(K282="CANCELLED","CANCELLED",IF(A282="","INVOICE ID REQUIRED",IF(B282="","PROJECT ID REQUIRED",IF(NOT(ISNUMBER(C282)),"INVALID INVOICE DATE",IF(NOT(AND(ISNUMBER(C282),C282&gt;=2,C282&lt;=2958465,C282=INT(C282))),"INVALID INVOICE DATE",IF(NOT(OR(D282="MX",D282="US")),"ENTITY REQUIRED",IF(NOT(OR(E282="Strategic Services",E282="Brands")),"UNIT REQUIRED",IF(F282="","BRAND / N/A REQUIRED",IF(NOT(OR(G282="USD",G282="MXN")),"CURRENCY REQUIRED",IF(NOT(ISNUMBER(H282)),"AMOUNT REQUIRED",IF(J282="","ERP SOURCE REQUIRED",IF(NOT(OR(K282="ISSUED",K282="CANCELLED")),"INVOICE STATUS REQUIRED",IF(COUNTIFS($A$2:$A$501,A282,$B$2:$B$501,B282,$D$2:$D$501,D282)&gt;1,"DUPLICATE INVOICE / PROJECT",IF(AND(G282="MXN",NOT(AND(ISNUMBER(I282),Settings!$B$8="APPROVED",Settings!$B$9&lt;&gt;"",Settings!$B$10&lt;&gt;""))),"FX HOLD","VALID")))))))))))))))</x:f>
      </x:c>
      <x:c r="M282" s="57" t="str">
        <x:f>IF(ISNUMBER(C282),IF(AND(ISNUMBER(C282),C282&gt;=2,C282&lt;=2958465,C282=INT(C282)),TEXT(C282,"yyyy-mm"),""),"")</x:f>
      </x:c>
      <x:c r="N282" s="59" t="str">
        <x:f>IF(L282="VALID",IF(G282="USD",H282,I282),"")</x:f>
      </x:c>
      <x:c r="O282" s="57" t="n">
        <x:f>IF(L282="VALID",IF(COUNTIFS($B$2:B282,B282,$M$2:M282,M282,$L$2:L282,"VALID")=1,1,0),0)</x:f>
        <x:v>0</x:v>
      </x:c>
    </x:row>
    <x:row r="283">
      <x:c r="A283" s="47"/>
      <x:c r="B283" s="47"/>
      <x:c r="C283" s="58"/>
      <x:c r="D283" s="47"/>
      <x:c r="E283" s="47"/>
      <x:c r="F283" s="47"/>
      <x:c r="G283" s="47"/>
      <x:c r="H283" s="48"/>
      <x:c r="I283" s="48"/>
      <x:c r="J283" s="47"/>
      <x:c r="K283" s="47"/>
      <x:c r="L283" s="57" t="str">
        <x:f>IF(COUNTA(A283:K283)=0,"",IF(K283="CANCELLED","CANCELLED",IF(A283="","INVOICE ID REQUIRED",IF(B283="","PROJECT ID REQUIRED",IF(NOT(ISNUMBER(C283)),"INVALID INVOICE DATE",IF(NOT(AND(ISNUMBER(C283),C283&gt;=2,C283&lt;=2958465,C283=INT(C283))),"INVALID INVOICE DATE",IF(NOT(OR(D283="MX",D283="US")),"ENTITY REQUIRED",IF(NOT(OR(E283="Strategic Services",E283="Brands")),"UNIT REQUIRED",IF(F283="","BRAND / N/A REQUIRED",IF(NOT(OR(G283="USD",G283="MXN")),"CURRENCY REQUIRED",IF(NOT(ISNUMBER(H283)),"AMOUNT REQUIRED",IF(J283="","ERP SOURCE REQUIRED",IF(NOT(OR(K283="ISSUED",K283="CANCELLED")),"INVOICE STATUS REQUIRED",IF(COUNTIFS($A$2:$A$501,A283,$B$2:$B$501,B283,$D$2:$D$501,D283)&gt;1,"DUPLICATE INVOICE / PROJECT",IF(AND(G283="MXN",NOT(AND(ISNUMBER(I283),Settings!$B$8="APPROVED",Settings!$B$9&lt;&gt;"",Settings!$B$10&lt;&gt;""))),"FX HOLD","VALID")))))))))))))))</x:f>
      </x:c>
      <x:c r="M283" s="57" t="str">
        <x:f>IF(ISNUMBER(C283),IF(AND(ISNUMBER(C283),C283&gt;=2,C283&lt;=2958465,C283=INT(C283)),TEXT(C283,"yyyy-mm"),""),"")</x:f>
      </x:c>
      <x:c r="N283" s="59" t="str">
        <x:f>IF(L283="VALID",IF(G283="USD",H283,I283),"")</x:f>
      </x:c>
      <x:c r="O283" s="57" t="n">
        <x:f>IF(L283="VALID",IF(COUNTIFS($B$2:B283,B283,$M$2:M283,M283,$L$2:L283,"VALID")=1,1,0),0)</x:f>
        <x:v>0</x:v>
      </x:c>
    </x:row>
    <x:row r="284">
      <x:c r="A284" s="47"/>
      <x:c r="B284" s="47"/>
      <x:c r="C284" s="58"/>
      <x:c r="D284" s="47"/>
      <x:c r="E284" s="47"/>
      <x:c r="F284" s="47"/>
      <x:c r="G284" s="47"/>
      <x:c r="H284" s="48"/>
      <x:c r="I284" s="48"/>
      <x:c r="J284" s="47"/>
      <x:c r="K284" s="47"/>
      <x:c r="L284" s="57" t="str">
        <x:f>IF(COUNTA(A284:K284)=0,"",IF(K284="CANCELLED","CANCELLED",IF(A284="","INVOICE ID REQUIRED",IF(B284="","PROJECT ID REQUIRED",IF(NOT(ISNUMBER(C284)),"INVALID INVOICE DATE",IF(NOT(AND(ISNUMBER(C284),C284&gt;=2,C284&lt;=2958465,C284=INT(C284))),"INVALID INVOICE DATE",IF(NOT(OR(D284="MX",D284="US")),"ENTITY REQUIRED",IF(NOT(OR(E284="Strategic Services",E284="Brands")),"UNIT REQUIRED",IF(F284="","BRAND / N/A REQUIRED",IF(NOT(OR(G284="USD",G284="MXN")),"CURRENCY REQUIRED",IF(NOT(ISNUMBER(H284)),"AMOUNT REQUIRED",IF(J284="","ERP SOURCE REQUIRED",IF(NOT(OR(K284="ISSUED",K284="CANCELLED")),"INVOICE STATUS REQUIRED",IF(COUNTIFS($A$2:$A$501,A284,$B$2:$B$501,B284,$D$2:$D$501,D284)&gt;1,"DUPLICATE INVOICE / PROJECT",IF(AND(G284="MXN",NOT(AND(ISNUMBER(I284),Settings!$B$8="APPROVED",Settings!$B$9&lt;&gt;"",Settings!$B$10&lt;&gt;""))),"FX HOLD","VALID")))))))))))))))</x:f>
      </x:c>
      <x:c r="M284" s="57" t="str">
        <x:f>IF(ISNUMBER(C284),IF(AND(ISNUMBER(C284),C284&gt;=2,C284&lt;=2958465,C284=INT(C284)),TEXT(C284,"yyyy-mm"),""),"")</x:f>
      </x:c>
      <x:c r="N284" s="59" t="str">
        <x:f>IF(L284="VALID",IF(G284="USD",H284,I284),"")</x:f>
      </x:c>
      <x:c r="O284" s="57" t="n">
        <x:f>IF(L284="VALID",IF(COUNTIFS($B$2:B284,B284,$M$2:M284,M284,$L$2:L284,"VALID")=1,1,0),0)</x:f>
        <x:v>0</x:v>
      </x:c>
    </x:row>
    <x:row r="285">
      <x:c r="A285" s="47"/>
      <x:c r="B285" s="47"/>
      <x:c r="C285" s="58"/>
      <x:c r="D285" s="47"/>
      <x:c r="E285" s="47"/>
      <x:c r="F285" s="47"/>
      <x:c r="G285" s="47"/>
      <x:c r="H285" s="48"/>
      <x:c r="I285" s="48"/>
      <x:c r="J285" s="47"/>
      <x:c r="K285" s="47"/>
      <x:c r="L285" s="57" t="str">
        <x:f>IF(COUNTA(A285:K285)=0,"",IF(K285="CANCELLED","CANCELLED",IF(A285="","INVOICE ID REQUIRED",IF(B285="","PROJECT ID REQUIRED",IF(NOT(ISNUMBER(C285)),"INVALID INVOICE DATE",IF(NOT(AND(ISNUMBER(C285),C285&gt;=2,C285&lt;=2958465,C285=INT(C285))),"INVALID INVOICE DATE",IF(NOT(OR(D285="MX",D285="US")),"ENTITY REQUIRED",IF(NOT(OR(E285="Strategic Services",E285="Brands")),"UNIT REQUIRED",IF(F285="","BRAND / N/A REQUIRED",IF(NOT(OR(G285="USD",G285="MXN")),"CURRENCY REQUIRED",IF(NOT(ISNUMBER(H285)),"AMOUNT REQUIRED",IF(J285="","ERP SOURCE REQUIRED",IF(NOT(OR(K285="ISSUED",K285="CANCELLED")),"INVOICE STATUS REQUIRED",IF(COUNTIFS($A$2:$A$501,A285,$B$2:$B$501,B285,$D$2:$D$501,D285)&gt;1,"DUPLICATE INVOICE / PROJECT",IF(AND(G285="MXN",NOT(AND(ISNUMBER(I285),Settings!$B$8="APPROVED",Settings!$B$9&lt;&gt;"",Settings!$B$10&lt;&gt;""))),"FX HOLD","VALID")))))))))))))))</x:f>
      </x:c>
      <x:c r="M285" s="57" t="str">
        <x:f>IF(ISNUMBER(C285),IF(AND(ISNUMBER(C285),C285&gt;=2,C285&lt;=2958465,C285=INT(C285)),TEXT(C285,"yyyy-mm"),""),"")</x:f>
      </x:c>
      <x:c r="N285" s="59" t="str">
        <x:f>IF(L285="VALID",IF(G285="USD",H285,I285),"")</x:f>
      </x:c>
      <x:c r="O285" s="57" t="n">
        <x:f>IF(L285="VALID",IF(COUNTIFS($B$2:B285,B285,$M$2:M285,M285,$L$2:L285,"VALID")=1,1,0),0)</x:f>
        <x:v>0</x:v>
      </x:c>
    </x:row>
    <x:row r="286">
      <x:c r="A286" s="47"/>
      <x:c r="B286" s="47"/>
      <x:c r="C286" s="58"/>
      <x:c r="D286" s="47"/>
      <x:c r="E286" s="47"/>
      <x:c r="F286" s="47"/>
      <x:c r="G286" s="47"/>
      <x:c r="H286" s="48"/>
      <x:c r="I286" s="48"/>
      <x:c r="J286" s="47"/>
      <x:c r="K286" s="47"/>
      <x:c r="L286" s="57" t="str">
        <x:f>IF(COUNTA(A286:K286)=0,"",IF(K286="CANCELLED","CANCELLED",IF(A286="","INVOICE ID REQUIRED",IF(B286="","PROJECT ID REQUIRED",IF(NOT(ISNUMBER(C286)),"INVALID INVOICE DATE",IF(NOT(AND(ISNUMBER(C286),C286&gt;=2,C286&lt;=2958465,C286=INT(C286))),"INVALID INVOICE DATE",IF(NOT(OR(D286="MX",D286="US")),"ENTITY REQUIRED",IF(NOT(OR(E286="Strategic Services",E286="Brands")),"UNIT REQUIRED",IF(F286="","BRAND / N/A REQUIRED",IF(NOT(OR(G286="USD",G286="MXN")),"CURRENCY REQUIRED",IF(NOT(ISNUMBER(H286)),"AMOUNT REQUIRED",IF(J286="","ERP SOURCE REQUIRED",IF(NOT(OR(K286="ISSUED",K286="CANCELLED")),"INVOICE STATUS REQUIRED",IF(COUNTIFS($A$2:$A$501,A286,$B$2:$B$501,B286,$D$2:$D$501,D286)&gt;1,"DUPLICATE INVOICE / PROJECT",IF(AND(G286="MXN",NOT(AND(ISNUMBER(I286),Settings!$B$8="APPROVED",Settings!$B$9&lt;&gt;"",Settings!$B$10&lt;&gt;""))),"FX HOLD","VALID")))))))))))))))</x:f>
      </x:c>
      <x:c r="M286" s="57" t="str">
        <x:f>IF(ISNUMBER(C286),IF(AND(ISNUMBER(C286),C286&gt;=2,C286&lt;=2958465,C286=INT(C286)),TEXT(C286,"yyyy-mm"),""),"")</x:f>
      </x:c>
      <x:c r="N286" s="59" t="str">
        <x:f>IF(L286="VALID",IF(G286="USD",H286,I286),"")</x:f>
      </x:c>
      <x:c r="O286" s="57" t="n">
        <x:f>IF(L286="VALID",IF(COUNTIFS($B$2:B286,B286,$M$2:M286,M286,$L$2:L286,"VALID")=1,1,0),0)</x:f>
        <x:v>0</x:v>
      </x:c>
    </x:row>
    <x:row r="287">
      <x:c r="A287" s="47"/>
      <x:c r="B287" s="47"/>
      <x:c r="C287" s="58"/>
      <x:c r="D287" s="47"/>
      <x:c r="E287" s="47"/>
      <x:c r="F287" s="47"/>
      <x:c r="G287" s="47"/>
      <x:c r="H287" s="48"/>
      <x:c r="I287" s="48"/>
      <x:c r="J287" s="47"/>
      <x:c r="K287" s="47"/>
      <x:c r="L287" s="57" t="str">
        <x:f>IF(COUNTA(A287:K287)=0,"",IF(K287="CANCELLED","CANCELLED",IF(A287="","INVOICE ID REQUIRED",IF(B287="","PROJECT ID REQUIRED",IF(NOT(ISNUMBER(C287)),"INVALID INVOICE DATE",IF(NOT(AND(ISNUMBER(C287),C287&gt;=2,C287&lt;=2958465,C287=INT(C287))),"INVALID INVOICE DATE",IF(NOT(OR(D287="MX",D287="US")),"ENTITY REQUIRED",IF(NOT(OR(E287="Strategic Services",E287="Brands")),"UNIT REQUIRED",IF(F287="","BRAND / N/A REQUIRED",IF(NOT(OR(G287="USD",G287="MXN")),"CURRENCY REQUIRED",IF(NOT(ISNUMBER(H287)),"AMOUNT REQUIRED",IF(J287="","ERP SOURCE REQUIRED",IF(NOT(OR(K287="ISSUED",K287="CANCELLED")),"INVOICE STATUS REQUIRED",IF(COUNTIFS($A$2:$A$501,A287,$B$2:$B$501,B287,$D$2:$D$501,D287)&gt;1,"DUPLICATE INVOICE / PROJECT",IF(AND(G287="MXN",NOT(AND(ISNUMBER(I287),Settings!$B$8="APPROVED",Settings!$B$9&lt;&gt;"",Settings!$B$10&lt;&gt;""))),"FX HOLD","VALID")))))))))))))))</x:f>
      </x:c>
      <x:c r="M287" s="57" t="str">
        <x:f>IF(ISNUMBER(C287),IF(AND(ISNUMBER(C287),C287&gt;=2,C287&lt;=2958465,C287=INT(C287)),TEXT(C287,"yyyy-mm"),""),"")</x:f>
      </x:c>
      <x:c r="N287" s="59" t="str">
        <x:f>IF(L287="VALID",IF(G287="USD",H287,I287),"")</x:f>
      </x:c>
      <x:c r="O287" s="57" t="n">
        <x:f>IF(L287="VALID",IF(COUNTIFS($B$2:B287,B287,$M$2:M287,M287,$L$2:L287,"VALID")=1,1,0),0)</x:f>
        <x:v>0</x:v>
      </x:c>
    </x:row>
    <x:row r="288">
      <x:c r="A288" s="47"/>
      <x:c r="B288" s="47"/>
      <x:c r="C288" s="58"/>
      <x:c r="D288" s="47"/>
      <x:c r="E288" s="47"/>
      <x:c r="F288" s="47"/>
      <x:c r="G288" s="47"/>
      <x:c r="H288" s="48"/>
      <x:c r="I288" s="48"/>
      <x:c r="J288" s="47"/>
      <x:c r="K288" s="47"/>
      <x:c r="L288" s="57" t="str">
        <x:f>IF(COUNTA(A288:K288)=0,"",IF(K288="CANCELLED","CANCELLED",IF(A288="","INVOICE ID REQUIRED",IF(B288="","PROJECT ID REQUIRED",IF(NOT(ISNUMBER(C288)),"INVALID INVOICE DATE",IF(NOT(AND(ISNUMBER(C288),C288&gt;=2,C288&lt;=2958465,C288=INT(C288))),"INVALID INVOICE DATE",IF(NOT(OR(D288="MX",D288="US")),"ENTITY REQUIRED",IF(NOT(OR(E288="Strategic Services",E288="Brands")),"UNIT REQUIRED",IF(F288="","BRAND / N/A REQUIRED",IF(NOT(OR(G288="USD",G288="MXN")),"CURRENCY REQUIRED",IF(NOT(ISNUMBER(H288)),"AMOUNT REQUIRED",IF(J288="","ERP SOURCE REQUIRED",IF(NOT(OR(K288="ISSUED",K288="CANCELLED")),"INVOICE STATUS REQUIRED",IF(COUNTIFS($A$2:$A$501,A288,$B$2:$B$501,B288,$D$2:$D$501,D288)&gt;1,"DUPLICATE INVOICE / PROJECT",IF(AND(G288="MXN",NOT(AND(ISNUMBER(I288),Settings!$B$8="APPROVED",Settings!$B$9&lt;&gt;"",Settings!$B$10&lt;&gt;""))),"FX HOLD","VALID")))))))))))))))</x:f>
      </x:c>
      <x:c r="M288" s="57" t="str">
        <x:f>IF(ISNUMBER(C288),IF(AND(ISNUMBER(C288),C288&gt;=2,C288&lt;=2958465,C288=INT(C288)),TEXT(C288,"yyyy-mm"),""),"")</x:f>
      </x:c>
      <x:c r="N288" s="59" t="str">
        <x:f>IF(L288="VALID",IF(G288="USD",H288,I288),"")</x:f>
      </x:c>
      <x:c r="O288" s="57" t="n">
        <x:f>IF(L288="VALID",IF(COUNTIFS($B$2:B288,B288,$M$2:M288,M288,$L$2:L288,"VALID")=1,1,0),0)</x:f>
        <x:v>0</x:v>
      </x:c>
    </x:row>
    <x:row r="289">
      <x:c r="A289" s="47"/>
      <x:c r="B289" s="47"/>
      <x:c r="C289" s="58"/>
      <x:c r="D289" s="47"/>
      <x:c r="E289" s="47"/>
      <x:c r="F289" s="47"/>
      <x:c r="G289" s="47"/>
      <x:c r="H289" s="48"/>
      <x:c r="I289" s="48"/>
      <x:c r="J289" s="47"/>
      <x:c r="K289" s="47"/>
      <x:c r="L289" s="57" t="str">
        <x:f>IF(COUNTA(A289:K289)=0,"",IF(K289="CANCELLED","CANCELLED",IF(A289="","INVOICE ID REQUIRED",IF(B289="","PROJECT ID REQUIRED",IF(NOT(ISNUMBER(C289)),"INVALID INVOICE DATE",IF(NOT(AND(ISNUMBER(C289),C289&gt;=2,C289&lt;=2958465,C289=INT(C289))),"INVALID INVOICE DATE",IF(NOT(OR(D289="MX",D289="US")),"ENTITY REQUIRED",IF(NOT(OR(E289="Strategic Services",E289="Brands")),"UNIT REQUIRED",IF(F289="","BRAND / N/A REQUIRED",IF(NOT(OR(G289="USD",G289="MXN")),"CURRENCY REQUIRED",IF(NOT(ISNUMBER(H289)),"AMOUNT REQUIRED",IF(J289="","ERP SOURCE REQUIRED",IF(NOT(OR(K289="ISSUED",K289="CANCELLED")),"INVOICE STATUS REQUIRED",IF(COUNTIFS($A$2:$A$501,A289,$B$2:$B$501,B289,$D$2:$D$501,D289)&gt;1,"DUPLICATE INVOICE / PROJECT",IF(AND(G289="MXN",NOT(AND(ISNUMBER(I289),Settings!$B$8="APPROVED",Settings!$B$9&lt;&gt;"",Settings!$B$10&lt;&gt;""))),"FX HOLD","VALID")))))))))))))))</x:f>
      </x:c>
      <x:c r="M289" s="57" t="str">
        <x:f>IF(ISNUMBER(C289),IF(AND(ISNUMBER(C289),C289&gt;=2,C289&lt;=2958465,C289=INT(C289)),TEXT(C289,"yyyy-mm"),""),"")</x:f>
      </x:c>
      <x:c r="N289" s="59" t="str">
        <x:f>IF(L289="VALID",IF(G289="USD",H289,I289),"")</x:f>
      </x:c>
      <x:c r="O289" s="57" t="n">
        <x:f>IF(L289="VALID",IF(COUNTIFS($B$2:B289,B289,$M$2:M289,M289,$L$2:L289,"VALID")=1,1,0),0)</x:f>
        <x:v>0</x:v>
      </x:c>
    </x:row>
    <x:row r="290">
      <x:c r="A290" s="47"/>
      <x:c r="B290" s="47"/>
      <x:c r="C290" s="58"/>
      <x:c r="D290" s="47"/>
      <x:c r="E290" s="47"/>
      <x:c r="F290" s="47"/>
      <x:c r="G290" s="47"/>
      <x:c r="H290" s="48"/>
      <x:c r="I290" s="48"/>
      <x:c r="J290" s="47"/>
      <x:c r="K290" s="47"/>
      <x:c r="L290" s="57" t="str">
        <x:f>IF(COUNTA(A290:K290)=0,"",IF(K290="CANCELLED","CANCELLED",IF(A290="","INVOICE ID REQUIRED",IF(B290="","PROJECT ID REQUIRED",IF(NOT(ISNUMBER(C290)),"INVALID INVOICE DATE",IF(NOT(AND(ISNUMBER(C290),C290&gt;=2,C290&lt;=2958465,C290=INT(C290))),"INVALID INVOICE DATE",IF(NOT(OR(D290="MX",D290="US")),"ENTITY REQUIRED",IF(NOT(OR(E290="Strategic Services",E290="Brands")),"UNIT REQUIRED",IF(F290="","BRAND / N/A REQUIRED",IF(NOT(OR(G290="USD",G290="MXN")),"CURRENCY REQUIRED",IF(NOT(ISNUMBER(H290)),"AMOUNT REQUIRED",IF(J290="","ERP SOURCE REQUIRED",IF(NOT(OR(K290="ISSUED",K290="CANCELLED")),"INVOICE STATUS REQUIRED",IF(COUNTIFS($A$2:$A$501,A290,$B$2:$B$501,B290,$D$2:$D$501,D290)&gt;1,"DUPLICATE INVOICE / PROJECT",IF(AND(G290="MXN",NOT(AND(ISNUMBER(I290),Settings!$B$8="APPROVED",Settings!$B$9&lt;&gt;"",Settings!$B$10&lt;&gt;""))),"FX HOLD","VALID")))))))))))))))</x:f>
      </x:c>
      <x:c r="M290" s="57" t="str">
        <x:f>IF(ISNUMBER(C290),IF(AND(ISNUMBER(C290),C290&gt;=2,C290&lt;=2958465,C290=INT(C290)),TEXT(C290,"yyyy-mm"),""),"")</x:f>
      </x:c>
      <x:c r="N290" s="59" t="str">
        <x:f>IF(L290="VALID",IF(G290="USD",H290,I290),"")</x:f>
      </x:c>
      <x:c r="O290" s="57" t="n">
        <x:f>IF(L290="VALID",IF(COUNTIFS($B$2:B290,B290,$M$2:M290,M290,$L$2:L290,"VALID")=1,1,0),0)</x:f>
        <x:v>0</x:v>
      </x:c>
    </x:row>
    <x:row r="291">
      <x:c r="A291" s="47"/>
      <x:c r="B291" s="47"/>
      <x:c r="C291" s="58"/>
      <x:c r="D291" s="47"/>
      <x:c r="E291" s="47"/>
      <x:c r="F291" s="47"/>
      <x:c r="G291" s="47"/>
      <x:c r="H291" s="48"/>
      <x:c r="I291" s="48"/>
      <x:c r="J291" s="47"/>
      <x:c r="K291" s="47"/>
      <x:c r="L291" s="57" t="str">
        <x:f>IF(COUNTA(A291:K291)=0,"",IF(K291="CANCELLED","CANCELLED",IF(A291="","INVOICE ID REQUIRED",IF(B291="","PROJECT ID REQUIRED",IF(NOT(ISNUMBER(C291)),"INVALID INVOICE DATE",IF(NOT(AND(ISNUMBER(C291),C291&gt;=2,C291&lt;=2958465,C291=INT(C291))),"INVALID INVOICE DATE",IF(NOT(OR(D291="MX",D291="US")),"ENTITY REQUIRED",IF(NOT(OR(E291="Strategic Services",E291="Brands")),"UNIT REQUIRED",IF(F291="","BRAND / N/A REQUIRED",IF(NOT(OR(G291="USD",G291="MXN")),"CURRENCY REQUIRED",IF(NOT(ISNUMBER(H291)),"AMOUNT REQUIRED",IF(J291="","ERP SOURCE REQUIRED",IF(NOT(OR(K291="ISSUED",K291="CANCELLED")),"INVOICE STATUS REQUIRED",IF(COUNTIFS($A$2:$A$501,A291,$B$2:$B$501,B291,$D$2:$D$501,D291)&gt;1,"DUPLICATE INVOICE / PROJECT",IF(AND(G291="MXN",NOT(AND(ISNUMBER(I291),Settings!$B$8="APPROVED",Settings!$B$9&lt;&gt;"",Settings!$B$10&lt;&gt;""))),"FX HOLD","VALID")))))))))))))))</x:f>
      </x:c>
      <x:c r="M291" s="57" t="str">
        <x:f>IF(ISNUMBER(C291),IF(AND(ISNUMBER(C291),C291&gt;=2,C291&lt;=2958465,C291=INT(C291)),TEXT(C291,"yyyy-mm"),""),"")</x:f>
      </x:c>
      <x:c r="N291" s="59" t="str">
        <x:f>IF(L291="VALID",IF(G291="USD",H291,I291),"")</x:f>
      </x:c>
      <x:c r="O291" s="57" t="n">
        <x:f>IF(L291="VALID",IF(COUNTIFS($B$2:B291,B291,$M$2:M291,M291,$L$2:L291,"VALID")=1,1,0),0)</x:f>
        <x:v>0</x:v>
      </x:c>
    </x:row>
    <x:row r="292">
      <x:c r="A292" s="47"/>
      <x:c r="B292" s="47"/>
      <x:c r="C292" s="58"/>
      <x:c r="D292" s="47"/>
      <x:c r="E292" s="47"/>
      <x:c r="F292" s="47"/>
      <x:c r="G292" s="47"/>
      <x:c r="H292" s="48"/>
      <x:c r="I292" s="48"/>
      <x:c r="J292" s="47"/>
      <x:c r="K292" s="47"/>
      <x:c r="L292" s="57" t="str">
        <x:f>IF(COUNTA(A292:K292)=0,"",IF(K292="CANCELLED","CANCELLED",IF(A292="","INVOICE ID REQUIRED",IF(B292="","PROJECT ID REQUIRED",IF(NOT(ISNUMBER(C292)),"INVALID INVOICE DATE",IF(NOT(AND(ISNUMBER(C292),C292&gt;=2,C292&lt;=2958465,C292=INT(C292))),"INVALID INVOICE DATE",IF(NOT(OR(D292="MX",D292="US")),"ENTITY REQUIRED",IF(NOT(OR(E292="Strategic Services",E292="Brands")),"UNIT REQUIRED",IF(F292="","BRAND / N/A REQUIRED",IF(NOT(OR(G292="USD",G292="MXN")),"CURRENCY REQUIRED",IF(NOT(ISNUMBER(H292)),"AMOUNT REQUIRED",IF(J292="","ERP SOURCE REQUIRED",IF(NOT(OR(K292="ISSUED",K292="CANCELLED")),"INVOICE STATUS REQUIRED",IF(COUNTIFS($A$2:$A$501,A292,$B$2:$B$501,B292,$D$2:$D$501,D292)&gt;1,"DUPLICATE INVOICE / PROJECT",IF(AND(G292="MXN",NOT(AND(ISNUMBER(I292),Settings!$B$8="APPROVED",Settings!$B$9&lt;&gt;"",Settings!$B$10&lt;&gt;""))),"FX HOLD","VALID")))))))))))))))</x:f>
      </x:c>
      <x:c r="M292" s="57" t="str">
        <x:f>IF(ISNUMBER(C292),IF(AND(ISNUMBER(C292),C292&gt;=2,C292&lt;=2958465,C292=INT(C292)),TEXT(C292,"yyyy-mm"),""),"")</x:f>
      </x:c>
      <x:c r="N292" s="59" t="str">
        <x:f>IF(L292="VALID",IF(G292="USD",H292,I292),"")</x:f>
      </x:c>
      <x:c r="O292" s="57" t="n">
        <x:f>IF(L292="VALID",IF(COUNTIFS($B$2:B292,B292,$M$2:M292,M292,$L$2:L292,"VALID")=1,1,0),0)</x:f>
        <x:v>0</x:v>
      </x:c>
    </x:row>
    <x:row r="293">
      <x:c r="A293" s="47"/>
      <x:c r="B293" s="47"/>
      <x:c r="C293" s="58"/>
      <x:c r="D293" s="47"/>
      <x:c r="E293" s="47"/>
      <x:c r="F293" s="47"/>
      <x:c r="G293" s="47"/>
      <x:c r="H293" s="48"/>
      <x:c r="I293" s="48"/>
      <x:c r="J293" s="47"/>
      <x:c r="K293" s="47"/>
      <x:c r="L293" s="57" t="str">
        <x:f>IF(COUNTA(A293:K293)=0,"",IF(K293="CANCELLED","CANCELLED",IF(A293="","INVOICE ID REQUIRED",IF(B293="","PROJECT ID REQUIRED",IF(NOT(ISNUMBER(C293)),"INVALID INVOICE DATE",IF(NOT(AND(ISNUMBER(C293),C293&gt;=2,C293&lt;=2958465,C293=INT(C293))),"INVALID INVOICE DATE",IF(NOT(OR(D293="MX",D293="US")),"ENTITY REQUIRED",IF(NOT(OR(E293="Strategic Services",E293="Brands")),"UNIT REQUIRED",IF(F293="","BRAND / N/A REQUIRED",IF(NOT(OR(G293="USD",G293="MXN")),"CURRENCY REQUIRED",IF(NOT(ISNUMBER(H293)),"AMOUNT REQUIRED",IF(J293="","ERP SOURCE REQUIRED",IF(NOT(OR(K293="ISSUED",K293="CANCELLED")),"INVOICE STATUS REQUIRED",IF(COUNTIFS($A$2:$A$501,A293,$B$2:$B$501,B293,$D$2:$D$501,D293)&gt;1,"DUPLICATE INVOICE / PROJECT",IF(AND(G293="MXN",NOT(AND(ISNUMBER(I293),Settings!$B$8="APPROVED",Settings!$B$9&lt;&gt;"",Settings!$B$10&lt;&gt;""))),"FX HOLD","VALID")))))))))))))))</x:f>
      </x:c>
      <x:c r="M293" s="57" t="str">
        <x:f>IF(ISNUMBER(C293),IF(AND(ISNUMBER(C293),C293&gt;=2,C293&lt;=2958465,C293=INT(C293)),TEXT(C293,"yyyy-mm"),""),"")</x:f>
      </x:c>
      <x:c r="N293" s="59" t="str">
        <x:f>IF(L293="VALID",IF(G293="USD",H293,I293),"")</x:f>
      </x:c>
      <x:c r="O293" s="57" t="n">
        <x:f>IF(L293="VALID",IF(COUNTIFS($B$2:B293,B293,$M$2:M293,M293,$L$2:L293,"VALID")=1,1,0),0)</x:f>
        <x:v>0</x:v>
      </x:c>
    </x:row>
    <x:row r="294">
      <x:c r="A294" s="47"/>
      <x:c r="B294" s="47"/>
      <x:c r="C294" s="58"/>
      <x:c r="D294" s="47"/>
      <x:c r="E294" s="47"/>
      <x:c r="F294" s="47"/>
      <x:c r="G294" s="47"/>
      <x:c r="H294" s="48"/>
      <x:c r="I294" s="48"/>
      <x:c r="J294" s="47"/>
      <x:c r="K294" s="47"/>
      <x:c r="L294" s="57" t="str">
        <x:f>IF(COUNTA(A294:K294)=0,"",IF(K294="CANCELLED","CANCELLED",IF(A294="","INVOICE ID REQUIRED",IF(B294="","PROJECT ID REQUIRED",IF(NOT(ISNUMBER(C294)),"INVALID INVOICE DATE",IF(NOT(AND(ISNUMBER(C294),C294&gt;=2,C294&lt;=2958465,C294=INT(C294))),"INVALID INVOICE DATE",IF(NOT(OR(D294="MX",D294="US")),"ENTITY REQUIRED",IF(NOT(OR(E294="Strategic Services",E294="Brands")),"UNIT REQUIRED",IF(F294="","BRAND / N/A REQUIRED",IF(NOT(OR(G294="USD",G294="MXN")),"CURRENCY REQUIRED",IF(NOT(ISNUMBER(H294)),"AMOUNT REQUIRED",IF(J294="","ERP SOURCE REQUIRED",IF(NOT(OR(K294="ISSUED",K294="CANCELLED")),"INVOICE STATUS REQUIRED",IF(COUNTIFS($A$2:$A$501,A294,$B$2:$B$501,B294,$D$2:$D$501,D294)&gt;1,"DUPLICATE INVOICE / PROJECT",IF(AND(G294="MXN",NOT(AND(ISNUMBER(I294),Settings!$B$8="APPROVED",Settings!$B$9&lt;&gt;"",Settings!$B$10&lt;&gt;""))),"FX HOLD","VALID")))))))))))))))</x:f>
      </x:c>
      <x:c r="M294" s="57" t="str">
        <x:f>IF(ISNUMBER(C294),IF(AND(ISNUMBER(C294),C294&gt;=2,C294&lt;=2958465,C294=INT(C294)),TEXT(C294,"yyyy-mm"),""),"")</x:f>
      </x:c>
      <x:c r="N294" s="59" t="str">
        <x:f>IF(L294="VALID",IF(G294="USD",H294,I294),"")</x:f>
      </x:c>
      <x:c r="O294" s="57" t="n">
        <x:f>IF(L294="VALID",IF(COUNTIFS($B$2:B294,B294,$M$2:M294,M294,$L$2:L294,"VALID")=1,1,0),0)</x:f>
        <x:v>0</x:v>
      </x:c>
    </x:row>
    <x:row r="295">
      <x:c r="A295" s="47"/>
      <x:c r="B295" s="47"/>
      <x:c r="C295" s="58"/>
      <x:c r="D295" s="47"/>
      <x:c r="E295" s="47"/>
      <x:c r="F295" s="47"/>
      <x:c r="G295" s="47"/>
      <x:c r="H295" s="48"/>
      <x:c r="I295" s="48"/>
      <x:c r="J295" s="47"/>
      <x:c r="K295" s="47"/>
      <x:c r="L295" s="57" t="str">
        <x:f>IF(COUNTA(A295:K295)=0,"",IF(K295="CANCELLED","CANCELLED",IF(A295="","INVOICE ID REQUIRED",IF(B295="","PROJECT ID REQUIRED",IF(NOT(ISNUMBER(C295)),"INVALID INVOICE DATE",IF(NOT(AND(ISNUMBER(C295),C295&gt;=2,C295&lt;=2958465,C295=INT(C295))),"INVALID INVOICE DATE",IF(NOT(OR(D295="MX",D295="US")),"ENTITY REQUIRED",IF(NOT(OR(E295="Strategic Services",E295="Brands")),"UNIT REQUIRED",IF(F295="","BRAND / N/A REQUIRED",IF(NOT(OR(G295="USD",G295="MXN")),"CURRENCY REQUIRED",IF(NOT(ISNUMBER(H295)),"AMOUNT REQUIRED",IF(J295="","ERP SOURCE REQUIRED",IF(NOT(OR(K295="ISSUED",K295="CANCELLED")),"INVOICE STATUS REQUIRED",IF(COUNTIFS($A$2:$A$501,A295,$B$2:$B$501,B295,$D$2:$D$501,D295)&gt;1,"DUPLICATE INVOICE / PROJECT",IF(AND(G295="MXN",NOT(AND(ISNUMBER(I295),Settings!$B$8="APPROVED",Settings!$B$9&lt;&gt;"",Settings!$B$10&lt;&gt;""))),"FX HOLD","VALID")))))))))))))))</x:f>
      </x:c>
      <x:c r="M295" s="57" t="str">
        <x:f>IF(ISNUMBER(C295),IF(AND(ISNUMBER(C295),C295&gt;=2,C295&lt;=2958465,C295=INT(C295)),TEXT(C295,"yyyy-mm"),""),"")</x:f>
      </x:c>
      <x:c r="N295" s="59" t="str">
        <x:f>IF(L295="VALID",IF(G295="USD",H295,I295),"")</x:f>
      </x:c>
      <x:c r="O295" s="57" t="n">
        <x:f>IF(L295="VALID",IF(COUNTIFS($B$2:B295,B295,$M$2:M295,M295,$L$2:L295,"VALID")=1,1,0),0)</x:f>
        <x:v>0</x:v>
      </x:c>
    </x:row>
    <x:row r="296">
      <x:c r="A296" s="47"/>
      <x:c r="B296" s="47"/>
      <x:c r="C296" s="58"/>
      <x:c r="D296" s="47"/>
      <x:c r="E296" s="47"/>
      <x:c r="F296" s="47"/>
      <x:c r="G296" s="47"/>
      <x:c r="H296" s="48"/>
      <x:c r="I296" s="48"/>
      <x:c r="J296" s="47"/>
      <x:c r="K296" s="47"/>
      <x:c r="L296" s="57" t="str">
        <x:f>IF(COUNTA(A296:K296)=0,"",IF(K296="CANCELLED","CANCELLED",IF(A296="","INVOICE ID REQUIRED",IF(B296="","PROJECT ID REQUIRED",IF(NOT(ISNUMBER(C296)),"INVALID INVOICE DATE",IF(NOT(AND(ISNUMBER(C296),C296&gt;=2,C296&lt;=2958465,C296=INT(C296))),"INVALID INVOICE DATE",IF(NOT(OR(D296="MX",D296="US")),"ENTITY REQUIRED",IF(NOT(OR(E296="Strategic Services",E296="Brands")),"UNIT REQUIRED",IF(F296="","BRAND / N/A REQUIRED",IF(NOT(OR(G296="USD",G296="MXN")),"CURRENCY REQUIRED",IF(NOT(ISNUMBER(H296)),"AMOUNT REQUIRED",IF(J296="","ERP SOURCE REQUIRED",IF(NOT(OR(K296="ISSUED",K296="CANCELLED")),"INVOICE STATUS REQUIRED",IF(COUNTIFS($A$2:$A$501,A296,$B$2:$B$501,B296,$D$2:$D$501,D296)&gt;1,"DUPLICATE INVOICE / PROJECT",IF(AND(G296="MXN",NOT(AND(ISNUMBER(I296),Settings!$B$8="APPROVED",Settings!$B$9&lt;&gt;"",Settings!$B$10&lt;&gt;""))),"FX HOLD","VALID")))))))))))))))</x:f>
      </x:c>
      <x:c r="M296" s="57" t="str">
        <x:f>IF(ISNUMBER(C296),IF(AND(ISNUMBER(C296),C296&gt;=2,C296&lt;=2958465,C296=INT(C296)),TEXT(C296,"yyyy-mm"),""),"")</x:f>
      </x:c>
      <x:c r="N296" s="59" t="str">
        <x:f>IF(L296="VALID",IF(G296="USD",H296,I296),"")</x:f>
      </x:c>
      <x:c r="O296" s="57" t="n">
        <x:f>IF(L296="VALID",IF(COUNTIFS($B$2:B296,B296,$M$2:M296,M296,$L$2:L296,"VALID")=1,1,0),0)</x:f>
        <x:v>0</x:v>
      </x:c>
    </x:row>
    <x:row r="297">
      <x:c r="A297" s="47"/>
      <x:c r="B297" s="47"/>
      <x:c r="C297" s="58"/>
      <x:c r="D297" s="47"/>
      <x:c r="E297" s="47"/>
      <x:c r="F297" s="47"/>
      <x:c r="G297" s="47"/>
      <x:c r="H297" s="48"/>
      <x:c r="I297" s="48"/>
      <x:c r="J297" s="47"/>
      <x:c r="K297" s="47"/>
      <x:c r="L297" s="57" t="str">
        <x:f>IF(COUNTA(A297:K297)=0,"",IF(K297="CANCELLED","CANCELLED",IF(A297="","INVOICE ID REQUIRED",IF(B297="","PROJECT ID REQUIRED",IF(NOT(ISNUMBER(C297)),"INVALID INVOICE DATE",IF(NOT(AND(ISNUMBER(C297),C297&gt;=2,C297&lt;=2958465,C297=INT(C297))),"INVALID INVOICE DATE",IF(NOT(OR(D297="MX",D297="US")),"ENTITY REQUIRED",IF(NOT(OR(E297="Strategic Services",E297="Brands")),"UNIT REQUIRED",IF(F297="","BRAND / N/A REQUIRED",IF(NOT(OR(G297="USD",G297="MXN")),"CURRENCY REQUIRED",IF(NOT(ISNUMBER(H297)),"AMOUNT REQUIRED",IF(J297="","ERP SOURCE REQUIRED",IF(NOT(OR(K297="ISSUED",K297="CANCELLED")),"INVOICE STATUS REQUIRED",IF(COUNTIFS($A$2:$A$501,A297,$B$2:$B$501,B297,$D$2:$D$501,D297)&gt;1,"DUPLICATE INVOICE / PROJECT",IF(AND(G297="MXN",NOT(AND(ISNUMBER(I297),Settings!$B$8="APPROVED",Settings!$B$9&lt;&gt;"",Settings!$B$10&lt;&gt;""))),"FX HOLD","VALID")))))))))))))))</x:f>
      </x:c>
      <x:c r="M297" s="57" t="str">
        <x:f>IF(ISNUMBER(C297),IF(AND(ISNUMBER(C297),C297&gt;=2,C297&lt;=2958465,C297=INT(C297)),TEXT(C297,"yyyy-mm"),""),"")</x:f>
      </x:c>
      <x:c r="N297" s="59" t="str">
        <x:f>IF(L297="VALID",IF(G297="USD",H297,I297),"")</x:f>
      </x:c>
      <x:c r="O297" s="57" t="n">
        <x:f>IF(L297="VALID",IF(COUNTIFS($B$2:B297,B297,$M$2:M297,M297,$L$2:L297,"VALID")=1,1,0),0)</x:f>
        <x:v>0</x:v>
      </x:c>
    </x:row>
    <x:row r="298">
      <x:c r="A298" s="47"/>
      <x:c r="B298" s="47"/>
      <x:c r="C298" s="58"/>
      <x:c r="D298" s="47"/>
      <x:c r="E298" s="47"/>
      <x:c r="F298" s="47"/>
      <x:c r="G298" s="47"/>
      <x:c r="H298" s="48"/>
      <x:c r="I298" s="48"/>
      <x:c r="J298" s="47"/>
      <x:c r="K298" s="47"/>
      <x:c r="L298" s="57" t="str">
        <x:f>IF(COUNTA(A298:K298)=0,"",IF(K298="CANCELLED","CANCELLED",IF(A298="","INVOICE ID REQUIRED",IF(B298="","PROJECT ID REQUIRED",IF(NOT(ISNUMBER(C298)),"INVALID INVOICE DATE",IF(NOT(AND(ISNUMBER(C298),C298&gt;=2,C298&lt;=2958465,C298=INT(C298))),"INVALID INVOICE DATE",IF(NOT(OR(D298="MX",D298="US")),"ENTITY REQUIRED",IF(NOT(OR(E298="Strategic Services",E298="Brands")),"UNIT REQUIRED",IF(F298="","BRAND / N/A REQUIRED",IF(NOT(OR(G298="USD",G298="MXN")),"CURRENCY REQUIRED",IF(NOT(ISNUMBER(H298)),"AMOUNT REQUIRED",IF(J298="","ERP SOURCE REQUIRED",IF(NOT(OR(K298="ISSUED",K298="CANCELLED")),"INVOICE STATUS REQUIRED",IF(COUNTIFS($A$2:$A$501,A298,$B$2:$B$501,B298,$D$2:$D$501,D298)&gt;1,"DUPLICATE INVOICE / PROJECT",IF(AND(G298="MXN",NOT(AND(ISNUMBER(I298),Settings!$B$8="APPROVED",Settings!$B$9&lt;&gt;"",Settings!$B$10&lt;&gt;""))),"FX HOLD","VALID")))))))))))))))</x:f>
      </x:c>
      <x:c r="M298" s="57" t="str">
        <x:f>IF(ISNUMBER(C298),IF(AND(ISNUMBER(C298),C298&gt;=2,C298&lt;=2958465,C298=INT(C298)),TEXT(C298,"yyyy-mm"),""),"")</x:f>
      </x:c>
      <x:c r="N298" s="59" t="str">
        <x:f>IF(L298="VALID",IF(G298="USD",H298,I298),"")</x:f>
      </x:c>
      <x:c r="O298" s="57" t="n">
        <x:f>IF(L298="VALID",IF(COUNTIFS($B$2:B298,B298,$M$2:M298,M298,$L$2:L298,"VALID")=1,1,0),0)</x:f>
        <x:v>0</x:v>
      </x:c>
    </x:row>
    <x:row r="299">
      <x:c r="A299" s="47"/>
      <x:c r="B299" s="47"/>
      <x:c r="C299" s="58"/>
      <x:c r="D299" s="47"/>
      <x:c r="E299" s="47"/>
      <x:c r="F299" s="47"/>
      <x:c r="G299" s="47"/>
      <x:c r="H299" s="48"/>
      <x:c r="I299" s="48"/>
      <x:c r="J299" s="47"/>
      <x:c r="K299" s="47"/>
      <x:c r="L299" s="57" t="str">
        <x:f>IF(COUNTA(A299:K299)=0,"",IF(K299="CANCELLED","CANCELLED",IF(A299="","INVOICE ID REQUIRED",IF(B299="","PROJECT ID REQUIRED",IF(NOT(ISNUMBER(C299)),"INVALID INVOICE DATE",IF(NOT(AND(ISNUMBER(C299),C299&gt;=2,C299&lt;=2958465,C299=INT(C299))),"INVALID INVOICE DATE",IF(NOT(OR(D299="MX",D299="US")),"ENTITY REQUIRED",IF(NOT(OR(E299="Strategic Services",E299="Brands")),"UNIT REQUIRED",IF(F299="","BRAND / N/A REQUIRED",IF(NOT(OR(G299="USD",G299="MXN")),"CURRENCY REQUIRED",IF(NOT(ISNUMBER(H299)),"AMOUNT REQUIRED",IF(J299="","ERP SOURCE REQUIRED",IF(NOT(OR(K299="ISSUED",K299="CANCELLED")),"INVOICE STATUS REQUIRED",IF(COUNTIFS($A$2:$A$501,A299,$B$2:$B$501,B299,$D$2:$D$501,D299)&gt;1,"DUPLICATE INVOICE / PROJECT",IF(AND(G299="MXN",NOT(AND(ISNUMBER(I299),Settings!$B$8="APPROVED",Settings!$B$9&lt;&gt;"",Settings!$B$10&lt;&gt;""))),"FX HOLD","VALID")))))))))))))))</x:f>
      </x:c>
      <x:c r="M299" s="57" t="str">
        <x:f>IF(ISNUMBER(C299),IF(AND(ISNUMBER(C299),C299&gt;=2,C299&lt;=2958465,C299=INT(C299)),TEXT(C299,"yyyy-mm"),""),"")</x:f>
      </x:c>
      <x:c r="N299" s="59" t="str">
        <x:f>IF(L299="VALID",IF(G299="USD",H299,I299),"")</x:f>
      </x:c>
      <x:c r="O299" s="57" t="n">
        <x:f>IF(L299="VALID",IF(COUNTIFS($B$2:B299,B299,$M$2:M299,M299,$L$2:L299,"VALID")=1,1,0),0)</x:f>
        <x:v>0</x:v>
      </x:c>
    </x:row>
    <x:row r="300">
      <x:c r="A300" s="47"/>
      <x:c r="B300" s="47"/>
      <x:c r="C300" s="58"/>
      <x:c r="D300" s="47"/>
      <x:c r="E300" s="47"/>
      <x:c r="F300" s="47"/>
      <x:c r="G300" s="47"/>
      <x:c r="H300" s="48"/>
      <x:c r="I300" s="48"/>
      <x:c r="J300" s="47"/>
      <x:c r="K300" s="47"/>
      <x:c r="L300" s="57" t="str">
        <x:f>IF(COUNTA(A300:K300)=0,"",IF(K300="CANCELLED","CANCELLED",IF(A300="","INVOICE ID REQUIRED",IF(B300="","PROJECT ID REQUIRED",IF(NOT(ISNUMBER(C300)),"INVALID INVOICE DATE",IF(NOT(AND(ISNUMBER(C300),C300&gt;=2,C300&lt;=2958465,C300=INT(C300))),"INVALID INVOICE DATE",IF(NOT(OR(D300="MX",D300="US")),"ENTITY REQUIRED",IF(NOT(OR(E300="Strategic Services",E300="Brands")),"UNIT REQUIRED",IF(F300="","BRAND / N/A REQUIRED",IF(NOT(OR(G300="USD",G300="MXN")),"CURRENCY REQUIRED",IF(NOT(ISNUMBER(H300)),"AMOUNT REQUIRED",IF(J300="","ERP SOURCE REQUIRED",IF(NOT(OR(K300="ISSUED",K300="CANCELLED")),"INVOICE STATUS REQUIRED",IF(COUNTIFS($A$2:$A$501,A300,$B$2:$B$501,B300,$D$2:$D$501,D300)&gt;1,"DUPLICATE INVOICE / PROJECT",IF(AND(G300="MXN",NOT(AND(ISNUMBER(I300),Settings!$B$8="APPROVED",Settings!$B$9&lt;&gt;"",Settings!$B$10&lt;&gt;""))),"FX HOLD","VALID")))))))))))))))</x:f>
      </x:c>
      <x:c r="M300" s="57" t="str">
        <x:f>IF(ISNUMBER(C300),IF(AND(ISNUMBER(C300),C300&gt;=2,C300&lt;=2958465,C300=INT(C300)),TEXT(C300,"yyyy-mm"),""),"")</x:f>
      </x:c>
      <x:c r="N300" s="59" t="str">
        <x:f>IF(L300="VALID",IF(G300="USD",H300,I300),"")</x:f>
      </x:c>
      <x:c r="O300" s="57" t="n">
        <x:f>IF(L300="VALID",IF(COUNTIFS($B$2:B300,B300,$M$2:M300,M300,$L$2:L300,"VALID")=1,1,0),0)</x:f>
        <x:v>0</x:v>
      </x:c>
    </x:row>
    <x:row r="301">
      <x:c r="A301" s="47"/>
      <x:c r="B301" s="47"/>
      <x:c r="C301" s="58"/>
      <x:c r="D301" s="47"/>
      <x:c r="E301" s="47"/>
      <x:c r="F301" s="47"/>
      <x:c r="G301" s="47"/>
      <x:c r="H301" s="48"/>
      <x:c r="I301" s="48"/>
      <x:c r="J301" s="47"/>
      <x:c r="K301" s="47"/>
      <x:c r="L301" s="57" t="str">
        <x:f>IF(COUNTA(A301:K301)=0,"",IF(K301="CANCELLED","CANCELLED",IF(A301="","INVOICE ID REQUIRED",IF(B301="","PROJECT ID REQUIRED",IF(NOT(ISNUMBER(C301)),"INVALID INVOICE DATE",IF(NOT(AND(ISNUMBER(C301),C301&gt;=2,C301&lt;=2958465,C301=INT(C301))),"INVALID INVOICE DATE",IF(NOT(OR(D301="MX",D301="US")),"ENTITY REQUIRED",IF(NOT(OR(E301="Strategic Services",E301="Brands")),"UNIT REQUIRED",IF(F301="","BRAND / N/A REQUIRED",IF(NOT(OR(G301="USD",G301="MXN")),"CURRENCY REQUIRED",IF(NOT(ISNUMBER(H301)),"AMOUNT REQUIRED",IF(J301="","ERP SOURCE REQUIRED",IF(NOT(OR(K301="ISSUED",K301="CANCELLED")),"INVOICE STATUS REQUIRED",IF(COUNTIFS($A$2:$A$501,A301,$B$2:$B$501,B301,$D$2:$D$501,D301)&gt;1,"DUPLICATE INVOICE / PROJECT",IF(AND(G301="MXN",NOT(AND(ISNUMBER(I301),Settings!$B$8="APPROVED",Settings!$B$9&lt;&gt;"",Settings!$B$10&lt;&gt;""))),"FX HOLD","VALID")))))))))))))))</x:f>
      </x:c>
      <x:c r="M301" s="57" t="str">
        <x:f>IF(ISNUMBER(C301),IF(AND(ISNUMBER(C301),C301&gt;=2,C301&lt;=2958465,C301=INT(C301)),TEXT(C301,"yyyy-mm"),""),"")</x:f>
      </x:c>
      <x:c r="N301" s="59" t="str">
        <x:f>IF(L301="VALID",IF(G301="USD",H301,I301),"")</x:f>
      </x:c>
      <x:c r="O301" s="57" t="n">
        <x:f>IF(L301="VALID",IF(COUNTIFS($B$2:B301,B301,$M$2:M301,M301,$L$2:L301,"VALID")=1,1,0),0)</x:f>
        <x:v>0</x:v>
      </x:c>
    </x:row>
    <x:row r="302">
      <x:c r="A302" s="47"/>
      <x:c r="B302" s="47"/>
      <x:c r="C302" s="58"/>
      <x:c r="D302" s="47"/>
      <x:c r="E302" s="47"/>
      <x:c r="F302" s="47"/>
      <x:c r="G302" s="47"/>
      <x:c r="H302" s="48"/>
      <x:c r="I302" s="48"/>
      <x:c r="J302" s="47"/>
      <x:c r="K302" s="47"/>
      <x:c r="L302" s="57" t="str">
        <x:f>IF(COUNTA(A302:K302)=0,"",IF(K302="CANCELLED","CANCELLED",IF(A302="","INVOICE ID REQUIRED",IF(B302="","PROJECT ID REQUIRED",IF(NOT(ISNUMBER(C302)),"INVALID INVOICE DATE",IF(NOT(AND(ISNUMBER(C302),C302&gt;=2,C302&lt;=2958465,C302=INT(C302))),"INVALID INVOICE DATE",IF(NOT(OR(D302="MX",D302="US")),"ENTITY REQUIRED",IF(NOT(OR(E302="Strategic Services",E302="Brands")),"UNIT REQUIRED",IF(F302="","BRAND / N/A REQUIRED",IF(NOT(OR(G302="USD",G302="MXN")),"CURRENCY REQUIRED",IF(NOT(ISNUMBER(H302)),"AMOUNT REQUIRED",IF(J302="","ERP SOURCE REQUIRED",IF(NOT(OR(K302="ISSUED",K302="CANCELLED")),"INVOICE STATUS REQUIRED",IF(COUNTIFS($A$2:$A$501,A302,$B$2:$B$501,B302,$D$2:$D$501,D302)&gt;1,"DUPLICATE INVOICE / PROJECT",IF(AND(G302="MXN",NOT(AND(ISNUMBER(I302),Settings!$B$8="APPROVED",Settings!$B$9&lt;&gt;"",Settings!$B$10&lt;&gt;""))),"FX HOLD","VALID")))))))))))))))</x:f>
      </x:c>
      <x:c r="M302" s="57" t="str">
        <x:f>IF(ISNUMBER(C302),IF(AND(ISNUMBER(C302),C302&gt;=2,C302&lt;=2958465,C302=INT(C302)),TEXT(C302,"yyyy-mm"),""),"")</x:f>
      </x:c>
      <x:c r="N302" s="59" t="str">
        <x:f>IF(L302="VALID",IF(G302="USD",H302,I302),"")</x:f>
      </x:c>
      <x:c r="O302" s="57" t="n">
        <x:f>IF(L302="VALID",IF(COUNTIFS($B$2:B302,B302,$M$2:M302,M302,$L$2:L302,"VALID")=1,1,0),0)</x:f>
        <x:v>0</x:v>
      </x:c>
    </x:row>
    <x:row r="303">
      <x:c r="A303" s="47"/>
      <x:c r="B303" s="47"/>
      <x:c r="C303" s="58"/>
      <x:c r="D303" s="47"/>
      <x:c r="E303" s="47"/>
      <x:c r="F303" s="47"/>
      <x:c r="G303" s="47"/>
      <x:c r="H303" s="48"/>
      <x:c r="I303" s="48"/>
      <x:c r="J303" s="47"/>
      <x:c r="K303" s="47"/>
      <x:c r="L303" s="57" t="str">
        <x:f>IF(COUNTA(A303:K303)=0,"",IF(K303="CANCELLED","CANCELLED",IF(A303="","INVOICE ID REQUIRED",IF(B303="","PROJECT ID REQUIRED",IF(NOT(ISNUMBER(C303)),"INVALID INVOICE DATE",IF(NOT(AND(ISNUMBER(C303),C303&gt;=2,C303&lt;=2958465,C303=INT(C303))),"INVALID INVOICE DATE",IF(NOT(OR(D303="MX",D303="US")),"ENTITY REQUIRED",IF(NOT(OR(E303="Strategic Services",E303="Brands")),"UNIT REQUIRED",IF(F303="","BRAND / N/A REQUIRED",IF(NOT(OR(G303="USD",G303="MXN")),"CURRENCY REQUIRED",IF(NOT(ISNUMBER(H303)),"AMOUNT REQUIRED",IF(J303="","ERP SOURCE REQUIRED",IF(NOT(OR(K303="ISSUED",K303="CANCELLED")),"INVOICE STATUS REQUIRED",IF(COUNTIFS($A$2:$A$501,A303,$B$2:$B$501,B303,$D$2:$D$501,D303)&gt;1,"DUPLICATE INVOICE / PROJECT",IF(AND(G303="MXN",NOT(AND(ISNUMBER(I303),Settings!$B$8="APPROVED",Settings!$B$9&lt;&gt;"",Settings!$B$10&lt;&gt;""))),"FX HOLD","VALID")))))))))))))))</x:f>
      </x:c>
      <x:c r="M303" s="57" t="str">
        <x:f>IF(ISNUMBER(C303),IF(AND(ISNUMBER(C303),C303&gt;=2,C303&lt;=2958465,C303=INT(C303)),TEXT(C303,"yyyy-mm"),""),"")</x:f>
      </x:c>
      <x:c r="N303" s="59" t="str">
        <x:f>IF(L303="VALID",IF(G303="USD",H303,I303),"")</x:f>
      </x:c>
      <x:c r="O303" s="57" t="n">
        <x:f>IF(L303="VALID",IF(COUNTIFS($B$2:B303,B303,$M$2:M303,M303,$L$2:L303,"VALID")=1,1,0),0)</x:f>
        <x:v>0</x:v>
      </x:c>
    </x:row>
    <x:row r="304">
      <x:c r="A304" s="47"/>
      <x:c r="B304" s="47"/>
      <x:c r="C304" s="58"/>
      <x:c r="D304" s="47"/>
      <x:c r="E304" s="47"/>
      <x:c r="F304" s="47"/>
      <x:c r="G304" s="47"/>
      <x:c r="H304" s="48"/>
      <x:c r="I304" s="48"/>
      <x:c r="J304" s="47"/>
      <x:c r="K304" s="47"/>
      <x:c r="L304" s="57" t="str">
        <x:f>IF(COUNTA(A304:K304)=0,"",IF(K304="CANCELLED","CANCELLED",IF(A304="","INVOICE ID REQUIRED",IF(B304="","PROJECT ID REQUIRED",IF(NOT(ISNUMBER(C304)),"INVALID INVOICE DATE",IF(NOT(AND(ISNUMBER(C304),C304&gt;=2,C304&lt;=2958465,C304=INT(C304))),"INVALID INVOICE DATE",IF(NOT(OR(D304="MX",D304="US")),"ENTITY REQUIRED",IF(NOT(OR(E304="Strategic Services",E304="Brands")),"UNIT REQUIRED",IF(F304="","BRAND / N/A REQUIRED",IF(NOT(OR(G304="USD",G304="MXN")),"CURRENCY REQUIRED",IF(NOT(ISNUMBER(H304)),"AMOUNT REQUIRED",IF(J304="","ERP SOURCE REQUIRED",IF(NOT(OR(K304="ISSUED",K304="CANCELLED")),"INVOICE STATUS REQUIRED",IF(COUNTIFS($A$2:$A$501,A304,$B$2:$B$501,B304,$D$2:$D$501,D304)&gt;1,"DUPLICATE INVOICE / PROJECT",IF(AND(G304="MXN",NOT(AND(ISNUMBER(I304),Settings!$B$8="APPROVED",Settings!$B$9&lt;&gt;"",Settings!$B$10&lt;&gt;""))),"FX HOLD","VALID")))))))))))))))</x:f>
      </x:c>
      <x:c r="M304" s="57" t="str">
        <x:f>IF(ISNUMBER(C304),IF(AND(ISNUMBER(C304),C304&gt;=2,C304&lt;=2958465,C304=INT(C304)),TEXT(C304,"yyyy-mm"),""),"")</x:f>
      </x:c>
      <x:c r="N304" s="59" t="str">
        <x:f>IF(L304="VALID",IF(G304="USD",H304,I304),"")</x:f>
      </x:c>
      <x:c r="O304" s="57" t="n">
        <x:f>IF(L304="VALID",IF(COUNTIFS($B$2:B304,B304,$M$2:M304,M304,$L$2:L304,"VALID")=1,1,0),0)</x:f>
        <x:v>0</x:v>
      </x:c>
    </x:row>
    <x:row r="305">
      <x:c r="A305" s="47"/>
      <x:c r="B305" s="47"/>
      <x:c r="C305" s="58"/>
      <x:c r="D305" s="47"/>
      <x:c r="E305" s="47"/>
      <x:c r="F305" s="47"/>
      <x:c r="G305" s="47"/>
      <x:c r="H305" s="48"/>
      <x:c r="I305" s="48"/>
      <x:c r="J305" s="47"/>
      <x:c r="K305" s="47"/>
      <x:c r="L305" s="57" t="str">
        <x:f>IF(COUNTA(A305:K305)=0,"",IF(K305="CANCELLED","CANCELLED",IF(A305="","INVOICE ID REQUIRED",IF(B305="","PROJECT ID REQUIRED",IF(NOT(ISNUMBER(C305)),"INVALID INVOICE DATE",IF(NOT(AND(ISNUMBER(C305),C305&gt;=2,C305&lt;=2958465,C305=INT(C305))),"INVALID INVOICE DATE",IF(NOT(OR(D305="MX",D305="US")),"ENTITY REQUIRED",IF(NOT(OR(E305="Strategic Services",E305="Brands")),"UNIT REQUIRED",IF(F305="","BRAND / N/A REQUIRED",IF(NOT(OR(G305="USD",G305="MXN")),"CURRENCY REQUIRED",IF(NOT(ISNUMBER(H305)),"AMOUNT REQUIRED",IF(J305="","ERP SOURCE REQUIRED",IF(NOT(OR(K305="ISSUED",K305="CANCELLED")),"INVOICE STATUS REQUIRED",IF(COUNTIFS($A$2:$A$501,A305,$B$2:$B$501,B305,$D$2:$D$501,D305)&gt;1,"DUPLICATE INVOICE / PROJECT",IF(AND(G305="MXN",NOT(AND(ISNUMBER(I305),Settings!$B$8="APPROVED",Settings!$B$9&lt;&gt;"",Settings!$B$10&lt;&gt;""))),"FX HOLD","VALID")))))))))))))))</x:f>
      </x:c>
      <x:c r="M305" s="57" t="str">
        <x:f>IF(ISNUMBER(C305),IF(AND(ISNUMBER(C305),C305&gt;=2,C305&lt;=2958465,C305=INT(C305)),TEXT(C305,"yyyy-mm"),""),"")</x:f>
      </x:c>
      <x:c r="N305" s="59" t="str">
        <x:f>IF(L305="VALID",IF(G305="USD",H305,I305),"")</x:f>
      </x:c>
      <x:c r="O305" s="57" t="n">
        <x:f>IF(L305="VALID",IF(COUNTIFS($B$2:B305,B305,$M$2:M305,M305,$L$2:L305,"VALID")=1,1,0),0)</x:f>
        <x:v>0</x:v>
      </x:c>
    </x:row>
    <x:row r="306">
      <x:c r="A306" s="47"/>
      <x:c r="B306" s="47"/>
      <x:c r="C306" s="58"/>
      <x:c r="D306" s="47"/>
      <x:c r="E306" s="47"/>
      <x:c r="F306" s="47"/>
      <x:c r="G306" s="47"/>
      <x:c r="H306" s="48"/>
      <x:c r="I306" s="48"/>
      <x:c r="J306" s="47"/>
      <x:c r="K306" s="47"/>
      <x:c r="L306" s="57" t="str">
        <x:f>IF(COUNTA(A306:K306)=0,"",IF(K306="CANCELLED","CANCELLED",IF(A306="","INVOICE ID REQUIRED",IF(B306="","PROJECT ID REQUIRED",IF(NOT(ISNUMBER(C306)),"INVALID INVOICE DATE",IF(NOT(AND(ISNUMBER(C306),C306&gt;=2,C306&lt;=2958465,C306=INT(C306))),"INVALID INVOICE DATE",IF(NOT(OR(D306="MX",D306="US")),"ENTITY REQUIRED",IF(NOT(OR(E306="Strategic Services",E306="Brands")),"UNIT REQUIRED",IF(F306="","BRAND / N/A REQUIRED",IF(NOT(OR(G306="USD",G306="MXN")),"CURRENCY REQUIRED",IF(NOT(ISNUMBER(H306)),"AMOUNT REQUIRED",IF(J306="","ERP SOURCE REQUIRED",IF(NOT(OR(K306="ISSUED",K306="CANCELLED")),"INVOICE STATUS REQUIRED",IF(COUNTIFS($A$2:$A$501,A306,$B$2:$B$501,B306,$D$2:$D$501,D306)&gt;1,"DUPLICATE INVOICE / PROJECT",IF(AND(G306="MXN",NOT(AND(ISNUMBER(I306),Settings!$B$8="APPROVED",Settings!$B$9&lt;&gt;"",Settings!$B$10&lt;&gt;""))),"FX HOLD","VALID")))))))))))))))</x:f>
      </x:c>
      <x:c r="M306" s="57" t="str">
        <x:f>IF(ISNUMBER(C306),IF(AND(ISNUMBER(C306),C306&gt;=2,C306&lt;=2958465,C306=INT(C306)),TEXT(C306,"yyyy-mm"),""),"")</x:f>
      </x:c>
      <x:c r="N306" s="59" t="str">
        <x:f>IF(L306="VALID",IF(G306="USD",H306,I306),"")</x:f>
      </x:c>
      <x:c r="O306" s="57" t="n">
        <x:f>IF(L306="VALID",IF(COUNTIFS($B$2:B306,B306,$M$2:M306,M306,$L$2:L306,"VALID")=1,1,0),0)</x:f>
        <x:v>0</x:v>
      </x:c>
    </x:row>
    <x:row r="307">
      <x:c r="A307" s="47"/>
      <x:c r="B307" s="47"/>
      <x:c r="C307" s="58"/>
      <x:c r="D307" s="47"/>
      <x:c r="E307" s="47"/>
      <x:c r="F307" s="47"/>
      <x:c r="G307" s="47"/>
      <x:c r="H307" s="48"/>
      <x:c r="I307" s="48"/>
      <x:c r="J307" s="47"/>
      <x:c r="K307" s="47"/>
      <x:c r="L307" s="57" t="str">
        <x:f>IF(COUNTA(A307:K307)=0,"",IF(K307="CANCELLED","CANCELLED",IF(A307="","INVOICE ID REQUIRED",IF(B307="","PROJECT ID REQUIRED",IF(NOT(ISNUMBER(C307)),"INVALID INVOICE DATE",IF(NOT(AND(ISNUMBER(C307),C307&gt;=2,C307&lt;=2958465,C307=INT(C307))),"INVALID INVOICE DATE",IF(NOT(OR(D307="MX",D307="US")),"ENTITY REQUIRED",IF(NOT(OR(E307="Strategic Services",E307="Brands")),"UNIT REQUIRED",IF(F307="","BRAND / N/A REQUIRED",IF(NOT(OR(G307="USD",G307="MXN")),"CURRENCY REQUIRED",IF(NOT(ISNUMBER(H307)),"AMOUNT REQUIRED",IF(J307="","ERP SOURCE REQUIRED",IF(NOT(OR(K307="ISSUED",K307="CANCELLED")),"INVOICE STATUS REQUIRED",IF(COUNTIFS($A$2:$A$501,A307,$B$2:$B$501,B307,$D$2:$D$501,D307)&gt;1,"DUPLICATE INVOICE / PROJECT",IF(AND(G307="MXN",NOT(AND(ISNUMBER(I307),Settings!$B$8="APPROVED",Settings!$B$9&lt;&gt;"",Settings!$B$10&lt;&gt;""))),"FX HOLD","VALID")))))))))))))))</x:f>
      </x:c>
      <x:c r="M307" s="57" t="str">
        <x:f>IF(ISNUMBER(C307),IF(AND(ISNUMBER(C307),C307&gt;=2,C307&lt;=2958465,C307=INT(C307)),TEXT(C307,"yyyy-mm"),""),"")</x:f>
      </x:c>
      <x:c r="N307" s="59" t="str">
        <x:f>IF(L307="VALID",IF(G307="USD",H307,I307),"")</x:f>
      </x:c>
      <x:c r="O307" s="57" t="n">
        <x:f>IF(L307="VALID",IF(COUNTIFS($B$2:B307,B307,$M$2:M307,M307,$L$2:L307,"VALID")=1,1,0),0)</x:f>
        <x:v>0</x:v>
      </x:c>
    </x:row>
    <x:row r="308">
      <x:c r="A308" s="47"/>
      <x:c r="B308" s="47"/>
      <x:c r="C308" s="58"/>
      <x:c r="D308" s="47"/>
      <x:c r="E308" s="47"/>
      <x:c r="F308" s="47"/>
      <x:c r="G308" s="47"/>
      <x:c r="H308" s="48"/>
      <x:c r="I308" s="48"/>
      <x:c r="J308" s="47"/>
      <x:c r="K308" s="47"/>
      <x:c r="L308" s="57" t="str">
        <x:f>IF(COUNTA(A308:K308)=0,"",IF(K308="CANCELLED","CANCELLED",IF(A308="","INVOICE ID REQUIRED",IF(B308="","PROJECT ID REQUIRED",IF(NOT(ISNUMBER(C308)),"INVALID INVOICE DATE",IF(NOT(AND(ISNUMBER(C308),C308&gt;=2,C308&lt;=2958465,C308=INT(C308))),"INVALID INVOICE DATE",IF(NOT(OR(D308="MX",D308="US")),"ENTITY REQUIRED",IF(NOT(OR(E308="Strategic Services",E308="Brands")),"UNIT REQUIRED",IF(F308="","BRAND / N/A REQUIRED",IF(NOT(OR(G308="USD",G308="MXN")),"CURRENCY REQUIRED",IF(NOT(ISNUMBER(H308)),"AMOUNT REQUIRED",IF(J308="","ERP SOURCE REQUIRED",IF(NOT(OR(K308="ISSUED",K308="CANCELLED")),"INVOICE STATUS REQUIRED",IF(COUNTIFS($A$2:$A$501,A308,$B$2:$B$501,B308,$D$2:$D$501,D308)&gt;1,"DUPLICATE INVOICE / PROJECT",IF(AND(G308="MXN",NOT(AND(ISNUMBER(I308),Settings!$B$8="APPROVED",Settings!$B$9&lt;&gt;"",Settings!$B$10&lt;&gt;""))),"FX HOLD","VALID")))))))))))))))</x:f>
      </x:c>
      <x:c r="M308" s="57" t="str">
        <x:f>IF(ISNUMBER(C308),IF(AND(ISNUMBER(C308),C308&gt;=2,C308&lt;=2958465,C308=INT(C308)),TEXT(C308,"yyyy-mm"),""),"")</x:f>
      </x:c>
      <x:c r="N308" s="59" t="str">
        <x:f>IF(L308="VALID",IF(G308="USD",H308,I308),"")</x:f>
      </x:c>
      <x:c r="O308" s="57" t="n">
        <x:f>IF(L308="VALID",IF(COUNTIFS($B$2:B308,B308,$M$2:M308,M308,$L$2:L308,"VALID")=1,1,0),0)</x:f>
        <x:v>0</x:v>
      </x:c>
    </x:row>
    <x:row r="309">
      <x:c r="A309" s="47"/>
      <x:c r="B309" s="47"/>
      <x:c r="C309" s="58"/>
      <x:c r="D309" s="47"/>
      <x:c r="E309" s="47"/>
      <x:c r="F309" s="47"/>
      <x:c r="G309" s="47"/>
      <x:c r="H309" s="48"/>
      <x:c r="I309" s="48"/>
      <x:c r="J309" s="47"/>
      <x:c r="K309" s="47"/>
      <x:c r="L309" s="57" t="str">
        <x:f>IF(COUNTA(A309:K309)=0,"",IF(K309="CANCELLED","CANCELLED",IF(A309="","INVOICE ID REQUIRED",IF(B309="","PROJECT ID REQUIRED",IF(NOT(ISNUMBER(C309)),"INVALID INVOICE DATE",IF(NOT(AND(ISNUMBER(C309),C309&gt;=2,C309&lt;=2958465,C309=INT(C309))),"INVALID INVOICE DATE",IF(NOT(OR(D309="MX",D309="US")),"ENTITY REQUIRED",IF(NOT(OR(E309="Strategic Services",E309="Brands")),"UNIT REQUIRED",IF(F309="","BRAND / N/A REQUIRED",IF(NOT(OR(G309="USD",G309="MXN")),"CURRENCY REQUIRED",IF(NOT(ISNUMBER(H309)),"AMOUNT REQUIRED",IF(J309="","ERP SOURCE REQUIRED",IF(NOT(OR(K309="ISSUED",K309="CANCELLED")),"INVOICE STATUS REQUIRED",IF(COUNTIFS($A$2:$A$501,A309,$B$2:$B$501,B309,$D$2:$D$501,D309)&gt;1,"DUPLICATE INVOICE / PROJECT",IF(AND(G309="MXN",NOT(AND(ISNUMBER(I309),Settings!$B$8="APPROVED",Settings!$B$9&lt;&gt;"",Settings!$B$10&lt;&gt;""))),"FX HOLD","VALID")))))))))))))))</x:f>
      </x:c>
      <x:c r="M309" s="57" t="str">
        <x:f>IF(ISNUMBER(C309),IF(AND(ISNUMBER(C309),C309&gt;=2,C309&lt;=2958465,C309=INT(C309)),TEXT(C309,"yyyy-mm"),""),"")</x:f>
      </x:c>
      <x:c r="N309" s="59" t="str">
        <x:f>IF(L309="VALID",IF(G309="USD",H309,I309),"")</x:f>
      </x:c>
      <x:c r="O309" s="57" t="n">
        <x:f>IF(L309="VALID",IF(COUNTIFS($B$2:B309,B309,$M$2:M309,M309,$L$2:L309,"VALID")=1,1,0),0)</x:f>
        <x:v>0</x:v>
      </x:c>
    </x:row>
    <x:row r="310">
      <x:c r="A310" s="47"/>
      <x:c r="B310" s="47"/>
      <x:c r="C310" s="58"/>
      <x:c r="D310" s="47"/>
      <x:c r="E310" s="47"/>
      <x:c r="F310" s="47"/>
      <x:c r="G310" s="47"/>
      <x:c r="H310" s="48"/>
      <x:c r="I310" s="48"/>
      <x:c r="J310" s="47"/>
      <x:c r="K310" s="47"/>
      <x:c r="L310" s="57" t="str">
        <x:f>IF(COUNTA(A310:K310)=0,"",IF(K310="CANCELLED","CANCELLED",IF(A310="","INVOICE ID REQUIRED",IF(B310="","PROJECT ID REQUIRED",IF(NOT(ISNUMBER(C310)),"INVALID INVOICE DATE",IF(NOT(AND(ISNUMBER(C310),C310&gt;=2,C310&lt;=2958465,C310=INT(C310))),"INVALID INVOICE DATE",IF(NOT(OR(D310="MX",D310="US")),"ENTITY REQUIRED",IF(NOT(OR(E310="Strategic Services",E310="Brands")),"UNIT REQUIRED",IF(F310="","BRAND / N/A REQUIRED",IF(NOT(OR(G310="USD",G310="MXN")),"CURRENCY REQUIRED",IF(NOT(ISNUMBER(H310)),"AMOUNT REQUIRED",IF(J310="","ERP SOURCE REQUIRED",IF(NOT(OR(K310="ISSUED",K310="CANCELLED")),"INVOICE STATUS REQUIRED",IF(COUNTIFS($A$2:$A$501,A310,$B$2:$B$501,B310,$D$2:$D$501,D310)&gt;1,"DUPLICATE INVOICE / PROJECT",IF(AND(G310="MXN",NOT(AND(ISNUMBER(I310),Settings!$B$8="APPROVED",Settings!$B$9&lt;&gt;"",Settings!$B$10&lt;&gt;""))),"FX HOLD","VALID")))))))))))))))</x:f>
      </x:c>
      <x:c r="M310" s="57" t="str">
        <x:f>IF(ISNUMBER(C310),IF(AND(ISNUMBER(C310),C310&gt;=2,C310&lt;=2958465,C310=INT(C310)),TEXT(C310,"yyyy-mm"),""),"")</x:f>
      </x:c>
      <x:c r="N310" s="59" t="str">
        <x:f>IF(L310="VALID",IF(G310="USD",H310,I310),"")</x:f>
      </x:c>
      <x:c r="O310" s="57" t="n">
        <x:f>IF(L310="VALID",IF(COUNTIFS($B$2:B310,B310,$M$2:M310,M310,$L$2:L310,"VALID")=1,1,0),0)</x:f>
        <x:v>0</x:v>
      </x:c>
    </x:row>
    <x:row r="311">
      <x:c r="A311" s="47"/>
      <x:c r="B311" s="47"/>
      <x:c r="C311" s="58"/>
      <x:c r="D311" s="47"/>
      <x:c r="E311" s="47"/>
      <x:c r="F311" s="47"/>
      <x:c r="G311" s="47"/>
      <x:c r="H311" s="48"/>
      <x:c r="I311" s="48"/>
      <x:c r="J311" s="47"/>
      <x:c r="K311" s="47"/>
      <x:c r="L311" s="57" t="str">
        <x:f>IF(COUNTA(A311:K311)=0,"",IF(K311="CANCELLED","CANCELLED",IF(A311="","INVOICE ID REQUIRED",IF(B311="","PROJECT ID REQUIRED",IF(NOT(ISNUMBER(C311)),"INVALID INVOICE DATE",IF(NOT(AND(ISNUMBER(C311),C311&gt;=2,C311&lt;=2958465,C311=INT(C311))),"INVALID INVOICE DATE",IF(NOT(OR(D311="MX",D311="US")),"ENTITY REQUIRED",IF(NOT(OR(E311="Strategic Services",E311="Brands")),"UNIT REQUIRED",IF(F311="","BRAND / N/A REQUIRED",IF(NOT(OR(G311="USD",G311="MXN")),"CURRENCY REQUIRED",IF(NOT(ISNUMBER(H311)),"AMOUNT REQUIRED",IF(J311="","ERP SOURCE REQUIRED",IF(NOT(OR(K311="ISSUED",K311="CANCELLED")),"INVOICE STATUS REQUIRED",IF(COUNTIFS($A$2:$A$501,A311,$B$2:$B$501,B311,$D$2:$D$501,D311)&gt;1,"DUPLICATE INVOICE / PROJECT",IF(AND(G311="MXN",NOT(AND(ISNUMBER(I311),Settings!$B$8="APPROVED",Settings!$B$9&lt;&gt;"",Settings!$B$10&lt;&gt;""))),"FX HOLD","VALID")))))))))))))))</x:f>
      </x:c>
      <x:c r="M311" s="57" t="str">
        <x:f>IF(ISNUMBER(C311),IF(AND(ISNUMBER(C311),C311&gt;=2,C311&lt;=2958465,C311=INT(C311)),TEXT(C311,"yyyy-mm"),""),"")</x:f>
      </x:c>
      <x:c r="N311" s="59" t="str">
        <x:f>IF(L311="VALID",IF(G311="USD",H311,I311),"")</x:f>
      </x:c>
      <x:c r="O311" s="57" t="n">
        <x:f>IF(L311="VALID",IF(COUNTIFS($B$2:B311,B311,$M$2:M311,M311,$L$2:L311,"VALID")=1,1,0),0)</x:f>
        <x:v>0</x:v>
      </x:c>
    </x:row>
    <x:row r="312">
      <x:c r="A312" s="47"/>
      <x:c r="B312" s="47"/>
      <x:c r="C312" s="58"/>
      <x:c r="D312" s="47"/>
      <x:c r="E312" s="47"/>
      <x:c r="F312" s="47"/>
      <x:c r="G312" s="47"/>
      <x:c r="H312" s="48"/>
      <x:c r="I312" s="48"/>
      <x:c r="J312" s="47"/>
      <x:c r="K312" s="47"/>
      <x:c r="L312" s="57" t="str">
        <x:f>IF(COUNTA(A312:K312)=0,"",IF(K312="CANCELLED","CANCELLED",IF(A312="","INVOICE ID REQUIRED",IF(B312="","PROJECT ID REQUIRED",IF(NOT(ISNUMBER(C312)),"INVALID INVOICE DATE",IF(NOT(AND(ISNUMBER(C312),C312&gt;=2,C312&lt;=2958465,C312=INT(C312))),"INVALID INVOICE DATE",IF(NOT(OR(D312="MX",D312="US")),"ENTITY REQUIRED",IF(NOT(OR(E312="Strategic Services",E312="Brands")),"UNIT REQUIRED",IF(F312="","BRAND / N/A REQUIRED",IF(NOT(OR(G312="USD",G312="MXN")),"CURRENCY REQUIRED",IF(NOT(ISNUMBER(H312)),"AMOUNT REQUIRED",IF(J312="","ERP SOURCE REQUIRED",IF(NOT(OR(K312="ISSUED",K312="CANCELLED")),"INVOICE STATUS REQUIRED",IF(COUNTIFS($A$2:$A$501,A312,$B$2:$B$501,B312,$D$2:$D$501,D312)&gt;1,"DUPLICATE INVOICE / PROJECT",IF(AND(G312="MXN",NOT(AND(ISNUMBER(I312),Settings!$B$8="APPROVED",Settings!$B$9&lt;&gt;"",Settings!$B$10&lt;&gt;""))),"FX HOLD","VALID")))))))))))))))</x:f>
      </x:c>
      <x:c r="M312" s="57" t="str">
        <x:f>IF(ISNUMBER(C312),IF(AND(ISNUMBER(C312),C312&gt;=2,C312&lt;=2958465,C312=INT(C312)),TEXT(C312,"yyyy-mm"),""),"")</x:f>
      </x:c>
      <x:c r="N312" s="59" t="str">
        <x:f>IF(L312="VALID",IF(G312="USD",H312,I312),"")</x:f>
      </x:c>
      <x:c r="O312" s="57" t="n">
        <x:f>IF(L312="VALID",IF(COUNTIFS($B$2:B312,B312,$M$2:M312,M312,$L$2:L312,"VALID")=1,1,0),0)</x:f>
        <x:v>0</x:v>
      </x:c>
    </x:row>
    <x:row r="313">
      <x:c r="A313" s="47"/>
      <x:c r="B313" s="47"/>
      <x:c r="C313" s="58"/>
      <x:c r="D313" s="47"/>
      <x:c r="E313" s="47"/>
      <x:c r="F313" s="47"/>
      <x:c r="G313" s="47"/>
      <x:c r="H313" s="48"/>
      <x:c r="I313" s="48"/>
      <x:c r="J313" s="47"/>
      <x:c r="K313" s="47"/>
      <x:c r="L313" s="57" t="str">
        <x:f>IF(COUNTA(A313:K313)=0,"",IF(K313="CANCELLED","CANCELLED",IF(A313="","INVOICE ID REQUIRED",IF(B313="","PROJECT ID REQUIRED",IF(NOT(ISNUMBER(C313)),"INVALID INVOICE DATE",IF(NOT(AND(ISNUMBER(C313),C313&gt;=2,C313&lt;=2958465,C313=INT(C313))),"INVALID INVOICE DATE",IF(NOT(OR(D313="MX",D313="US")),"ENTITY REQUIRED",IF(NOT(OR(E313="Strategic Services",E313="Brands")),"UNIT REQUIRED",IF(F313="","BRAND / N/A REQUIRED",IF(NOT(OR(G313="USD",G313="MXN")),"CURRENCY REQUIRED",IF(NOT(ISNUMBER(H313)),"AMOUNT REQUIRED",IF(J313="","ERP SOURCE REQUIRED",IF(NOT(OR(K313="ISSUED",K313="CANCELLED")),"INVOICE STATUS REQUIRED",IF(COUNTIFS($A$2:$A$501,A313,$B$2:$B$501,B313,$D$2:$D$501,D313)&gt;1,"DUPLICATE INVOICE / PROJECT",IF(AND(G313="MXN",NOT(AND(ISNUMBER(I313),Settings!$B$8="APPROVED",Settings!$B$9&lt;&gt;"",Settings!$B$10&lt;&gt;""))),"FX HOLD","VALID")))))))))))))))</x:f>
      </x:c>
      <x:c r="M313" s="57" t="str">
        <x:f>IF(ISNUMBER(C313),IF(AND(ISNUMBER(C313),C313&gt;=2,C313&lt;=2958465,C313=INT(C313)),TEXT(C313,"yyyy-mm"),""),"")</x:f>
      </x:c>
      <x:c r="N313" s="59" t="str">
        <x:f>IF(L313="VALID",IF(G313="USD",H313,I313),"")</x:f>
      </x:c>
      <x:c r="O313" s="57" t="n">
        <x:f>IF(L313="VALID",IF(COUNTIFS($B$2:B313,B313,$M$2:M313,M313,$L$2:L313,"VALID")=1,1,0),0)</x:f>
        <x:v>0</x:v>
      </x:c>
    </x:row>
    <x:row r="314">
      <x:c r="A314" s="47"/>
      <x:c r="B314" s="47"/>
      <x:c r="C314" s="58"/>
      <x:c r="D314" s="47"/>
      <x:c r="E314" s="47"/>
      <x:c r="F314" s="47"/>
      <x:c r="G314" s="47"/>
      <x:c r="H314" s="48"/>
      <x:c r="I314" s="48"/>
      <x:c r="J314" s="47"/>
      <x:c r="K314" s="47"/>
      <x:c r="L314" s="57" t="str">
        <x:f>IF(COUNTA(A314:K314)=0,"",IF(K314="CANCELLED","CANCELLED",IF(A314="","INVOICE ID REQUIRED",IF(B314="","PROJECT ID REQUIRED",IF(NOT(ISNUMBER(C314)),"INVALID INVOICE DATE",IF(NOT(AND(ISNUMBER(C314),C314&gt;=2,C314&lt;=2958465,C314=INT(C314))),"INVALID INVOICE DATE",IF(NOT(OR(D314="MX",D314="US")),"ENTITY REQUIRED",IF(NOT(OR(E314="Strategic Services",E314="Brands")),"UNIT REQUIRED",IF(F314="","BRAND / N/A REQUIRED",IF(NOT(OR(G314="USD",G314="MXN")),"CURRENCY REQUIRED",IF(NOT(ISNUMBER(H314)),"AMOUNT REQUIRED",IF(J314="","ERP SOURCE REQUIRED",IF(NOT(OR(K314="ISSUED",K314="CANCELLED")),"INVOICE STATUS REQUIRED",IF(COUNTIFS($A$2:$A$501,A314,$B$2:$B$501,B314,$D$2:$D$501,D314)&gt;1,"DUPLICATE INVOICE / PROJECT",IF(AND(G314="MXN",NOT(AND(ISNUMBER(I314),Settings!$B$8="APPROVED",Settings!$B$9&lt;&gt;"",Settings!$B$10&lt;&gt;""))),"FX HOLD","VALID")))))))))))))))</x:f>
      </x:c>
      <x:c r="M314" s="57" t="str">
        <x:f>IF(ISNUMBER(C314),IF(AND(ISNUMBER(C314),C314&gt;=2,C314&lt;=2958465,C314=INT(C314)),TEXT(C314,"yyyy-mm"),""),"")</x:f>
      </x:c>
      <x:c r="N314" s="59" t="str">
        <x:f>IF(L314="VALID",IF(G314="USD",H314,I314),"")</x:f>
      </x:c>
      <x:c r="O314" s="57" t="n">
        <x:f>IF(L314="VALID",IF(COUNTIFS($B$2:B314,B314,$M$2:M314,M314,$L$2:L314,"VALID")=1,1,0),0)</x:f>
        <x:v>0</x:v>
      </x:c>
    </x:row>
    <x:row r="315">
      <x:c r="A315" s="47"/>
      <x:c r="B315" s="47"/>
      <x:c r="C315" s="58"/>
      <x:c r="D315" s="47"/>
      <x:c r="E315" s="47"/>
      <x:c r="F315" s="47"/>
      <x:c r="G315" s="47"/>
      <x:c r="H315" s="48"/>
      <x:c r="I315" s="48"/>
      <x:c r="J315" s="47"/>
      <x:c r="K315" s="47"/>
      <x:c r="L315" s="57" t="str">
        <x:f>IF(COUNTA(A315:K315)=0,"",IF(K315="CANCELLED","CANCELLED",IF(A315="","INVOICE ID REQUIRED",IF(B315="","PROJECT ID REQUIRED",IF(NOT(ISNUMBER(C315)),"INVALID INVOICE DATE",IF(NOT(AND(ISNUMBER(C315),C315&gt;=2,C315&lt;=2958465,C315=INT(C315))),"INVALID INVOICE DATE",IF(NOT(OR(D315="MX",D315="US")),"ENTITY REQUIRED",IF(NOT(OR(E315="Strategic Services",E315="Brands")),"UNIT REQUIRED",IF(F315="","BRAND / N/A REQUIRED",IF(NOT(OR(G315="USD",G315="MXN")),"CURRENCY REQUIRED",IF(NOT(ISNUMBER(H315)),"AMOUNT REQUIRED",IF(J315="","ERP SOURCE REQUIRED",IF(NOT(OR(K315="ISSUED",K315="CANCELLED")),"INVOICE STATUS REQUIRED",IF(COUNTIFS($A$2:$A$501,A315,$B$2:$B$501,B315,$D$2:$D$501,D315)&gt;1,"DUPLICATE INVOICE / PROJECT",IF(AND(G315="MXN",NOT(AND(ISNUMBER(I315),Settings!$B$8="APPROVED",Settings!$B$9&lt;&gt;"",Settings!$B$10&lt;&gt;""))),"FX HOLD","VALID")))))))))))))))</x:f>
      </x:c>
      <x:c r="M315" s="57" t="str">
        <x:f>IF(ISNUMBER(C315),IF(AND(ISNUMBER(C315),C315&gt;=2,C315&lt;=2958465,C315=INT(C315)),TEXT(C315,"yyyy-mm"),""),"")</x:f>
      </x:c>
      <x:c r="N315" s="59" t="str">
        <x:f>IF(L315="VALID",IF(G315="USD",H315,I315),"")</x:f>
      </x:c>
      <x:c r="O315" s="57" t="n">
        <x:f>IF(L315="VALID",IF(COUNTIFS($B$2:B315,B315,$M$2:M315,M315,$L$2:L315,"VALID")=1,1,0),0)</x:f>
        <x:v>0</x:v>
      </x:c>
    </x:row>
    <x:row r="316">
      <x:c r="A316" s="47"/>
      <x:c r="B316" s="47"/>
      <x:c r="C316" s="58"/>
      <x:c r="D316" s="47"/>
      <x:c r="E316" s="47"/>
      <x:c r="F316" s="47"/>
      <x:c r="G316" s="47"/>
      <x:c r="H316" s="48"/>
      <x:c r="I316" s="48"/>
      <x:c r="J316" s="47"/>
      <x:c r="K316" s="47"/>
      <x:c r="L316" s="57" t="str">
        <x:f>IF(COUNTA(A316:K316)=0,"",IF(K316="CANCELLED","CANCELLED",IF(A316="","INVOICE ID REQUIRED",IF(B316="","PROJECT ID REQUIRED",IF(NOT(ISNUMBER(C316)),"INVALID INVOICE DATE",IF(NOT(AND(ISNUMBER(C316),C316&gt;=2,C316&lt;=2958465,C316=INT(C316))),"INVALID INVOICE DATE",IF(NOT(OR(D316="MX",D316="US")),"ENTITY REQUIRED",IF(NOT(OR(E316="Strategic Services",E316="Brands")),"UNIT REQUIRED",IF(F316="","BRAND / N/A REQUIRED",IF(NOT(OR(G316="USD",G316="MXN")),"CURRENCY REQUIRED",IF(NOT(ISNUMBER(H316)),"AMOUNT REQUIRED",IF(J316="","ERP SOURCE REQUIRED",IF(NOT(OR(K316="ISSUED",K316="CANCELLED")),"INVOICE STATUS REQUIRED",IF(COUNTIFS($A$2:$A$501,A316,$B$2:$B$501,B316,$D$2:$D$501,D316)&gt;1,"DUPLICATE INVOICE / PROJECT",IF(AND(G316="MXN",NOT(AND(ISNUMBER(I316),Settings!$B$8="APPROVED",Settings!$B$9&lt;&gt;"",Settings!$B$10&lt;&gt;""))),"FX HOLD","VALID")))))))))))))))</x:f>
      </x:c>
      <x:c r="M316" s="57" t="str">
        <x:f>IF(ISNUMBER(C316),IF(AND(ISNUMBER(C316),C316&gt;=2,C316&lt;=2958465,C316=INT(C316)),TEXT(C316,"yyyy-mm"),""),"")</x:f>
      </x:c>
      <x:c r="N316" s="59" t="str">
        <x:f>IF(L316="VALID",IF(G316="USD",H316,I316),"")</x:f>
      </x:c>
      <x:c r="O316" s="57" t="n">
        <x:f>IF(L316="VALID",IF(COUNTIFS($B$2:B316,B316,$M$2:M316,M316,$L$2:L316,"VALID")=1,1,0),0)</x:f>
        <x:v>0</x:v>
      </x:c>
    </x:row>
    <x:row r="317">
      <x:c r="A317" s="47"/>
      <x:c r="B317" s="47"/>
      <x:c r="C317" s="58"/>
      <x:c r="D317" s="47"/>
      <x:c r="E317" s="47"/>
      <x:c r="F317" s="47"/>
      <x:c r="G317" s="47"/>
      <x:c r="H317" s="48"/>
      <x:c r="I317" s="48"/>
      <x:c r="J317" s="47"/>
      <x:c r="K317" s="47"/>
      <x:c r="L317" s="57" t="str">
        <x:f>IF(COUNTA(A317:K317)=0,"",IF(K317="CANCELLED","CANCELLED",IF(A317="","INVOICE ID REQUIRED",IF(B317="","PROJECT ID REQUIRED",IF(NOT(ISNUMBER(C317)),"INVALID INVOICE DATE",IF(NOT(AND(ISNUMBER(C317),C317&gt;=2,C317&lt;=2958465,C317=INT(C317))),"INVALID INVOICE DATE",IF(NOT(OR(D317="MX",D317="US")),"ENTITY REQUIRED",IF(NOT(OR(E317="Strategic Services",E317="Brands")),"UNIT REQUIRED",IF(F317="","BRAND / N/A REQUIRED",IF(NOT(OR(G317="USD",G317="MXN")),"CURRENCY REQUIRED",IF(NOT(ISNUMBER(H317)),"AMOUNT REQUIRED",IF(J317="","ERP SOURCE REQUIRED",IF(NOT(OR(K317="ISSUED",K317="CANCELLED")),"INVOICE STATUS REQUIRED",IF(COUNTIFS($A$2:$A$501,A317,$B$2:$B$501,B317,$D$2:$D$501,D317)&gt;1,"DUPLICATE INVOICE / PROJECT",IF(AND(G317="MXN",NOT(AND(ISNUMBER(I317),Settings!$B$8="APPROVED",Settings!$B$9&lt;&gt;"",Settings!$B$10&lt;&gt;""))),"FX HOLD","VALID")))))))))))))))</x:f>
      </x:c>
      <x:c r="M317" s="57" t="str">
        <x:f>IF(ISNUMBER(C317),IF(AND(ISNUMBER(C317),C317&gt;=2,C317&lt;=2958465,C317=INT(C317)),TEXT(C317,"yyyy-mm"),""),"")</x:f>
      </x:c>
      <x:c r="N317" s="59" t="str">
        <x:f>IF(L317="VALID",IF(G317="USD",H317,I317),"")</x:f>
      </x:c>
      <x:c r="O317" s="57" t="n">
        <x:f>IF(L317="VALID",IF(COUNTIFS($B$2:B317,B317,$M$2:M317,M317,$L$2:L317,"VALID")=1,1,0),0)</x:f>
        <x:v>0</x:v>
      </x:c>
    </x:row>
    <x:row r="318">
      <x:c r="A318" s="47"/>
      <x:c r="B318" s="47"/>
      <x:c r="C318" s="58"/>
      <x:c r="D318" s="47"/>
      <x:c r="E318" s="47"/>
      <x:c r="F318" s="47"/>
      <x:c r="G318" s="47"/>
      <x:c r="H318" s="48"/>
      <x:c r="I318" s="48"/>
      <x:c r="J318" s="47"/>
      <x:c r="K318" s="47"/>
      <x:c r="L318" s="57" t="str">
        <x:f>IF(COUNTA(A318:K318)=0,"",IF(K318="CANCELLED","CANCELLED",IF(A318="","INVOICE ID REQUIRED",IF(B318="","PROJECT ID REQUIRED",IF(NOT(ISNUMBER(C318)),"INVALID INVOICE DATE",IF(NOT(AND(ISNUMBER(C318),C318&gt;=2,C318&lt;=2958465,C318=INT(C318))),"INVALID INVOICE DATE",IF(NOT(OR(D318="MX",D318="US")),"ENTITY REQUIRED",IF(NOT(OR(E318="Strategic Services",E318="Brands")),"UNIT REQUIRED",IF(F318="","BRAND / N/A REQUIRED",IF(NOT(OR(G318="USD",G318="MXN")),"CURRENCY REQUIRED",IF(NOT(ISNUMBER(H318)),"AMOUNT REQUIRED",IF(J318="","ERP SOURCE REQUIRED",IF(NOT(OR(K318="ISSUED",K318="CANCELLED")),"INVOICE STATUS REQUIRED",IF(COUNTIFS($A$2:$A$501,A318,$B$2:$B$501,B318,$D$2:$D$501,D318)&gt;1,"DUPLICATE INVOICE / PROJECT",IF(AND(G318="MXN",NOT(AND(ISNUMBER(I318),Settings!$B$8="APPROVED",Settings!$B$9&lt;&gt;"",Settings!$B$10&lt;&gt;""))),"FX HOLD","VALID")))))))))))))))</x:f>
      </x:c>
      <x:c r="M318" s="57" t="str">
        <x:f>IF(ISNUMBER(C318),IF(AND(ISNUMBER(C318),C318&gt;=2,C318&lt;=2958465,C318=INT(C318)),TEXT(C318,"yyyy-mm"),""),"")</x:f>
      </x:c>
      <x:c r="N318" s="59" t="str">
        <x:f>IF(L318="VALID",IF(G318="USD",H318,I318),"")</x:f>
      </x:c>
      <x:c r="O318" s="57" t="n">
        <x:f>IF(L318="VALID",IF(COUNTIFS($B$2:B318,B318,$M$2:M318,M318,$L$2:L318,"VALID")=1,1,0),0)</x:f>
        <x:v>0</x:v>
      </x:c>
    </x:row>
    <x:row r="319">
      <x:c r="A319" s="47"/>
      <x:c r="B319" s="47"/>
      <x:c r="C319" s="58"/>
      <x:c r="D319" s="47"/>
      <x:c r="E319" s="47"/>
      <x:c r="F319" s="47"/>
      <x:c r="G319" s="47"/>
      <x:c r="H319" s="48"/>
      <x:c r="I319" s="48"/>
      <x:c r="J319" s="47"/>
      <x:c r="K319" s="47"/>
      <x:c r="L319" s="57" t="str">
        <x:f>IF(COUNTA(A319:K319)=0,"",IF(K319="CANCELLED","CANCELLED",IF(A319="","INVOICE ID REQUIRED",IF(B319="","PROJECT ID REQUIRED",IF(NOT(ISNUMBER(C319)),"INVALID INVOICE DATE",IF(NOT(AND(ISNUMBER(C319),C319&gt;=2,C319&lt;=2958465,C319=INT(C319))),"INVALID INVOICE DATE",IF(NOT(OR(D319="MX",D319="US")),"ENTITY REQUIRED",IF(NOT(OR(E319="Strategic Services",E319="Brands")),"UNIT REQUIRED",IF(F319="","BRAND / N/A REQUIRED",IF(NOT(OR(G319="USD",G319="MXN")),"CURRENCY REQUIRED",IF(NOT(ISNUMBER(H319)),"AMOUNT REQUIRED",IF(J319="","ERP SOURCE REQUIRED",IF(NOT(OR(K319="ISSUED",K319="CANCELLED")),"INVOICE STATUS REQUIRED",IF(COUNTIFS($A$2:$A$501,A319,$B$2:$B$501,B319,$D$2:$D$501,D319)&gt;1,"DUPLICATE INVOICE / PROJECT",IF(AND(G319="MXN",NOT(AND(ISNUMBER(I319),Settings!$B$8="APPROVED",Settings!$B$9&lt;&gt;"",Settings!$B$10&lt;&gt;""))),"FX HOLD","VALID")))))))))))))))</x:f>
      </x:c>
      <x:c r="M319" s="57" t="str">
        <x:f>IF(ISNUMBER(C319),IF(AND(ISNUMBER(C319),C319&gt;=2,C319&lt;=2958465,C319=INT(C319)),TEXT(C319,"yyyy-mm"),""),"")</x:f>
      </x:c>
      <x:c r="N319" s="59" t="str">
        <x:f>IF(L319="VALID",IF(G319="USD",H319,I319),"")</x:f>
      </x:c>
      <x:c r="O319" s="57" t="n">
        <x:f>IF(L319="VALID",IF(COUNTIFS($B$2:B319,B319,$M$2:M319,M319,$L$2:L319,"VALID")=1,1,0),0)</x:f>
        <x:v>0</x:v>
      </x:c>
    </x:row>
    <x:row r="320">
      <x:c r="A320" s="47"/>
      <x:c r="B320" s="47"/>
      <x:c r="C320" s="58"/>
      <x:c r="D320" s="47"/>
      <x:c r="E320" s="47"/>
      <x:c r="F320" s="47"/>
      <x:c r="G320" s="47"/>
      <x:c r="H320" s="48"/>
      <x:c r="I320" s="48"/>
      <x:c r="J320" s="47"/>
      <x:c r="K320" s="47"/>
      <x:c r="L320" s="57" t="str">
        <x:f>IF(COUNTA(A320:K320)=0,"",IF(K320="CANCELLED","CANCELLED",IF(A320="","INVOICE ID REQUIRED",IF(B320="","PROJECT ID REQUIRED",IF(NOT(ISNUMBER(C320)),"INVALID INVOICE DATE",IF(NOT(AND(ISNUMBER(C320),C320&gt;=2,C320&lt;=2958465,C320=INT(C320))),"INVALID INVOICE DATE",IF(NOT(OR(D320="MX",D320="US")),"ENTITY REQUIRED",IF(NOT(OR(E320="Strategic Services",E320="Brands")),"UNIT REQUIRED",IF(F320="","BRAND / N/A REQUIRED",IF(NOT(OR(G320="USD",G320="MXN")),"CURRENCY REQUIRED",IF(NOT(ISNUMBER(H320)),"AMOUNT REQUIRED",IF(J320="","ERP SOURCE REQUIRED",IF(NOT(OR(K320="ISSUED",K320="CANCELLED")),"INVOICE STATUS REQUIRED",IF(COUNTIFS($A$2:$A$501,A320,$B$2:$B$501,B320,$D$2:$D$501,D320)&gt;1,"DUPLICATE INVOICE / PROJECT",IF(AND(G320="MXN",NOT(AND(ISNUMBER(I320),Settings!$B$8="APPROVED",Settings!$B$9&lt;&gt;"",Settings!$B$10&lt;&gt;""))),"FX HOLD","VALID")))))))))))))))</x:f>
      </x:c>
      <x:c r="M320" s="57" t="str">
        <x:f>IF(ISNUMBER(C320),IF(AND(ISNUMBER(C320),C320&gt;=2,C320&lt;=2958465,C320=INT(C320)),TEXT(C320,"yyyy-mm"),""),"")</x:f>
      </x:c>
      <x:c r="N320" s="59" t="str">
        <x:f>IF(L320="VALID",IF(G320="USD",H320,I320),"")</x:f>
      </x:c>
      <x:c r="O320" s="57" t="n">
        <x:f>IF(L320="VALID",IF(COUNTIFS($B$2:B320,B320,$M$2:M320,M320,$L$2:L320,"VALID")=1,1,0),0)</x:f>
        <x:v>0</x:v>
      </x:c>
    </x:row>
    <x:row r="321">
      <x:c r="A321" s="47"/>
      <x:c r="B321" s="47"/>
      <x:c r="C321" s="58"/>
      <x:c r="D321" s="47"/>
      <x:c r="E321" s="47"/>
      <x:c r="F321" s="47"/>
      <x:c r="G321" s="47"/>
      <x:c r="H321" s="48"/>
      <x:c r="I321" s="48"/>
      <x:c r="J321" s="47"/>
      <x:c r="K321" s="47"/>
      <x:c r="L321" s="57" t="str">
        <x:f>IF(COUNTA(A321:K321)=0,"",IF(K321="CANCELLED","CANCELLED",IF(A321="","INVOICE ID REQUIRED",IF(B321="","PROJECT ID REQUIRED",IF(NOT(ISNUMBER(C321)),"INVALID INVOICE DATE",IF(NOT(AND(ISNUMBER(C321),C321&gt;=2,C321&lt;=2958465,C321=INT(C321))),"INVALID INVOICE DATE",IF(NOT(OR(D321="MX",D321="US")),"ENTITY REQUIRED",IF(NOT(OR(E321="Strategic Services",E321="Brands")),"UNIT REQUIRED",IF(F321="","BRAND / N/A REQUIRED",IF(NOT(OR(G321="USD",G321="MXN")),"CURRENCY REQUIRED",IF(NOT(ISNUMBER(H321)),"AMOUNT REQUIRED",IF(J321="","ERP SOURCE REQUIRED",IF(NOT(OR(K321="ISSUED",K321="CANCELLED")),"INVOICE STATUS REQUIRED",IF(COUNTIFS($A$2:$A$501,A321,$B$2:$B$501,B321,$D$2:$D$501,D321)&gt;1,"DUPLICATE INVOICE / PROJECT",IF(AND(G321="MXN",NOT(AND(ISNUMBER(I321),Settings!$B$8="APPROVED",Settings!$B$9&lt;&gt;"",Settings!$B$10&lt;&gt;""))),"FX HOLD","VALID")))))))))))))))</x:f>
      </x:c>
      <x:c r="M321" s="57" t="str">
        <x:f>IF(ISNUMBER(C321),IF(AND(ISNUMBER(C321),C321&gt;=2,C321&lt;=2958465,C321=INT(C321)),TEXT(C321,"yyyy-mm"),""),"")</x:f>
      </x:c>
      <x:c r="N321" s="59" t="str">
        <x:f>IF(L321="VALID",IF(G321="USD",H321,I321),"")</x:f>
      </x:c>
      <x:c r="O321" s="57" t="n">
        <x:f>IF(L321="VALID",IF(COUNTIFS($B$2:B321,B321,$M$2:M321,M321,$L$2:L321,"VALID")=1,1,0),0)</x:f>
        <x:v>0</x:v>
      </x:c>
    </x:row>
    <x:row r="322">
      <x:c r="A322" s="47"/>
      <x:c r="B322" s="47"/>
      <x:c r="C322" s="58"/>
      <x:c r="D322" s="47"/>
      <x:c r="E322" s="47"/>
      <x:c r="F322" s="47"/>
      <x:c r="G322" s="47"/>
      <x:c r="H322" s="48"/>
      <x:c r="I322" s="48"/>
      <x:c r="J322" s="47"/>
      <x:c r="K322" s="47"/>
      <x:c r="L322" s="57" t="str">
        <x:f>IF(COUNTA(A322:K322)=0,"",IF(K322="CANCELLED","CANCELLED",IF(A322="","INVOICE ID REQUIRED",IF(B322="","PROJECT ID REQUIRED",IF(NOT(ISNUMBER(C322)),"INVALID INVOICE DATE",IF(NOT(AND(ISNUMBER(C322),C322&gt;=2,C322&lt;=2958465,C322=INT(C322))),"INVALID INVOICE DATE",IF(NOT(OR(D322="MX",D322="US")),"ENTITY REQUIRED",IF(NOT(OR(E322="Strategic Services",E322="Brands")),"UNIT REQUIRED",IF(F322="","BRAND / N/A REQUIRED",IF(NOT(OR(G322="USD",G322="MXN")),"CURRENCY REQUIRED",IF(NOT(ISNUMBER(H322)),"AMOUNT REQUIRED",IF(J322="","ERP SOURCE REQUIRED",IF(NOT(OR(K322="ISSUED",K322="CANCELLED")),"INVOICE STATUS REQUIRED",IF(COUNTIFS($A$2:$A$501,A322,$B$2:$B$501,B322,$D$2:$D$501,D322)&gt;1,"DUPLICATE INVOICE / PROJECT",IF(AND(G322="MXN",NOT(AND(ISNUMBER(I322),Settings!$B$8="APPROVED",Settings!$B$9&lt;&gt;"",Settings!$B$10&lt;&gt;""))),"FX HOLD","VALID")))))))))))))))</x:f>
      </x:c>
      <x:c r="M322" s="57" t="str">
        <x:f>IF(ISNUMBER(C322),IF(AND(ISNUMBER(C322),C322&gt;=2,C322&lt;=2958465,C322=INT(C322)),TEXT(C322,"yyyy-mm"),""),"")</x:f>
      </x:c>
      <x:c r="N322" s="59" t="str">
        <x:f>IF(L322="VALID",IF(G322="USD",H322,I322),"")</x:f>
      </x:c>
      <x:c r="O322" s="57" t="n">
        <x:f>IF(L322="VALID",IF(COUNTIFS($B$2:B322,B322,$M$2:M322,M322,$L$2:L322,"VALID")=1,1,0),0)</x:f>
        <x:v>0</x:v>
      </x:c>
    </x:row>
    <x:row r="323">
      <x:c r="A323" s="47"/>
      <x:c r="B323" s="47"/>
      <x:c r="C323" s="58"/>
      <x:c r="D323" s="47"/>
      <x:c r="E323" s="47"/>
      <x:c r="F323" s="47"/>
      <x:c r="G323" s="47"/>
      <x:c r="H323" s="48"/>
      <x:c r="I323" s="48"/>
      <x:c r="J323" s="47"/>
      <x:c r="K323" s="47"/>
      <x:c r="L323" s="57" t="str">
        <x:f>IF(COUNTA(A323:K323)=0,"",IF(K323="CANCELLED","CANCELLED",IF(A323="","INVOICE ID REQUIRED",IF(B323="","PROJECT ID REQUIRED",IF(NOT(ISNUMBER(C323)),"INVALID INVOICE DATE",IF(NOT(AND(ISNUMBER(C323),C323&gt;=2,C323&lt;=2958465,C323=INT(C323))),"INVALID INVOICE DATE",IF(NOT(OR(D323="MX",D323="US")),"ENTITY REQUIRED",IF(NOT(OR(E323="Strategic Services",E323="Brands")),"UNIT REQUIRED",IF(F323="","BRAND / N/A REQUIRED",IF(NOT(OR(G323="USD",G323="MXN")),"CURRENCY REQUIRED",IF(NOT(ISNUMBER(H323)),"AMOUNT REQUIRED",IF(J323="","ERP SOURCE REQUIRED",IF(NOT(OR(K323="ISSUED",K323="CANCELLED")),"INVOICE STATUS REQUIRED",IF(COUNTIFS($A$2:$A$501,A323,$B$2:$B$501,B323,$D$2:$D$501,D323)&gt;1,"DUPLICATE INVOICE / PROJECT",IF(AND(G323="MXN",NOT(AND(ISNUMBER(I323),Settings!$B$8="APPROVED",Settings!$B$9&lt;&gt;"",Settings!$B$10&lt;&gt;""))),"FX HOLD","VALID")))))))))))))))</x:f>
      </x:c>
      <x:c r="M323" s="57" t="str">
        <x:f>IF(ISNUMBER(C323),IF(AND(ISNUMBER(C323),C323&gt;=2,C323&lt;=2958465,C323=INT(C323)),TEXT(C323,"yyyy-mm"),""),"")</x:f>
      </x:c>
      <x:c r="N323" s="59" t="str">
        <x:f>IF(L323="VALID",IF(G323="USD",H323,I323),"")</x:f>
      </x:c>
      <x:c r="O323" s="57" t="n">
        <x:f>IF(L323="VALID",IF(COUNTIFS($B$2:B323,B323,$M$2:M323,M323,$L$2:L323,"VALID")=1,1,0),0)</x:f>
        <x:v>0</x:v>
      </x:c>
    </x:row>
    <x:row r="324">
      <x:c r="A324" s="47"/>
      <x:c r="B324" s="47"/>
      <x:c r="C324" s="58"/>
      <x:c r="D324" s="47"/>
      <x:c r="E324" s="47"/>
      <x:c r="F324" s="47"/>
      <x:c r="G324" s="47"/>
      <x:c r="H324" s="48"/>
      <x:c r="I324" s="48"/>
      <x:c r="J324" s="47"/>
      <x:c r="K324" s="47"/>
      <x:c r="L324" s="57" t="str">
        <x:f>IF(COUNTA(A324:K324)=0,"",IF(K324="CANCELLED","CANCELLED",IF(A324="","INVOICE ID REQUIRED",IF(B324="","PROJECT ID REQUIRED",IF(NOT(ISNUMBER(C324)),"INVALID INVOICE DATE",IF(NOT(AND(ISNUMBER(C324),C324&gt;=2,C324&lt;=2958465,C324=INT(C324))),"INVALID INVOICE DATE",IF(NOT(OR(D324="MX",D324="US")),"ENTITY REQUIRED",IF(NOT(OR(E324="Strategic Services",E324="Brands")),"UNIT REQUIRED",IF(F324="","BRAND / N/A REQUIRED",IF(NOT(OR(G324="USD",G324="MXN")),"CURRENCY REQUIRED",IF(NOT(ISNUMBER(H324)),"AMOUNT REQUIRED",IF(J324="","ERP SOURCE REQUIRED",IF(NOT(OR(K324="ISSUED",K324="CANCELLED")),"INVOICE STATUS REQUIRED",IF(COUNTIFS($A$2:$A$501,A324,$B$2:$B$501,B324,$D$2:$D$501,D324)&gt;1,"DUPLICATE INVOICE / PROJECT",IF(AND(G324="MXN",NOT(AND(ISNUMBER(I324),Settings!$B$8="APPROVED",Settings!$B$9&lt;&gt;"",Settings!$B$10&lt;&gt;""))),"FX HOLD","VALID")))))))))))))))</x:f>
      </x:c>
      <x:c r="M324" s="57" t="str">
        <x:f>IF(ISNUMBER(C324),IF(AND(ISNUMBER(C324),C324&gt;=2,C324&lt;=2958465,C324=INT(C324)),TEXT(C324,"yyyy-mm"),""),"")</x:f>
      </x:c>
      <x:c r="N324" s="59" t="str">
        <x:f>IF(L324="VALID",IF(G324="USD",H324,I324),"")</x:f>
      </x:c>
      <x:c r="O324" s="57" t="n">
        <x:f>IF(L324="VALID",IF(COUNTIFS($B$2:B324,B324,$M$2:M324,M324,$L$2:L324,"VALID")=1,1,0),0)</x:f>
        <x:v>0</x:v>
      </x:c>
    </x:row>
    <x:row r="325">
      <x:c r="A325" s="47"/>
      <x:c r="B325" s="47"/>
      <x:c r="C325" s="58"/>
      <x:c r="D325" s="47"/>
      <x:c r="E325" s="47"/>
      <x:c r="F325" s="47"/>
      <x:c r="G325" s="47"/>
      <x:c r="H325" s="48"/>
      <x:c r="I325" s="48"/>
      <x:c r="J325" s="47"/>
      <x:c r="K325" s="47"/>
      <x:c r="L325" s="57" t="str">
        <x:f>IF(COUNTA(A325:K325)=0,"",IF(K325="CANCELLED","CANCELLED",IF(A325="","INVOICE ID REQUIRED",IF(B325="","PROJECT ID REQUIRED",IF(NOT(ISNUMBER(C325)),"INVALID INVOICE DATE",IF(NOT(AND(ISNUMBER(C325),C325&gt;=2,C325&lt;=2958465,C325=INT(C325))),"INVALID INVOICE DATE",IF(NOT(OR(D325="MX",D325="US")),"ENTITY REQUIRED",IF(NOT(OR(E325="Strategic Services",E325="Brands")),"UNIT REQUIRED",IF(F325="","BRAND / N/A REQUIRED",IF(NOT(OR(G325="USD",G325="MXN")),"CURRENCY REQUIRED",IF(NOT(ISNUMBER(H325)),"AMOUNT REQUIRED",IF(J325="","ERP SOURCE REQUIRED",IF(NOT(OR(K325="ISSUED",K325="CANCELLED")),"INVOICE STATUS REQUIRED",IF(COUNTIFS($A$2:$A$501,A325,$B$2:$B$501,B325,$D$2:$D$501,D325)&gt;1,"DUPLICATE INVOICE / PROJECT",IF(AND(G325="MXN",NOT(AND(ISNUMBER(I325),Settings!$B$8="APPROVED",Settings!$B$9&lt;&gt;"",Settings!$B$10&lt;&gt;""))),"FX HOLD","VALID")))))))))))))))</x:f>
      </x:c>
      <x:c r="M325" s="57" t="str">
        <x:f>IF(ISNUMBER(C325),IF(AND(ISNUMBER(C325),C325&gt;=2,C325&lt;=2958465,C325=INT(C325)),TEXT(C325,"yyyy-mm"),""),"")</x:f>
      </x:c>
      <x:c r="N325" s="59" t="str">
        <x:f>IF(L325="VALID",IF(G325="USD",H325,I325),"")</x:f>
      </x:c>
      <x:c r="O325" s="57" t="n">
        <x:f>IF(L325="VALID",IF(COUNTIFS($B$2:B325,B325,$M$2:M325,M325,$L$2:L325,"VALID")=1,1,0),0)</x:f>
        <x:v>0</x:v>
      </x:c>
    </x:row>
    <x:row r="326">
      <x:c r="A326" s="47"/>
      <x:c r="B326" s="47"/>
      <x:c r="C326" s="58"/>
      <x:c r="D326" s="47"/>
      <x:c r="E326" s="47"/>
      <x:c r="F326" s="47"/>
      <x:c r="G326" s="47"/>
      <x:c r="H326" s="48"/>
      <x:c r="I326" s="48"/>
      <x:c r="J326" s="47"/>
      <x:c r="K326" s="47"/>
      <x:c r="L326" s="57" t="str">
        <x:f>IF(COUNTA(A326:K326)=0,"",IF(K326="CANCELLED","CANCELLED",IF(A326="","INVOICE ID REQUIRED",IF(B326="","PROJECT ID REQUIRED",IF(NOT(ISNUMBER(C326)),"INVALID INVOICE DATE",IF(NOT(AND(ISNUMBER(C326),C326&gt;=2,C326&lt;=2958465,C326=INT(C326))),"INVALID INVOICE DATE",IF(NOT(OR(D326="MX",D326="US")),"ENTITY REQUIRED",IF(NOT(OR(E326="Strategic Services",E326="Brands")),"UNIT REQUIRED",IF(F326="","BRAND / N/A REQUIRED",IF(NOT(OR(G326="USD",G326="MXN")),"CURRENCY REQUIRED",IF(NOT(ISNUMBER(H326)),"AMOUNT REQUIRED",IF(J326="","ERP SOURCE REQUIRED",IF(NOT(OR(K326="ISSUED",K326="CANCELLED")),"INVOICE STATUS REQUIRED",IF(COUNTIFS($A$2:$A$501,A326,$B$2:$B$501,B326,$D$2:$D$501,D326)&gt;1,"DUPLICATE INVOICE / PROJECT",IF(AND(G326="MXN",NOT(AND(ISNUMBER(I326),Settings!$B$8="APPROVED",Settings!$B$9&lt;&gt;"",Settings!$B$10&lt;&gt;""))),"FX HOLD","VALID")))))))))))))))</x:f>
      </x:c>
      <x:c r="M326" s="57" t="str">
        <x:f>IF(ISNUMBER(C326),IF(AND(ISNUMBER(C326),C326&gt;=2,C326&lt;=2958465,C326=INT(C326)),TEXT(C326,"yyyy-mm"),""),"")</x:f>
      </x:c>
      <x:c r="N326" s="59" t="str">
        <x:f>IF(L326="VALID",IF(G326="USD",H326,I326),"")</x:f>
      </x:c>
      <x:c r="O326" s="57" t="n">
        <x:f>IF(L326="VALID",IF(COUNTIFS($B$2:B326,B326,$M$2:M326,M326,$L$2:L326,"VALID")=1,1,0),0)</x:f>
        <x:v>0</x:v>
      </x:c>
    </x:row>
    <x:row r="327">
      <x:c r="A327" s="47"/>
      <x:c r="B327" s="47"/>
      <x:c r="C327" s="58"/>
      <x:c r="D327" s="47"/>
      <x:c r="E327" s="47"/>
      <x:c r="F327" s="47"/>
      <x:c r="G327" s="47"/>
      <x:c r="H327" s="48"/>
      <x:c r="I327" s="48"/>
      <x:c r="J327" s="47"/>
      <x:c r="K327" s="47"/>
      <x:c r="L327" s="57" t="str">
        <x:f>IF(COUNTA(A327:K327)=0,"",IF(K327="CANCELLED","CANCELLED",IF(A327="","INVOICE ID REQUIRED",IF(B327="","PROJECT ID REQUIRED",IF(NOT(ISNUMBER(C327)),"INVALID INVOICE DATE",IF(NOT(AND(ISNUMBER(C327),C327&gt;=2,C327&lt;=2958465,C327=INT(C327))),"INVALID INVOICE DATE",IF(NOT(OR(D327="MX",D327="US")),"ENTITY REQUIRED",IF(NOT(OR(E327="Strategic Services",E327="Brands")),"UNIT REQUIRED",IF(F327="","BRAND / N/A REQUIRED",IF(NOT(OR(G327="USD",G327="MXN")),"CURRENCY REQUIRED",IF(NOT(ISNUMBER(H327)),"AMOUNT REQUIRED",IF(J327="","ERP SOURCE REQUIRED",IF(NOT(OR(K327="ISSUED",K327="CANCELLED")),"INVOICE STATUS REQUIRED",IF(COUNTIFS($A$2:$A$501,A327,$B$2:$B$501,B327,$D$2:$D$501,D327)&gt;1,"DUPLICATE INVOICE / PROJECT",IF(AND(G327="MXN",NOT(AND(ISNUMBER(I327),Settings!$B$8="APPROVED",Settings!$B$9&lt;&gt;"",Settings!$B$10&lt;&gt;""))),"FX HOLD","VALID")))))))))))))))</x:f>
      </x:c>
      <x:c r="M327" s="57" t="str">
        <x:f>IF(ISNUMBER(C327),IF(AND(ISNUMBER(C327),C327&gt;=2,C327&lt;=2958465,C327=INT(C327)),TEXT(C327,"yyyy-mm"),""),"")</x:f>
      </x:c>
      <x:c r="N327" s="59" t="str">
        <x:f>IF(L327="VALID",IF(G327="USD",H327,I327),"")</x:f>
      </x:c>
      <x:c r="O327" s="57" t="n">
        <x:f>IF(L327="VALID",IF(COUNTIFS($B$2:B327,B327,$M$2:M327,M327,$L$2:L327,"VALID")=1,1,0),0)</x:f>
        <x:v>0</x:v>
      </x:c>
    </x:row>
    <x:row r="328">
      <x:c r="A328" s="47"/>
      <x:c r="B328" s="47"/>
      <x:c r="C328" s="58"/>
      <x:c r="D328" s="47"/>
      <x:c r="E328" s="47"/>
      <x:c r="F328" s="47"/>
      <x:c r="G328" s="47"/>
      <x:c r="H328" s="48"/>
      <x:c r="I328" s="48"/>
      <x:c r="J328" s="47"/>
      <x:c r="K328" s="47"/>
      <x:c r="L328" s="57" t="str">
        <x:f>IF(COUNTA(A328:K328)=0,"",IF(K328="CANCELLED","CANCELLED",IF(A328="","INVOICE ID REQUIRED",IF(B328="","PROJECT ID REQUIRED",IF(NOT(ISNUMBER(C328)),"INVALID INVOICE DATE",IF(NOT(AND(ISNUMBER(C328),C328&gt;=2,C328&lt;=2958465,C328=INT(C328))),"INVALID INVOICE DATE",IF(NOT(OR(D328="MX",D328="US")),"ENTITY REQUIRED",IF(NOT(OR(E328="Strategic Services",E328="Brands")),"UNIT REQUIRED",IF(F328="","BRAND / N/A REQUIRED",IF(NOT(OR(G328="USD",G328="MXN")),"CURRENCY REQUIRED",IF(NOT(ISNUMBER(H328)),"AMOUNT REQUIRED",IF(J328="","ERP SOURCE REQUIRED",IF(NOT(OR(K328="ISSUED",K328="CANCELLED")),"INVOICE STATUS REQUIRED",IF(COUNTIFS($A$2:$A$501,A328,$B$2:$B$501,B328,$D$2:$D$501,D328)&gt;1,"DUPLICATE INVOICE / PROJECT",IF(AND(G328="MXN",NOT(AND(ISNUMBER(I328),Settings!$B$8="APPROVED",Settings!$B$9&lt;&gt;"",Settings!$B$10&lt;&gt;""))),"FX HOLD","VALID")))))))))))))))</x:f>
      </x:c>
      <x:c r="M328" s="57" t="str">
        <x:f>IF(ISNUMBER(C328),IF(AND(ISNUMBER(C328),C328&gt;=2,C328&lt;=2958465,C328=INT(C328)),TEXT(C328,"yyyy-mm"),""),"")</x:f>
      </x:c>
      <x:c r="N328" s="59" t="str">
        <x:f>IF(L328="VALID",IF(G328="USD",H328,I328),"")</x:f>
      </x:c>
      <x:c r="O328" s="57" t="n">
        <x:f>IF(L328="VALID",IF(COUNTIFS($B$2:B328,B328,$M$2:M328,M328,$L$2:L328,"VALID")=1,1,0),0)</x:f>
        <x:v>0</x:v>
      </x:c>
    </x:row>
    <x:row r="329">
      <x:c r="A329" s="47"/>
      <x:c r="B329" s="47"/>
      <x:c r="C329" s="58"/>
      <x:c r="D329" s="47"/>
      <x:c r="E329" s="47"/>
      <x:c r="F329" s="47"/>
      <x:c r="G329" s="47"/>
      <x:c r="H329" s="48"/>
      <x:c r="I329" s="48"/>
      <x:c r="J329" s="47"/>
      <x:c r="K329" s="47"/>
      <x:c r="L329" s="57" t="str">
        <x:f>IF(COUNTA(A329:K329)=0,"",IF(K329="CANCELLED","CANCELLED",IF(A329="","INVOICE ID REQUIRED",IF(B329="","PROJECT ID REQUIRED",IF(NOT(ISNUMBER(C329)),"INVALID INVOICE DATE",IF(NOT(AND(ISNUMBER(C329),C329&gt;=2,C329&lt;=2958465,C329=INT(C329))),"INVALID INVOICE DATE",IF(NOT(OR(D329="MX",D329="US")),"ENTITY REQUIRED",IF(NOT(OR(E329="Strategic Services",E329="Brands")),"UNIT REQUIRED",IF(F329="","BRAND / N/A REQUIRED",IF(NOT(OR(G329="USD",G329="MXN")),"CURRENCY REQUIRED",IF(NOT(ISNUMBER(H329)),"AMOUNT REQUIRED",IF(J329="","ERP SOURCE REQUIRED",IF(NOT(OR(K329="ISSUED",K329="CANCELLED")),"INVOICE STATUS REQUIRED",IF(COUNTIFS($A$2:$A$501,A329,$B$2:$B$501,B329,$D$2:$D$501,D329)&gt;1,"DUPLICATE INVOICE / PROJECT",IF(AND(G329="MXN",NOT(AND(ISNUMBER(I329),Settings!$B$8="APPROVED",Settings!$B$9&lt;&gt;"",Settings!$B$10&lt;&gt;""))),"FX HOLD","VALID")))))))))))))))</x:f>
      </x:c>
      <x:c r="M329" s="57" t="str">
        <x:f>IF(ISNUMBER(C329),IF(AND(ISNUMBER(C329),C329&gt;=2,C329&lt;=2958465,C329=INT(C329)),TEXT(C329,"yyyy-mm"),""),"")</x:f>
      </x:c>
      <x:c r="N329" s="59" t="str">
        <x:f>IF(L329="VALID",IF(G329="USD",H329,I329),"")</x:f>
      </x:c>
      <x:c r="O329" s="57" t="n">
        <x:f>IF(L329="VALID",IF(COUNTIFS($B$2:B329,B329,$M$2:M329,M329,$L$2:L329,"VALID")=1,1,0),0)</x:f>
        <x:v>0</x:v>
      </x:c>
    </x:row>
    <x:row r="330">
      <x:c r="A330" s="47"/>
      <x:c r="B330" s="47"/>
      <x:c r="C330" s="58"/>
      <x:c r="D330" s="47"/>
      <x:c r="E330" s="47"/>
      <x:c r="F330" s="47"/>
      <x:c r="G330" s="47"/>
      <x:c r="H330" s="48"/>
      <x:c r="I330" s="48"/>
      <x:c r="J330" s="47"/>
      <x:c r="K330" s="47"/>
      <x:c r="L330" s="57" t="str">
        <x:f>IF(COUNTA(A330:K330)=0,"",IF(K330="CANCELLED","CANCELLED",IF(A330="","INVOICE ID REQUIRED",IF(B330="","PROJECT ID REQUIRED",IF(NOT(ISNUMBER(C330)),"INVALID INVOICE DATE",IF(NOT(AND(ISNUMBER(C330),C330&gt;=2,C330&lt;=2958465,C330=INT(C330))),"INVALID INVOICE DATE",IF(NOT(OR(D330="MX",D330="US")),"ENTITY REQUIRED",IF(NOT(OR(E330="Strategic Services",E330="Brands")),"UNIT REQUIRED",IF(F330="","BRAND / N/A REQUIRED",IF(NOT(OR(G330="USD",G330="MXN")),"CURRENCY REQUIRED",IF(NOT(ISNUMBER(H330)),"AMOUNT REQUIRED",IF(J330="","ERP SOURCE REQUIRED",IF(NOT(OR(K330="ISSUED",K330="CANCELLED")),"INVOICE STATUS REQUIRED",IF(COUNTIFS($A$2:$A$501,A330,$B$2:$B$501,B330,$D$2:$D$501,D330)&gt;1,"DUPLICATE INVOICE / PROJECT",IF(AND(G330="MXN",NOT(AND(ISNUMBER(I330),Settings!$B$8="APPROVED",Settings!$B$9&lt;&gt;"",Settings!$B$10&lt;&gt;""))),"FX HOLD","VALID")))))))))))))))</x:f>
      </x:c>
      <x:c r="M330" s="57" t="str">
        <x:f>IF(ISNUMBER(C330),IF(AND(ISNUMBER(C330),C330&gt;=2,C330&lt;=2958465,C330=INT(C330)),TEXT(C330,"yyyy-mm"),""),"")</x:f>
      </x:c>
      <x:c r="N330" s="59" t="str">
        <x:f>IF(L330="VALID",IF(G330="USD",H330,I330),"")</x:f>
      </x:c>
      <x:c r="O330" s="57" t="n">
        <x:f>IF(L330="VALID",IF(COUNTIFS($B$2:B330,B330,$M$2:M330,M330,$L$2:L330,"VALID")=1,1,0),0)</x:f>
        <x:v>0</x:v>
      </x:c>
    </x:row>
    <x:row r="331">
      <x:c r="A331" s="47"/>
      <x:c r="B331" s="47"/>
      <x:c r="C331" s="58"/>
      <x:c r="D331" s="47"/>
      <x:c r="E331" s="47"/>
      <x:c r="F331" s="47"/>
      <x:c r="G331" s="47"/>
      <x:c r="H331" s="48"/>
      <x:c r="I331" s="48"/>
      <x:c r="J331" s="47"/>
      <x:c r="K331" s="47"/>
      <x:c r="L331" s="57" t="str">
        <x:f>IF(COUNTA(A331:K331)=0,"",IF(K331="CANCELLED","CANCELLED",IF(A331="","INVOICE ID REQUIRED",IF(B331="","PROJECT ID REQUIRED",IF(NOT(ISNUMBER(C331)),"INVALID INVOICE DATE",IF(NOT(AND(ISNUMBER(C331),C331&gt;=2,C331&lt;=2958465,C331=INT(C331))),"INVALID INVOICE DATE",IF(NOT(OR(D331="MX",D331="US")),"ENTITY REQUIRED",IF(NOT(OR(E331="Strategic Services",E331="Brands")),"UNIT REQUIRED",IF(F331="","BRAND / N/A REQUIRED",IF(NOT(OR(G331="USD",G331="MXN")),"CURRENCY REQUIRED",IF(NOT(ISNUMBER(H331)),"AMOUNT REQUIRED",IF(J331="","ERP SOURCE REQUIRED",IF(NOT(OR(K331="ISSUED",K331="CANCELLED")),"INVOICE STATUS REQUIRED",IF(COUNTIFS($A$2:$A$501,A331,$B$2:$B$501,B331,$D$2:$D$501,D331)&gt;1,"DUPLICATE INVOICE / PROJECT",IF(AND(G331="MXN",NOT(AND(ISNUMBER(I331),Settings!$B$8="APPROVED",Settings!$B$9&lt;&gt;"",Settings!$B$10&lt;&gt;""))),"FX HOLD","VALID")))))))))))))))</x:f>
      </x:c>
      <x:c r="M331" s="57" t="str">
        <x:f>IF(ISNUMBER(C331),IF(AND(ISNUMBER(C331),C331&gt;=2,C331&lt;=2958465,C331=INT(C331)),TEXT(C331,"yyyy-mm"),""),"")</x:f>
      </x:c>
      <x:c r="N331" s="59" t="str">
        <x:f>IF(L331="VALID",IF(G331="USD",H331,I331),"")</x:f>
      </x:c>
      <x:c r="O331" s="57" t="n">
        <x:f>IF(L331="VALID",IF(COUNTIFS($B$2:B331,B331,$M$2:M331,M331,$L$2:L331,"VALID")=1,1,0),0)</x:f>
        <x:v>0</x:v>
      </x:c>
    </x:row>
    <x:row r="332">
      <x:c r="A332" s="47"/>
      <x:c r="B332" s="47"/>
      <x:c r="C332" s="58"/>
      <x:c r="D332" s="47"/>
      <x:c r="E332" s="47"/>
      <x:c r="F332" s="47"/>
      <x:c r="G332" s="47"/>
      <x:c r="H332" s="48"/>
      <x:c r="I332" s="48"/>
      <x:c r="J332" s="47"/>
      <x:c r="K332" s="47"/>
      <x:c r="L332" s="57" t="str">
        <x:f>IF(COUNTA(A332:K332)=0,"",IF(K332="CANCELLED","CANCELLED",IF(A332="","INVOICE ID REQUIRED",IF(B332="","PROJECT ID REQUIRED",IF(NOT(ISNUMBER(C332)),"INVALID INVOICE DATE",IF(NOT(AND(ISNUMBER(C332),C332&gt;=2,C332&lt;=2958465,C332=INT(C332))),"INVALID INVOICE DATE",IF(NOT(OR(D332="MX",D332="US")),"ENTITY REQUIRED",IF(NOT(OR(E332="Strategic Services",E332="Brands")),"UNIT REQUIRED",IF(F332="","BRAND / N/A REQUIRED",IF(NOT(OR(G332="USD",G332="MXN")),"CURRENCY REQUIRED",IF(NOT(ISNUMBER(H332)),"AMOUNT REQUIRED",IF(J332="","ERP SOURCE REQUIRED",IF(NOT(OR(K332="ISSUED",K332="CANCELLED")),"INVOICE STATUS REQUIRED",IF(COUNTIFS($A$2:$A$501,A332,$B$2:$B$501,B332,$D$2:$D$501,D332)&gt;1,"DUPLICATE INVOICE / PROJECT",IF(AND(G332="MXN",NOT(AND(ISNUMBER(I332),Settings!$B$8="APPROVED",Settings!$B$9&lt;&gt;"",Settings!$B$10&lt;&gt;""))),"FX HOLD","VALID")))))))))))))))</x:f>
      </x:c>
      <x:c r="M332" s="57" t="str">
        <x:f>IF(ISNUMBER(C332),IF(AND(ISNUMBER(C332),C332&gt;=2,C332&lt;=2958465,C332=INT(C332)),TEXT(C332,"yyyy-mm"),""),"")</x:f>
      </x:c>
      <x:c r="N332" s="59" t="str">
        <x:f>IF(L332="VALID",IF(G332="USD",H332,I332),"")</x:f>
      </x:c>
      <x:c r="O332" s="57" t="n">
        <x:f>IF(L332="VALID",IF(COUNTIFS($B$2:B332,B332,$M$2:M332,M332,$L$2:L332,"VALID")=1,1,0),0)</x:f>
        <x:v>0</x:v>
      </x:c>
    </x:row>
    <x:row r="333">
      <x:c r="A333" s="47"/>
      <x:c r="B333" s="47"/>
      <x:c r="C333" s="58"/>
      <x:c r="D333" s="47"/>
      <x:c r="E333" s="47"/>
      <x:c r="F333" s="47"/>
      <x:c r="G333" s="47"/>
      <x:c r="H333" s="48"/>
      <x:c r="I333" s="48"/>
      <x:c r="J333" s="47"/>
      <x:c r="K333" s="47"/>
      <x:c r="L333" s="57" t="str">
        <x:f>IF(COUNTA(A333:K333)=0,"",IF(K333="CANCELLED","CANCELLED",IF(A333="","INVOICE ID REQUIRED",IF(B333="","PROJECT ID REQUIRED",IF(NOT(ISNUMBER(C333)),"INVALID INVOICE DATE",IF(NOT(AND(ISNUMBER(C333),C333&gt;=2,C333&lt;=2958465,C333=INT(C333))),"INVALID INVOICE DATE",IF(NOT(OR(D333="MX",D333="US")),"ENTITY REQUIRED",IF(NOT(OR(E333="Strategic Services",E333="Brands")),"UNIT REQUIRED",IF(F333="","BRAND / N/A REQUIRED",IF(NOT(OR(G333="USD",G333="MXN")),"CURRENCY REQUIRED",IF(NOT(ISNUMBER(H333)),"AMOUNT REQUIRED",IF(J333="","ERP SOURCE REQUIRED",IF(NOT(OR(K333="ISSUED",K333="CANCELLED")),"INVOICE STATUS REQUIRED",IF(COUNTIFS($A$2:$A$501,A333,$B$2:$B$501,B333,$D$2:$D$501,D333)&gt;1,"DUPLICATE INVOICE / PROJECT",IF(AND(G333="MXN",NOT(AND(ISNUMBER(I333),Settings!$B$8="APPROVED",Settings!$B$9&lt;&gt;"",Settings!$B$10&lt;&gt;""))),"FX HOLD","VALID")))))))))))))))</x:f>
      </x:c>
      <x:c r="M333" s="57" t="str">
        <x:f>IF(ISNUMBER(C333),IF(AND(ISNUMBER(C333),C333&gt;=2,C333&lt;=2958465,C333=INT(C333)),TEXT(C333,"yyyy-mm"),""),"")</x:f>
      </x:c>
      <x:c r="N333" s="59" t="str">
        <x:f>IF(L333="VALID",IF(G333="USD",H333,I333),"")</x:f>
      </x:c>
      <x:c r="O333" s="57" t="n">
        <x:f>IF(L333="VALID",IF(COUNTIFS($B$2:B333,B333,$M$2:M333,M333,$L$2:L333,"VALID")=1,1,0),0)</x:f>
        <x:v>0</x:v>
      </x:c>
    </x:row>
    <x:row r="334">
      <x:c r="A334" s="47"/>
      <x:c r="B334" s="47"/>
      <x:c r="C334" s="58"/>
      <x:c r="D334" s="47"/>
      <x:c r="E334" s="47"/>
      <x:c r="F334" s="47"/>
      <x:c r="G334" s="47"/>
      <x:c r="H334" s="48"/>
      <x:c r="I334" s="48"/>
      <x:c r="J334" s="47"/>
      <x:c r="K334" s="47"/>
      <x:c r="L334" s="57" t="str">
        <x:f>IF(COUNTA(A334:K334)=0,"",IF(K334="CANCELLED","CANCELLED",IF(A334="","INVOICE ID REQUIRED",IF(B334="","PROJECT ID REQUIRED",IF(NOT(ISNUMBER(C334)),"INVALID INVOICE DATE",IF(NOT(AND(ISNUMBER(C334),C334&gt;=2,C334&lt;=2958465,C334=INT(C334))),"INVALID INVOICE DATE",IF(NOT(OR(D334="MX",D334="US")),"ENTITY REQUIRED",IF(NOT(OR(E334="Strategic Services",E334="Brands")),"UNIT REQUIRED",IF(F334="","BRAND / N/A REQUIRED",IF(NOT(OR(G334="USD",G334="MXN")),"CURRENCY REQUIRED",IF(NOT(ISNUMBER(H334)),"AMOUNT REQUIRED",IF(J334="","ERP SOURCE REQUIRED",IF(NOT(OR(K334="ISSUED",K334="CANCELLED")),"INVOICE STATUS REQUIRED",IF(COUNTIFS($A$2:$A$501,A334,$B$2:$B$501,B334,$D$2:$D$501,D334)&gt;1,"DUPLICATE INVOICE / PROJECT",IF(AND(G334="MXN",NOT(AND(ISNUMBER(I334),Settings!$B$8="APPROVED",Settings!$B$9&lt;&gt;"",Settings!$B$10&lt;&gt;""))),"FX HOLD","VALID")))))))))))))))</x:f>
      </x:c>
      <x:c r="M334" s="57" t="str">
        <x:f>IF(ISNUMBER(C334),IF(AND(ISNUMBER(C334),C334&gt;=2,C334&lt;=2958465,C334=INT(C334)),TEXT(C334,"yyyy-mm"),""),"")</x:f>
      </x:c>
      <x:c r="N334" s="59" t="str">
        <x:f>IF(L334="VALID",IF(G334="USD",H334,I334),"")</x:f>
      </x:c>
      <x:c r="O334" s="57" t="n">
        <x:f>IF(L334="VALID",IF(COUNTIFS($B$2:B334,B334,$M$2:M334,M334,$L$2:L334,"VALID")=1,1,0),0)</x:f>
        <x:v>0</x:v>
      </x:c>
    </x:row>
    <x:row r="335">
      <x:c r="A335" s="47"/>
      <x:c r="B335" s="47"/>
      <x:c r="C335" s="58"/>
      <x:c r="D335" s="47"/>
      <x:c r="E335" s="47"/>
      <x:c r="F335" s="47"/>
      <x:c r="G335" s="47"/>
      <x:c r="H335" s="48"/>
      <x:c r="I335" s="48"/>
      <x:c r="J335" s="47"/>
      <x:c r="K335" s="47"/>
      <x:c r="L335" s="57" t="str">
        <x:f>IF(COUNTA(A335:K335)=0,"",IF(K335="CANCELLED","CANCELLED",IF(A335="","INVOICE ID REQUIRED",IF(B335="","PROJECT ID REQUIRED",IF(NOT(ISNUMBER(C335)),"INVALID INVOICE DATE",IF(NOT(AND(ISNUMBER(C335),C335&gt;=2,C335&lt;=2958465,C335=INT(C335))),"INVALID INVOICE DATE",IF(NOT(OR(D335="MX",D335="US")),"ENTITY REQUIRED",IF(NOT(OR(E335="Strategic Services",E335="Brands")),"UNIT REQUIRED",IF(F335="","BRAND / N/A REQUIRED",IF(NOT(OR(G335="USD",G335="MXN")),"CURRENCY REQUIRED",IF(NOT(ISNUMBER(H335)),"AMOUNT REQUIRED",IF(J335="","ERP SOURCE REQUIRED",IF(NOT(OR(K335="ISSUED",K335="CANCELLED")),"INVOICE STATUS REQUIRED",IF(COUNTIFS($A$2:$A$501,A335,$B$2:$B$501,B335,$D$2:$D$501,D335)&gt;1,"DUPLICATE INVOICE / PROJECT",IF(AND(G335="MXN",NOT(AND(ISNUMBER(I335),Settings!$B$8="APPROVED",Settings!$B$9&lt;&gt;"",Settings!$B$10&lt;&gt;""))),"FX HOLD","VALID")))))))))))))))</x:f>
      </x:c>
      <x:c r="M335" s="57" t="str">
        <x:f>IF(ISNUMBER(C335),IF(AND(ISNUMBER(C335),C335&gt;=2,C335&lt;=2958465,C335=INT(C335)),TEXT(C335,"yyyy-mm"),""),"")</x:f>
      </x:c>
      <x:c r="N335" s="59" t="str">
        <x:f>IF(L335="VALID",IF(G335="USD",H335,I335),"")</x:f>
      </x:c>
      <x:c r="O335" s="57" t="n">
        <x:f>IF(L335="VALID",IF(COUNTIFS($B$2:B335,B335,$M$2:M335,M335,$L$2:L335,"VALID")=1,1,0),0)</x:f>
        <x:v>0</x:v>
      </x:c>
    </x:row>
    <x:row r="336">
      <x:c r="A336" s="47"/>
      <x:c r="B336" s="47"/>
      <x:c r="C336" s="58"/>
      <x:c r="D336" s="47"/>
      <x:c r="E336" s="47"/>
      <x:c r="F336" s="47"/>
      <x:c r="G336" s="47"/>
      <x:c r="H336" s="48"/>
      <x:c r="I336" s="48"/>
      <x:c r="J336" s="47"/>
      <x:c r="K336" s="47"/>
      <x:c r="L336" s="57" t="str">
        <x:f>IF(COUNTA(A336:K336)=0,"",IF(K336="CANCELLED","CANCELLED",IF(A336="","INVOICE ID REQUIRED",IF(B336="","PROJECT ID REQUIRED",IF(NOT(ISNUMBER(C336)),"INVALID INVOICE DATE",IF(NOT(AND(ISNUMBER(C336),C336&gt;=2,C336&lt;=2958465,C336=INT(C336))),"INVALID INVOICE DATE",IF(NOT(OR(D336="MX",D336="US")),"ENTITY REQUIRED",IF(NOT(OR(E336="Strategic Services",E336="Brands")),"UNIT REQUIRED",IF(F336="","BRAND / N/A REQUIRED",IF(NOT(OR(G336="USD",G336="MXN")),"CURRENCY REQUIRED",IF(NOT(ISNUMBER(H336)),"AMOUNT REQUIRED",IF(J336="","ERP SOURCE REQUIRED",IF(NOT(OR(K336="ISSUED",K336="CANCELLED")),"INVOICE STATUS REQUIRED",IF(COUNTIFS($A$2:$A$501,A336,$B$2:$B$501,B336,$D$2:$D$501,D336)&gt;1,"DUPLICATE INVOICE / PROJECT",IF(AND(G336="MXN",NOT(AND(ISNUMBER(I336),Settings!$B$8="APPROVED",Settings!$B$9&lt;&gt;"",Settings!$B$10&lt;&gt;""))),"FX HOLD","VALID")))))))))))))))</x:f>
      </x:c>
      <x:c r="M336" s="57" t="str">
        <x:f>IF(ISNUMBER(C336),IF(AND(ISNUMBER(C336),C336&gt;=2,C336&lt;=2958465,C336=INT(C336)),TEXT(C336,"yyyy-mm"),""),"")</x:f>
      </x:c>
      <x:c r="N336" s="59" t="str">
        <x:f>IF(L336="VALID",IF(G336="USD",H336,I336),"")</x:f>
      </x:c>
      <x:c r="O336" s="57" t="n">
        <x:f>IF(L336="VALID",IF(COUNTIFS($B$2:B336,B336,$M$2:M336,M336,$L$2:L336,"VALID")=1,1,0),0)</x:f>
        <x:v>0</x:v>
      </x:c>
    </x:row>
    <x:row r="337">
      <x:c r="A337" s="47"/>
      <x:c r="B337" s="47"/>
      <x:c r="C337" s="58"/>
      <x:c r="D337" s="47"/>
      <x:c r="E337" s="47"/>
      <x:c r="F337" s="47"/>
      <x:c r="G337" s="47"/>
      <x:c r="H337" s="48"/>
      <x:c r="I337" s="48"/>
      <x:c r="J337" s="47"/>
      <x:c r="K337" s="47"/>
      <x:c r="L337" s="57" t="str">
        <x:f>IF(COUNTA(A337:K337)=0,"",IF(K337="CANCELLED","CANCELLED",IF(A337="","INVOICE ID REQUIRED",IF(B337="","PROJECT ID REQUIRED",IF(NOT(ISNUMBER(C337)),"INVALID INVOICE DATE",IF(NOT(AND(ISNUMBER(C337),C337&gt;=2,C337&lt;=2958465,C337=INT(C337))),"INVALID INVOICE DATE",IF(NOT(OR(D337="MX",D337="US")),"ENTITY REQUIRED",IF(NOT(OR(E337="Strategic Services",E337="Brands")),"UNIT REQUIRED",IF(F337="","BRAND / N/A REQUIRED",IF(NOT(OR(G337="USD",G337="MXN")),"CURRENCY REQUIRED",IF(NOT(ISNUMBER(H337)),"AMOUNT REQUIRED",IF(J337="","ERP SOURCE REQUIRED",IF(NOT(OR(K337="ISSUED",K337="CANCELLED")),"INVOICE STATUS REQUIRED",IF(COUNTIFS($A$2:$A$501,A337,$B$2:$B$501,B337,$D$2:$D$501,D337)&gt;1,"DUPLICATE INVOICE / PROJECT",IF(AND(G337="MXN",NOT(AND(ISNUMBER(I337),Settings!$B$8="APPROVED",Settings!$B$9&lt;&gt;"",Settings!$B$10&lt;&gt;""))),"FX HOLD","VALID")))))))))))))))</x:f>
      </x:c>
      <x:c r="M337" s="57" t="str">
        <x:f>IF(ISNUMBER(C337),IF(AND(ISNUMBER(C337),C337&gt;=2,C337&lt;=2958465,C337=INT(C337)),TEXT(C337,"yyyy-mm"),""),"")</x:f>
      </x:c>
      <x:c r="N337" s="59" t="str">
        <x:f>IF(L337="VALID",IF(G337="USD",H337,I337),"")</x:f>
      </x:c>
      <x:c r="O337" s="57" t="n">
        <x:f>IF(L337="VALID",IF(COUNTIFS($B$2:B337,B337,$M$2:M337,M337,$L$2:L337,"VALID")=1,1,0),0)</x:f>
        <x:v>0</x:v>
      </x:c>
    </x:row>
    <x:row r="338">
      <x:c r="A338" s="47"/>
      <x:c r="B338" s="47"/>
      <x:c r="C338" s="58"/>
      <x:c r="D338" s="47"/>
      <x:c r="E338" s="47"/>
      <x:c r="F338" s="47"/>
      <x:c r="G338" s="47"/>
      <x:c r="H338" s="48"/>
      <x:c r="I338" s="48"/>
      <x:c r="J338" s="47"/>
      <x:c r="K338" s="47"/>
      <x:c r="L338" s="57" t="str">
        <x:f>IF(COUNTA(A338:K338)=0,"",IF(K338="CANCELLED","CANCELLED",IF(A338="","INVOICE ID REQUIRED",IF(B338="","PROJECT ID REQUIRED",IF(NOT(ISNUMBER(C338)),"INVALID INVOICE DATE",IF(NOT(AND(ISNUMBER(C338),C338&gt;=2,C338&lt;=2958465,C338=INT(C338))),"INVALID INVOICE DATE",IF(NOT(OR(D338="MX",D338="US")),"ENTITY REQUIRED",IF(NOT(OR(E338="Strategic Services",E338="Brands")),"UNIT REQUIRED",IF(F338="","BRAND / N/A REQUIRED",IF(NOT(OR(G338="USD",G338="MXN")),"CURRENCY REQUIRED",IF(NOT(ISNUMBER(H338)),"AMOUNT REQUIRED",IF(J338="","ERP SOURCE REQUIRED",IF(NOT(OR(K338="ISSUED",K338="CANCELLED")),"INVOICE STATUS REQUIRED",IF(COUNTIFS($A$2:$A$501,A338,$B$2:$B$501,B338,$D$2:$D$501,D338)&gt;1,"DUPLICATE INVOICE / PROJECT",IF(AND(G338="MXN",NOT(AND(ISNUMBER(I338),Settings!$B$8="APPROVED",Settings!$B$9&lt;&gt;"",Settings!$B$10&lt;&gt;""))),"FX HOLD","VALID")))))))))))))))</x:f>
      </x:c>
      <x:c r="M338" s="57" t="str">
        <x:f>IF(ISNUMBER(C338),IF(AND(ISNUMBER(C338),C338&gt;=2,C338&lt;=2958465,C338=INT(C338)),TEXT(C338,"yyyy-mm"),""),"")</x:f>
      </x:c>
      <x:c r="N338" s="59" t="str">
        <x:f>IF(L338="VALID",IF(G338="USD",H338,I338),"")</x:f>
      </x:c>
      <x:c r="O338" s="57" t="n">
        <x:f>IF(L338="VALID",IF(COUNTIFS($B$2:B338,B338,$M$2:M338,M338,$L$2:L338,"VALID")=1,1,0),0)</x:f>
        <x:v>0</x:v>
      </x:c>
    </x:row>
    <x:row r="339">
      <x:c r="A339" s="47"/>
      <x:c r="B339" s="47"/>
      <x:c r="C339" s="58"/>
      <x:c r="D339" s="47"/>
      <x:c r="E339" s="47"/>
      <x:c r="F339" s="47"/>
      <x:c r="G339" s="47"/>
      <x:c r="H339" s="48"/>
      <x:c r="I339" s="48"/>
      <x:c r="J339" s="47"/>
      <x:c r="K339" s="47"/>
      <x:c r="L339" s="57" t="str">
        <x:f>IF(COUNTA(A339:K339)=0,"",IF(K339="CANCELLED","CANCELLED",IF(A339="","INVOICE ID REQUIRED",IF(B339="","PROJECT ID REQUIRED",IF(NOT(ISNUMBER(C339)),"INVALID INVOICE DATE",IF(NOT(AND(ISNUMBER(C339),C339&gt;=2,C339&lt;=2958465,C339=INT(C339))),"INVALID INVOICE DATE",IF(NOT(OR(D339="MX",D339="US")),"ENTITY REQUIRED",IF(NOT(OR(E339="Strategic Services",E339="Brands")),"UNIT REQUIRED",IF(F339="","BRAND / N/A REQUIRED",IF(NOT(OR(G339="USD",G339="MXN")),"CURRENCY REQUIRED",IF(NOT(ISNUMBER(H339)),"AMOUNT REQUIRED",IF(J339="","ERP SOURCE REQUIRED",IF(NOT(OR(K339="ISSUED",K339="CANCELLED")),"INVOICE STATUS REQUIRED",IF(COUNTIFS($A$2:$A$501,A339,$B$2:$B$501,B339,$D$2:$D$501,D339)&gt;1,"DUPLICATE INVOICE / PROJECT",IF(AND(G339="MXN",NOT(AND(ISNUMBER(I339),Settings!$B$8="APPROVED",Settings!$B$9&lt;&gt;"",Settings!$B$10&lt;&gt;""))),"FX HOLD","VALID")))))))))))))))</x:f>
      </x:c>
      <x:c r="M339" s="57" t="str">
        <x:f>IF(ISNUMBER(C339),IF(AND(ISNUMBER(C339),C339&gt;=2,C339&lt;=2958465,C339=INT(C339)),TEXT(C339,"yyyy-mm"),""),"")</x:f>
      </x:c>
      <x:c r="N339" s="59" t="str">
        <x:f>IF(L339="VALID",IF(G339="USD",H339,I339),"")</x:f>
      </x:c>
      <x:c r="O339" s="57" t="n">
        <x:f>IF(L339="VALID",IF(COUNTIFS($B$2:B339,B339,$M$2:M339,M339,$L$2:L339,"VALID")=1,1,0),0)</x:f>
        <x:v>0</x:v>
      </x:c>
    </x:row>
    <x:row r="340">
      <x:c r="A340" s="47"/>
      <x:c r="B340" s="47"/>
      <x:c r="C340" s="58"/>
      <x:c r="D340" s="47"/>
      <x:c r="E340" s="47"/>
      <x:c r="F340" s="47"/>
      <x:c r="G340" s="47"/>
      <x:c r="H340" s="48"/>
      <x:c r="I340" s="48"/>
      <x:c r="J340" s="47"/>
      <x:c r="K340" s="47"/>
      <x:c r="L340" s="57" t="str">
        <x:f>IF(COUNTA(A340:K340)=0,"",IF(K340="CANCELLED","CANCELLED",IF(A340="","INVOICE ID REQUIRED",IF(B340="","PROJECT ID REQUIRED",IF(NOT(ISNUMBER(C340)),"INVALID INVOICE DATE",IF(NOT(AND(ISNUMBER(C340),C340&gt;=2,C340&lt;=2958465,C340=INT(C340))),"INVALID INVOICE DATE",IF(NOT(OR(D340="MX",D340="US")),"ENTITY REQUIRED",IF(NOT(OR(E340="Strategic Services",E340="Brands")),"UNIT REQUIRED",IF(F340="","BRAND / N/A REQUIRED",IF(NOT(OR(G340="USD",G340="MXN")),"CURRENCY REQUIRED",IF(NOT(ISNUMBER(H340)),"AMOUNT REQUIRED",IF(J340="","ERP SOURCE REQUIRED",IF(NOT(OR(K340="ISSUED",K340="CANCELLED")),"INVOICE STATUS REQUIRED",IF(COUNTIFS($A$2:$A$501,A340,$B$2:$B$501,B340,$D$2:$D$501,D340)&gt;1,"DUPLICATE INVOICE / PROJECT",IF(AND(G340="MXN",NOT(AND(ISNUMBER(I340),Settings!$B$8="APPROVED",Settings!$B$9&lt;&gt;"",Settings!$B$10&lt;&gt;""))),"FX HOLD","VALID")))))))))))))))</x:f>
      </x:c>
      <x:c r="M340" s="57" t="str">
        <x:f>IF(ISNUMBER(C340),IF(AND(ISNUMBER(C340),C340&gt;=2,C340&lt;=2958465,C340=INT(C340)),TEXT(C340,"yyyy-mm"),""),"")</x:f>
      </x:c>
      <x:c r="N340" s="59" t="str">
        <x:f>IF(L340="VALID",IF(G340="USD",H340,I340),"")</x:f>
      </x:c>
      <x:c r="O340" s="57" t="n">
        <x:f>IF(L340="VALID",IF(COUNTIFS($B$2:B340,B340,$M$2:M340,M340,$L$2:L340,"VALID")=1,1,0),0)</x:f>
        <x:v>0</x:v>
      </x:c>
    </x:row>
    <x:row r="341">
      <x:c r="A341" s="47"/>
      <x:c r="B341" s="47"/>
      <x:c r="C341" s="58"/>
      <x:c r="D341" s="47"/>
      <x:c r="E341" s="47"/>
      <x:c r="F341" s="47"/>
      <x:c r="G341" s="47"/>
      <x:c r="H341" s="48"/>
      <x:c r="I341" s="48"/>
      <x:c r="J341" s="47"/>
      <x:c r="K341" s="47"/>
      <x:c r="L341" s="57" t="str">
        <x:f>IF(COUNTA(A341:K341)=0,"",IF(K341="CANCELLED","CANCELLED",IF(A341="","INVOICE ID REQUIRED",IF(B341="","PROJECT ID REQUIRED",IF(NOT(ISNUMBER(C341)),"INVALID INVOICE DATE",IF(NOT(AND(ISNUMBER(C341),C341&gt;=2,C341&lt;=2958465,C341=INT(C341))),"INVALID INVOICE DATE",IF(NOT(OR(D341="MX",D341="US")),"ENTITY REQUIRED",IF(NOT(OR(E341="Strategic Services",E341="Brands")),"UNIT REQUIRED",IF(F341="","BRAND / N/A REQUIRED",IF(NOT(OR(G341="USD",G341="MXN")),"CURRENCY REQUIRED",IF(NOT(ISNUMBER(H341)),"AMOUNT REQUIRED",IF(J341="","ERP SOURCE REQUIRED",IF(NOT(OR(K341="ISSUED",K341="CANCELLED")),"INVOICE STATUS REQUIRED",IF(COUNTIFS($A$2:$A$501,A341,$B$2:$B$501,B341,$D$2:$D$501,D341)&gt;1,"DUPLICATE INVOICE / PROJECT",IF(AND(G341="MXN",NOT(AND(ISNUMBER(I341),Settings!$B$8="APPROVED",Settings!$B$9&lt;&gt;"",Settings!$B$10&lt;&gt;""))),"FX HOLD","VALID")))))))))))))))</x:f>
      </x:c>
      <x:c r="M341" s="57" t="str">
        <x:f>IF(ISNUMBER(C341),IF(AND(ISNUMBER(C341),C341&gt;=2,C341&lt;=2958465,C341=INT(C341)),TEXT(C341,"yyyy-mm"),""),"")</x:f>
      </x:c>
      <x:c r="N341" s="59" t="str">
        <x:f>IF(L341="VALID",IF(G341="USD",H341,I341),"")</x:f>
      </x:c>
      <x:c r="O341" s="57" t="n">
        <x:f>IF(L341="VALID",IF(COUNTIFS($B$2:B341,B341,$M$2:M341,M341,$L$2:L341,"VALID")=1,1,0),0)</x:f>
        <x:v>0</x:v>
      </x:c>
    </x:row>
    <x:row r="342">
      <x:c r="A342" s="47"/>
      <x:c r="B342" s="47"/>
      <x:c r="C342" s="58"/>
      <x:c r="D342" s="47"/>
      <x:c r="E342" s="47"/>
      <x:c r="F342" s="47"/>
      <x:c r="G342" s="47"/>
      <x:c r="H342" s="48"/>
      <x:c r="I342" s="48"/>
      <x:c r="J342" s="47"/>
      <x:c r="K342" s="47"/>
      <x:c r="L342" s="57" t="str">
        <x:f>IF(COUNTA(A342:K342)=0,"",IF(K342="CANCELLED","CANCELLED",IF(A342="","INVOICE ID REQUIRED",IF(B342="","PROJECT ID REQUIRED",IF(NOT(ISNUMBER(C342)),"INVALID INVOICE DATE",IF(NOT(AND(ISNUMBER(C342),C342&gt;=2,C342&lt;=2958465,C342=INT(C342))),"INVALID INVOICE DATE",IF(NOT(OR(D342="MX",D342="US")),"ENTITY REQUIRED",IF(NOT(OR(E342="Strategic Services",E342="Brands")),"UNIT REQUIRED",IF(F342="","BRAND / N/A REQUIRED",IF(NOT(OR(G342="USD",G342="MXN")),"CURRENCY REQUIRED",IF(NOT(ISNUMBER(H342)),"AMOUNT REQUIRED",IF(J342="","ERP SOURCE REQUIRED",IF(NOT(OR(K342="ISSUED",K342="CANCELLED")),"INVOICE STATUS REQUIRED",IF(COUNTIFS($A$2:$A$501,A342,$B$2:$B$501,B342,$D$2:$D$501,D342)&gt;1,"DUPLICATE INVOICE / PROJECT",IF(AND(G342="MXN",NOT(AND(ISNUMBER(I342),Settings!$B$8="APPROVED",Settings!$B$9&lt;&gt;"",Settings!$B$10&lt;&gt;""))),"FX HOLD","VALID")))))))))))))))</x:f>
      </x:c>
      <x:c r="M342" s="57" t="str">
        <x:f>IF(ISNUMBER(C342),IF(AND(ISNUMBER(C342),C342&gt;=2,C342&lt;=2958465,C342=INT(C342)),TEXT(C342,"yyyy-mm"),""),"")</x:f>
      </x:c>
      <x:c r="N342" s="59" t="str">
        <x:f>IF(L342="VALID",IF(G342="USD",H342,I342),"")</x:f>
      </x:c>
      <x:c r="O342" s="57" t="n">
        <x:f>IF(L342="VALID",IF(COUNTIFS($B$2:B342,B342,$M$2:M342,M342,$L$2:L342,"VALID")=1,1,0),0)</x:f>
        <x:v>0</x:v>
      </x:c>
    </x:row>
    <x:row r="343">
      <x:c r="A343" s="47"/>
      <x:c r="B343" s="47"/>
      <x:c r="C343" s="58"/>
      <x:c r="D343" s="47"/>
      <x:c r="E343" s="47"/>
      <x:c r="F343" s="47"/>
      <x:c r="G343" s="47"/>
      <x:c r="H343" s="48"/>
      <x:c r="I343" s="48"/>
      <x:c r="J343" s="47"/>
      <x:c r="K343" s="47"/>
      <x:c r="L343" s="57" t="str">
        <x:f>IF(COUNTA(A343:K343)=0,"",IF(K343="CANCELLED","CANCELLED",IF(A343="","INVOICE ID REQUIRED",IF(B343="","PROJECT ID REQUIRED",IF(NOT(ISNUMBER(C343)),"INVALID INVOICE DATE",IF(NOT(AND(ISNUMBER(C343),C343&gt;=2,C343&lt;=2958465,C343=INT(C343))),"INVALID INVOICE DATE",IF(NOT(OR(D343="MX",D343="US")),"ENTITY REQUIRED",IF(NOT(OR(E343="Strategic Services",E343="Brands")),"UNIT REQUIRED",IF(F343="","BRAND / N/A REQUIRED",IF(NOT(OR(G343="USD",G343="MXN")),"CURRENCY REQUIRED",IF(NOT(ISNUMBER(H343)),"AMOUNT REQUIRED",IF(J343="","ERP SOURCE REQUIRED",IF(NOT(OR(K343="ISSUED",K343="CANCELLED")),"INVOICE STATUS REQUIRED",IF(COUNTIFS($A$2:$A$501,A343,$B$2:$B$501,B343,$D$2:$D$501,D343)&gt;1,"DUPLICATE INVOICE / PROJECT",IF(AND(G343="MXN",NOT(AND(ISNUMBER(I343),Settings!$B$8="APPROVED",Settings!$B$9&lt;&gt;"",Settings!$B$10&lt;&gt;""))),"FX HOLD","VALID")))))))))))))))</x:f>
      </x:c>
      <x:c r="M343" s="57" t="str">
        <x:f>IF(ISNUMBER(C343),IF(AND(ISNUMBER(C343),C343&gt;=2,C343&lt;=2958465,C343=INT(C343)),TEXT(C343,"yyyy-mm"),""),"")</x:f>
      </x:c>
      <x:c r="N343" s="59" t="str">
        <x:f>IF(L343="VALID",IF(G343="USD",H343,I343),"")</x:f>
      </x:c>
      <x:c r="O343" s="57" t="n">
        <x:f>IF(L343="VALID",IF(COUNTIFS($B$2:B343,B343,$M$2:M343,M343,$L$2:L343,"VALID")=1,1,0),0)</x:f>
        <x:v>0</x:v>
      </x:c>
    </x:row>
    <x:row r="344">
      <x:c r="A344" s="47"/>
      <x:c r="B344" s="47"/>
      <x:c r="C344" s="58"/>
      <x:c r="D344" s="47"/>
      <x:c r="E344" s="47"/>
      <x:c r="F344" s="47"/>
      <x:c r="G344" s="47"/>
      <x:c r="H344" s="48"/>
      <x:c r="I344" s="48"/>
      <x:c r="J344" s="47"/>
      <x:c r="K344" s="47"/>
      <x:c r="L344" s="57" t="str">
        <x:f>IF(COUNTA(A344:K344)=0,"",IF(K344="CANCELLED","CANCELLED",IF(A344="","INVOICE ID REQUIRED",IF(B344="","PROJECT ID REQUIRED",IF(NOT(ISNUMBER(C344)),"INVALID INVOICE DATE",IF(NOT(AND(ISNUMBER(C344),C344&gt;=2,C344&lt;=2958465,C344=INT(C344))),"INVALID INVOICE DATE",IF(NOT(OR(D344="MX",D344="US")),"ENTITY REQUIRED",IF(NOT(OR(E344="Strategic Services",E344="Brands")),"UNIT REQUIRED",IF(F344="","BRAND / N/A REQUIRED",IF(NOT(OR(G344="USD",G344="MXN")),"CURRENCY REQUIRED",IF(NOT(ISNUMBER(H344)),"AMOUNT REQUIRED",IF(J344="","ERP SOURCE REQUIRED",IF(NOT(OR(K344="ISSUED",K344="CANCELLED")),"INVOICE STATUS REQUIRED",IF(COUNTIFS($A$2:$A$501,A344,$B$2:$B$501,B344,$D$2:$D$501,D344)&gt;1,"DUPLICATE INVOICE / PROJECT",IF(AND(G344="MXN",NOT(AND(ISNUMBER(I344),Settings!$B$8="APPROVED",Settings!$B$9&lt;&gt;"",Settings!$B$10&lt;&gt;""))),"FX HOLD","VALID")))))))))))))))</x:f>
      </x:c>
      <x:c r="M344" s="57" t="str">
        <x:f>IF(ISNUMBER(C344),IF(AND(ISNUMBER(C344),C344&gt;=2,C344&lt;=2958465,C344=INT(C344)),TEXT(C344,"yyyy-mm"),""),"")</x:f>
      </x:c>
      <x:c r="N344" s="59" t="str">
        <x:f>IF(L344="VALID",IF(G344="USD",H344,I344),"")</x:f>
      </x:c>
      <x:c r="O344" s="57" t="n">
        <x:f>IF(L344="VALID",IF(COUNTIFS($B$2:B344,B344,$M$2:M344,M344,$L$2:L344,"VALID")=1,1,0),0)</x:f>
        <x:v>0</x:v>
      </x:c>
    </x:row>
    <x:row r="345">
      <x:c r="A345" s="47"/>
      <x:c r="B345" s="47"/>
      <x:c r="C345" s="58"/>
      <x:c r="D345" s="47"/>
      <x:c r="E345" s="47"/>
      <x:c r="F345" s="47"/>
      <x:c r="G345" s="47"/>
      <x:c r="H345" s="48"/>
      <x:c r="I345" s="48"/>
      <x:c r="J345" s="47"/>
      <x:c r="K345" s="47"/>
      <x:c r="L345" s="57" t="str">
        <x:f>IF(COUNTA(A345:K345)=0,"",IF(K345="CANCELLED","CANCELLED",IF(A345="","INVOICE ID REQUIRED",IF(B345="","PROJECT ID REQUIRED",IF(NOT(ISNUMBER(C345)),"INVALID INVOICE DATE",IF(NOT(AND(ISNUMBER(C345),C345&gt;=2,C345&lt;=2958465,C345=INT(C345))),"INVALID INVOICE DATE",IF(NOT(OR(D345="MX",D345="US")),"ENTITY REQUIRED",IF(NOT(OR(E345="Strategic Services",E345="Brands")),"UNIT REQUIRED",IF(F345="","BRAND / N/A REQUIRED",IF(NOT(OR(G345="USD",G345="MXN")),"CURRENCY REQUIRED",IF(NOT(ISNUMBER(H345)),"AMOUNT REQUIRED",IF(J345="","ERP SOURCE REQUIRED",IF(NOT(OR(K345="ISSUED",K345="CANCELLED")),"INVOICE STATUS REQUIRED",IF(COUNTIFS($A$2:$A$501,A345,$B$2:$B$501,B345,$D$2:$D$501,D345)&gt;1,"DUPLICATE INVOICE / PROJECT",IF(AND(G345="MXN",NOT(AND(ISNUMBER(I345),Settings!$B$8="APPROVED",Settings!$B$9&lt;&gt;"",Settings!$B$10&lt;&gt;""))),"FX HOLD","VALID")))))))))))))))</x:f>
      </x:c>
      <x:c r="M345" s="57" t="str">
        <x:f>IF(ISNUMBER(C345),IF(AND(ISNUMBER(C345),C345&gt;=2,C345&lt;=2958465,C345=INT(C345)),TEXT(C345,"yyyy-mm"),""),"")</x:f>
      </x:c>
      <x:c r="N345" s="59" t="str">
        <x:f>IF(L345="VALID",IF(G345="USD",H345,I345),"")</x:f>
      </x:c>
      <x:c r="O345" s="57" t="n">
        <x:f>IF(L345="VALID",IF(COUNTIFS($B$2:B345,B345,$M$2:M345,M345,$L$2:L345,"VALID")=1,1,0),0)</x:f>
        <x:v>0</x:v>
      </x:c>
    </x:row>
    <x:row r="346">
      <x:c r="A346" s="47"/>
      <x:c r="B346" s="47"/>
      <x:c r="C346" s="58"/>
      <x:c r="D346" s="47"/>
      <x:c r="E346" s="47"/>
      <x:c r="F346" s="47"/>
      <x:c r="G346" s="47"/>
      <x:c r="H346" s="48"/>
      <x:c r="I346" s="48"/>
      <x:c r="J346" s="47"/>
      <x:c r="K346" s="47"/>
      <x:c r="L346" s="57" t="str">
        <x:f>IF(COUNTA(A346:K346)=0,"",IF(K346="CANCELLED","CANCELLED",IF(A346="","INVOICE ID REQUIRED",IF(B346="","PROJECT ID REQUIRED",IF(NOT(ISNUMBER(C346)),"INVALID INVOICE DATE",IF(NOT(AND(ISNUMBER(C346),C346&gt;=2,C346&lt;=2958465,C346=INT(C346))),"INVALID INVOICE DATE",IF(NOT(OR(D346="MX",D346="US")),"ENTITY REQUIRED",IF(NOT(OR(E346="Strategic Services",E346="Brands")),"UNIT REQUIRED",IF(F346="","BRAND / N/A REQUIRED",IF(NOT(OR(G346="USD",G346="MXN")),"CURRENCY REQUIRED",IF(NOT(ISNUMBER(H346)),"AMOUNT REQUIRED",IF(J346="","ERP SOURCE REQUIRED",IF(NOT(OR(K346="ISSUED",K346="CANCELLED")),"INVOICE STATUS REQUIRED",IF(COUNTIFS($A$2:$A$501,A346,$B$2:$B$501,B346,$D$2:$D$501,D346)&gt;1,"DUPLICATE INVOICE / PROJECT",IF(AND(G346="MXN",NOT(AND(ISNUMBER(I346),Settings!$B$8="APPROVED",Settings!$B$9&lt;&gt;"",Settings!$B$10&lt;&gt;""))),"FX HOLD","VALID")))))))))))))))</x:f>
      </x:c>
      <x:c r="M346" s="57" t="str">
        <x:f>IF(ISNUMBER(C346),IF(AND(ISNUMBER(C346),C346&gt;=2,C346&lt;=2958465,C346=INT(C346)),TEXT(C346,"yyyy-mm"),""),"")</x:f>
      </x:c>
      <x:c r="N346" s="59" t="str">
        <x:f>IF(L346="VALID",IF(G346="USD",H346,I346),"")</x:f>
      </x:c>
      <x:c r="O346" s="57" t="n">
        <x:f>IF(L346="VALID",IF(COUNTIFS($B$2:B346,B346,$M$2:M346,M346,$L$2:L346,"VALID")=1,1,0),0)</x:f>
        <x:v>0</x:v>
      </x:c>
    </x:row>
    <x:row r="347">
      <x:c r="A347" s="47"/>
      <x:c r="B347" s="47"/>
      <x:c r="C347" s="58"/>
      <x:c r="D347" s="47"/>
      <x:c r="E347" s="47"/>
      <x:c r="F347" s="47"/>
      <x:c r="G347" s="47"/>
      <x:c r="H347" s="48"/>
      <x:c r="I347" s="48"/>
      <x:c r="J347" s="47"/>
      <x:c r="K347" s="47"/>
      <x:c r="L347" s="57" t="str">
        <x:f>IF(COUNTA(A347:K347)=0,"",IF(K347="CANCELLED","CANCELLED",IF(A347="","INVOICE ID REQUIRED",IF(B347="","PROJECT ID REQUIRED",IF(NOT(ISNUMBER(C347)),"INVALID INVOICE DATE",IF(NOT(AND(ISNUMBER(C347),C347&gt;=2,C347&lt;=2958465,C347=INT(C347))),"INVALID INVOICE DATE",IF(NOT(OR(D347="MX",D347="US")),"ENTITY REQUIRED",IF(NOT(OR(E347="Strategic Services",E347="Brands")),"UNIT REQUIRED",IF(F347="","BRAND / N/A REQUIRED",IF(NOT(OR(G347="USD",G347="MXN")),"CURRENCY REQUIRED",IF(NOT(ISNUMBER(H347)),"AMOUNT REQUIRED",IF(J347="","ERP SOURCE REQUIRED",IF(NOT(OR(K347="ISSUED",K347="CANCELLED")),"INVOICE STATUS REQUIRED",IF(COUNTIFS($A$2:$A$501,A347,$B$2:$B$501,B347,$D$2:$D$501,D347)&gt;1,"DUPLICATE INVOICE / PROJECT",IF(AND(G347="MXN",NOT(AND(ISNUMBER(I347),Settings!$B$8="APPROVED",Settings!$B$9&lt;&gt;"",Settings!$B$10&lt;&gt;""))),"FX HOLD","VALID")))))))))))))))</x:f>
      </x:c>
      <x:c r="M347" s="57" t="str">
        <x:f>IF(ISNUMBER(C347),IF(AND(ISNUMBER(C347),C347&gt;=2,C347&lt;=2958465,C347=INT(C347)),TEXT(C347,"yyyy-mm"),""),"")</x:f>
      </x:c>
      <x:c r="N347" s="59" t="str">
        <x:f>IF(L347="VALID",IF(G347="USD",H347,I347),"")</x:f>
      </x:c>
      <x:c r="O347" s="57" t="n">
        <x:f>IF(L347="VALID",IF(COUNTIFS($B$2:B347,B347,$M$2:M347,M347,$L$2:L347,"VALID")=1,1,0),0)</x:f>
        <x:v>0</x:v>
      </x:c>
    </x:row>
    <x:row r="348">
      <x:c r="A348" s="47"/>
      <x:c r="B348" s="47"/>
      <x:c r="C348" s="58"/>
      <x:c r="D348" s="47"/>
      <x:c r="E348" s="47"/>
      <x:c r="F348" s="47"/>
      <x:c r="G348" s="47"/>
      <x:c r="H348" s="48"/>
      <x:c r="I348" s="48"/>
      <x:c r="J348" s="47"/>
      <x:c r="K348" s="47"/>
      <x:c r="L348" s="57" t="str">
        <x:f>IF(COUNTA(A348:K348)=0,"",IF(K348="CANCELLED","CANCELLED",IF(A348="","INVOICE ID REQUIRED",IF(B348="","PROJECT ID REQUIRED",IF(NOT(ISNUMBER(C348)),"INVALID INVOICE DATE",IF(NOT(AND(ISNUMBER(C348),C348&gt;=2,C348&lt;=2958465,C348=INT(C348))),"INVALID INVOICE DATE",IF(NOT(OR(D348="MX",D348="US")),"ENTITY REQUIRED",IF(NOT(OR(E348="Strategic Services",E348="Brands")),"UNIT REQUIRED",IF(F348="","BRAND / N/A REQUIRED",IF(NOT(OR(G348="USD",G348="MXN")),"CURRENCY REQUIRED",IF(NOT(ISNUMBER(H348)),"AMOUNT REQUIRED",IF(J348="","ERP SOURCE REQUIRED",IF(NOT(OR(K348="ISSUED",K348="CANCELLED")),"INVOICE STATUS REQUIRED",IF(COUNTIFS($A$2:$A$501,A348,$B$2:$B$501,B348,$D$2:$D$501,D348)&gt;1,"DUPLICATE INVOICE / PROJECT",IF(AND(G348="MXN",NOT(AND(ISNUMBER(I348),Settings!$B$8="APPROVED",Settings!$B$9&lt;&gt;"",Settings!$B$10&lt;&gt;""))),"FX HOLD","VALID")))))))))))))))</x:f>
      </x:c>
      <x:c r="M348" s="57" t="str">
        <x:f>IF(ISNUMBER(C348),IF(AND(ISNUMBER(C348),C348&gt;=2,C348&lt;=2958465,C348=INT(C348)),TEXT(C348,"yyyy-mm"),""),"")</x:f>
      </x:c>
      <x:c r="N348" s="59" t="str">
        <x:f>IF(L348="VALID",IF(G348="USD",H348,I348),"")</x:f>
      </x:c>
      <x:c r="O348" s="57" t="n">
        <x:f>IF(L348="VALID",IF(COUNTIFS($B$2:B348,B348,$M$2:M348,M348,$L$2:L348,"VALID")=1,1,0),0)</x:f>
        <x:v>0</x:v>
      </x:c>
    </x:row>
    <x:row r="349">
      <x:c r="A349" s="47"/>
      <x:c r="B349" s="47"/>
      <x:c r="C349" s="58"/>
      <x:c r="D349" s="47"/>
      <x:c r="E349" s="47"/>
      <x:c r="F349" s="47"/>
      <x:c r="G349" s="47"/>
      <x:c r="H349" s="48"/>
      <x:c r="I349" s="48"/>
      <x:c r="J349" s="47"/>
      <x:c r="K349" s="47"/>
      <x:c r="L349" s="57" t="str">
        <x:f>IF(COUNTA(A349:K349)=0,"",IF(K349="CANCELLED","CANCELLED",IF(A349="","INVOICE ID REQUIRED",IF(B349="","PROJECT ID REQUIRED",IF(NOT(ISNUMBER(C349)),"INVALID INVOICE DATE",IF(NOT(AND(ISNUMBER(C349),C349&gt;=2,C349&lt;=2958465,C349=INT(C349))),"INVALID INVOICE DATE",IF(NOT(OR(D349="MX",D349="US")),"ENTITY REQUIRED",IF(NOT(OR(E349="Strategic Services",E349="Brands")),"UNIT REQUIRED",IF(F349="","BRAND / N/A REQUIRED",IF(NOT(OR(G349="USD",G349="MXN")),"CURRENCY REQUIRED",IF(NOT(ISNUMBER(H349)),"AMOUNT REQUIRED",IF(J349="","ERP SOURCE REQUIRED",IF(NOT(OR(K349="ISSUED",K349="CANCELLED")),"INVOICE STATUS REQUIRED",IF(COUNTIFS($A$2:$A$501,A349,$B$2:$B$501,B349,$D$2:$D$501,D349)&gt;1,"DUPLICATE INVOICE / PROJECT",IF(AND(G349="MXN",NOT(AND(ISNUMBER(I349),Settings!$B$8="APPROVED",Settings!$B$9&lt;&gt;"",Settings!$B$10&lt;&gt;""))),"FX HOLD","VALID")))))))))))))))</x:f>
      </x:c>
      <x:c r="M349" s="57" t="str">
        <x:f>IF(ISNUMBER(C349),IF(AND(ISNUMBER(C349),C349&gt;=2,C349&lt;=2958465,C349=INT(C349)),TEXT(C349,"yyyy-mm"),""),"")</x:f>
      </x:c>
      <x:c r="N349" s="59" t="str">
        <x:f>IF(L349="VALID",IF(G349="USD",H349,I349),"")</x:f>
      </x:c>
      <x:c r="O349" s="57" t="n">
        <x:f>IF(L349="VALID",IF(COUNTIFS($B$2:B349,B349,$M$2:M349,M349,$L$2:L349,"VALID")=1,1,0),0)</x:f>
        <x:v>0</x:v>
      </x:c>
    </x:row>
    <x:row r="350">
      <x:c r="A350" s="47"/>
      <x:c r="B350" s="47"/>
      <x:c r="C350" s="58"/>
      <x:c r="D350" s="47"/>
      <x:c r="E350" s="47"/>
      <x:c r="F350" s="47"/>
      <x:c r="G350" s="47"/>
      <x:c r="H350" s="48"/>
      <x:c r="I350" s="48"/>
      <x:c r="J350" s="47"/>
      <x:c r="K350" s="47"/>
      <x:c r="L350" s="57" t="str">
        <x:f>IF(COUNTA(A350:K350)=0,"",IF(K350="CANCELLED","CANCELLED",IF(A350="","INVOICE ID REQUIRED",IF(B350="","PROJECT ID REQUIRED",IF(NOT(ISNUMBER(C350)),"INVALID INVOICE DATE",IF(NOT(AND(ISNUMBER(C350),C350&gt;=2,C350&lt;=2958465,C350=INT(C350))),"INVALID INVOICE DATE",IF(NOT(OR(D350="MX",D350="US")),"ENTITY REQUIRED",IF(NOT(OR(E350="Strategic Services",E350="Brands")),"UNIT REQUIRED",IF(F350="","BRAND / N/A REQUIRED",IF(NOT(OR(G350="USD",G350="MXN")),"CURRENCY REQUIRED",IF(NOT(ISNUMBER(H350)),"AMOUNT REQUIRED",IF(J350="","ERP SOURCE REQUIRED",IF(NOT(OR(K350="ISSUED",K350="CANCELLED")),"INVOICE STATUS REQUIRED",IF(COUNTIFS($A$2:$A$501,A350,$B$2:$B$501,B350,$D$2:$D$501,D350)&gt;1,"DUPLICATE INVOICE / PROJECT",IF(AND(G350="MXN",NOT(AND(ISNUMBER(I350),Settings!$B$8="APPROVED",Settings!$B$9&lt;&gt;"",Settings!$B$10&lt;&gt;""))),"FX HOLD","VALID")))))))))))))))</x:f>
      </x:c>
      <x:c r="M350" s="57" t="str">
        <x:f>IF(ISNUMBER(C350),IF(AND(ISNUMBER(C350),C350&gt;=2,C350&lt;=2958465,C350=INT(C350)),TEXT(C350,"yyyy-mm"),""),"")</x:f>
      </x:c>
      <x:c r="N350" s="59" t="str">
        <x:f>IF(L350="VALID",IF(G350="USD",H350,I350),"")</x:f>
      </x:c>
      <x:c r="O350" s="57" t="n">
        <x:f>IF(L350="VALID",IF(COUNTIFS($B$2:B350,B350,$M$2:M350,M350,$L$2:L350,"VALID")=1,1,0),0)</x:f>
        <x:v>0</x:v>
      </x:c>
    </x:row>
    <x:row r="351">
      <x:c r="A351" s="47"/>
      <x:c r="B351" s="47"/>
      <x:c r="C351" s="58"/>
      <x:c r="D351" s="47"/>
      <x:c r="E351" s="47"/>
      <x:c r="F351" s="47"/>
      <x:c r="G351" s="47"/>
      <x:c r="H351" s="48"/>
      <x:c r="I351" s="48"/>
      <x:c r="J351" s="47"/>
      <x:c r="K351" s="47"/>
      <x:c r="L351" s="57" t="str">
        <x:f>IF(COUNTA(A351:K351)=0,"",IF(K351="CANCELLED","CANCELLED",IF(A351="","INVOICE ID REQUIRED",IF(B351="","PROJECT ID REQUIRED",IF(NOT(ISNUMBER(C351)),"INVALID INVOICE DATE",IF(NOT(AND(ISNUMBER(C351),C351&gt;=2,C351&lt;=2958465,C351=INT(C351))),"INVALID INVOICE DATE",IF(NOT(OR(D351="MX",D351="US")),"ENTITY REQUIRED",IF(NOT(OR(E351="Strategic Services",E351="Brands")),"UNIT REQUIRED",IF(F351="","BRAND / N/A REQUIRED",IF(NOT(OR(G351="USD",G351="MXN")),"CURRENCY REQUIRED",IF(NOT(ISNUMBER(H351)),"AMOUNT REQUIRED",IF(J351="","ERP SOURCE REQUIRED",IF(NOT(OR(K351="ISSUED",K351="CANCELLED")),"INVOICE STATUS REQUIRED",IF(COUNTIFS($A$2:$A$501,A351,$B$2:$B$501,B351,$D$2:$D$501,D351)&gt;1,"DUPLICATE INVOICE / PROJECT",IF(AND(G351="MXN",NOT(AND(ISNUMBER(I351),Settings!$B$8="APPROVED",Settings!$B$9&lt;&gt;"",Settings!$B$10&lt;&gt;""))),"FX HOLD","VALID")))))))))))))))</x:f>
      </x:c>
      <x:c r="M351" s="57" t="str">
        <x:f>IF(ISNUMBER(C351),IF(AND(ISNUMBER(C351),C351&gt;=2,C351&lt;=2958465,C351=INT(C351)),TEXT(C351,"yyyy-mm"),""),"")</x:f>
      </x:c>
      <x:c r="N351" s="59" t="str">
        <x:f>IF(L351="VALID",IF(G351="USD",H351,I351),"")</x:f>
      </x:c>
      <x:c r="O351" s="57" t="n">
        <x:f>IF(L351="VALID",IF(COUNTIFS($B$2:B351,B351,$M$2:M351,M351,$L$2:L351,"VALID")=1,1,0),0)</x:f>
        <x:v>0</x:v>
      </x:c>
    </x:row>
    <x:row r="352">
      <x:c r="A352" s="47"/>
      <x:c r="B352" s="47"/>
      <x:c r="C352" s="58"/>
      <x:c r="D352" s="47"/>
      <x:c r="E352" s="47"/>
      <x:c r="F352" s="47"/>
      <x:c r="G352" s="47"/>
      <x:c r="H352" s="48"/>
      <x:c r="I352" s="48"/>
      <x:c r="J352" s="47"/>
      <x:c r="K352" s="47"/>
      <x:c r="L352" s="57" t="str">
        <x:f>IF(COUNTA(A352:K352)=0,"",IF(K352="CANCELLED","CANCELLED",IF(A352="","INVOICE ID REQUIRED",IF(B352="","PROJECT ID REQUIRED",IF(NOT(ISNUMBER(C352)),"INVALID INVOICE DATE",IF(NOT(AND(ISNUMBER(C352),C352&gt;=2,C352&lt;=2958465,C352=INT(C352))),"INVALID INVOICE DATE",IF(NOT(OR(D352="MX",D352="US")),"ENTITY REQUIRED",IF(NOT(OR(E352="Strategic Services",E352="Brands")),"UNIT REQUIRED",IF(F352="","BRAND / N/A REQUIRED",IF(NOT(OR(G352="USD",G352="MXN")),"CURRENCY REQUIRED",IF(NOT(ISNUMBER(H352)),"AMOUNT REQUIRED",IF(J352="","ERP SOURCE REQUIRED",IF(NOT(OR(K352="ISSUED",K352="CANCELLED")),"INVOICE STATUS REQUIRED",IF(COUNTIFS($A$2:$A$501,A352,$B$2:$B$501,B352,$D$2:$D$501,D352)&gt;1,"DUPLICATE INVOICE / PROJECT",IF(AND(G352="MXN",NOT(AND(ISNUMBER(I352),Settings!$B$8="APPROVED",Settings!$B$9&lt;&gt;"",Settings!$B$10&lt;&gt;""))),"FX HOLD","VALID")))))))))))))))</x:f>
      </x:c>
      <x:c r="M352" s="57" t="str">
        <x:f>IF(ISNUMBER(C352),IF(AND(ISNUMBER(C352),C352&gt;=2,C352&lt;=2958465,C352=INT(C352)),TEXT(C352,"yyyy-mm"),""),"")</x:f>
      </x:c>
      <x:c r="N352" s="59" t="str">
        <x:f>IF(L352="VALID",IF(G352="USD",H352,I352),"")</x:f>
      </x:c>
      <x:c r="O352" s="57" t="n">
        <x:f>IF(L352="VALID",IF(COUNTIFS($B$2:B352,B352,$M$2:M352,M352,$L$2:L352,"VALID")=1,1,0),0)</x:f>
        <x:v>0</x:v>
      </x:c>
    </x:row>
    <x:row r="353">
      <x:c r="A353" s="47"/>
      <x:c r="B353" s="47"/>
      <x:c r="C353" s="58"/>
      <x:c r="D353" s="47"/>
      <x:c r="E353" s="47"/>
      <x:c r="F353" s="47"/>
      <x:c r="G353" s="47"/>
      <x:c r="H353" s="48"/>
      <x:c r="I353" s="48"/>
      <x:c r="J353" s="47"/>
      <x:c r="K353" s="47"/>
      <x:c r="L353" s="57" t="str">
        <x:f>IF(COUNTA(A353:K353)=0,"",IF(K353="CANCELLED","CANCELLED",IF(A353="","INVOICE ID REQUIRED",IF(B353="","PROJECT ID REQUIRED",IF(NOT(ISNUMBER(C353)),"INVALID INVOICE DATE",IF(NOT(AND(ISNUMBER(C353),C353&gt;=2,C353&lt;=2958465,C353=INT(C353))),"INVALID INVOICE DATE",IF(NOT(OR(D353="MX",D353="US")),"ENTITY REQUIRED",IF(NOT(OR(E353="Strategic Services",E353="Brands")),"UNIT REQUIRED",IF(F353="","BRAND / N/A REQUIRED",IF(NOT(OR(G353="USD",G353="MXN")),"CURRENCY REQUIRED",IF(NOT(ISNUMBER(H353)),"AMOUNT REQUIRED",IF(J353="","ERP SOURCE REQUIRED",IF(NOT(OR(K353="ISSUED",K353="CANCELLED")),"INVOICE STATUS REQUIRED",IF(COUNTIFS($A$2:$A$501,A353,$B$2:$B$501,B353,$D$2:$D$501,D353)&gt;1,"DUPLICATE INVOICE / PROJECT",IF(AND(G353="MXN",NOT(AND(ISNUMBER(I353),Settings!$B$8="APPROVED",Settings!$B$9&lt;&gt;"",Settings!$B$10&lt;&gt;""))),"FX HOLD","VALID")))))))))))))))</x:f>
      </x:c>
      <x:c r="M353" s="57" t="str">
        <x:f>IF(ISNUMBER(C353),IF(AND(ISNUMBER(C353),C353&gt;=2,C353&lt;=2958465,C353=INT(C353)),TEXT(C353,"yyyy-mm"),""),"")</x:f>
      </x:c>
      <x:c r="N353" s="59" t="str">
        <x:f>IF(L353="VALID",IF(G353="USD",H353,I353),"")</x:f>
      </x:c>
      <x:c r="O353" s="57" t="n">
        <x:f>IF(L353="VALID",IF(COUNTIFS($B$2:B353,B353,$M$2:M353,M353,$L$2:L353,"VALID")=1,1,0),0)</x:f>
        <x:v>0</x:v>
      </x:c>
    </x:row>
    <x:row r="354">
      <x:c r="A354" s="47"/>
      <x:c r="B354" s="47"/>
      <x:c r="C354" s="58"/>
      <x:c r="D354" s="47"/>
      <x:c r="E354" s="47"/>
      <x:c r="F354" s="47"/>
      <x:c r="G354" s="47"/>
      <x:c r="H354" s="48"/>
      <x:c r="I354" s="48"/>
      <x:c r="J354" s="47"/>
      <x:c r="K354" s="47"/>
      <x:c r="L354" s="57" t="str">
        <x:f>IF(COUNTA(A354:K354)=0,"",IF(K354="CANCELLED","CANCELLED",IF(A354="","INVOICE ID REQUIRED",IF(B354="","PROJECT ID REQUIRED",IF(NOT(ISNUMBER(C354)),"INVALID INVOICE DATE",IF(NOT(AND(ISNUMBER(C354),C354&gt;=2,C354&lt;=2958465,C354=INT(C354))),"INVALID INVOICE DATE",IF(NOT(OR(D354="MX",D354="US")),"ENTITY REQUIRED",IF(NOT(OR(E354="Strategic Services",E354="Brands")),"UNIT REQUIRED",IF(F354="","BRAND / N/A REQUIRED",IF(NOT(OR(G354="USD",G354="MXN")),"CURRENCY REQUIRED",IF(NOT(ISNUMBER(H354)),"AMOUNT REQUIRED",IF(J354="","ERP SOURCE REQUIRED",IF(NOT(OR(K354="ISSUED",K354="CANCELLED")),"INVOICE STATUS REQUIRED",IF(COUNTIFS($A$2:$A$501,A354,$B$2:$B$501,B354,$D$2:$D$501,D354)&gt;1,"DUPLICATE INVOICE / PROJECT",IF(AND(G354="MXN",NOT(AND(ISNUMBER(I354),Settings!$B$8="APPROVED",Settings!$B$9&lt;&gt;"",Settings!$B$10&lt;&gt;""))),"FX HOLD","VALID")))))))))))))))</x:f>
      </x:c>
      <x:c r="M354" s="57" t="str">
        <x:f>IF(ISNUMBER(C354),IF(AND(ISNUMBER(C354),C354&gt;=2,C354&lt;=2958465,C354=INT(C354)),TEXT(C354,"yyyy-mm"),""),"")</x:f>
      </x:c>
      <x:c r="N354" s="59" t="str">
        <x:f>IF(L354="VALID",IF(G354="USD",H354,I354),"")</x:f>
      </x:c>
      <x:c r="O354" s="57" t="n">
        <x:f>IF(L354="VALID",IF(COUNTIFS($B$2:B354,B354,$M$2:M354,M354,$L$2:L354,"VALID")=1,1,0),0)</x:f>
        <x:v>0</x:v>
      </x:c>
    </x:row>
    <x:row r="355">
      <x:c r="A355" s="47"/>
      <x:c r="B355" s="47"/>
      <x:c r="C355" s="58"/>
      <x:c r="D355" s="47"/>
      <x:c r="E355" s="47"/>
      <x:c r="F355" s="47"/>
      <x:c r="G355" s="47"/>
      <x:c r="H355" s="48"/>
      <x:c r="I355" s="48"/>
      <x:c r="J355" s="47"/>
      <x:c r="K355" s="47"/>
      <x:c r="L355" s="57" t="str">
        <x:f>IF(COUNTA(A355:K355)=0,"",IF(K355="CANCELLED","CANCELLED",IF(A355="","INVOICE ID REQUIRED",IF(B355="","PROJECT ID REQUIRED",IF(NOT(ISNUMBER(C355)),"INVALID INVOICE DATE",IF(NOT(AND(ISNUMBER(C355),C355&gt;=2,C355&lt;=2958465,C355=INT(C355))),"INVALID INVOICE DATE",IF(NOT(OR(D355="MX",D355="US")),"ENTITY REQUIRED",IF(NOT(OR(E355="Strategic Services",E355="Brands")),"UNIT REQUIRED",IF(F355="","BRAND / N/A REQUIRED",IF(NOT(OR(G355="USD",G355="MXN")),"CURRENCY REQUIRED",IF(NOT(ISNUMBER(H355)),"AMOUNT REQUIRED",IF(J355="","ERP SOURCE REQUIRED",IF(NOT(OR(K355="ISSUED",K355="CANCELLED")),"INVOICE STATUS REQUIRED",IF(COUNTIFS($A$2:$A$501,A355,$B$2:$B$501,B355,$D$2:$D$501,D355)&gt;1,"DUPLICATE INVOICE / PROJECT",IF(AND(G355="MXN",NOT(AND(ISNUMBER(I355),Settings!$B$8="APPROVED",Settings!$B$9&lt;&gt;"",Settings!$B$10&lt;&gt;""))),"FX HOLD","VALID")))))))))))))))</x:f>
      </x:c>
      <x:c r="M355" s="57" t="str">
        <x:f>IF(ISNUMBER(C355),IF(AND(ISNUMBER(C355),C355&gt;=2,C355&lt;=2958465,C355=INT(C355)),TEXT(C355,"yyyy-mm"),""),"")</x:f>
      </x:c>
      <x:c r="N355" s="59" t="str">
        <x:f>IF(L355="VALID",IF(G355="USD",H355,I355),"")</x:f>
      </x:c>
      <x:c r="O355" s="57" t="n">
        <x:f>IF(L355="VALID",IF(COUNTIFS($B$2:B355,B355,$M$2:M355,M355,$L$2:L355,"VALID")=1,1,0),0)</x:f>
        <x:v>0</x:v>
      </x:c>
    </x:row>
    <x:row r="356">
      <x:c r="A356" s="47"/>
      <x:c r="B356" s="47"/>
      <x:c r="C356" s="58"/>
      <x:c r="D356" s="47"/>
      <x:c r="E356" s="47"/>
      <x:c r="F356" s="47"/>
      <x:c r="G356" s="47"/>
      <x:c r="H356" s="48"/>
      <x:c r="I356" s="48"/>
      <x:c r="J356" s="47"/>
      <x:c r="K356" s="47"/>
      <x:c r="L356" s="57" t="str">
        <x:f>IF(COUNTA(A356:K356)=0,"",IF(K356="CANCELLED","CANCELLED",IF(A356="","INVOICE ID REQUIRED",IF(B356="","PROJECT ID REQUIRED",IF(NOT(ISNUMBER(C356)),"INVALID INVOICE DATE",IF(NOT(AND(ISNUMBER(C356),C356&gt;=2,C356&lt;=2958465,C356=INT(C356))),"INVALID INVOICE DATE",IF(NOT(OR(D356="MX",D356="US")),"ENTITY REQUIRED",IF(NOT(OR(E356="Strategic Services",E356="Brands")),"UNIT REQUIRED",IF(F356="","BRAND / N/A REQUIRED",IF(NOT(OR(G356="USD",G356="MXN")),"CURRENCY REQUIRED",IF(NOT(ISNUMBER(H356)),"AMOUNT REQUIRED",IF(J356="","ERP SOURCE REQUIRED",IF(NOT(OR(K356="ISSUED",K356="CANCELLED")),"INVOICE STATUS REQUIRED",IF(COUNTIFS($A$2:$A$501,A356,$B$2:$B$501,B356,$D$2:$D$501,D356)&gt;1,"DUPLICATE INVOICE / PROJECT",IF(AND(G356="MXN",NOT(AND(ISNUMBER(I356),Settings!$B$8="APPROVED",Settings!$B$9&lt;&gt;"",Settings!$B$10&lt;&gt;""))),"FX HOLD","VALID")))))))))))))))</x:f>
      </x:c>
      <x:c r="M356" s="57" t="str">
        <x:f>IF(ISNUMBER(C356),IF(AND(ISNUMBER(C356),C356&gt;=2,C356&lt;=2958465,C356=INT(C356)),TEXT(C356,"yyyy-mm"),""),"")</x:f>
      </x:c>
      <x:c r="N356" s="59" t="str">
        <x:f>IF(L356="VALID",IF(G356="USD",H356,I356),"")</x:f>
      </x:c>
      <x:c r="O356" s="57" t="n">
        <x:f>IF(L356="VALID",IF(COUNTIFS($B$2:B356,B356,$M$2:M356,M356,$L$2:L356,"VALID")=1,1,0),0)</x:f>
        <x:v>0</x:v>
      </x:c>
    </x:row>
    <x:row r="357">
      <x:c r="A357" s="47"/>
      <x:c r="B357" s="47"/>
      <x:c r="C357" s="58"/>
      <x:c r="D357" s="47"/>
      <x:c r="E357" s="47"/>
      <x:c r="F357" s="47"/>
      <x:c r="G357" s="47"/>
      <x:c r="H357" s="48"/>
      <x:c r="I357" s="48"/>
      <x:c r="J357" s="47"/>
      <x:c r="K357" s="47"/>
      <x:c r="L357" s="57" t="str">
        <x:f>IF(COUNTA(A357:K357)=0,"",IF(K357="CANCELLED","CANCELLED",IF(A357="","INVOICE ID REQUIRED",IF(B357="","PROJECT ID REQUIRED",IF(NOT(ISNUMBER(C357)),"INVALID INVOICE DATE",IF(NOT(AND(ISNUMBER(C357),C357&gt;=2,C357&lt;=2958465,C357=INT(C357))),"INVALID INVOICE DATE",IF(NOT(OR(D357="MX",D357="US")),"ENTITY REQUIRED",IF(NOT(OR(E357="Strategic Services",E357="Brands")),"UNIT REQUIRED",IF(F357="","BRAND / N/A REQUIRED",IF(NOT(OR(G357="USD",G357="MXN")),"CURRENCY REQUIRED",IF(NOT(ISNUMBER(H357)),"AMOUNT REQUIRED",IF(J357="","ERP SOURCE REQUIRED",IF(NOT(OR(K357="ISSUED",K357="CANCELLED")),"INVOICE STATUS REQUIRED",IF(COUNTIFS($A$2:$A$501,A357,$B$2:$B$501,B357,$D$2:$D$501,D357)&gt;1,"DUPLICATE INVOICE / PROJECT",IF(AND(G357="MXN",NOT(AND(ISNUMBER(I357),Settings!$B$8="APPROVED",Settings!$B$9&lt;&gt;"",Settings!$B$10&lt;&gt;""))),"FX HOLD","VALID")))))))))))))))</x:f>
      </x:c>
      <x:c r="M357" s="57" t="str">
        <x:f>IF(ISNUMBER(C357),IF(AND(ISNUMBER(C357),C357&gt;=2,C357&lt;=2958465,C357=INT(C357)),TEXT(C357,"yyyy-mm"),""),"")</x:f>
      </x:c>
      <x:c r="N357" s="59" t="str">
        <x:f>IF(L357="VALID",IF(G357="USD",H357,I357),"")</x:f>
      </x:c>
      <x:c r="O357" s="57" t="n">
        <x:f>IF(L357="VALID",IF(COUNTIFS($B$2:B357,B357,$M$2:M357,M357,$L$2:L357,"VALID")=1,1,0),0)</x:f>
        <x:v>0</x:v>
      </x:c>
    </x:row>
    <x:row r="358">
      <x:c r="A358" s="47"/>
      <x:c r="B358" s="47"/>
      <x:c r="C358" s="58"/>
      <x:c r="D358" s="47"/>
      <x:c r="E358" s="47"/>
      <x:c r="F358" s="47"/>
      <x:c r="G358" s="47"/>
      <x:c r="H358" s="48"/>
      <x:c r="I358" s="48"/>
      <x:c r="J358" s="47"/>
      <x:c r="K358" s="47"/>
      <x:c r="L358" s="57" t="str">
        <x:f>IF(COUNTA(A358:K358)=0,"",IF(K358="CANCELLED","CANCELLED",IF(A358="","INVOICE ID REQUIRED",IF(B358="","PROJECT ID REQUIRED",IF(NOT(ISNUMBER(C358)),"INVALID INVOICE DATE",IF(NOT(AND(ISNUMBER(C358),C358&gt;=2,C358&lt;=2958465,C358=INT(C358))),"INVALID INVOICE DATE",IF(NOT(OR(D358="MX",D358="US")),"ENTITY REQUIRED",IF(NOT(OR(E358="Strategic Services",E358="Brands")),"UNIT REQUIRED",IF(F358="","BRAND / N/A REQUIRED",IF(NOT(OR(G358="USD",G358="MXN")),"CURRENCY REQUIRED",IF(NOT(ISNUMBER(H358)),"AMOUNT REQUIRED",IF(J358="","ERP SOURCE REQUIRED",IF(NOT(OR(K358="ISSUED",K358="CANCELLED")),"INVOICE STATUS REQUIRED",IF(COUNTIFS($A$2:$A$501,A358,$B$2:$B$501,B358,$D$2:$D$501,D358)&gt;1,"DUPLICATE INVOICE / PROJECT",IF(AND(G358="MXN",NOT(AND(ISNUMBER(I358),Settings!$B$8="APPROVED",Settings!$B$9&lt;&gt;"",Settings!$B$10&lt;&gt;""))),"FX HOLD","VALID")))))))))))))))</x:f>
      </x:c>
      <x:c r="M358" s="57" t="str">
        <x:f>IF(ISNUMBER(C358),IF(AND(ISNUMBER(C358),C358&gt;=2,C358&lt;=2958465,C358=INT(C358)),TEXT(C358,"yyyy-mm"),""),"")</x:f>
      </x:c>
      <x:c r="N358" s="59" t="str">
        <x:f>IF(L358="VALID",IF(G358="USD",H358,I358),"")</x:f>
      </x:c>
      <x:c r="O358" s="57" t="n">
        <x:f>IF(L358="VALID",IF(COUNTIFS($B$2:B358,B358,$M$2:M358,M358,$L$2:L358,"VALID")=1,1,0),0)</x:f>
        <x:v>0</x:v>
      </x:c>
    </x:row>
    <x:row r="359">
      <x:c r="A359" s="47"/>
      <x:c r="B359" s="47"/>
      <x:c r="C359" s="58"/>
      <x:c r="D359" s="47"/>
      <x:c r="E359" s="47"/>
      <x:c r="F359" s="47"/>
      <x:c r="G359" s="47"/>
      <x:c r="H359" s="48"/>
      <x:c r="I359" s="48"/>
      <x:c r="J359" s="47"/>
      <x:c r="K359" s="47"/>
      <x:c r="L359" s="57" t="str">
        <x:f>IF(COUNTA(A359:K359)=0,"",IF(K359="CANCELLED","CANCELLED",IF(A359="","INVOICE ID REQUIRED",IF(B359="","PROJECT ID REQUIRED",IF(NOT(ISNUMBER(C359)),"INVALID INVOICE DATE",IF(NOT(AND(ISNUMBER(C359),C359&gt;=2,C359&lt;=2958465,C359=INT(C359))),"INVALID INVOICE DATE",IF(NOT(OR(D359="MX",D359="US")),"ENTITY REQUIRED",IF(NOT(OR(E359="Strategic Services",E359="Brands")),"UNIT REQUIRED",IF(F359="","BRAND / N/A REQUIRED",IF(NOT(OR(G359="USD",G359="MXN")),"CURRENCY REQUIRED",IF(NOT(ISNUMBER(H359)),"AMOUNT REQUIRED",IF(J359="","ERP SOURCE REQUIRED",IF(NOT(OR(K359="ISSUED",K359="CANCELLED")),"INVOICE STATUS REQUIRED",IF(COUNTIFS($A$2:$A$501,A359,$B$2:$B$501,B359,$D$2:$D$501,D359)&gt;1,"DUPLICATE INVOICE / PROJECT",IF(AND(G359="MXN",NOT(AND(ISNUMBER(I359),Settings!$B$8="APPROVED",Settings!$B$9&lt;&gt;"",Settings!$B$10&lt;&gt;""))),"FX HOLD","VALID")))))))))))))))</x:f>
      </x:c>
      <x:c r="M359" s="57" t="str">
        <x:f>IF(ISNUMBER(C359),IF(AND(ISNUMBER(C359),C359&gt;=2,C359&lt;=2958465,C359=INT(C359)),TEXT(C359,"yyyy-mm"),""),"")</x:f>
      </x:c>
      <x:c r="N359" s="59" t="str">
        <x:f>IF(L359="VALID",IF(G359="USD",H359,I359),"")</x:f>
      </x:c>
      <x:c r="O359" s="57" t="n">
        <x:f>IF(L359="VALID",IF(COUNTIFS($B$2:B359,B359,$M$2:M359,M359,$L$2:L359,"VALID")=1,1,0),0)</x:f>
        <x:v>0</x:v>
      </x:c>
    </x:row>
    <x:row r="360">
      <x:c r="A360" s="47"/>
      <x:c r="B360" s="47"/>
      <x:c r="C360" s="58"/>
      <x:c r="D360" s="47"/>
      <x:c r="E360" s="47"/>
      <x:c r="F360" s="47"/>
      <x:c r="G360" s="47"/>
      <x:c r="H360" s="48"/>
      <x:c r="I360" s="48"/>
      <x:c r="J360" s="47"/>
      <x:c r="K360" s="47"/>
      <x:c r="L360" s="57" t="str">
        <x:f>IF(COUNTA(A360:K360)=0,"",IF(K360="CANCELLED","CANCELLED",IF(A360="","INVOICE ID REQUIRED",IF(B360="","PROJECT ID REQUIRED",IF(NOT(ISNUMBER(C360)),"INVALID INVOICE DATE",IF(NOT(AND(ISNUMBER(C360),C360&gt;=2,C360&lt;=2958465,C360=INT(C360))),"INVALID INVOICE DATE",IF(NOT(OR(D360="MX",D360="US")),"ENTITY REQUIRED",IF(NOT(OR(E360="Strategic Services",E360="Brands")),"UNIT REQUIRED",IF(F360="","BRAND / N/A REQUIRED",IF(NOT(OR(G360="USD",G360="MXN")),"CURRENCY REQUIRED",IF(NOT(ISNUMBER(H360)),"AMOUNT REQUIRED",IF(J360="","ERP SOURCE REQUIRED",IF(NOT(OR(K360="ISSUED",K360="CANCELLED")),"INVOICE STATUS REQUIRED",IF(COUNTIFS($A$2:$A$501,A360,$B$2:$B$501,B360,$D$2:$D$501,D360)&gt;1,"DUPLICATE INVOICE / PROJECT",IF(AND(G360="MXN",NOT(AND(ISNUMBER(I360),Settings!$B$8="APPROVED",Settings!$B$9&lt;&gt;"",Settings!$B$10&lt;&gt;""))),"FX HOLD","VALID")))))))))))))))</x:f>
      </x:c>
      <x:c r="M360" s="57" t="str">
        <x:f>IF(ISNUMBER(C360),IF(AND(ISNUMBER(C360),C360&gt;=2,C360&lt;=2958465,C360=INT(C360)),TEXT(C360,"yyyy-mm"),""),"")</x:f>
      </x:c>
      <x:c r="N360" s="59" t="str">
        <x:f>IF(L360="VALID",IF(G360="USD",H360,I360),"")</x:f>
      </x:c>
      <x:c r="O360" s="57" t="n">
        <x:f>IF(L360="VALID",IF(COUNTIFS($B$2:B360,B360,$M$2:M360,M360,$L$2:L360,"VALID")=1,1,0),0)</x:f>
        <x:v>0</x:v>
      </x:c>
    </x:row>
    <x:row r="361">
      <x:c r="A361" s="47"/>
      <x:c r="B361" s="47"/>
      <x:c r="C361" s="58"/>
      <x:c r="D361" s="47"/>
      <x:c r="E361" s="47"/>
      <x:c r="F361" s="47"/>
      <x:c r="G361" s="47"/>
      <x:c r="H361" s="48"/>
      <x:c r="I361" s="48"/>
      <x:c r="J361" s="47"/>
      <x:c r="K361" s="47"/>
      <x:c r="L361" s="57" t="str">
        <x:f>IF(COUNTA(A361:K361)=0,"",IF(K361="CANCELLED","CANCELLED",IF(A361="","INVOICE ID REQUIRED",IF(B361="","PROJECT ID REQUIRED",IF(NOT(ISNUMBER(C361)),"INVALID INVOICE DATE",IF(NOT(AND(ISNUMBER(C361),C361&gt;=2,C361&lt;=2958465,C361=INT(C361))),"INVALID INVOICE DATE",IF(NOT(OR(D361="MX",D361="US")),"ENTITY REQUIRED",IF(NOT(OR(E361="Strategic Services",E361="Brands")),"UNIT REQUIRED",IF(F361="","BRAND / N/A REQUIRED",IF(NOT(OR(G361="USD",G361="MXN")),"CURRENCY REQUIRED",IF(NOT(ISNUMBER(H361)),"AMOUNT REQUIRED",IF(J361="","ERP SOURCE REQUIRED",IF(NOT(OR(K361="ISSUED",K361="CANCELLED")),"INVOICE STATUS REQUIRED",IF(COUNTIFS($A$2:$A$501,A361,$B$2:$B$501,B361,$D$2:$D$501,D361)&gt;1,"DUPLICATE INVOICE / PROJECT",IF(AND(G361="MXN",NOT(AND(ISNUMBER(I361),Settings!$B$8="APPROVED",Settings!$B$9&lt;&gt;"",Settings!$B$10&lt;&gt;""))),"FX HOLD","VALID")))))))))))))))</x:f>
      </x:c>
      <x:c r="M361" s="57" t="str">
        <x:f>IF(ISNUMBER(C361),IF(AND(ISNUMBER(C361),C361&gt;=2,C361&lt;=2958465,C361=INT(C361)),TEXT(C361,"yyyy-mm"),""),"")</x:f>
      </x:c>
      <x:c r="N361" s="59" t="str">
        <x:f>IF(L361="VALID",IF(G361="USD",H361,I361),"")</x:f>
      </x:c>
      <x:c r="O361" s="57" t="n">
        <x:f>IF(L361="VALID",IF(COUNTIFS($B$2:B361,B361,$M$2:M361,M361,$L$2:L361,"VALID")=1,1,0),0)</x:f>
        <x:v>0</x:v>
      </x:c>
    </x:row>
    <x:row r="362">
      <x:c r="A362" s="47"/>
      <x:c r="B362" s="47"/>
      <x:c r="C362" s="58"/>
      <x:c r="D362" s="47"/>
      <x:c r="E362" s="47"/>
      <x:c r="F362" s="47"/>
      <x:c r="G362" s="47"/>
      <x:c r="H362" s="48"/>
      <x:c r="I362" s="48"/>
      <x:c r="J362" s="47"/>
      <x:c r="K362" s="47"/>
      <x:c r="L362" s="57" t="str">
        <x:f>IF(COUNTA(A362:K362)=0,"",IF(K362="CANCELLED","CANCELLED",IF(A362="","INVOICE ID REQUIRED",IF(B362="","PROJECT ID REQUIRED",IF(NOT(ISNUMBER(C362)),"INVALID INVOICE DATE",IF(NOT(AND(ISNUMBER(C362),C362&gt;=2,C362&lt;=2958465,C362=INT(C362))),"INVALID INVOICE DATE",IF(NOT(OR(D362="MX",D362="US")),"ENTITY REQUIRED",IF(NOT(OR(E362="Strategic Services",E362="Brands")),"UNIT REQUIRED",IF(F362="","BRAND / N/A REQUIRED",IF(NOT(OR(G362="USD",G362="MXN")),"CURRENCY REQUIRED",IF(NOT(ISNUMBER(H362)),"AMOUNT REQUIRED",IF(J362="","ERP SOURCE REQUIRED",IF(NOT(OR(K362="ISSUED",K362="CANCELLED")),"INVOICE STATUS REQUIRED",IF(COUNTIFS($A$2:$A$501,A362,$B$2:$B$501,B362,$D$2:$D$501,D362)&gt;1,"DUPLICATE INVOICE / PROJECT",IF(AND(G362="MXN",NOT(AND(ISNUMBER(I362),Settings!$B$8="APPROVED",Settings!$B$9&lt;&gt;"",Settings!$B$10&lt;&gt;""))),"FX HOLD","VALID")))))))))))))))</x:f>
      </x:c>
      <x:c r="M362" s="57" t="str">
        <x:f>IF(ISNUMBER(C362),IF(AND(ISNUMBER(C362),C362&gt;=2,C362&lt;=2958465,C362=INT(C362)),TEXT(C362,"yyyy-mm"),""),"")</x:f>
      </x:c>
      <x:c r="N362" s="59" t="str">
        <x:f>IF(L362="VALID",IF(G362="USD",H362,I362),"")</x:f>
      </x:c>
      <x:c r="O362" s="57" t="n">
        <x:f>IF(L362="VALID",IF(COUNTIFS($B$2:B362,B362,$M$2:M362,M362,$L$2:L362,"VALID")=1,1,0),0)</x:f>
        <x:v>0</x:v>
      </x:c>
    </x:row>
    <x:row r="363">
      <x:c r="A363" s="47"/>
      <x:c r="B363" s="47"/>
      <x:c r="C363" s="58"/>
      <x:c r="D363" s="47"/>
      <x:c r="E363" s="47"/>
      <x:c r="F363" s="47"/>
      <x:c r="G363" s="47"/>
      <x:c r="H363" s="48"/>
      <x:c r="I363" s="48"/>
      <x:c r="J363" s="47"/>
      <x:c r="K363" s="47"/>
      <x:c r="L363" s="57" t="str">
        <x:f>IF(COUNTA(A363:K363)=0,"",IF(K363="CANCELLED","CANCELLED",IF(A363="","INVOICE ID REQUIRED",IF(B363="","PROJECT ID REQUIRED",IF(NOT(ISNUMBER(C363)),"INVALID INVOICE DATE",IF(NOT(AND(ISNUMBER(C363),C363&gt;=2,C363&lt;=2958465,C363=INT(C363))),"INVALID INVOICE DATE",IF(NOT(OR(D363="MX",D363="US")),"ENTITY REQUIRED",IF(NOT(OR(E363="Strategic Services",E363="Brands")),"UNIT REQUIRED",IF(F363="","BRAND / N/A REQUIRED",IF(NOT(OR(G363="USD",G363="MXN")),"CURRENCY REQUIRED",IF(NOT(ISNUMBER(H363)),"AMOUNT REQUIRED",IF(J363="","ERP SOURCE REQUIRED",IF(NOT(OR(K363="ISSUED",K363="CANCELLED")),"INVOICE STATUS REQUIRED",IF(COUNTIFS($A$2:$A$501,A363,$B$2:$B$501,B363,$D$2:$D$501,D363)&gt;1,"DUPLICATE INVOICE / PROJECT",IF(AND(G363="MXN",NOT(AND(ISNUMBER(I363),Settings!$B$8="APPROVED",Settings!$B$9&lt;&gt;"",Settings!$B$10&lt;&gt;""))),"FX HOLD","VALID")))))))))))))))</x:f>
      </x:c>
      <x:c r="M363" s="57" t="str">
        <x:f>IF(ISNUMBER(C363),IF(AND(ISNUMBER(C363),C363&gt;=2,C363&lt;=2958465,C363=INT(C363)),TEXT(C363,"yyyy-mm"),""),"")</x:f>
      </x:c>
      <x:c r="N363" s="59" t="str">
        <x:f>IF(L363="VALID",IF(G363="USD",H363,I363),"")</x:f>
      </x:c>
      <x:c r="O363" s="57" t="n">
        <x:f>IF(L363="VALID",IF(COUNTIFS($B$2:B363,B363,$M$2:M363,M363,$L$2:L363,"VALID")=1,1,0),0)</x:f>
        <x:v>0</x:v>
      </x:c>
    </x:row>
    <x:row r="364">
      <x:c r="A364" s="47"/>
      <x:c r="B364" s="47"/>
      <x:c r="C364" s="58"/>
      <x:c r="D364" s="47"/>
      <x:c r="E364" s="47"/>
      <x:c r="F364" s="47"/>
      <x:c r="G364" s="47"/>
      <x:c r="H364" s="48"/>
      <x:c r="I364" s="48"/>
      <x:c r="J364" s="47"/>
      <x:c r="K364" s="47"/>
      <x:c r="L364" s="57" t="str">
        <x:f>IF(COUNTA(A364:K364)=0,"",IF(K364="CANCELLED","CANCELLED",IF(A364="","INVOICE ID REQUIRED",IF(B364="","PROJECT ID REQUIRED",IF(NOT(ISNUMBER(C364)),"INVALID INVOICE DATE",IF(NOT(AND(ISNUMBER(C364),C364&gt;=2,C364&lt;=2958465,C364=INT(C364))),"INVALID INVOICE DATE",IF(NOT(OR(D364="MX",D364="US")),"ENTITY REQUIRED",IF(NOT(OR(E364="Strategic Services",E364="Brands")),"UNIT REQUIRED",IF(F364="","BRAND / N/A REQUIRED",IF(NOT(OR(G364="USD",G364="MXN")),"CURRENCY REQUIRED",IF(NOT(ISNUMBER(H364)),"AMOUNT REQUIRED",IF(J364="","ERP SOURCE REQUIRED",IF(NOT(OR(K364="ISSUED",K364="CANCELLED")),"INVOICE STATUS REQUIRED",IF(COUNTIFS($A$2:$A$501,A364,$B$2:$B$501,B364,$D$2:$D$501,D364)&gt;1,"DUPLICATE INVOICE / PROJECT",IF(AND(G364="MXN",NOT(AND(ISNUMBER(I364),Settings!$B$8="APPROVED",Settings!$B$9&lt;&gt;"",Settings!$B$10&lt;&gt;""))),"FX HOLD","VALID")))))))))))))))</x:f>
      </x:c>
      <x:c r="M364" s="57" t="str">
        <x:f>IF(ISNUMBER(C364),IF(AND(ISNUMBER(C364),C364&gt;=2,C364&lt;=2958465,C364=INT(C364)),TEXT(C364,"yyyy-mm"),""),"")</x:f>
      </x:c>
      <x:c r="N364" s="59" t="str">
        <x:f>IF(L364="VALID",IF(G364="USD",H364,I364),"")</x:f>
      </x:c>
      <x:c r="O364" s="57" t="n">
        <x:f>IF(L364="VALID",IF(COUNTIFS($B$2:B364,B364,$M$2:M364,M364,$L$2:L364,"VALID")=1,1,0),0)</x:f>
        <x:v>0</x:v>
      </x:c>
    </x:row>
    <x:row r="365">
      <x:c r="A365" s="47"/>
      <x:c r="B365" s="47"/>
      <x:c r="C365" s="58"/>
      <x:c r="D365" s="47"/>
      <x:c r="E365" s="47"/>
      <x:c r="F365" s="47"/>
      <x:c r="G365" s="47"/>
      <x:c r="H365" s="48"/>
      <x:c r="I365" s="48"/>
      <x:c r="J365" s="47"/>
      <x:c r="K365" s="47"/>
      <x:c r="L365" s="57" t="str">
        <x:f>IF(COUNTA(A365:K365)=0,"",IF(K365="CANCELLED","CANCELLED",IF(A365="","INVOICE ID REQUIRED",IF(B365="","PROJECT ID REQUIRED",IF(NOT(ISNUMBER(C365)),"INVALID INVOICE DATE",IF(NOT(AND(ISNUMBER(C365),C365&gt;=2,C365&lt;=2958465,C365=INT(C365))),"INVALID INVOICE DATE",IF(NOT(OR(D365="MX",D365="US")),"ENTITY REQUIRED",IF(NOT(OR(E365="Strategic Services",E365="Brands")),"UNIT REQUIRED",IF(F365="","BRAND / N/A REQUIRED",IF(NOT(OR(G365="USD",G365="MXN")),"CURRENCY REQUIRED",IF(NOT(ISNUMBER(H365)),"AMOUNT REQUIRED",IF(J365="","ERP SOURCE REQUIRED",IF(NOT(OR(K365="ISSUED",K365="CANCELLED")),"INVOICE STATUS REQUIRED",IF(COUNTIFS($A$2:$A$501,A365,$B$2:$B$501,B365,$D$2:$D$501,D365)&gt;1,"DUPLICATE INVOICE / PROJECT",IF(AND(G365="MXN",NOT(AND(ISNUMBER(I365),Settings!$B$8="APPROVED",Settings!$B$9&lt;&gt;"",Settings!$B$10&lt;&gt;""))),"FX HOLD","VALID")))))))))))))))</x:f>
      </x:c>
      <x:c r="M365" s="57" t="str">
        <x:f>IF(ISNUMBER(C365),IF(AND(ISNUMBER(C365),C365&gt;=2,C365&lt;=2958465,C365=INT(C365)),TEXT(C365,"yyyy-mm"),""),"")</x:f>
      </x:c>
      <x:c r="N365" s="59" t="str">
        <x:f>IF(L365="VALID",IF(G365="USD",H365,I365),"")</x:f>
      </x:c>
      <x:c r="O365" s="57" t="n">
        <x:f>IF(L365="VALID",IF(COUNTIFS($B$2:B365,B365,$M$2:M365,M365,$L$2:L365,"VALID")=1,1,0),0)</x:f>
        <x:v>0</x:v>
      </x:c>
    </x:row>
    <x:row r="366">
      <x:c r="A366" s="47"/>
      <x:c r="B366" s="47"/>
      <x:c r="C366" s="58"/>
      <x:c r="D366" s="47"/>
      <x:c r="E366" s="47"/>
      <x:c r="F366" s="47"/>
      <x:c r="G366" s="47"/>
      <x:c r="H366" s="48"/>
      <x:c r="I366" s="48"/>
      <x:c r="J366" s="47"/>
      <x:c r="K366" s="47"/>
      <x:c r="L366" s="57" t="str">
        <x:f>IF(COUNTA(A366:K366)=0,"",IF(K366="CANCELLED","CANCELLED",IF(A366="","INVOICE ID REQUIRED",IF(B366="","PROJECT ID REQUIRED",IF(NOT(ISNUMBER(C366)),"INVALID INVOICE DATE",IF(NOT(AND(ISNUMBER(C366),C366&gt;=2,C366&lt;=2958465,C366=INT(C366))),"INVALID INVOICE DATE",IF(NOT(OR(D366="MX",D366="US")),"ENTITY REQUIRED",IF(NOT(OR(E366="Strategic Services",E366="Brands")),"UNIT REQUIRED",IF(F366="","BRAND / N/A REQUIRED",IF(NOT(OR(G366="USD",G366="MXN")),"CURRENCY REQUIRED",IF(NOT(ISNUMBER(H366)),"AMOUNT REQUIRED",IF(J366="","ERP SOURCE REQUIRED",IF(NOT(OR(K366="ISSUED",K366="CANCELLED")),"INVOICE STATUS REQUIRED",IF(COUNTIFS($A$2:$A$501,A366,$B$2:$B$501,B366,$D$2:$D$501,D366)&gt;1,"DUPLICATE INVOICE / PROJECT",IF(AND(G366="MXN",NOT(AND(ISNUMBER(I366),Settings!$B$8="APPROVED",Settings!$B$9&lt;&gt;"",Settings!$B$10&lt;&gt;""))),"FX HOLD","VALID")))))))))))))))</x:f>
      </x:c>
      <x:c r="M366" s="57" t="str">
        <x:f>IF(ISNUMBER(C366),IF(AND(ISNUMBER(C366),C366&gt;=2,C366&lt;=2958465,C366=INT(C366)),TEXT(C366,"yyyy-mm"),""),"")</x:f>
      </x:c>
      <x:c r="N366" s="59" t="str">
        <x:f>IF(L366="VALID",IF(G366="USD",H366,I366),"")</x:f>
      </x:c>
      <x:c r="O366" s="57" t="n">
        <x:f>IF(L366="VALID",IF(COUNTIFS($B$2:B366,B366,$M$2:M366,M366,$L$2:L366,"VALID")=1,1,0),0)</x:f>
        <x:v>0</x:v>
      </x:c>
    </x:row>
    <x:row r="367">
      <x:c r="A367" s="47"/>
      <x:c r="B367" s="47"/>
      <x:c r="C367" s="58"/>
      <x:c r="D367" s="47"/>
      <x:c r="E367" s="47"/>
      <x:c r="F367" s="47"/>
      <x:c r="G367" s="47"/>
      <x:c r="H367" s="48"/>
      <x:c r="I367" s="48"/>
      <x:c r="J367" s="47"/>
      <x:c r="K367" s="47"/>
      <x:c r="L367" s="57" t="str">
        <x:f>IF(COUNTA(A367:K367)=0,"",IF(K367="CANCELLED","CANCELLED",IF(A367="","INVOICE ID REQUIRED",IF(B367="","PROJECT ID REQUIRED",IF(NOT(ISNUMBER(C367)),"INVALID INVOICE DATE",IF(NOT(AND(ISNUMBER(C367),C367&gt;=2,C367&lt;=2958465,C367=INT(C367))),"INVALID INVOICE DATE",IF(NOT(OR(D367="MX",D367="US")),"ENTITY REQUIRED",IF(NOT(OR(E367="Strategic Services",E367="Brands")),"UNIT REQUIRED",IF(F367="","BRAND / N/A REQUIRED",IF(NOT(OR(G367="USD",G367="MXN")),"CURRENCY REQUIRED",IF(NOT(ISNUMBER(H367)),"AMOUNT REQUIRED",IF(J367="","ERP SOURCE REQUIRED",IF(NOT(OR(K367="ISSUED",K367="CANCELLED")),"INVOICE STATUS REQUIRED",IF(COUNTIFS($A$2:$A$501,A367,$B$2:$B$501,B367,$D$2:$D$501,D367)&gt;1,"DUPLICATE INVOICE / PROJECT",IF(AND(G367="MXN",NOT(AND(ISNUMBER(I367),Settings!$B$8="APPROVED",Settings!$B$9&lt;&gt;"",Settings!$B$10&lt;&gt;""))),"FX HOLD","VALID")))))))))))))))</x:f>
      </x:c>
      <x:c r="M367" s="57" t="str">
        <x:f>IF(ISNUMBER(C367),IF(AND(ISNUMBER(C367),C367&gt;=2,C367&lt;=2958465,C367=INT(C367)),TEXT(C367,"yyyy-mm"),""),"")</x:f>
      </x:c>
      <x:c r="N367" s="59" t="str">
        <x:f>IF(L367="VALID",IF(G367="USD",H367,I367),"")</x:f>
      </x:c>
      <x:c r="O367" s="57" t="n">
        <x:f>IF(L367="VALID",IF(COUNTIFS($B$2:B367,B367,$M$2:M367,M367,$L$2:L367,"VALID")=1,1,0),0)</x:f>
        <x:v>0</x:v>
      </x:c>
    </x:row>
    <x:row r="368">
      <x:c r="A368" s="47"/>
      <x:c r="B368" s="47"/>
      <x:c r="C368" s="58"/>
      <x:c r="D368" s="47"/>
      <x:c r="E368" s="47"/>
      <x:c r="F368" s="47"/>
      <x:c r="G368" s="47"/>
      <x:c r="H368" s="48"/>
      <x:c r="I368" s="48"/>
      <x:c r="J368" s="47"/>
      <x:c r="K368" s="47"/>
      <x:c r="L368" s="57" t="str">
        <x:f>IF(COUNTA(A368:K368)=0,"",IF(K368="CANCELLED","CANCELLED",IF(A368="","INVOICE ID REQUIRED",IF(B368="","PROJECT ID REQUIRED",IF(NOT(ISNUMBER(C368)),"INVALID INVOICE DATE",IF(NOT(AND(ISNUMBER(C368),C368&gt;=2,C368&lt;=2958465,C368=INT(C368))),"INVALID INVOICE DATE",IF(NOT(OR(D368="MX",D368="US")),"ENTITY REQUIRED",IF(NOT(OR(E368="Strategic Services",E368="Brands")),"UNIT REQUIRED",IF(F368="","BRAND / N/A REQUIRED",IF(NOT(OR(G368="USD",G368="MXN")),"CURRENCY REQUIRED",IF(NOT(ISNUMBER(H368)),"AMOUNT REQUIRED",IF(J368="","ERP SOURCE REQUIRED",IF(NOT(OR(K368="ISSUED",K368="CANCELLED")),"INVOICE STATUS REQUIRED",IF(COUNTIFS($A$2:$A$501,A368,$B$2:$B$501,B368,$D$2:$D$501,D368)&gt;1,"DUPLICATE INVOICE / PROJECT",IF(AND(G368="MXN",NOT(AND(ISNUMBER(I368),Settings!$B$8="APPROVED",Settings!$B$9&lt;&gt;"",Settings!$B$10&lt;&gt;""))),"FX HOLD","VALID")))))))))))))))</x:f>
      </x:c>
      <x:c r="M368" s="57" t="str">
        <x:f>IF(ISNUMBER(C368),IF(AND(ISNUMBER(C368),C368&gt;=2,C368&lt;=2958465,C368=INT(C368)),TEXT(C368,"yyyy-mm"),""),"")</x:f>
      </x:c>
      <x:c r="N368" s="59" t="str">
        <x:f>IF(L368="VALID",IF(G368="USD",H368,I368),"")</x:f>
      </x:c>
      <x:c r="O368" s="57" t="n">
        <x:f>IF(L368="VALID",IF(COUNTIFS($B$2:B368,B368,$M$2:M368,M368,$L$2:L368,"VALID")=1,1,0),0)</x:f>
        <x:v>0</x:v>
      </x:c>
    </x:row>
    <x:row r="369">
      <x:c r="A369" s="47"/>
      <x:c r="B369" s="47"/>
      <x:c r="C369" s="58"/>
      <x:c r="D369" s="47"/>
      <x:c r="E369" s="47"/>
      <x:c r="F369" s="47"/>
      <x:c r="G369" s="47"/>
      <x:c r="H369" s="48"/>
      <x:c r="I369" s="48"/>
      <x:c r="J369" s="47"/>
      <x:c r="K369" s="47"/>
      <x:c r="L369" s="57" t="str">
        <x:f>IF(COUNTA(A369:K369)=0,"",IF(K369="CANCELLED","CANCELLED",IF(A369="","INVOICE ID REQUIRED",IF(B369="","PROJECT ID REQUIRED",IF(NOT(ISNUMBER(C369)),"INVALID INVOICE DATE",IF(NOT(AND(ISNUMBER(C369),C369&gt;=2,C369&lt;=2958465,C369=INT(C369))),"INVALID INVOICE DATE",IF(NOT(OR(D369="MX",D369="US")),"ENTITY REQUIRED",IF(NOT(OR(E369="Strategic Services",E369="Brands")),"UNIT REQUIRED",IF(F369="","BRAND / N/A REQUIRED",IF(NOT(OR(G369="USD",G369="MXN")),"CURRENCY REQUIRED",IF(NOT(ISNUMBER(H369)),"AMOUNT REQUIRED",IF(J369="","ERP SOURCE REQUIRED",IF(NOT(OR(K369="ISSUED",K369="CANCELLED")),"INVOICE STATUS REQUIRED",IF(COUNTIFS($A$2:$A$501,A369,$B$2:$B$501,B369,$D$2:$D$501,D369)&gt;1,"DUPLICATE INVOICE / PROJECT",IF(AND(G369="MXN",NOT(AND(ISNUMBER(I369),Settings!$B$8="APPROVED",Settings!$B$9&lt;&gt;"",Settings!$B$10&lt;&gt;""))),"FX HOLD","VALID")))))))))))))))</x:f>
      </x:c>
      <x:c r="M369" s="57" t="str">
        <x:f>IF(ISNUMBER(C369),IF(AND(ISNUMBER(C369),C369&gt;=2,C369&lt;=2958465,C369=INT(C369)),TEXT(C369,"yyyy-mm"),""),"")</x:f>
      </x:c>
      <x:c r="N369" s="59" t="str">
        <x:f>IF(L369="VALID",IF(G369="USD",H369,I369),"")</x:f>
      </x:c>
      <x:c r="O369" s="57" t="n">
        <x:f>IF(L369="VALID",IF(COUNTIFS($B$2:B369,B369,$M$2:M369,M369,$L$2:L369,"VALID")=1,1,0),0)</x:f>
        <x:v>0</x:v>
      </x:c>
    </x:row>
    <x:row r="370">
      <x:c r="A370" s="47"/>
      <x:c r="B370" s="47"/>
      <x:c r="C370" s="58"/>
      <x:c r="D370" s="47"/>
      <x:c r="E370" s="47"/>
      <x:c r="F370" s="47"/>
      <x:c r="G370" s="47"/>
      <x:c r="H370" s="48"/>
      <x:c r="I370" s="48"/>
      <x:c r="J370" s="47"/>
      <x:c r="K370" s="47"/>
      <x:c r="L370" s="57" t="str">
        <x:f>IF(COUNTA(A370:K370)=0,"",IF(K370="CANCELLED","CANCELLED",IF(A370="","INVOICE ID REQUIRED",IF(B370="","PROJECT ID REQUIRED",IF(NOT(ISNUMBER(C370)),"INVALID INVOICE DATE",IF(NOT(AND(ISNUMBER(C370),C370&gt;=2,C370&lt;=2958465,C370=INT(C370))),"INVALID INVOICE DATE",IF(NOT(OR(D370="MX",D370="US")),"ENTITY REQUIRED",IF(NOT(OR(E370="Strategic Services",E370="Brands")),"UNIT REQUIRED",IF(F370="","BRAND / N/A REQUIRED",IF(NOT(OR(G370="USD",G370="MXN")),"CURRENCY REQUIRED",IF(NOT(ISNUMBER(H370)),"AMOUNT REQUIRED",IF(J370="","ERP SOURCE REQUIRED",IF(NOT(OR(K370="ISSUED",K370="CANCELLED")),"INVOICE STATUS REQUIRED",IF(COUNTIFS($A$2:$A$501,A370,$B$2:$B$501,B370,$D$2:$D$501,D370)&gt;1,"DUPLICATE INVOICE / PROJECT",IF(AND(G370="MXN",NOT(AND(ISNUMBER(I370),Settings!$B$8="APPROVED",Settings!$B$9&lt;&gt;"",Settings!$B$10&lt;&gt;""))),"FX HOLD","VALID")))))))))))))))</x:f>
      </x:c>
      <x:c r="M370" s="57" t="str">
        <x:f>IF(ISNUMBER(C370),IF(AND(ISNUMBER(C370),C370&gt;=2,C370&lt;=2958465,C370=INT(C370)),TEXT(C370,"yyyy-mm"),""),"")</x:f>
      </x:c>
      <x:c r="N370" s="59" t="str">
        <x:f>IF(L370="VALID",IF(G370="USD",H370,I370),"")</x:f>
      </x:c>
      <x:c r="O370" s="57" t="n">
        <x:f>IF(L370="VALID",IF(COUNTIFS($B$2:B370,B370,$M$2:M370,M370,$L$2:L370,"VALID")=1,1,0),0)</x:f>
        <x:v>0</x:v>
      </x:c>
    </x:row>
    <x:row r="371">
      <x:c r="A371" s="47"/>
      <x:c r="B371" s="47"/>
      <x:c r="C371" s="58"/>
      <x:c r="D371" s="47"/>
      <x:c r="E371" s="47"/>
      <x:c r="F371" s="47"/>
      <x:c r="G371" s="47"/>
      <x:c r="H371" s="48"/>
      <x:c r="I371" s="48"/>
      <x:c r="J371" s="47"/>
      <x:c r="K371" s="47"/>
      <x:c r="L371" s="57" t="str">
        <x:f>IF(COUNTA(A371:K371)=0,"",IF(K371="CANCELLED","CANCELLED",IF(A371="","INVOICE ID REQUIRED",IF(B371="","PROJECT ID REQUIRED",IF(NOT(ISNUMBER(C371)),"INVALID INVOICE DATE",IF(NOT(AND(ISNUMBER(C371),C371&gt;=2,C371&lt;=2958465,C371=INT(C371))),"INVALID INVOICE DATE",IF(NOT(OR(D371="MX",D371="US")),"ENTITY REQUIRED",IF(NOT(OR(E371="Strategic Services",E371="Brands")),"UNIT REQUIRED",IF(F371="","BRAND / N/A REQUIRED",IF(NOT(OR(G371="USD",G371="MXN")),"CURRENCY REQUIRED",IF(NOT(ISNUMBER(H371)),"AMOUNT REQUIRED",IF(J371="","ERP SOURCE REQUIRED",IF(NOT(OR(K371="ISSUED",K371="CANCELLED")),"INVOICE STATUS REQUIRED",IF(COUNTIFS($A$2:$A$501,A371,$B$2:$B$501,B371,$D$2:$D$501,D371)&gt;1,"DUPLICATE INVOICE / PROJECT",IF(AND(G371="MXN",NOT(AND(ISNUMBER(I371),Settings!$B$8="APPROVED",Settings!$B$9&lt;&gt;"",Settings!$B$10&lt;&gt;""))),"FX HOLD","VALID")))))))))))))))</x:f>
      </x:c>
      <x:c r="M371" s="57" t="str">
        <x:f>IF(ISNUMBER(C371),IF(AND(ISNUMBER(C371),C371&gt;=2,C371&lt;=2958465,C371=INT(C371)),TEXT(C371,"yyyy-mm"),""),"")</x:f>
      </x:c>
      <x:c r="N371" s="59" t="str">
        <x:f>IF(L371="VALID",IF(G371="USD",H371,I371),"")</x:f>
      </x:c>
      <x:c r="O371" s="57" t="n">
        <x:f>IF(L371="VALID",IF(COUNTIFS($B$2:B371,B371,$M$2:M371,M371,$L$2:L371,"VALID")=1,1,0),0)</x:f>
        <x:v>0</x:v>
      </x:c>
    </x:row>
    <x:row r="372">
      <x:c r="A372" s="47"/>
      <x:c r="B372" s="47"/>
      <x:c r="C372" s="58"/>
      <x:c r="D372" s="47"/>
      <x:c r="E372" s="47"/>
      <x:c r="F372" s="47"/>
      <x:c r="G372" s="47"/>
      <x:c r="H372" s="48"/>
      <x:c r="I372" s="48"/>
      <x:c r="J372" s="47"/>
      <x:c r="K372" s="47"/>
      <x:c r="L372" s="57" t="str">
        <x:f>IF(COUNTA(A372:K372)=0,"",IF(K372="CANCELLED","CANCELLED",IF(A372="","INVOICE ID REQUIRED",IF(B372="","PROJECT ID REQUIRED",IF(NOT(ISNUMBER(C372)),"INVALID INVOICE DATE",IF(NOT(AND(ISNUMBER(C372),C372&gt;=2,C372&lt;=2958465,C372=INT(C372))),"INVALID INVOICE DATE",IF(NOT(OR(D372="MX",D372="US")),"ENTITY REQUIRED",IF(NOT(OR(E372="Strategic Services",E372="Brands")),"UNIT REQUIRED",IF(F372="","BRAND / N/A REQUIRED",IF(NOT(OR(G372="USD",G372="MXN")),"CURRENCY REQUIRED",IF(NOT(ISNUMBER(H372)),"AMOUNT REQUIRED",IF(J372="","ERP SOURCE REQUIRED",IF(NOT(OR(K372="ISSUED",K372="CANCELLED")),"INVOICE STATUS REQUIRED",IF(COUNTIFS($A$2:$A$501,A372,$B$2:$B$501,B372,$D$2:$D$501,D372)&gt;1,"DUPLICATE INVOICE / PROJECT",IF(AND(G372="MXN",NOT(AND(ISNUMBER(I372),Settings!$B$8="APPROVED",Settings!$B$9&lt;&gt;"",Settings!$B$10&lt;&gt;""))),"FX HOLD","VALID")))))))))))))))</x:f>
      </x:c>
      <x:c r="M372" s="57" t="str">
        <x:f>IF(ISNUMBER(C372),IF(AND(ISNUMBER(C372),C372&gt;=2,C372&lt;=2958465,C372=INT(C372)),TEXT(C372,"yyyy-mm"),""),"")</x:f>
      </x:c>
      <x:c r="N372" s="59" t="str">
        <x:f>IF(L372="VALID",IF(G372="USD",H372,I372),"")</x:f>
      </x:c>
      <x:c r="O372" s="57" t="n">
        <x:f>IF(L372="VALID",IF(COUNTIFS($B$2:B372,B372,$M$2:M372,M372,$L$2:L372,"VALID")=1,1,0),0)</x:f>
        <x:v>0</x:v>
      </x:c>
    </x:row>
    <x:row r="373">
      <x:c r="A373" s="47"/>
      <x:c r="B373" s="47"/>
      <x:c r="C373" s="58"/>
      <x:c r="D373" s="47"/>
      <x:c r="E373" s="47"/>
      <x:c r="F373" s="47"/>
      <x:c r="G373" s="47"/>
      <x:c r="H373" s="48"/>
      <x:c r="I373" s="48"/>
      <x:c r="J373" s="47"/>
      <x:c r="K373" s="47"/>
      <x:c r="L373" s="57" t="str">
        <x:f>IF(COUNTA(A373:K373)=0,"",IF(K373="CANCELLED","CANCELLED",IF(A373="","INVOICE ID REQUIRED",IF(B373="","PROJECT ID REQUIRED",IF(NOT(ISNUMBER(C373)),"INVALID INVOICE DATE",IF(NOT(AND(ISNUMBER(C373),C373&gt;=2,C373&lt;=2958465,C373=INT(C373))),"INVALID INVOICE DATE",IF(NOT(OR(D373="MX",D373="US")),"ENTITY REQUIRED",IF(NOT(OR(E373="Strategic Services",E373="Brands")),"UNIT REQUIRED",IF(F373="","BRAND / N/A REQUIRED",IF(NOT(OR(G373="USD",G373="MXN")),"CURRENCY REQUIRED",IF(NOT(ISNUMBER(H373)),"AMOUNT REQUIRED",IF(J373="","ERP SOURCE REQUIRED",IF(NOT(OR(K373="ISSUED",K373="CANCELLED")),"INVOICE STATUS REQUIRED",IF(COUNTIFS($A$2:$A$501,A373,$B$2:$B$501,B373,$D$2:$D$501,D373)&gt;1,"DUPLICATE INVOICE / PROJECT",IF(AND(G373="MXN",NOT(AND(ISNUMBER(I373),Settings!$B$8="APPROVED",Settings!$B$9&lt;&gt;"",Settings!$B$10&lt;&gt;""))),"FX HOLD","VALID")))))))))))))))</x:f>
      </x:c>
      <x:c r="M373" s="57" t="str">
        <x:f>IF(ISNUMBER(C373),IF(AND(ISNUMBER(C373),C373&gt;=2,C373&lt;=2958465,C373=INT(C373)),TEXT(C373,"yyyy-mm"),""),"")</x:f>
      </x:c>
      <x:c r="N373" s="59" t="str">
        <x:f>IF(L373="VALID",IF(G373="USD",H373,I373),"")</x:f>
      </x:c>
      <x:c r="O373" s="57" t="n">
        <x:f>IF(L373="VALID",IF(COUNTIFS($B$2:B373,B373,$M$2:M373,M373,$L$2:L373,"VALID")=1,1,0),0)</x:f>
        <x:v>0</x:v>
      </x:c>
    </x:row>
    <x:row r="374">
      <x:c r="A374" s="47"/>
      <x:c r="B374" s="47"/>
      <x:c r="C374" s="58"/>
      <x:c r="D374" s="47"/>
      <x:c r="E374" s="47"/>
      <x:c r="F374" s="47"/>
      <x:c r="G374" s="47"/>
      <x:c r="H374" s="48"/>
      <x:c r="I374" s="48"/>
      <x:c r="J374" s="47"/>
      <x:c r="K374" s="47"/>
      <x:c r="L374" s="57" t="str">
        <x:f>IF(COUNTA(A374:K374)=0,"",IF(K374="CANCELLED","CANCELLED",IF(A374="","INVOICE ID REQUIRED",IF(B374="","PROJECT ID REQUIRED",IF(NOT(ISNUMBER(C374)),"INVALID INVOICE DATE",IF(NOT(AND(ISNUMBER(C374),C374&gt;=2,C374&lt;=2958465,C374=INT(C374))),"INVALID INVOICE DATE",IF(NOT(OR(D374="MX",D374="US")),"ENTITY REQUIRED",IF(NOT(OR(E374="Strategic Services",E374="Brands")),"UNIT REQUIRED",IF(F374="","BRAND / N/A REQUIRED",IF(NOT(OR(G374="USD",G374="MXN")),"CURRENCY REQUIRED",IF(NOT(ISNUMBER(H374)),"AMOUNT REQUIRED",IF(J374="","ERP SOURCE REQUIRED",IF(NOT(OR(K374="ISSUED",K374="CANCELLED")),"INVOICE STATUS REQUIRED",IF(COUNTIFS($A$2:$A$501,A374,$B$2:$B$501,B374,$D$2:$D$501,D374)&gt;1,"DUPLICATE INVOICE / PROJECT",IF(AND(G374="MXN",NOT(AND(ISNUMBER(I374),Settings!$B$8="APPROVED",Settings!$B$9&lt;&gt;"",Settings!$B$10&lt;&gt;""))),"FX HOLD","VALID")))))))))))))))</x:f>
      </x:c>
      <x:c r="M374" s="57" t="str">
        <x:f>IF(ISNUMBER(C374),IF(AND(ISNUMBER(C374),C374&gt;=2,C374&lt;=2958465,C374=INT(C374)),TEXT(C374,"yyyy-mm"),""),"")</x:f>
      </x:c>
      <x:c r="N374" s="59" t="str">
        <x:f>IF(L374="VALID",IF(G374="USD",H374,I374),"")</x:f>
      </x:c>
      <x:c r="O374" s="57" t="n">
        <x:f>IF(L374="VALID",IF(COUNTIFS($B$2:B374,B374,$M$2:M374,M374,$L$2:L374,"VALID")=1,1,0),0)</x:f>
        <x:v>0</x:v>
      </x:c>
    </x:row>
    <x:row r="375">
      <x:c r="A375" s="47"/>
      <x:c r="B375" s="47"/>
      <x:c r="C375" s="58"/>
      <x:c r="D375" s="47"/>
      <x:c r="E375" s="47"/>
      <x:c r="F375" s="47"/>
      <x:c r="G375" s="47"/>
      <x:c r="H375" s="48"/>
      <x:c r="I375" s="48"/>
      <x:c r="J375" s="47"/>
      <x:c r="K375" s="47"/>
      <x:c r="L375" s="57" t="str">
        <x:f>IF(COUNTA(A375:K375)=0,"",IF(K375="CANCELLED","CANCELLED",IF(A375="","INVOICE ID REQUIRED",IF(B375="","PROJECT ID REQUIRED",IF(NOT(ISNUMBER(C375)),"INVALID INVOICE DATE",IF(NOT(AND(ISNUMBER(C375),C375&gt;=2,C375&lt;=2958465,C375=INT(C375))),"INVALID INVOICE DATE",IF(NOT(OR(D375="MX",D375="US")),"ENTITY REQUIRED",IF(NOT(OR(E375="Strategic Services",E375="Brands")),"UNIT REQUIRED",IF(F375="","BRAND / N/A REQUIRED",IF(NOT(OR(G375="USD",G375="MXN")),"CURRENCY REQUIRED",IF(NOT(ISNUMBER(H375)),"AMOUNT REQUIRED",IF(J375="","ERP SOURCE REQUIRED",IF(NOT(OR(K375="ISSUED",K375="CANCELLED")),"INVOICE STATUS REQUIRED",IF(COUNTIFS($A$2:$A$501,A375,$B$2:$B$501,B375,$D$2:$D$501,D375)&gt;1,"DUPLICATE INVOICE / PROJECT",IF(AND(G375="MXN",NOT(AND(ISNUMBER(I375),Settings!$B$8="APPROVED",Settings!$B$9&lt;&gt;"",Settings!$B$10&lt;&gt;""))),"FX HOLD","VALID")))))))))))))))</x:f>
      </x:c>
      <x:c r="M375" s="57" t="str">
        <x:f>IF(ISNUMBER(C375),IF(AND(ISNUMBER(C375),C375&gt;=2,C375&lt;=2958465,C375=INT(C375)),TEXT(C375,"yyyy-mm"),""),"")</x:f>
      </x:c>
      <x:c r="N375" s="59" t="str">
        <x:f>IF(L375="VALID",IF(G375="USD",H375,I375),"")</x:f>
      </x:c>
      <x:c r="O375" s="57" t="n">
        <x:f>IF(L375="VALID",IF(COUNTIFS($B$2:B375,B375,$M$2:M375,M375,$L$2:L375,"VALID")=1,1,0),0)</x:f>
        <x:v>0</x:v>
      </x:c>
    </x:row>
    <x:row r="376">
      <x:c r="A376" s="47"/>
      <x:c r="B376" s="47"/>
      <x:c r="C376" s="58"/>
      <x:c r="D376" s="47"/>
      <x:c r="E376" s="47"/>
      <x:c r="F376" s="47"/>
      <x:c r="G376" s="47"/>
      <x:c r="H376" s="48"/>
      <x:c r="I376" s="48"/>
      <x:c r="J376" s="47"/>
      <x:c r="K376" s="47"/>
      <x:c r="L376" s="57" t="str">
        <x:f>IF(COUNTA(A376:K376)=0,"",IF(K376="CANCELLED","CANCELLED",IF(A376="","INVOICE ID REQUIRED",IF(B376="","PROJECT ID REQUIRED",IF(NOT(ISNUMBER(C376)),"INVALID INVOICE DATE",IF(NOT(AND(ISNUMBER(C376),C376&gt;=2,C376&lt;=2958465,C376=INT(C376))),"INVALID INVOICE DATE",IF(NOT(OR(D376="MX",D376="US")),"ENTITY REQUIRED",IF(NOT(OR(E376="Strategic Services",E376="Brands")),"UNIT REQUIRED",IF(F376="","BRAND / N/A REQUIRED",IF(NOT(OR(G376="USD",G376="MXN")),"CURRENCY REQUIRED",IF(NOT(ISNUMBER(H376)),"AMOUNT REQUIRED",IF(J376="","ERP SOURCE REQUIRED",IF(NOT(OR(K376="ISSUED",K376="CANCELLED")),"INVOICE STATUS REQUIRED",IF(COUNTIFS($A$2:$A$501,A376,$B$2:$B$501,B376,$D$2:$D$501,D376)&gt;1,"DUPLICATE INVOICE / PROJECT",IF(AND(G376="MXN",NOT(AND(ISNUMBER(I376),Settings!$B$8="APPROVED",Settings!$B$9&lt;&gt;"",Settings!$B$10&lt;&gt;""))),"FX HOLD","VALID")))))))))))))))</x:f>
      </x:c>
      <x:c r="M376" s="57" t="str">
        <x:f>IF(ISNUMBER(C376),IF(AND(ISNUMBER(C376),C376&gt;=2,C376&lt;=2958465,C376=INT(C376)),TEXT(C376,"yyyy-mm"),""),"")</x:f>
      </x:c>
      <x:c r="N376" s="59" t="str">
        <x:f>IF(L376="VALID",IF(G376="USD",H376,I376),"")</x:f>
      </x:c>
      <x:c r="O376" s="57" t="n">
        <x:f>IF(L376="VALID",IF(COUNTIFS($B$2:B376,B376,$M$2:M376,M376,$L$2:L376,"VALID")=1,1,0),0)</x:f>
        <x:v>0</x:v>
      </x:c>
    </x:row>
    <x:row r="377">
      <x:c r="A377" s="47"/>
      <x:c r="B377" s="47"/>
      <x:c r="C377" s="58"/>
      <x:c r="D377" s="47"/>
      <x:c r="E377" s="47"/>
      <x:c r="F377" s="47"/>
      <x:c r="G377" s="47"/>
      <x:c r="H377" s="48"/>
      <x:c r="I377" s="48"/>
      <x:c r="J377" s="47"/>
      <x:c r="K377" s="47"/>
      <x:c r="L377" s="57" t="str">
        <x:f>IF(COUNTA(A377:K377)=0,"",IF(K377="CANCELLED","CANCELLED",IF(A377="","INVOICE ID REQUIRED",IF(B377="","PROJECT ID REQUIRED",IF(NOT(ISNUMBER(C377)),"INVALID INVOICE DATE",IF(NOT(AND(ISNUMBER(C377),C377&gt;=2,C377&lt;=2958465,C377=INT(C377))),"INVALID INVOICE DATE",IF(NOT(OR(D377="MX",D377="US")),"ENTITY REQUIRED",IF(NOT(OR(E377="Strategic Services",E377="Brands")),"UNIT REQUIRED",IF(F377="","BRAND / N/A REQUIRED",IF(NOT(OR(G377="USD",G377="MXN")),"CURRENCY REQUIRED",IF(NOT(ISNUMBER(H377)),"AMOUNT REQUIRED",IF(J377="","ERP SOURCE REQUIRED",IF(NOT(OR(K377="ISSUED",K377="CANCELLED")),"INVOICE STATUS REQUIRED",IF(COUNTIFS($A$2:$A$501,A377,$B$2:$B$501,B377,$D$2:$D$501,D377)&gt;1,"DUPLICATE INVOICE / PROJECT",IF(AND(G377="MXN",NOT(AND(ISNUMBER(I377),Settings!$B$8="APPROVED",Settings!$B$9&lt;&gt;"",Settings!$B$10&lt;&gt;""))),"FX HOLD","VALID")))))))))))))))</x:f>
      </x:c>
      <x:c r="M377" s="57" t="str">
        <x:f>IF(ISNUMBER(C377),IF(AND(ISNUMBER(C377),C377&gt;=2,C377&lt;=2958465,C377=INT(C377)),TEXT(C377,"yyyy-mm"),""),"")</x:f>
      </x:c>
      <x:c r="N377" s="59" t="str">
        <x:f>IF(L377="VALID",IF(G377="USD",H377,I377),"")</x:f>
      </x:c>
      <x:c r="O377" s="57" t="n">
        <x:f>IF(L377="VALID",IF(COUNTIFS($B$2:B377,B377,$M$2:M377,M377,$L$2:L377,"VALID")=1,1,0),0)</x:f>
        <x:v>0</x:v>
      </x:c>
    </x:row>
    <x:row r="378">
      <x:c r="A378" s="47"/>
      <x:c r="B378" s="47"/>
      <x:c r="C378" s="58"/>
      <x:c r="D378" s="47"/>
      <x:c r="E378" s="47"/>
      <x:c r="F378" s="47"/>
      <x:c r="G378" s="47"/>
      <x:c r="H378" s="48"/>
      <x:c r="I378" s="48"/>
      <x:c r="J378" s="47"/>
      <x:c r="K378" s="47"/>
      <x:c r="L378" s="57" t="str">
        <x:f>IF(COUNTA(A378:K378)=0,"",IF(K378="CANCELLED","CANCELLED",IF(A378="","INVOICE ID REQUIRED",IF(B378="","PROJECT ID REQUIRED",IF(NOT(ISNUMBER(C378)),"INVALID INVOICE DATE",IF(NOT(AND(ISNUMBER(C378),C378&gt;=2,C378&lt;=2958465,C378=INT(C378))),"INVALID INVOICE DATE",IF(NOT(OR(D378="MX",D378="US")),"ENTITY REQUIRED",IF(NOT(OR(E378="Strategic Services",E378="Brands")),"UNIT REQUIRED",IF(F378="","BRAND / N/A REQUIRED",IF(NOT(OR(G378="USD",G378="MXN")),"CURRENCY REQUIRED",IF(NOT(ISNUMBER(H378)),"AMOUNT REQUIRED",IF(J378="","ERP SOURCE REQUIRED",IF(NOT(OR(K378="ISSUED",K378="CANCELLED")),"INVOICE STATUS REQUIRED",IF(COUNTIFS($A$2:$A$501,A378,$B$2:$B$501,B378,$D$2:$D$501,D378)&gt;1,"DUPLICATE INVOICE / PROJECT",IF(AND(G378="MXN",NOT(AND(ISNUMBER(I378),Settings!$B$8="APPROVED",Settings!$B$9&lt;&gt;"",Settings!$B$10&lt;&gt;""))),"FX HOLD","VALID")))))))))))))))</x:f>
      </x:c>
      <x:c r="M378" s="57" t="str">
        <x:f>IF(ISNUMBER(C378),IF(AND(ISNUMBER(C378),C378&gt;=2,C378&lt;=2958465,C378=INT(C378)),TEXT(C378,"yyyy-mm"),""),"")</x:f>
      </x:c>
      <x:c r="N378" s="59" t="str">
        <x:f>IF(L378="VALID",IF(G378="USD",H378,I378),"")</x:f>
      </x:c>
      <x:c r="O378" s="57" t="n">
        <x:f>IF(L378="VALID",IF(COUNTIFS($B$2:B378,B378,$M$2:M378,M378,$L$2:L378,"VALID")=1,1,0),0)</x:f>
        <x:v>0</x:v>
      </x:c>
    </x:row>
    <x:row r="379">
      <x:c r="A379" s="47"/>
      <x:c r="B379" s="47"/>
      <x:c r="C379" s="58"/>
      <x:c r="D379" s="47"/>
      <x:c r="E379" s="47"/>
      <x:c r="F379" s="47"/>
      <x:c r="G379" s="47"/>
      <x:c r="H379" s="48"/>
      <x:c r="I379" s="48"/>
      <x:c r="J379" s="47"/>
      <x:c r="K379" s="47"/>
      <x:c r="L379" s="57" t="str">
        <x:f>IF(COUNTA(A379:K379)=0,"",IF(K379="CANCELLED","CANCELLED",IF(A379="","INVOICE ID REQUIRED",IF(B379="","PROJECT ID REQUIRED",IF(NOT(ISNUMBER(C379)),"INVALID INVOICE DATE",IF(NOT(AND(ISNUMBER(C379),C379&gt;=2,C379&lt;=2958465,C379=INT(C379))),"INVALID INVOICE DATE",IF(NOT(OR(D379="MX",D379="US")),"ENTITY REQUIRED",IF(NOT(OR(E379="Strategic Services",E379="Brands")),"UNIT REQUIRED",IF(F379="","BRAND / N/A REQUIRED",IF(NOT(OR(G379="USD",G379="MXN")),"CURRENCY REQUIRED",IF(NOT(ISNUMBER(H379)),"AMOUNT REQUIRED",IF(J379="","ERP SOURCE REQUIRED",IF(NOT(OR(K379="ISSUED",K379="CANCELLED")),"INVOICE STATUS REQUIRED",IF(COUNTIFS($A$2:$A$501,A379,$B$2:$B$501,B379,$D$2:$D$501,D379)&gt;1,"DUPLICATE INVOICE / PROJECT",IF(AND(G379="MXN",NOT(AND(ISNUMBER(I379),Settings!$B$8="APPROVED",Settings!$B$9&lt;&gt;"",Settings!$B$10&lt;&gt;""))),"FX HOLD","VALID")))))))))))))))</x:f>
      </x:c>
      <x:c r="M379" s="57" t="str">
        <x:f>IF(ISNUMBER(C379),IF(AND(ISNUMBER(C379),C379&gt;=2,C379&lt;=2958465,C379=INT(C379)),TEXT(C379,"yyyy-mm"),""),"")</x:f>
      </x:c>
      <x:c r="N379" s="59" t="str">
        <x:f>IF(L379="VALID",IF(G379="USD",H379,I379),"")</x:f>
      </x:c>
      <x:c r="O379" s="57" t="n">
        <x:f>IF(L379="VALID",IF(COUNTIFS($B$2:B379,B379,$M$2:M379,M379,$L$2:L379,"VALID")=1,1,0),0)</x:f>
        <x:v>0</x:v>
      </x:c>
    </x:row>
    <x:row r="380">
      <x:c r="A380" s="47"/>
      <x:c r="B380" s="47"/>
      <x:c r="C380" s="58"/>
      <x:c r="D380" s="47"/>
      <x:c r="E380" s="47"/>
      <x:c r="F380" s="47"/>
      <x:c r="G380" s="47"/>
      <x:c r="H380" s="48"/>
      <x:c r="I380" s="48"/>
      <x:c r="J380" s="47"/>
      <x:c r="K380" s="47"/>
      <x:c r="L380" s="57" t="str">
        <x:f>IF(COUNTA(A380:K380)=0,"",IF(K380="CANCELLED","CANCELLED",IF(A380="","INVOICE ID REQUIRED",IF(B380="","PROJECT ID REQUIRED",IF(NOT(ISNUMBER(C380)),"INVALID INVOICE DATE",IF(NOT(AND(ISNUMBER(C380),C380&gt;=2,C380&lt;=2958465,C380=INT(C380))),"INVALID INVOICE DATE",IF(NOT(OR(D380="MX",D380="US")),"ENTITY REQUIRED",IF(NOT(OR(E380="Strategic Services",E380="Brands")),"UNIT REQUIRED",IF(F380="","BRAND / N/A REQUIRED",IF(NOT(OR(G380="USD",G380="MXN")),"CURRENCY REQUIRED",IF(NOT(ISNUMBER(H380)),"AMOUNT REQUIRED",IF(J380="","ERP SOURCE REQUIRED",IF(NOT(OR(K380="ISSUED",K380="CANCELLED")),"INVOICE STATUS REQUIRED",IF(COUNTIFS($A$2:$A$501,A380,$B$2:$B$501,B380,$D$2:$D$501,D380)&gt;1,"DUPLICATE INVOICE / PROJECT",IF(AND(G380="MXN",NOT(AND(ISNUMBER(I380),Settings!$B$8="APPROVED",Settings!$B$9&lt;&gt;"",Settings!$B$10&lt;&gt;""))),"FX HOLD","VALID")))))))))))))))</x:f>
      </x:c>
      <x:c r="M380" s="57" t="str">
        <x:f>IF(ISNUMBER(C380),IF(AND(ISNUMBER(C380),C380&gt;=2,C380&lt;=2958465,C380=INT(C380)),TEXT(C380,"yyyy-mm"),""),"")</x:f>
      </x:c>
      <x:c r="N380" s="59" t="str">
        <x:f>IF(L380="VALID",IF(G380="USD",H380,I380),"")</x:f>
      </x:c>
      <x:c r="O380" s="57" t="n">
        <x:f>IF(L380="VALID",IF(COUNTIFS($B$2:B380,B380,$M$2:M380,M380,$L$2:L380,"VALID")=1,1,0),0)</x:f>
        <x:v>0</x:v>
      </x:c>
    </x:row>
    <x:row r="381">
      <x:c r="A381" s="47"/>
      <x:c r="B381" s="47"/>
      <x:c r="C381" s="58"/>
      <x:c r="D381" s="47"/>
      <x:c r="E381" s="47"/>
      <x:c r="F381" s="47"/>
      <x:c r="G381" s="47"/>
      <x:c r="H381" s="48"/>
      <x:c r="I381" s="48"/>
      <x:c r="J381" s="47"/>
      <x:c r="K381" s="47"/>
      <x:c r="L381" s="57" t="str">
        <x:f>IF(COUNTA(A381:K381)=0,"",IF(K381="CANCELLED","CANCELLED",IF(A381="","INVOICE ID REQUIRED",IF(B381="","PROJECT ID REQUIRED",IF(NOT(ISNUMBER(C381)),"INVALID INVOICE DATE",IF(NOT(AND(ISNUMBER(C381),C381&gt;=2,C381&lt;=2958465,C381=INT(C381))),"INVALID INVOICE DATE",IF(NOT(OR(D381="MX",D381="US")),"ENTITY REQUIRED",IF(NOT(OR(E381="Strategic Services",E381="Brands")),"UNIT REQUIRED",IF(F381="","BRAND / N/A REQUIRED",IF(NOT(OR(G381="USD",G381="MXN")),"CURRENCY REQUIRED",IF(NOT(ISNUMBER(H381)),"AMOUNT REQUIRED",IF(J381="","ERP SOURCE REQUIRED",IF(NOT(OR(K381="ISSUED",K381="CANCELLED")),"INVOICE STATUS REQUIRED",IF(COUNTIFS($A$2:$A$501,A381,$B$2:$B$501,B381,$D$2:$D$501,D381)&gt;1,"DUPLICATE INVOICE / PROJECT",IF(AND(G381="MXN",NOT(AND(ISNUMBER(I381),Settings!$B$8="APPROVED",Settings!$B$9&lt;&gt;"",Settings!$B$10&lt;&gt;""))),"FX HOLD","VALID")))))))))))))))</x:f>
      </x:c>
      <x:c r="M381" s="57" t="str">
        <x:f>IF(ISNUMBER(C381),IF(AND(ISNUMBER(C381),C381&gt;=2,C381&lt;=2958465,C381=INT(C381)),TEXT(C381,"yyyy-mm"),""),"")</x:f>
      </x:c>
      <x:c r="N381" s="59" t="str">
        <x:f>IF(L381="VALID",IF(G381="USD",H381,I381),"")</x:f>
      </x:c>
      <x:c r="O381" s="57" t="n">
        <x:f>IF(L381="VALID",IF(COUNTIFS($B$2:B381,B381,$M$2:M381,M381,$L$2:L381,"VALID")=1,1,0),0)</x:f>
        <x:v>0</x:v>
      </x:c>
    </x:row>
    <x:row r="382">
      <x:c r="A382" s="47"/>
      <x:c r="B382" s="47"/>
      <x:c r="C382" s="58"/>
      <x:c r="D382" s="47"/>
      <x:c r="E382" s="47"/>
      <x:c r="F382" s="47"/>
      <x:c r="G382" s="47"/>
      <x:c r="H382" s="48"/>
      <x:c r="I382" s="48"/>
      <x:c r="J382" s="47"/>
      <x:c r="K382" s="47"/>
      <x:c r="L382" s="57" t="str">
        <x:f>IF(COUNTA(A382:K382)=0,"",IF(K382="CANCELLED","CANCELLED",IF(A382="","INVOICE ID REQUIRED",IF(B382="","PROJECT ID REQUIRED",IF(NOT(ISNUMBER(C382)),"INVALID INVOICE DATE",IF(NOT(AND(ISNUMBER(C382),C382&gt;=2,C382&lt;=2958465,C382=INT(C382))),"INVALID INVOICE DATE",IF(NOT(OR(D382="MX",D382="US")),"ENTITY REQUIRED",IF(NOT(OR(E382="Strategic Services",E382="Brands")),"UNIT REQUIRED",IF(F382="","BRAND / N/A REQUIRED",IF(NOT(OR(G382="USD",G382="MXN")),"CURRENCY REQUIRED",IF(NOT(ISNUMBER(H382)),"AMOUNT REQUIRED",IF(J382="","ERP SOURCE REQUIRED",IF(NOT(OR(K382="ISSUED",K382="CANCELLED")),"INVOICE STATUS REQUIRED",IF(COUNTIFS($A$2:$A$501,A382,$B$2:$B$501,B382,$D$2:$D$501,D382)&gt;1,"DUPLICATE INVOICE / PROJECT",IF(AND(G382="MXN",NOT(AND(ISNUMBER(I382),Settings!$B$8="APPROVED",Settings!$B$9&lt;&gt;"",Settings!$B$10&lt;&gt;""))),"FX HOLD","VALID")))))))))))))))</x:f>
      </x:c>
      <x:c r="M382" s="57" t="str">
        <x:f>IF(ISNUMBER(C382),IF(AND(ISNUMBER(C382),C382&gt;=2,C382&lt;=2958465,C382=INT(C382)),TEXT(C382,"yyyy-mm"),""),"")</x:f>
      </x:c>
      <x:c r="N382" s="59" t="str">
        <x:f>IF(L382="VALID",IF(G382="USD",H382,I382),"")</x:f>
      </x:c>
      <x:c r="O382" s="57" t="n">
        <x:f>IF(L382="VALID",IF(COUNTIFS($B$2:B382,B382,$M$2:M382,M382,$L$2:L382,"VALID")=1,1,0),0)</x:f>
        <x:v>0</x:v>
      </x:c>
    </x:row>
    <x:row r="383">
      <x:c r="A383" s="47"/>
      <x:c r="B383" s="47"/>
      <x:c r="C383" s="58"/>
      <x:c r="D383" s="47"/>
      <x:c r="E383" s="47"/>
      <x:c r="F383" s="47"/>
      <x:c r="G383" s="47"/>
      <x:c r="H383" s="48"/>
      <x:c r="I383" s="48"/>
      <x:c r="J383" s="47"/>
      <x:c r="K383" s="47"/>
      <x:c r="L383" s="57" t="str">
        <x:f>IF(COUNTA(A383:K383)=0,"",IF(K383="CANCELLED","CANCELLED",IF(A383="","INVOICE ID REQUIRED",IF(B383="","PROJECT ID REQUIRED",IF(NOT(ISNUMBER(C383)),"INVALID INVOICE DATE",IF(NOT(AND(ISNUMBER(C383),C383&gt;=2,C383&lt;=2958465,C383=INT(C383))),"INVALID INVOICE DATE",IF(NOT(OR(D383="MX",D383="US")),"ENTITY REQUIRED",IF(NOT(OR(E383="Strategic Services",E383="Brands")),"UNIT REQUIRED",IF(F383="","BRAND / N/A REQUIRED",IF(NOT(OR(G383="USD",G383="MXN")),"CURRENCY REQUIRED",IF(NOT(ISNUMBER(H383)),"AMOUNT REQUIRED",IF(J383="","ERP SOURCE REQUIRED",IF(NOT(OR(K383="ISSUED",K383="CANCELLED")),"INVOICE STATUS REQUIRED",IF(COUNTIFS($A$2:$A$501,A383,$B$2:$B$501,B383,$D$2:$D$501,D383)&gt;1,"DUPLICATE INVOICE / PROJECT",IF(AND(G383="MXN",NOT(AND(ISNUMBER(I383),Settings!$B$8="APPROVED",Settings!$B$9&lt;&gt;"",Settings!$B$10&lt;&gt;""))),"FX HOLD","VALID")))))))))))))))</x:f>
      </x:c>
      <x:c r="M383" s="57" t="str">
        <x:f>IF(ISNUMBER(C383),IF(AND(ISNUMBER(C383),C383&gt;=2,C383&lt;=2958465,C383=INT(C383)),TEXT(C383,"yyyy-mm"),""),"")</x:f>
      </x:c>
      <x:c r="N383" s="59" t="str">
        <x:f>IF(L383="VALID",IF(G383="USD",H383,I383),"")</x:f>
      </x:c>
      <x:c r="O383" s="57" t="n">
        <x:f>IF(L383="VALID",IF(COUNTIFS($B$2:B383,B383,$M$2:M383,M383,$L$2:L383,"VALID")=1,1,0),0)</x:f>
        <x:v>0</x:v>
      </x:c>
    </x:row>
    <x:row r="384">
      <x:c r="A384" s="47"/>
      <x:c r="B384" s="47"/>
      <x:c r="C384" s="58"/>
      <x:c r="D384" s="47"/>
      <x:c r="E384" s="47"/>
      <x:c r="F384" s="47"/>
      <x:c r="G384" s="47"/>
      <x:c r="H384" s="48"/>
      <x:c r="I384" s="48"/>
      <x:c r="J384" s="47"/>
      <x:c r="K384" s="47"/>
      <x:c r="L384" s="57" t="str">
        <x:f>IF(COUNTA(A384:K384)=0,"",IF(K384="CANCELLED","CANCELLED",IF(A384="","INVOICE ID REQUIRED",IF(B384="","PROJECT ID REQUIRED",IF(NOT(ISNUMBER(C384)),"INVALID INVOICE DATE",IF(NOT(AND(ISNUMBER(C384),C384&gt;=2,C384&lt;=2958465,C384=INT(C384))),"INVALID INVOICE DATE",IF(NOT(OR(D384="MX",D384="US")),"ENTITY REQUIRED",IF(NOT(OR(E384="Strategic Services",E384="Brands")),"UNIT REQUIRED",IF(F384="","BRAND / N/A REQUIRED",IF(NOT(OR(G384="USD",G384="MXN")),"CURRENCY REQUIRED",IF(NOT(ISNUMBER(H384)),"AMOUNT REQUIRED",IF(J384="","ERP SOURCE REQUIRED",IF(NOT(OR(K384="ISSUED",K384="CANCELLED")),"INVOICE STATUS REQUIRED",IF(COUNTIFS($A$2:$A$501,A384,$B$2:$B$501,B384,$D$2:$D$501,D384)&gt;1,"DUPLICATE INVOICE / PROJECT",IF(AND(G384="MXN",NOT(AND(ISNUMBER(I384),Settings!$B$8="APPROVED",Settings!$B$9&lt;&gt;"",Settings!$B$10&lt;&gt;""))),"FX HOLD","VALID")))))))))))))))</x:f>
      </x:c>
      <x:c r="M384" s="57" t="str">
        <x:f>IF(ISNUMBER(C384),IF(AND(ISNUMBER(C384),C384&gt;=2,C384&lt;=2958465,C384=INT(C384)),TEXT(C384,"yyyy-mm"),""),"")</x:f>
      </x:c>
      <x:c r="N384" s="59" t="str">
        <x:f>IF(L384="VALID",IF(G384="USD",H384,I384),"")</x:f>
      </x:c>
      <x:c r="O384" s="57" t="n">
        <x:f>IF(L384="VALID",IF(COUNTIFS($B$2:B384,B384,$M$2:M384,M384,$L$2:L384,"VALID")=1,1,0),0)</x:f>
        <x:v>0</x:v>
      </x:c>
    </x:row>
    <x:row r="385">
      <x:c r="A385" s="47"/>
      <x:c r="B385" s="47"/>
      <x:c r="C385" s="58"/>
      <x:c r="D385" s="47"/>
      <x:c r="E385" s="47"/>
      <x:c r="F385" s="47"/>
      <x:c r="G385" s="47"/>
      <x:c r="H385" s="48"/>
      <x:c r="I385" s="48"/>
      <x:c r="J385" s="47"/>
      <x:c r="K385" s="47"/>
      <x:c r="L385" s="57" t="str">
        <x:f>IF(COUNTA(A385:K385)=0,"",IF(K385="CANCELLED","CANCELLED",IF(A385="","INVOICE ID REQUIRED",IF(B385="","PROJECT ID REQUIRED",IF(NOT(ISNUMBER(C385)),"INVALID INVOICE DATE",IF(NOT(AND(ISNUMBER(C385),C385&gt;=2,C385&lt;=2958465,C385=INT(C385))),"INVALID INVOICE DATE",IF(NOT(OR(D385="MX",D385="US")),"ENTITY REQUIRED",IF(NOT(OR(E385="Strategic Services",E385="Brands")),"UNIT REQUIRED",IF(F385="","BRAND / N/A REQUIRED",IF(NOT(OR(G385="USD",G385="MXN")),"CURRENCY REQUIRED",IF(NOT(ISNUMBER(H385)),"AMOUNT REQUIRED",IF(J385="","ERP SOURCE REQUIRED",IF(NOT(OR(K385="ISSUED",K385="CANCELLED")),"INVOICE STATUS REQUIRED",IF(COUNTIFS($A$2:$A$501,A385,$B$2:$B$501,B385,$D$2:$D$501,D385)&gt;1,"DUPLICATE INVOICE / PROJECT",IF(AND(G385="MXN",NOT(AND(ISNUMBER(I385),Settings!$B$8="APPROVED",Settings!$B$9&lt;&gt;"",Settings!$B$10&lt;&gt;""))),"FX HOLD","VALID")))))))))))))))</x:f>
      </x:c>
      <x:c r="M385" s="57" t="str">
        <x:f>IF(ISNUMBER(C385),IF(AND(ISNUMBER(C385),C385&gt;=2,C385&lt;=2958465,C385=INT(C385)),TEXT(C385,"yyyy-mm"),""),"")</x:f>
      </x:c>
      <x:c r="N385" s="59" t="str">
        <x:f>IF(L385="VALID",IF(G385="USD",H385,I385),"")</x:f>
      </x:c>
      <x:c r="O385" s="57" t="n">
        <x:f>IF(L385="VALID",IF(COUNTIFS($B$2:B385,B385,$M$2:M385,M385,$L$2:L385,"VALID")=1,1,0),0)</x:f>
        <x:v>0</x:v>
      </x:c>
    </x:row>
    <x:row r="386">
      <x:c r="A386" s="47"/>
      <x:c r="B386" s="47"/>
      <x:c r="C386" s="58"/>
      <x:c r="D386" s="47"/>
      <x:c r="E386" s="47"/>
      <x:c r="F386" s="47"/>
      <x:c r="G386" s="47"/>
      <x:c r="H386" s="48"/>
      <x:c r="I386" s="48"/>
      <x:c r="J386" s="47"/>
      <x:c r="K386" s="47"/>
      <x:c r="L386" s="57" t="str">
        <x:f>IF(COUNTA(A386:K386)=0,"",IF(K386="CANCELLED","CANCELLED",IF(A386="","INVOICE ID REQUIRED",IF(B386="","PROJECT ID REQUIRED",IF(NOT(ISNUMBER(C386)),"INVALID INVOICE DATE",IF(NOT(AND(ISNUMBER(C386),C386&gt;=2,C386&lt;=2958465,C386=INT(C386))),"INVALID INVOICE DATE",IF(NOT(OR(D386="MX",D386="US")),"ENTITY REQUIRED",IF(NOT(OR(E386="Strategic Services",E386="Brands")),"UNIT REQUIRED",IF(F386="","BRAND / N/A REQUIRED",IF(NOT(OR(G386="USD",G386="MXN")),"CURRENCY REQUIRED",IF(NOT(ISNUMBER(H386)),"AMOUNT REQUIRED",IF(J386="","ERP SOURCE REQUIRED",IF(NOT(OR(K386="ISSUED",K386="CANCELLED")),"INVOICE STATUS REQUIRED",IF(COUNTIFS($A$2:$A$501,A386,$B$2:$B$501,B386,$D$2:$D$501,D386)&gt;1,"DUPLICATE INVOICE / PROJECT",IF(AND(G386="MXN",NOT(AND(ISNUMBER(I386),Settings!$B$8="APPROVED",Settings!$B$9&lt;&gt;"",Settings!$B$10&lt;&gt;""))),"FX HOLD","VALID")))))))))))))))</x:f>
      </x:c>
      <x:c r="M386" s="57" t="str">
        <x:f>IF(ISNUMBER(C386),IF(AND(ISNUMBER(C386),C386&gt;=2,C386&lt;=2958465,C386=INT(C386)),TEXT(C386,"yyyy-mm"),""),"")</x:f>
      </x:c>
      <x:c r="N386" s="59" t="str">
        <x:f>IF(L386="VALID",IF(G386="USD",H386,I386),"")</x:f>
      </x:c>
      <x:c r="O386" s="57" t="n">
        <x:f>IF(L386="VALID",IF(COUNTIFS($B$2:B386,B386,$M$2:M386,M386,$L$2:L386,"VALID")=1,1,0),0)</x:f>
        <x:v>0</x:v>
      </x:c>
    </x:row>
    <x:row r="387">
      <x:c r="A387" s="47"/>
      <x:c r="B387" s="47"/>
      <x:c r="C387" s="58"/>
      <x:c r="D387" s="47"/>
      <x:c r="E387" s="47"/>
      <x:c r="F387" s="47"/>
      <x:c r="G387" s="47"/>
      <x:c r="H387" s="48"/>
      <x:c r="I387" s="48"/>
      <x:c r="J387" s="47"/>
      <x:c r="K387" s="47"/>
      <x:c r="L387" s="57" t="str">
        <x:f>IF(COUNTA(A387:K387)=0,"",IF(K387="CANCELLED","CANCELLED",IF(A387="","INVOICE ID REQUIRED",IF(B387="","PROJECT ID REQUIRED",IF(NOT(ISNUMBER(C387)),"INVALID INVOICE DATE",IF(NOT(AND(ISNUMBER(C387),C387&gt;=2,C387&lt;=2958465,C387=INT(C387))),"INVALID INVOICE DATE",IF(NOT(OR(D387="MX",D387="US")),"ENTITY REQUIRED",IF(NOT(OR(E387="Strategic Services",E387="Brands")),"UNIT REQUIRED",IF(F387="","BRAND / N/A REQUIRED",IF(NOT(OR(G387="USD",G387="MXN")),"CURRENCY REQUIRED",IF(NOT(ISNUMBER(H387)),"AMOUNT REQUIRED",IF(J387="","ERP SOURCE REQUIRED",IF(NOT(OR(K387="ISSUED",K387="CANCELLED")),"INVOICE STATUS REQUIRED",IF(COUNTIFS($A$2:$A$501,A387,$B$2:$B$501,B387,$D$2:$D$501,D387)&gt;1,"DUPLICATE INVOICE / PROJECT",IF(AND(G387="MXN",NOT(AND(ISNUMBER(I387),Settings!$B$8="APPROVED",Settings!$B$9&lt;&gt;"",Settings!$B$10&lt;&gt;""))),"FX HOLD","VALID")))))))))))))))</x:f>
      </x:c>
      <x:c r="M387" s="57" t="str">
        <x:f>IF(ISNUMBER(C387),IF(AND(ISNUMBER(C387),C387&gt;=2,C387&lt;=2958465,C387=INT(C387)),TEXT(C387,"yyyy-mm"),""),"")</x:f>
      </x:c>
      <x:c r="N387" s="59" t="str">
        <x:f>IF(L387="VALID",IF(G387="USD",H387,I387),"")</x:f>
      </x:c>
      <x:c r="O387" s="57" t="n">
        <x:f>IF(L387="VALID",IF(COUNTIFS($B$2:B387,B387,$M$2:M387,M387,$L$2:L387,"VALID")=1,1,0),0)</x:f>
        <x:v>0</x:v>
      </x:c>
    </x:row>
    <x:row r="388">
      <x:c r="A388" s="47"/>
      <x:c r="B388" s="47"/>
      <x:c r="C388" s="58"/>
      <x:c r="D388" s="47"/>
      <x:c r="E388" s="47"/>
      <x:c r="F388" s="47"/>
      <x:c r="G388" s="47"/>
      <x:c r="H388" s="48"/>
      <x:c r="I388" s="48"/>
      <x:c r="J388" s="47"/>
      <x:c r="K388" s="47"/>
      <x:c r="L388" s="57" t="str">
        <x:f>IF(COUNTA(A388:K388)=0,"",IF(K388="CANCELLED","CANCELLED",IF(A388="","INVOICE ID REQUIRED",IF(B388="","PROJECT ID REQUIRED",IF(NOT(ISNUMBER(C388)),"INVALID INVOICE DATE",IF(NOT(AND(ISNUMBER(C388),C388&gt;=2,C388&lt;=2958465,C388=INT(C388))),"INVALID INVOICE DATE",IF(NOT(OR(D388="MX",D388="US")),"ENTITY REQUIRED",IF(NOT(OR(E388="Strategic Services",E388="Brands")),"UNIT REQUIRED",IF(F388="","BRAND / N/A REQUIRED",IF(NOT(OR(G388="USD",G388="MXN")),"CURRENCY REQUIRED",IF(NOT(ISNUMBER(H388)),"AMOUNT REQUIRED",IF(J388="","ERP SOURCE REQUIRED",IF(NOT(OR(K388="ISSUED",K388="CANCELLED")),"INVOICE STATUS REQUIRED",IF(COUNTIFS($A$2:$A$501,A388,$B$2:$B$501,B388,$D$2:$D$501,D388)&gt;1,"DUPLICATE INVOICE / PROJECT",IF(AND(G388="MXN",NOT(AND(ISNUMBER(I388),Settings!$B$8="APPROVED",Settings!$B$9&lt;&gt;"",Settings!$B$10&lt;&gt;""))),"FX HOLD","VALID")))))))))))))))</x:f>
      </x:c>
      <x:c r="M388" s="57" t="str">
        <x:f>IF(ISNUMBER(C388),IF(AND(ISNUMBER(C388),C388&gt;=2,C388&lt;=2958465,C388=INT(C388)),TEXT(C388,"yyyy-mm"),""),"")</x:f>
      </x:c>
      <x:c r="N388" s="59" t="str">
        <x:f>IF(L388="VALID",IF(G388="USD",H388,I388),"")</x:f>
      </x:c>
      <x:c r="O388" s="57" t="n">
        <x:f>IF(L388="VALID",IF(COUNTIFS($B$2:B388,B388,$M$2:M388,M388,$L$2:L388,"VALID")=1,1,0),0)</x:f>
        <x:v>0</x:v>
      </x:c>
    </x:row>
    <x:row r="389">
      <x:c r="A389" s="47"/>
      <x:c r="B389" s="47"/>
      <x:c r="C389" s="58"/>
      <x:c r="D389" s="47"/>
      <x:c r="E389" s="47"/>
      <x:c r="F389" s="47"/>
      <x:c r="G389" s="47"/>
      <x:c r="H389" s="48"/>
      <x:c r="I389" s="48"/>
      <x:c r="J389" s="47"/>
      <x:c r="K389" s="47"/>
      <x:c r="L389" s="57" t="str">
        <x:f>IF(COUNTA(A389:K389)=0,"",IF(K389="CANCELLED","CANCELLED",IF(A389="","INVOICE ID REQUIRED",IF(B389="","PROJECT ID REQUIRED",IF(NOT(ISNUMBER(C389)),"INVALID INVOICE DATE",IF(NOT(AND(ISNUMBER(C389),C389&gt;=2,C389&lt;=2958465,C389=INT(C389))),"INVALID INVOICE DATE",IF(NOT(OR(D389="MX",D389="US")),"ENTITY REQUIRED",IF(NOT(OR(E389="Strategic Services",E389="Brands")),"UNIT REQUIRED",IF(F389="","BRAND / N/A REQUIRED",IF(NOT(OR(G389="USD",G389="MXN")),"CURRENCY REQUIRED",IF(NOT(ISNUMBER(H389)),"AMOUNT REQUIRED",IF(J389="","ERP SOURCE REQUIRED",IF(NOT(OR(K389="ISSUED",K389="CANCELLED")),"INVOICE STATUS REQUIRED",IF(COUNTIFS($A$2:$A$501,A389,$B$2:$B$501,B389,$D$2:$D$501,D389)&gt;1,"DUPLICATE INVOICE / PROJECT",IF(AND(G389="MXN",NOT(AND(ISNUMBER(I389),Settings!$B$8="APPROVED",Settings!$B$9&lt;&gt;"",Settings!$B$10&lt;&gt;""))),"FX HOLD","VALID")))))))))))))))</x:f>
      </x:c>
      <x:c r="M389" s="57" t="str">
        <x:f>IF(ISNUMBER(C389),IF(AND(ISNUMBER(C389),C389&gt;=2,C389&lt;=2958465,C389=INT(C389)),TEXT(C389,"yyyy-mm"),""),"")</x:f>
      </x:c>
      <x:c r="N389" s="59" t="str">
        <x:f>IF(L389="VALID",IF(G389="USD",H389,I389),"")</x:f>
      </x:c>
      <x:c r="O389" s="57" t="n">
        <x:f>IF(L389="VALID",IF(COUNTIFS($B$2:B389,B389,$M$2:M389,M389,$L$2:L389,"VALID")=1,1,0),0)</x:f>
        <x:v>0</x:v>
      </x:c>
    </x:row>
    <x:row r="390">
      <x:c r="A390" s="47"/>
      <x:c r="B390" s="47"/>
      <x:c r="C390" s="58"/>
      <x:c r="D390" s="47"/>
      <x:c r="E390" s="47"/>
      <x:c r="F390" s="47"/>
      <x:c r="G390" s="47"/>
      <x:c r="H390" s="48"/>
      <x:c r="I390" s="48"/>
      <x:c r="J390" s="47"/>
      <x:c r="K390" s="47"/>
      <x:c r="L390" s="57" t="str">
        <x:f>IF(COUNTA(A390:K390)=0,"",IF(K390="CANCELLED","CANCELLED",IF(A390="","INVOICE ID REQUIRED",IF(B390="","PROJECT ID REQUIRED",IF(NOT(ISNUMBER(C390)),"INVALID INVOICE DATE",IF(NOT(AND(ISNUMBER(C390),C390&gt;=2,C390&lt;=2958465,C390=INT(C390))),"INVALID INVOICE DATE",IF(NOT(OR(D390="MX",D390="US")),"ENTITY REQUIRED",IF(NOT(OR(E390="Strategic Services",E390="Brands")),"UNIT REQUIRED",IF(F390="","BRAND / N/A REQUIRED",IF(NOT(OR(G390="USD",G390="MXN")),"CURRENCY REQUIRED",IF(NOT(ISNUMBER(H390)),"AMOUNT REQUIRED",IF(J390="","ERP SOURCE REQUIRED",IF(NOT(OR(K390="ISSUED",K390="CANCELLED")),"INVOICE STATUS REQUIRED",IF(COUNTIFS($A$2:$A$501,A390,$B$2:$B$501,B390,$D$2:$D$501,D390)&gt;1,"DUPLICATE INVOICE / PROJECT",IF(AND(G390="MXN",NOT(AND(ISNUMBER(I390),Settings!$B$8="APPROVED",Settings!$B$9&lt;&gt;"",Settings!$B$10&lt;&gt;""))),"FX HOLD","VALID")))))))))))))))</x:f>
      </x:c>
      <x:c r="M390" s="57" t="str">
        <x:f>IF(ISNUMBER(C390),IF(AND(ISNUMBER(C390),C390&gt;=2,C390&lt;=2958465,C390=INT(C390)),TEXT(C390,"yyyy-mm"),""),"")</x:f>
      </x:c>
      <x:c r="N390" s="59" t="str">
        <x:f>IF(L390="VALID",IF(G390="USD",H390,I390),"")</x:f>
      </x:c>
      <x:c r="O390" s="57" t="n">
        <x:f>IF(L390="VALID",IF(COUNTIFS($B$2:B390,B390,$M$2:M390,M390,$L$2:L390,"VALID")=1,1,0),0)</x:f>
        <x:v>0</x:v>
      </x:c>
    </x:row>
    <x:row r="391">
      <x:c r="A391" s="47"/>
      <x:c r="B391" s="47"/>
      <x:c r="C391" s="58"/>
      <x:c r="D391" s="47"/>
      <x:c r="E391" s="47"/>
      <x:c r="F391" s="47"/>
      <x:c r="G391" s="47"/>
      <x:c r="H391" s="48"/>
      <x:c r="I391" s="48"/>
      <x:c r="J391" s="47"/>
      <x:c r="K391" s="47"/>
      <x:c r="L391" s="57" t="str">
        <x:f>IF(COUNTA(A391:K391)=0,"",IF(K391="CANCELLED","CANCELLED",IF(A391="","INVOICE ID REQUIRED",IF(B391="","PROJECT ID REQUIRED",IF(NOT(ISNUMBER(C391)),"INVALID INVOICE DATE",IF(NOT(AND(ISNUMBER(C391),C391&gt;=2,C391&lt;=2958465,C391=INT(C391))),"INVALID INVOICE DATE",IF(NOT(OR(D391="MX",D391="US")),"ENTITY REQUIRED",IF(NOT(OR(E391="Strategic Services",E391="Brands")),"UNIT REQUIRED",IF(F391="","BRAND / N/A REQUIRED",IF(NOT(OR(G391="USD",G391="MXN")),"CURRENCY REQUIRED",IF(NOT(ISNUMBER(H391)),"AMOUNT REQUIRED",IF(J391="","ERP SOURCE REQUIRED",IF(NOT(OR(K391="ISSUED",K391="CANCELLED")),"INVOICE STATUS REQUIRED",IF(COUNTIFS($A$2:$A$501,A391,$B$2:$B$501,B391,$D$2:$D$501,D391)&gt;1,"DUPLICATE INVOICE / PROJECT",IF(AND(G391="MXN",NOT(AND(ISNUMBER(I391),Settings!$B$8="APPROVED",Settings!$B$9&lt;&gt;"",Settings!$B$10&lt;&gt;""))),"FX HOLD","VALID")))))))))))))))</x:f>
      </x:c>
      <x:c r="M391" s="57" t="str">
        <x:f>IF(ISNUMBER(C391),IF(AND(ISNUMBER(C391),C391&gt;=2,C391&lt;=2958465,C391=INT(C391)),TEXT(C391,"yyyy-mm"),""),"")</x:f>
      </x:c>
      <x:c r="N391" s="59" t="str">
        <x:f>IF(L391="VALID",IF(G391="USD",H391,I391),"")</x:f>
      </x:c>
      <x:c r="O391" s="57" t="n">
        <x:f>IF(L391="VALID",IF(COUNTIFS($B$2:B391,B391,$M$2:M391,M391,$L$2:L391,"VALID")=1,1,0),0)</x:f>
        <x:v>0</x:v>
      </x:c>
    </x:row>
    <x:row r="392">
      <x:c r="A392" s="47"/>
      <x:c r="B392" s="47"/>
      <x:c r="C392" s="58"/>
      <x:c r="D392" s="47"/>
      <x:c r="E392" s="47"/>
      <x:c r="F392" s="47"/>
      <x:c r="G392" s="47"/>
      <x:c r="H392" s="48"/>
      <x:c r="I392" s="48"/>
      <x:c r="J392" s="47"/>
      <x:c r="K392" s="47"/>
      <x:c r="L392" s="57" t="str">
        <x:f>IF(COUNTA(A392:K392)=0,"",IF(K392="CANCELLED","CANCELLED",IF(A392="","INVOICE ID REQUIRED",IF(B392="","PROJECT ID REQUIRED",IF(NOT(ISNUMBER(C392)),"INVALID INVOICE DATE",IF(NOT(AND(ISNUMBER(C392),C392&gt;=2,C392&lt;=2958465,C392=INT(C392))),"INVALID INVOICE DATE",IF(NOT(OR(D392="MX",D392="US")),"ENTITY REQUIRED",IF(NOT(OR(E392="Strategic Services",E392="Brands")),"UNIT REQUIRED",IF(F392="","BRAND / N/A REQUIRED",IF(NOT(OR(G392="USD",G392="MXN")),"CURRENCY REQUIRED",IF(NOT(ISNUMBER(H392)),"AMOUNT REQUIRED",IF(J392="","ERP SOURCE REQUIRED",IF(NOT(OR(K392="ISSUED",K392="CANCELLED")),"INVOICE STATUS REQUIRED",IF(COUNTIFS($A$2:$A$501,A392,$B$2:$B$501,B392,$D$2:$D$501,D392)&gt;1,"DUPLICATE INVOICE / PROJECT",IF(AND(G392="MXN",NOT(AND(ISNUMBER(I392),Settings!$B$8="APPROVED",Settings!$B$9&lt;&gt;"",Settings!$B$10&lt;&gt;""))),"FX HOLD","VALID")))))))))))))))</x:f>
      </x:c>
      <x:c r="M392" s="57" t="str">
        <x:f>IF(ISNUMBER(C392),IF(AND(ISNUMBER(C392),C392&gt;=2,C392&lt;=2958465,C392=INT(C392)),TEXT(C392,"yyyy-mm"),""),"")</x:f>
      </x:c>
      <x:c r="N392" s="59" t="str">
        <x:f>IF(L392="VALID",IF(G392="USD",H392,I392),"")</x:f>
      </x:c>
      <x:c r="O392" s="57" t="n">
        <x:f>IF(L392="VALID",IF(COUNTIFS($B$2:B392,B392,$M$2:M392,M392,$L$2:L392,"VALID")=1,1,0),0)</x:f>
        <x:v>0</x:v>
      </x:c>
    </x:row>
    <x:row r="393">
      <x:c r="A393" s="47"/>
      <x:c r="B393" s="47"/>
      <x:c r="C393" s="58"/>
      <x:c r="D393" s="47"/>
      <x:c r="E393" s="47"/>
      <x:c r="F393" s="47"/>
      <x:c r="G393" s="47"/>
      <x:c r="H393" s="48"/>
      <x:c r="I393" s="48"/>
      <x:c r="J393" s="47"/>
      <x:c r="K393" s="47"/>
      <x:c r="L393" s="57" t="str">
        <x:f>IF(COUNTA(A393:K393)=0,"",IF(K393="CANCELLED","CANCELLED",IF(A393="","INVOICE ID REQUIRED",IF(B393="","PROJECT ID REQUIRED",IF(NOT(ISNUMBER(C393)),"INVALID INVOICE DATE",IF(NOT(AND(ISNUMBER(C393),C393&gt;=2,C393&lt;=2958465,C393=INT(C393))),"INVALID INVOICE DATE",IF(NOT(OR(D393="MX",D393="US")),"ENTITY REQUIRED",IF(NOT(OR(E393="Strategic Services",E393="Brands")),"UNIT REQUIRED",IF(F393="","BRAND / N/A REQUIRED",IF(NOT(OR(G393="USD",G393="MXN")),"CURRENCY REQUIRED",IF(NOT(ISNUMBER(H393)),"AMOUNT REQUIRED",IF(J393="","ERP SOURCE REQUIRED",IF(NOT(OR(K393="ISSUED",K393="CANCELLED")),"INVOICE STATUS REQUIRED",IF(COUNTIFS($A$2:$A$501,A393,$B$2:$B$501,B393,$D$2:$D$501,D393)&gt;1,"DUPLICATE INVOICE / PROJECT",IF(AND(G393="MXN",NOT(AND(ISNUMBER(I393),Settings!$B$8="APPROVED",Settings!$B$9&lt;&gt;"",Settings!$B$10&lt;&gt;""))),"FX HOLD","VALID")))))))))))))))</x:f>
      </x:c>
      <x:c r="M393" s="57" t="str">
        <x:f>IF(ISNUMBER(C393),IF(AND(ISNUMBER(C393),C393&gt;=2,C393&lt;=2958465,C393=INT(C393)),TEXT(C393,"yyyy-mm"),""),"")</x:f>
      </x:c>
      <x:c r="N393" s="59" t="str">
        <x:f>IF(L393="VALID",IF(G393="USD",H393,I393),"")</x:f>
      </x:c>
      <x:c r="O393" s="57" t="n">
        <x:f>IF(L393="VALID",IF(COUNTIFS($B$2:B393,B393,$M$2:M393,M393,$L$2:L393,"VALID")=1,1,0),0)</x:f>
        <x:v>0</x:v>
      </x:c>
    </x:row>
    <x:row r="394">
      <x:c r="A394" s="47"/>
      <x:c r="B394" s="47"/>
      <x:c r="C394" s="58"/>
      <x:c r="D394" s="47"/>
      <x:c r="E394" s="47"/>
      <x:c r="F394" s="47"/>
      <x:c r="G394" s="47"/>
      <x:c r="H394" s="48"/>
      <x:c r="I394" s="48"/>
      <x:c r="J394" s="47"/>
      <x:c r="K394" s="47"/>
      <x:c r="L394" s="57" t="str">
        <x:f>IF(COUNTA(A394:K394)=0,"",IF(K394="CANCELLED","CANCELLED",IF(A394="","INVOICE ID REQUIRED",IF(B394="","PROJECT ID REQUIRED",IF(NOT(ISNUMBER(C394)),"INVALID INVOICE DATE",IF(NOT(AND(ISNUMBER(C394),C394&gt;=2,C394&lt;=2958465,C394=INT(C394))),"INVALID INVOICE DATE",IF(NOT(OR(D394="MX",D394="US")),"ENTITY REQUIRED",IF(NOT(OR(E394="Strategic Services",E394="Brands")),"UNIT REQUIRED",IF(F394="","BRAND / N/A REQUIRED",IF(NOT(OR(G394="USD",G394="MXN")),"CURRENCY REQUIRED",IF(NOT(ISNUMBER(H394)),"AMOUNT REQUIRED",IF(J394="","ERP SOURCE REQUIRED",IF(NOT(OR(K394="ISSUED",K394="CANCELLED")),"INVOICE STATUS REQUIRED",IF(COUNTIFS($A$2:$A$501,A394,$B$2:$B$501,B394,$D$2:$D$501,D394)&gt;1,"DUPLICATE INVOICE / PROJECT",IF(AND(G394="MXN",NOT(AND(ISNUMBER(I394),Settings!$B$8="APPROVED",Settings!$B$9&lt;&gt;"",Settings!$B$10&lt;&gt;""))),"FX HOLD","VALID")))))))))))))))</x:f>
      </x:c>
      <x:c r="M394" s="57" t="str">
        <x:f>IF(ISNUMBER(C394),IF(AND(ISNUMBER(C394),C394&gt;=2,C394&lt;=2958465,C394=INT(C394)),TEXT(C394,"yyyy-mm"),""),"")</x:f>
      </x:c>
      <x:c r="N394" s="59" t="str">
        <x:f>IF(L394="VALID",IF(G394="USD",H394,I394),"")</x:f>
      </x:c>
      <x:c r="O394" s="57" t="n">
        <x:f>IF(L394="VALID",IF(COUNTIFS($B$2:B394,B394,$M$2:M394,M394,$L$2:L394,"VALID")=1,1,0),0)</x:f>
        <x:v>0</x:v>
      </x:c>
    </x:row>
    <x:row r="395">
      <x:c r="A395" s="47"/>
      <x:c r="B395" s="47"/>
      <x:c r="C395" s="58"/>
      <x:c r="D395" s="47"/>
      <x:c r="E395" s="47"/>
      <x:c r="F395" s="47"/>
      <x:c r="G395" s="47"/>
      <x:c r="H395" s="48"/>
      <x:c r="I395" s="48"/>
      <x:c r="J395" s="47"/>
      <x:c r="K395" s="47"/>
      <x:c r="L395" s="57" t="str">
        <x:f>IF(COUNTA(A395:K395)=0,"",IF(K395="CANCELLED","CANCELLED",IF(A395="","INVOICE ID REQUIRED",IF(B395="","PROJECT ID REQUIRED",IF(NOT(ISNUMBER(C395)),"INVALID INVOICE DATE",IF(NOT(AND(ISNUMBER(C395),C395&gt;=2,C395&lt;=2958465,C395=INT(C395))),"INVALID INVOICE DATE",IF(NOT(OR(D395="MX",D395="US")),"ENTITY REQUIRED",IF(NOT(OR(E395="Strategic Services",E395="Brands")),"UNIT REQUIRED",IF(F395="","BRAND / N/A REQUIRED",IF(NOT(OR(G395="USD",G395="MXN")),"CURRENCY REQUIRED",IF(NOT(ISNUMBER(H395)),"AMOUNT REQUIRED",IF(J395="","ERP SOURCE REQUIRED",IF(NOT(OR(K395="ISSUED",K395="CANCELLED")),"INVOICE STATUS REQUIRED",IF(COUNTIFS($A$2:$A$501,A395,$B$2:$B$501,B395,$D$2:$D$501,D395)&gt;1,"DUPLICATE INVOICE / PROJECT",IF(AND(G395="MXN",NOT(AND(ISNUMBER(I395),Settings!$B$8="APPROVED",Settings!$B$9&lt;&gt;"",Settings!$B$10&lt;&gt;""))),"FX HOLD","VALID")))))))))))))))</x:f>
      </x:c>
      <x:c r="M395" s="57" t="str">
        <x:f>IF(ISNUMBER(C395),IF(AND(ISNUMBER(C395),C395&gt;=2,C395&lt;=2958465,C395=INT(C395)),TEXT(C395,"yyyy-mm"),""),"")</x:f>
      </x:c>
      <x:c r="N395" s="59" t="str">
        <x:f>IF(L395="VALID",IF(G395="USD",H395,I395),"")</x:f>
      </x:c>
      <x:c r="O395" s="57" t="n">
        <x:f>IF(L395="VALID",IF(COUNTIFS($B$2:B395,B395,$M$2:M395,M395,$L$2:L395,"VALID")=1,1,0),0)</x:f>
        <x:v>0</x:v>
      </x:c>
    </x:row>
    <x:row r="396">
      <x:c r="A396" s="47"/>
      <x:c r="B396" s="47"/>
      <x:c r="C396" s="58"/>
      <x:c r="D396" s="47"/>
      <x:c r="E396" s="47"/>
      <x:c r="F396" s="47"/>
      <x:c r="G396" s="47"/>
      <x:c r="H396" s="48"/>
      <x:c r="I396" s="48"/>
      <x:c r="J396" s="47"/>
      <x:c r="K396" s="47"/>
      <x:c r="L396" s="57" t="str">
        <x:f>IF(COUNTA(A396:K396)=0,"",IF(K396="CANCELLED","CANCELLED",IF(A396="","INVOICE ID REQUIRED",IF(B396="","PROJECT ID REQUIRED",IF(NOT(ISNUMBER(C396)),"INVALID INVOICE DATE",IF(NOT(AND(ISNUMBER(C396),C396&gt;=2,C396&lt;=2958465,C396=INT(C396))),"INVALID INVOICE DATE",IF(NOT(OR(D396="MX",D396="US")),"ENTITY REQUIRED",IF(NOT(OR(E396="Strategic Services",E396="Brands")),"UNIT REQUIRED",IF(F396="","BRAND / N/A REQUIRED",IF(NOT(OR(G396="USD",G396="MXN")),"CURRENCY REQUIRED",IF(NOT(ISNUMBER(H396)),"AMOUNT REQUIRED",IF(J396="","ERP SOURCE REQUIRED",IF(NOT(OR(K396="ISSUED",K396="CANCELLED")),"INVOICE STATUS REQUIRED",IF(COUNTIFS($A$2:$A$501,A396,$B$2:$B$501,B396,$D$2:$D$501,D396)&gt;1,"DUPLICATE INVOICE / PROJECT",IF(AND(G396="MXN",NOT(AND(ISNUMBER(I396),Settings!$B$8="APPROVED",Settings!$B$9&lt;&gt;"",Settings!$B$10&lt;&gt;""))),"FX HOLD","VALID")))))))))))))))</x:f>
      </x:c>
      <x:c r="M396" s="57" t="str">
        <x:f>IF(ISNUMBER(C396),IF(AND(ISNUMBER(C396),C396&gt;=2,C396&lt;=2958465,C396=INT(C396)),TEXT(C396,"yyyy-mm"),""),"")</x:f>
      </x:c>
      <x:c r="N396" s="59" t="str">
        <x:f>IF(L396="VALID",IF(G396="USD",H396,I396),"")</x:f>
      </x:c>
      <x:c r="O396" s="57" t="n">
        <x:f>IF(L396="VALID",IF(COUNTIFS($B$2:B396,B396,$M$2:M396,M396,$L$2:L396,"VALID")=1,1,0),0)</x:f>
        <x:v>0</x:v>
      </x:c>
    </x:row>
    <x:row r="397">
      <x:c r="A397" s="47"/>
      <x:c r="B397" s="47"/>
      <x:c r="C397" s="58"/>
      <x:c r="D397" s="47"/>
      <x:c r="E397" s="47"/>
      <x:c r="F397" s="47"/>
      <x:c r="G397" s="47"/>
      <x:c r="H397" s="48"/>
      <x:c r="I397" s="48"/>
      <x:c r="J397" s="47"/>
      <x:c r="K397" s="47"/>
      <x:c r="L397" s="57" t="str">
        <x:f>IF(COUNTA(A397:K397)=0,"",IF(K397="CANCELLED","CANCELLED",IF(A397="","INVOICE ID REQUIRED",IF(B397="","PROJECT ID REQUIRED",IF(NOT(ISNUMBER(C397)),"INVALID INVOICE DATE",IF(NOT(AND(ISNUMBER(C397),C397&gt;=2,C397&lt;=2958465,C397=INT(C397))),"INVALID INVOICE DATE",IF(NOT(OR(D397="MX",D397="US")),"ENTITY REQUIRED",IF(NOT(OR(E397="Strategic Services",E397="Brands")),"UNIT REQUIRED",IF(F397="","BRAND / N/A REQUIRED",IF(NOT(OR(G397="USD",G397="MXN")),"CURRENCY REQUIRED",IF(NOT(ISNUMBER(H397)),"AMOUNT REQUIRED",IF(J397="","ERP SOURCE REQUIRED",IF(NOT(OR(K397="ISSUED",K397="CANCELLED")),"INVOICE STATUS REQUIRED",IF(COUNTIFS($A$2:$A$501,A397,$B$2:$B$501,B397,$D$2:$D$501,D397)&gt;1,"DUPLICATE INVOICE / PROJECT",IF(AND(G397="MXN",NOT(AND(ISNUMBER(I397),Settings!$B$8="APPROVED",Settings!$B$9&lt;&gt;"",Settings!$B$10&lt;&gt;""))),"FX HOLD","VALID")))))))))))))))</x:f>
      </x:c>
      <x:c r="M397" s="57" t="str">
        <x:f>IF(ISNUMBER(C397),IF(AND(ISNUMBER(C397),C397&gt;=2,C397&lt;=2958465,C397=INT(C397)),TEXT(C397,"yyyy-mm"),""),"")</x:f>
      </x:c>
      <x:c r="N397" s="59" t="str">
        <x:f>IF(L397="VALID",IF(G397="USD",H397,I397),"")</x:f>
      </x:c>
      <x:c r="O397" s="57" t="n">
        <x:f>IF(L397="VALID",IF(COUNTIFS($B$2:B397,B397,$M$2:M397,M397,$L$2:L397,"VALID")=1,1,0),0)</x:f>
        <x:v>0</x:v>
      </x:c>
    </x:row>
    <x:row r="398">
      <x:c r="A398" s="47"/>
      <x:c r="B398" s="47"/>
      <x:c r="C398" s="58"/>
      <x:c r="D398" s="47"/>
      <x:c r="E398" s="47"/>
      <x:c r="F398" s="47"/>
      <x:c r="G398" s="47"/>
      <x:c r="H398" s="48"/>
      <x:c r="I398" s="48"/>
      <x:c r="J398" s="47"/>
      <x:c r="K398" s="47"/>
      <x:c r="L398" s="57" t="str">
        <x:f>IF(COUNTA(A398:K398)=0,"",IF(K398="CANCELLED","CANCELLED",IF(A398="","INVOICE ID REQUIRED",IF(B398="","PROJECT ID REQUIRED",IF(NOT(ISNUMBER(C398)),"INVALID INVOICE DATE",IF(NOT(AND(ISNUMBER(C398),C398&gt;=2,C398&lt;=2958465,C398=INT(C398))),"INVALID INVOICE DATE",IF(NOT(OR(D398="MX",D398="US")),"ENTITY REQUIRED",IF(NOT(OR(E398="Strategic Services",E398="Brands")),"UNIT REQUIRED",IF(F398="","BRAND / N/A REQUIRED",IF(NOT(OR(G398="USD",G398="MXN")),"CURRENCY REQUIRED",IF(NOT(ISNUMBER(H398)),"AMOUNT REQUIRED",IF(J398="","ERP SOURCE REQUIRED",IF(NOT(OR(K398="ISSUED",K398="CANCELLED")),"INVOICE STATUS REQUIRED",IF(COUNTIFS($A$2:$A$501,A398,$B$2:$B$501,B398,$D$2:$D$501,D398)&gt;1,"DUPLICATE INVOICE / PROJECT",IF(AND(G398="MXN",NOT(AND(ISNUMBER(I398),Settings!$B$8="APPROVED",Settings!$B$9&lt;&gt;"",Settings!$B$10&lt;&gt;""))),"FX HOLD","VALID")))))))))))))))</x:f>
      </x:c>
      <x:c r="M398" s="57" t="str">
        <x:f>IF(ISNUMBER(C398),IF(AND(ISNUMBER(C398),C398&gt;=2,C398&lt;=2958465,C398=INT(C398)),TEXT(C398,"yyyy-mm"),""),"")</x:f>
      </x:c>
      <x:c r="N398" s="59" t="str">
        <x:f>IF(L398="VALID",IF(G398="USD",H398,I398),"")</x:f>
      </x:c>
      <x:c r="O398" s="57" t="n">
        <x:f>IF(L398="VALID",IF(COUNTIFS($B$2:B398,B398,$M$2:M398,M398,$L$2:L398,"VALID")=1,1,0),0)</x:f>
        <x:v>0</x:v>
      </x:c>
    </x:row>
    <x:row r="399">
      <x:c r="A399" s="47"/>
      <x:c r="B399" s="47"/>
      <x:c r="C399" s="58"/>
      <x:c r="D399" s="47"/>
      <x:c r="E399" s="47"/>
      <x:c r="F399" s="47"/>
      <x:c r="G399" s="47"/>
      <x:c r="H399" s="48"/>
      <x:c r="I399" s="48"/>
      <x:c r="J399" s="47"/>
      <x:c r="K399" s="47"/>
      <x:c r="L399" s="57" t="str">
        <x:f>IF(COUNTA(A399:K399)=0,"",IF(K399="CANCELLED","CANCELLED",IF(A399="","INVOICE ID REQUIRED",IF(B399="","PROJECT ID REQUIRED",IF(NOT(ISNUMBER(C399)),"INVALID INVOICE DATE",IF(NOT(AND(ISNUMBER(C399),C399&gt;=2,C399&lt;=2958465,C399=INT(C399))),"INVALID INVOICE DATE",IF(NOT(OR(D399="MX",D399="US")),"ENTITY REQUIRED",IF(NOT(OR(E399="Strategic Services",E399="Brands")),"UNIT REQUIRED",IF(F399="","BRAND / N/A REQUIRED",IF(NOT(OR(G399="USD",G399="MXN")),"CURRENCY REQUIRED",IF(NOT(ISNUMBER(H399)),"AMOUNT REQUIRED",IF(J399="","ERP SOURCE REQUIRED",IF(NOT(OR(K399="ISSUED",K399="CANCELLED")),"INVOICE STATUS REQUIRED",IF(COUNTIFS($A$2:$A$501,A399,$B$2:$B$501,B399,$D$2:$D$501,D399)&gt;1,"DUPLICATE INVOICE / PROJECT",IF(AND(G399="MXN",NOT(AND(ISNUMBER(I399),Settings!$B$8="APPROVED",Settings!$B$9&lt;&gt;"",Settings!$B$10&lt;&gt;""))),"FX HOLD","VALID")))))))))))))))</x:f>
      </x:c>
      <x:c r="M399" s="57" t="str">
        <x:f>IF(ISNUMBER(C399),IF(AND(ISNUMBER(C399),C399&gt;=2,C399&lt;=2958465,C399=INT(C399)),TEXT(C399,"yyyy-mm"),""),"")</x:f>
      </x:c>
      <x:c r="N399" s="59" t="str">
        <x:f>IF(L399="VALID",IF(G399="USD",H399,I399),"")</x:f>
      </x:c>
      <x:c r="O399" s="57" t="n">
        <x:f>IF(L399="VALID",IF(COUNTIFS($B$2:B399,B399,$M$2:M399,M399,$L$2:L399,"VALID")=1,1,0),0)</x:f>
        <x:v>0</x:v>
      </x:c>
    </x:row>
    <x:row r="400">
      <x:c r="A400" s="47"/>
      <x:c r="B400" s="47"/>
      <x:c r="C400" s="58"/>
      <x:c r="D400" s="47"/>
      <x:c r="E400" s="47"/>
      <x:c r="F400" s="47"/>
      <x:c r="G400" s="47"/>
      <x:c r="H400" s="48"/>
      <x:c r="I400" s="48"/>
      <x:c r="J400" s="47"/>
      <x:c r="K400" s="47"/>
      <x:c r="L400" s="57" t="str">
        <x:f>IF(COUNTA(A400:K400)=0,"",IF(K400="CANCELLED","CANCELLED",IF(A400="","INVOICE ID REQUIRED",IF(B400="","PROJECT ID REQUIRED",IF(NOT(ISNUMBER(C400)),"INVALID INVOICE DATE",IF(NOT(AND(ISNUMBER(C400),C400&gt;=2,C400&lt;=2958465,C400=INT(C400))),"INVALID INVOICE DATE",IF(NOT(OR(D400="MX",D400="US")),"ENTITY REQUIRED",IF(NOT(OR(E400="Strategic Services",E400="Brands")),"UNIT REQUIRED",IF(F400="","BRAND / N/A REQUIRED",IF(NOT(OR(G400="USD",G400="MXN")),"CURRENCY REQUIRED",IF(NOT(ISNUMBER(H400)),"AMOUNT REQUIRED",IF(J400="","ERP SOURCE REQUIRED",IF(NOT(OR(K400="ISSUED",K400="CANCELLED")),"INVOICE STATUS REQUIRED",IF(COUNTIFS($A$2:$A$501,A400,$B$2:$B$501,B400,$D$2:$D$501,D400)&gt;1,"DUPLICATE INVOICE / PROJECT",IF(AND(G400="MXN",NOT(AND(ISNUMBER(I400),Settings!$B$8="APPROVED",Settings!$B$9&lt;&gt;"",Settings!$B$10&lt;&gt;""))),"FX HOLD","VALID")))))))))))))))</x:f>
      </x:c>
      <x:c r="M400" s="57" t="str">
        <x:f>IF(ISNUMBER(C400),IF(AND(ISNUMBER(C400),C400&gt;=2,C400&lt;=2958465,C400=INT(C400)),TEXT(C400,"yyyy-mm"),""),"")</x:f>
      </x:c>
      <x:c r="N400" s="59" t="str">
        <x:f>IF(L400="VALID",IF(G400="USD",H400,I400),"")</x:f>
      </x:c>
      <x:c r="O400" s="57" t="n">
        <x:f>IF(L400="VALID",IF(COUNTIFS($B$2:B400,B400,$M$2:M400,M400,$L$2:L400,"VALID")=1,1,0),0)</x:f>
        <x:v>0</x:v>
      </x:c>
    </x:row>
    <x:row r="401">
      <x:c r="A401" s="47"/>
      <x:c r="B401" s="47"/>
      <x:c r="C401" s="58"/>
      <x:c r="D401" s="47"/>
      <x:c r="E401" s="47"/>
      <x:c r="F401" s="47"/>
      <x:c r="G401" s="47"/>
      <x:c r="H401" s="48"/>
      <x:c r="I401" s="48"/>
      <x:c r="J401" s="47"/>
      <x:c r="K401" s="47"/>
      <x:c r="L401" s="57" t="str">
        <x:f>IF(COUNTA(A401:K401)=0,"",IF(K401="CANCELLED","CANCELLED",IF(A401="","INVOICE ID REQUIRED",IF(B401="","PROJECT ID REQUIRED",IF(NOT(ISNUMBER(C401)),"INVALID INVOICE DATE",IF(NOT(AND(ISNUMBER(C401),C401&gt;=2,C401&lt;=2958465,C401=INT(C401))),"INVALID INVOICE DATE",IF(NOT(OR(D401="MX",D401="US")),"ENTITY REQUIRED",IF(NOT(OR(E401="Strategic Services",E401="Brands")),"UNIT REQUIRED",IF(F401="","BRAND / N/A REQUIRED",IF(NOT(OR(G401="USD",G401="MXN")),"CURRENCY REQUIRED",IF(NOT(ISNUMBER(H401)),"AMOUNT REQUIRED",IF(J401="","ERP SOURCE REQUIRED",IF(NOT(OR(K401="ISSUED",K401="CANCELLED")),"INVOICE STATUS REQUIRED",IF(COUNTIFS($A$2:$A$501,A401,$B$2:$B$501,B401,$D$2:$D$501,D401)&gt;1,"DUPLICATE INVOICE / PROJECT",IF(AND(G401="MXN",NOT(AND(ISNUMBER(I401),Settings!$B$8="APPROVED",Settings!$B$9&lt;&gt;"",Settings!$B$10&lt;&gt;""))),"FX HOLD","VALID")))))))))))))))</x:f>
      </x:c>
      <x:c r="M401" s="57" t="str">
        <x:f>IF(ISNUMBER(C401),IF(AND(ISNUMBER(C401),C401&gt;=2,C401&lt;=2958465,C401=INT(C401)),TEXT(C401,"yyyy-mm"),""),"")</x:f>
      </x:c>
      <x:c r="N401" s="59" t="str">
        <x:f>IF(L401="VALID",IF(G401="USD",H401,I401),"")</x:f>
      </x:c>
      <x:c r="O401" s="57" t="n">
        <x:f>IF(L401="VALID",IF(COUNTIFS($B$2:B401,B401,$M$2:M401,M401,$L$2:L401,"VALID")=1,1,0),0)</x:f>
        <x:v>0</x:v>
      </x:c>
    </x:row>
    <x:row r="402">
      <x:c r="A402" s="47"/>
      <x:c r="B402" s="47"/>
      <x:c r="C402" s="58"/>
      <x:c r="D402" s="47"/>
      <x:c r="E402" s="47"/>
      <x:c r="F402" s="47"/>
      <x:c r="G402" s="47"/>
      <x:c r="H402" s="48"/>
      <x:c r="I402" s="48"/>
      <x:c r="J402" s="47"/>
      <x:c r="K402" s="47"/>
      <x:c r="L402" s="57" t="str">
        <x:f>IF(COUNTA(A402:K402)=0,"",IF(K402="CANCELLED","CANCELLED",IF(A402="","INVOICE ID REQUIRED",IF(B402="","PROJECT ID REQUIRED",IF(NOT(ISNUMBER(C402)),"INVALID INVOICE DATE",IF(NOT(AND(ISNUMBER(C402),C402&gt;=2,C402&lt;=2958465,C402=INT(C402))),"INVALID INVOICE DATE",IF(NOT(OR(D402="MX",D402="US")),"ENTITY REQUIRED",IF(NOT(OR(E402="Strategic Services",E402="Brands")),"UNIT REQUIRED",IF(F402="","BRAND / N/A REQUIRED",IF(NOT(OR(G402="USD",G402="MXN")),"CURRENCY REQUIRED",IF(NOT(ISNUMBER(H402)),"AMOUNT REQUIRED",IF(J402="","ERP SOURCE REQUIRED",IF(NOT(OR(K402="ISSUED",K402="CANCELLED")),"INVOICE STATUS REQUIRED",IF(COUNTIFS($A$2:$A$501,A402,$B$2:$B$501,B402,$D$2:$D$501,D402)&gt;1,"DUPLICATE INVOICE / PROJECT",IF(AND(G402="MXN",NOT(AND(ISNUMBER(I402),Settings!$B$8="APPROVED",Settings!$B$9&lt;&gt;"",Settings!$B$10&lt;&gt;""))),"FX HOLD","VALID")))))))))))))))</x:f>
      </x:c>
      <x:c r="M402" s="57" t="str">
        <x:f>IF(ISNUMBER(C402),IF(AND(ISNUMBER(C402),C402&gt;=2,C402&lt;=2958465,C402=INT(C402)),TEXT(C402,"yyyy-mm"),""),"")</x:f>
      </x:c>
      <x:c r="N402" s="59" t="str">
        <x:f>IF(L402="VALID",IF(G402="USD",H402,I402),"")</x:f>
      </x:c>
      <x:c r="O402" s="57" t="n">
        <x:f>IF(L402="VALID",IF(COUNTIFS($B$2:B402,B402,$M$2:M402,M402,$L$2:L402,"VALID")=1,1,0),0)</x:f>
        <x:v>0</x:v>
      </x:c>
    </x:row>
    <x:row r="403">
      <x:c r="A403" s="47"/>
      <x:c r="B403" s="47"/>
      <x:c r="C403" s="58"/>
      <x:c r="D403" s="47"/>
      <x:c r="E403" s="47"/>
      <x:c r="F403" s="47"/>
      <x:c r="G403" s="47"/>
      <x:c r="H403" s="48"/>
      <x:c r="I403" s="48"/>
      <x:c r="J403" s="47"/>
      <x:c r="K403" s="47"/>
      <x:c r="L403" s="57" t="str">
        <x:f>IF(COUNTA(A403:K403)=0,"",IF(K403="CANCELLED","CANCELLED",IF(A403="","INVOICE ID REQUIRED",IF(B403="","PROJECT ID REQUIRED",IF(NOT(ISNUMBER(C403)),"INVALID INVOICE DATE",IF(NOT(AND(ISNUMBER(C403),C403&gt;=2,C403&lt;=2958465,C403=INT(C403))),"INVALID INVOICE DATE",IF(NOT(OR(D403="MX",D403="US")),"ENTITY REQUIRED",IF(NOT(OR(E403="Strategic Services",E403="Brands")),"UNIT REQUIRED",IF(F403="","BRAND / N/A REQUIRED",IF(NOT(OR(G403="USD",G403="MXN")),"CURRENCY REQUIRED",IF(NOT(ISNUMBER(H403)),"AMOUNT REQUIRED",IF(J403="","ERP SOURCE REQUIRED",IF(NOT(OR(K403="ISSUED",K403="CANCELLED")),"INVOICE STATUS REQUIRED",IF(COUNTIFS($A$2:$A$501,A403,$B$2:$B$501,B403,$D$2:$D$501,D403)&gt;1,"DUPLICATE INVOICE / PROJECT",IF(AND(G403="MXN",NOT(AND(ISNUMBER(I403),Settings!$B$8="APPROVED",Settings!$B$9&lt;&gt;"",Settings!$B$10&lt;&gt;""))),"FX HOLD","VALID")))))))))))))))</x:f>
      </x:c>
      <x:c r="M403" s="57" t="str">
        <x:f>IF(ISNUMBER(C403),IF(AND(ISNUMBER(C403),C403&gt;=2,C403&lt;=2958465,C403=INT(C403)),TEXT(C403,"yyyy-mm"),""),"")</x:f>
      </x:c>
      <x:c r="N403" s="59" t="str">
        <x:f>IF(L403="VALID",IF(G403="USD",H403,I403),"")</x:f>
      </x:c>
      <x:c r="O403" s="57" t="n">
        <x:f>IF(L403="VALID",IF(COUNTIFS($B$2:B403,B403,$M$2:M403,M403,$L$2:L403,"VALID")=1,1,0),0)</x:f>
        <x:v>0</x:v>
      </x:c>
    </x:row>
    <x:row r="404">
      <x:c r="A404" s="47"/>
      <x:c r="B404" s="47"/>
      <x:c r="C404" s="58"/>
      <x:c r="D404" s="47"/>
      <x:c r="E404" s="47"/>
      <x:c r="F404" s="47"/>
      <x:c r="G404" s="47"/>
      <x:c r="H404" s="48"/>
      <x:c r="I404" s="48"/>
      <x:c r="J404" s="47"/>
      <x:c r="K404" s="47"/>
      <x:c r="L404" s="57" t="str">
        <x:f>IF(COUNTA(A404:K404)=0,"",IF(K404="CANCELLED","CANCELLED",IF(A404="","INVOICE ID REQUIRED",IF(B404="","PROJECT ID REQUIRED",IF(NOT(ISNUMBER(C404)),"INVALID INVOICE DATE",IF(NOT(AND(ISNUMBER(C404),C404&gt;=2,C404&lt;=2958465,C404=INT(C404))),"INVALID INVOICE DATE",IF(NOT(OR(D404="MX",D404="US")),"ENTITY REQUIRED",IF(NOT(OR(E404="Strategic Services",E404="Brands")),"UNIT REQUIRED",IF(F404="","BRAND / N/A REQUIRED",IF(NOT(OR(G404="USD",G404="MXN")),"CURRENCY REQUIRED",IF(NOT(ISNUMBER(H404)),"AMOUNT REQUIRED",IF(J404="","ERP SOURCE REQUIRED",IF(NOT(OR(K404="ISSUED",K404="CANCELLED")),"INVOICE STATUS REQUIRED",IF(COUNTIFS($A$2:$A$501,A404,$B$2:$B$501,B404,$D$2:$D$501,D404)&gt;1,"DUPLICATE INVOICE / PROJECT",IF(AND(G404="MXN",NOT(AND(ISNUMBER(I404),Settings!$B$8="APPROVED",Settings!$B$9&lt;&gt;"",Settings!$B$10&lt;&gt;""))),"FX HOLD","VALID")))))))))))))))</x:f>
      </x:c>
      <x:c r="M404" s="57" t="str">
        <x:f>IF(ISNUMBER(C404),IF(AND(ISNUMBER(C404),C404&gt;=2,C404&lt;=2958465,C404=INT(C404)),TEXT(C404,"yyyy-mm"),""),"")</x:f>
      </x:c>
      <x:c r="N404" s="59" t="str">
        <x:f>IF(L404="VALID",IF(G404="USD",H404,I404),"")</x:f>
      </x:c>
      <x:c r="O404" s="57" t="n">
        <x:f>IF(L404="VALID",IF(COUNTIFS($B$2:B404,B404,$M$2:M404,M404,$L$2:L404,"VALID")=1,1,0),0)</x:f>
        <x:v>0</x:v>
      </x:c>
    </x:row>
    <x:row r="405">
      <x:c r="A405" s="47"/>
      <x:c r="B405" s="47"/>
      <x:c r="C405" s="58"/>
      <x:c r="D405" s="47"/>
      <x:c r="E405" s="47"/>
      <x:c r="F405" s="47"/>
      <x:c r="G405" s="47"/>
      <x:c r="H405" s="48"/>
      <x:c r="I405" s="48"/>
      <x:c r="J405" s="47"/>
      <x:c r="K405" s="47"/>
      <x:c r="L405" s="57" t="str">
        <x:f>IF(COUNTA(A405:K405)=0,"",IF(K405="CANCELLED","CANCELLED",IF(A405="","INVOICE ID REQUIRED",IF(B405="","PROJECT ID REQUIRED",IF(NOT(ISNUMBER(C405)),"INVALID INVOICE DATE",IF(NOT(AND(ISNUMBER(C405),C405&gt;=2,C405&lt;=2958465,C405=INT(C405))),"INVALID INVOICE DATE",IF(NOT(OR(D405="MX",D405="US")),"ENTITY REQUIRED",IF(NOT(OR(E405="Strategic Services",E405="Brands")),"UNIT REQUIRED",IF(F405="","BRAND / N/A REQUIRED",IF(NOT(OR(G405="USD",G405="MXN")),"CURRENCY REQUIRED",IF(NOT(ISNUMBER(H405)),"AMOUNT REQUIRED",IF(J405="","ERP SOURCE REQUIRED",IF(NOT(OR(K405="ISSUED",K405="CANCELLED")),"INVOICE STATUS REQUIRED",IF(COUNTIFS($A$2:$A$501,A405,$B$2:$B$501,B405,$D$2:$D$501,D405)&gt;1,"DUPLICATE INVOICE / PROJECT",IF(AND(G405="MXN",NOT(AND(ISNUMBER(I405),Settings!$B$8="APPROVED",Settings!$B$9&lt;&gt;"",Settings!$B$10&lt;&gt;""))),"FX HOLD","VALID")))))))))))))))</x:f>
      </x:c>
      <x:c r="M405" s="57" t="str">
        <x:f>IF(ISNUMBER(C405),IF(AND(ISNUMBER(C405),C405&gt;=2,C405&lt;=2958465,C405=INT(C405)),TEXT(C405,"yyyy-mm"),""),"")</x:f>
      </x:c>
      <x:c r="N405" s="59" t="str">
        <x:f>IF(L405="VALID",IF(G405="USD",H405,I405),"")</x:f>
      </x:c>
      <x:c r="O405" s="57" t="n">
        <x:f>IF(L405="VALID",IF(COUNTIFS($B$2:B405,B405,$M$2:M405,M405,$L$2:L405,"VALID")=1,1,0),0)</x:f>
        <x:v>0</x:v>
      </x:c>
    </x:row>
    <x:row r="406">
      <x:c r="A406" s="47"/>
      <x:c r="B406" s="47"/>
      <x:c r="C406" s="58"/>
      <x:c r="D406" s="47"/>
      <x:c r="E406" s="47"/>
      <x:c r="F406" s="47"/>
      <x:c r="G406" s="47"/>
      <x:c r="H406" s="48"/>
      <x:c r="I406" s="48"/>
      <x:c r="J406" s="47"/>
      <x:c r="K406" s="47"/>
      <x:c r="L406" s="57" t="str">
        <x:f>IF(COUNTA(A406:K406)=0,"",IF(K406="CANCELLED","CANCELLED",IF(A406="","INVOICE ID REQUIRED",IF(B406="","PROJECT ID REQUIRED",IF(NOT(ISNUMBER(C406)),"INVALID INVOICE DATE",IF(NOT(AND(ISNUMBER(C406),C406&gt;=2,C406&lt;=2958465,C406=INT(C406))),"INVALID INVOICE DATE",IF(NOT(OR(D406="MX",D406="US")),"ENTITY REQUIRED",IF(NOT(OR(E406="Strategic Services",E406="Brands")),"UNIT REQUIRED",IF(F406="","BRAND / N/A REQUIRED",IF(NOT(OR(G406="USD",G406="MXN")),"CURRENCY REQUIRED",IF(NOT(ISNUMBER(H406)),"AMOUNT REQUIRED",IF(J406="","ERP SOURCE REQUIRED",IF(NOT(OR(K406="ISSUED",K406="CANCELLED")),"INVOICE STATUS REQUIRED",IF(COUNTIFS($A$2:$A$501,A406,$B$2:$B$501,B406,$D$2:$D$501,D406)&gt;1,"DUPLICATE INVOICE / PROJECT",IF(AND(G406="MXN",NOT(AND(ISNUMBER(I406),Settings!$B$8="APPROVED",Settings!$B$9&lt;&gt;"",Settings!$B$10&lt;&gt;""))),"FX HOLD","VALID")))))))))))))))</x:f>
      </x:c>
      <x:c r="M406" s="57" t="str">
        <x:f>IF(ISNUMBER(C406),IF(AND(ISNUMBER(C406),C406&gt;=2,C406&lt;=2958465,C406=INT(C406)),TEXT(C406,"yyyy-mm"),""),"")</x:f>
      </x:c>
      <x:c r="N406" s="59" t="str">
        <x:f>IF(L406="VALID",IF(G406="USD",H406,I406),"")</x:f>
      </x:c>
      <x:c r="O406" s="57" t="n">
        <x:f>IF(L406="VALID",IF(COUNTIFS($B$2:B406,B406,$M$2:M406,M406,$L$2:L406,"VALID")=1,1,0),0)</x:f>
        <x:v>0</x:v>
      </x:c>
    </x:row>
    <x:row r="407">
      <x:c r="A407" s="47"/>
      <x:c r="B407" s="47"/>
      <x:c r="C407" s="58"/>
      <x:c r="D407" s="47"/>
      <x:c r="E407" s="47"/>
      <x:c r="F407" s="47"/>
      <x:c r="G407" s="47"/>
      <x:c r="H407" s="48"/>
      <x:c r="I407" s="48"/>
      <x:c r="J407" s="47"/>
      <x:c r="K407" s="47"/>
      <x:c r="L407" s="57" t="str">
        <x:f>IF(COUNTA(A407:K407)=0,"",IF(K407="CANCELLED","CANCELLED",IF(A407="","INVOICE ID REQUIRED",IF(B407="","PROJECT ID REQUIRED",IF(NOT(ISNUMBER(C407)),"INVALID INVOICE DATE",IF(NOT(AND(ISNUMBER(C407),C407&gt;=2,C407&lt;=2958465,C407=INT(C407))),"INVALID INVOICE DATE",IF(NOT(OR(D407="MX",D407="US")),"ENTITY REQUIRED",IF(NOT(OR(E407="Strategic Services",E407="Brands")),"UNIT REQUIRED",IF(F407="","BRAND / N/A REQUIRED",IF(NOT(OR(G407="USD",G407="MXN")),"CURRENCY REQUIRED",IF(NOT(ISNUMBER(H407)),"AMOUNT REQUIRED",IF(J407="","ERP SOURCE REQUIRED",IF(NOT(OR(K407="ISSUED",K407="CANCELLED")),"INVOICE STATUS REQUIRED",IF(COUNTIFS($A$2:$A$501,A407,$B$2:$B$501,B407,$D$2:$D$501,D407)&gt;1,"DUPLICATE INVOICE / PROJECT",IF(AND(G407="MXN",NOT(AND(ISNUMBER(I407),Settings!$B$8="APPROVED",Settings!$B$9&lt;&gt;"",Settings!$B$10&lt;&gt;""))),"FX HOLD","VALID")))))))))))))))</x:f>
      </x:c>
      <x:c r="M407" s="57" t="str">
        <x:f>IF(ISNUMBER(C407),IF(AND(ISNUMBER(C407),C407&gt;=2,C407&lt;=2958465,C407=INT(C407)),TEXT(C407,"yyyy-mm"),""),"")</x:f>
      </x:c>
      <x:c r="N407" s="59" t="str">
        <x:f>IF(L407="VALID",IF(G407="USD",H407,I407),"")</x:f>
      </x:c>
      <x:c r="O407" s="57" t="n">
        <x:f>IF(L407="VALID",IF(COUNTIFS($B$2:B407,B407,$M$2:M407,M407,$L$2:L407,"VALID")=1,1,0),0)</x:f>
        <x:v>0</x:v>
      </x:c>
    </x:row>
    <x:row r="408">
      <x:c r="A408" s="47"/>
      <x:c r="B408" s="47"/>
      <x:c r="C408" s="58"/>
      <x:c r="D408" s="47"/>
      <x:c r="E408" s="47"/>
      <x:c r="F408" s="47"/>
      <x:c r="G408" s="47"/>
      <x:c r="H408" s="48"/>
      <x:c r="I408" s="48"/>
      <x:c r="J408" s="47"/>
      <x:c r="K408" s="47"/>
      <x:c r="L408" s="57" t="str">
        <x:f>IF(COUNTA(A408:K408)=0,"",IF(K408="CANCELLED","CANCELLED",IF(A408="","INVOICE ID REQUIRED",IF(B408="","PROJECT ID REQUIRED",IF(NOT(ISNUMBER(C408)),"INVALID INVOICE DATE",IF(NOT(AND(ISNUMBER(C408),C408&gt;=2,C408&lt;=2958465,C408=INT(C408))),"INVALID INVOICE DATE",IF(NOT(OR(D408="MX",D408="US")),"ENTITY REQUIRED",IF(NOT(OR(E408="Strategic Services",E408="Brands")),"UNIT REQUIRED",IF(F408="","BRAND / N/A REQUIRED",IF(NOT(OR(G408="USD",G408="MXN")),"CURRENCY REQUIRED",IF(NOT(ISNUMBER(H408)),"AMOUNT REQUIRED",IF(J408="","ERP SOURCE REQUIRED",IF(NOT(OR(K408="ISSUED",K408="CANCELLED")),"INVOICE STATUS REQUIRED",IF(COUNTIFS($A$2:$A$501,A408,$B$2:$B$501,B408,$D$2:$D$501,D408)&gt;1,"DUPLICATE INVOICE / PROJECT",IF(AND(G408="MXN",NOT(AND(ISNUMBER(I408),Settings!$B$8="APPROVED",Settings!$B$9&lt;&gt;"",Settings!$B$10&lt;&gt;""))),"FX HOLD","VALID")))))))))))))))</x:f>
      </x:c>
      <x:c r="M408" s="57" t="str">
        <x:f>IF(ISNUMBER(C408),IF(AND(ISNUMBER(C408),C408&gt;=2,C408&lt;=2958465,C408=INT(C408)),TEXT(C408,"yyyy-mm"),""),"")</x:f>
      </x:c>
      <x:c r="N408" s="59" t="str">
        <x:f>IF(L408="VALID",IF(G408="USD",H408,I408),"")</x:f>
      </x:c>
      <x:c r="O408" s="57" t="n">
        <x:f>IF(L408="VALID",IF(COUNTIFS($B$2:B408,B408,$M$2:M408,M408,$L$2:L408,"VALID")=1,1,0),0)</x:f>
        <x:v>0</x:v>
      </x:c>
    </x:row>
    <x:row r="409">
      <x:c r="A409" s="47"/>
      <x:c r="B409" s="47"/>
      <x:c r="C409" s="58"/>
      <x:c r="D409" s="47"/>
      <x:c r="E409" s="47"/>
      <x:c r="F409" s="47"/>
      <x:c r="G409" s="47"/>
      <x:c r="H409" s="48"/>
      <x:c r="I409" s="48"/>
      <x:c r="J409" s="47"/>
      <x:c r="K409" s="47"/>
      <x:c r="L409" s="57" t="str">
        <x:f>IF(COUNTA(A409:K409)=0,"",IF(K409="CANCELLED","CANCELLED",IF(A409="","INVOICE ID REQUIRED",IF(B409="","PROJECT ID REQUIRED",IF(NOT(ISNUMBER(C409)),"INVALID INVOICE DATE",IF(NOT(AND(ISNUMBER(C409),C409&gt;=2,C409&lt;=2958465,C409=INT(C409))),"INVALID INVOICE DATE",IF(NOT(OR(D409="MX",D409="US")),"ENTITY REQUIRED",IF(NOT(OR(E409="Strategic Services",E409="Brands")),"UNIT REQUIRED",IF(F409="","BRAND / N/A REQUIRED",IF(NOT(OR(G409="USD",G409="MXN")),"CURRENCY REQUIRED",IF(NOT(ISNUMBER(H409)),"AMOUNT REQUIRED",IF(J409="","ERP SOURCE REQUIRED",IF(NOT(OR(K409="ISSUED",K409="CANCELLED")),"INVOICE STATUS REQUIRED",IF(COUNTIFS($A$2:$A$501,A409,$B$2:$B$501,B409,$D$2:$D$501,D409)&gt;1,"DUPLICATE INVOICE / PROJECT",IF(AND(G409="MXN",NOT(AND(ISNUMBER(I409),Settings!$B$8="APPROVED",Settings!$B$9&lt;&gt;"",Settings!$B$10&lt;&gt;""))),"FX HOLD","VALID")))))))))))))))</x:f>
      </x:c>
      <x:c r="M409" s="57" t="str">
        <x:f>IF(ISNUMBER(C409),IF(AND(ISNUMBER(C409),C409&gt;=2,C409&lt;=2958465,C409=INT(C409)),TEXT(C409,"yyyy-mm"),""),"")</x:f>
      </x:c>
      <x:c r="N409" s="59" t="str">
        <x:f>IF(L409="VALID",IF(G409="USD",H409,I409),"")</x:f>
      </x:c>
      <x:c r="O409" s="57" t="n">
        <x:f>IF(L409="VALID",IF(COUNTIFS($B$2:B409,B409,$M$2:M409,M409,$L$2:L409,"VALID")=1,1,0),0)</x:f>
        <x:v>0</x:v>
      </x:c>
    </x:row>
    <x:row r="410">
      <x:c r="A410" s="47"/>
      <x:c r="B410" s="47"/>
      <x:c r="C410" s="58"/>
      <x:c r="D410" s="47"/>
      <x:c r="E410" s="47"/>
      <x:c r="F410" s="47"/>
      <x:c r="G410" s="47"/>
      <x:c r="H410" s="48"/>
      <x:c r="I410" s="48"/>
      <x:c r="J410" s="47"/>
      <x:c r="K410" s="47"/>
      <x:c r="L410" s="57" t="str">
        <x:f>IF(COUNTA(A410:K410)=0,"",IF(K410="CANCELLED","CANCELLED",IF(A410="","INVOICE ID REQUIRED",IF(B410="","PROJECT ID REQUIRED",IF(NOT(ISNUMBER(C410)),"INVALID INVOICE DATE",IF(NOT(AND(ISNUMBER(C410),C410&gt;=2,C410&lt;=2958465,C410=INT(C410))),"INVALID INVOICE DATE",IF(NOT(OR(D410="MX",D410="US")),"ENTITY REQUIRED",IF(NOT(OR(E410="Strategic Services",E410="Brands")),"UNIT REQUIRED",IF(F410="","BRAND / N/A REQUIRED",IF(NOT(OR(G410="USD",G410="MXN")),"CURRENCY REQUIRED",IF(NOT(ISNUMBER(H410)),"AMOUNT REQUIRED",IF(J410="","ERP SOURCE REQUIRED",IF(NOT(OR(K410="ISSUED",K410="CANCELLED")),"INVOICE STATUS REQUIRED",IF(COUNTIFS($A$2:$A$501,A410,$B$2:$B$501,B410,$D$2:$D$501,D410)&gt;1,"DUPLICATE INVOICE / PROJECT",IF(AND(G410="MXN",NOT(AND(ISNUMBER(I410),Settings!$B$8="APPROVED",Settings!$B$9&lt;&gt;"",Settings!$B$10&lt;&gt;""))),"FX HOLD","VALID")))))))))))))))</x:f>
      </x:c>
      <x:c r="M410" s="57" t="str">
        <x:f>IF(ISNUMBER(C410),IF(AND(ISNUMBER(C410),C410&gt;=2,C410&lt;=2958465,C410=INT(C410)),TEXT(C410,"yyyy-mm"),""),"")</x:f>
      </x:c>
      <x:c r="N410" s="59" t="str">
        <x:f>IF(L410="VALID",IF(G410="USD",H410,I410),"")</x:f>
      </x:c>
      <x:c r="O410" s="57" t="n">
        <x:f>IF(L410="VALID",IF(COUNTIFS($B$2:B410,B410,$M$2:M410,M410,$L$2:L410,"VALID")=1,1,0),0)</x:f>
        <x:v>0</x:v>
      </x:c>
    </x:row>
    <x:row r="411">
      <x:c r="A411" s="47"/>
      <x:c r="B411" s="47"/>
      <x:c r="C411" s="58"/>
      <x:c r="D411" s="47"/>
      <x:c r="E411" s="47"/>
      <x:c r="F411" s="47"/>
      <x:c r="G411" s="47"/>
      <x:c r="H411" s="48"/>
      <x:c r="I411" s="48"/>
      <x:c r="J411" s="47"/>
      <x:c r="K411" s="47"/>
      <x:c r="L411" s="57" t="str">
        <x:f>IF(COUNTA(A411:K411)=0,"",IF(K411="CANCELLED","CANCELLED",IF(A411="","INVOICE ID REQUIRED",IF(B411="","PROJECT ID REQUIRED",IF(NOT(ISNUMBER(C411)),"INVALID INVOICE DATE",IF(NOT(AND(ISNUMBER(C411),C411&gt;=2,C411&lt;=2958465,C411=INT(C411))),"INVALID INVOICE DATE",IF(NOT(OR(D411="MX",D411="US")),"ENTITY REQUIRED",IF(NOT(OR(E411="Strategic Services",E411="Brands")),"UNIT REQUIRED",IF(F411="","BRAND / N/A REQUIRED",IF(NOT(OR(G411="USD",G411="MXN")),"CURRENCY REQUIRED",IF(NOT(ISNUMBER(H411)),"AMOUNT REQUIRED",IF(J411="","ERP SOURCE REQUIRED",IF(NOT(OR(K411="ISSUED",K411="CANCELLED")),"INVOICE STATUS REQUIRED",IF(COUNTIFS($A$2:$A$501,A411,$B$2:$B$501,B411,$D$2:$D$501,D411)&gt;1,"DUPLICATE INVOICE / PROJECT",IF(AND(G411="MXN",NOT(AND(ISNUMBER(I411),Settings!$B$8="APPROVED",Settings!$B$9&lt;&gt;"",Settings!$B$10&lt;&gt;""))),"FX HOLD","VALID")))))))))))))))</x:f>
      </x:c>
      <x:c r="M411" s="57" t="str">
        <x:f>IF(ISNUMBER(C411),IF(AND(ISNUMBER(C411),C411&gt;=2,C411&lt;=2958465,C411=INT(C411)),TEXT(C411,"yyyy-mm"),""),"")</x:f>
      </x:c>
      <x:c r="N411" s="59" t="str">
        <x:f>IF(L411="VALID",IF(G411="USD",H411,I411),"")</x:f>
      </x:c>
      <x:c r="O411" s="57" t="n">
        <x:f>IF(L411="VALID",IF(COUNTIFS($B$2:B411,B411,$M$2:M411,M411,$L$2:L411,"VALID")=1,1,0),0)</x:f>
        <x:v>0</x:v>
      </x:c>
    </x:row>
    <x:row r="412">
      <x:c r="A412" s="47"/>
      <x:c r="B412" s="47"/>
      <x:c r="C412" s="58"/>
      <x:c r="D412" s="47"/>
      <x:c r="E412" s="47"/>
      <x:c r="F412" s="47"/>
      <x:c r="G412" s="47"/>
      <x:c r="H412" s="48"/>
      <x:c r="I412" s="48"/>
      <x:c r="J412" s="47"/>
      <x:c r="K412" s="47"/>
      <x:c r="L412" s="57" t="str">
        <x:f>IF(COUNTA(A412:K412)=0,"",IF(K412="CANCELLED","CANCELLED",IF(A412="","INVOICE ID REQUIRED",IF(B412="","PROJECT ID REQUIRED",IF(NOT(ISNUMBER(C412)),"INVALID INVOICE DATE",IF(NOT(AND(ISNUMBER(C412),C412&gt;=2,C412&lt;=2958465,C412=INT(C412))),"INVALID INVOICE DATE",IF(NOT(OR(D412="MX",D412="US")),"ENTITY REQUIRED",IF(NOT(OR(E412="Strategic Services",E412="Brands")),"UNIT REQUIRED",IF(F412="","BRAND / N/A REQUIRED",IF(NOT(OR(G412="USD",G412="MXN")),"CURRENCY REQUIRED",IF(NOT(ISNUMBER(H412)),"AMOUNT REQUIRED",IF(J412="","ERP SOURCE REQUIRED",IF(NOT(OR(K412="ISSUED",K412="CANCELLED")),"INVOICE STATUS REQUIRED",IF(COUNTIFS($A$2:$A$501,A412,$B$2:$B$501,B412,$D$2:$D$501,D412)&gt;1,"DUPLICATE INVOICE / PROJECT",IF(AND(G412="MXN",NOT(AND(ISNUMBER(I412),Settings!$B$8="APPROVED",Settings!$B$9&lt;&gt;"",Settings!$B$10&lt;&gt;""))),"FX HOLD","VALID")))))))))))))))</x:f>
      </x:c>
      <x:c r="M412" s="57" t="str">
        <x:f>IF(ISNUMBER(C412),IF(AND(ISNUMBER(C412),C412&gt;=2,C412&lt;=2958465,C412=INT(C412)),TEXT(C412,"yyyy-mm"),""),"")</x:f>
      </x:c>
      <x:c r="N412" s="59" t="str">
        <x:f>IF(L412="VALID",IF(G412="USD",H412,I412),"")</x:f>
      </x:c>
      <x:c r="O412" s="57" t="n">
        <x:f>IF(L412="VALID",IF(COUNTIFS($B$2:B412,B412,$M$2:M412,M412,$L$2:L412,"VALID")=1,1,0),0)</x:f>
        <x:v>0</x:v>
      </x:c>
    </x:row>
    <x:row r="413">
      <x:c r="A413" s="47"/>
      <x:c r="B413" s="47"/>
      <x:c r="C413" s="58"/>
      <x:c r="D413" s="47"/>
      <x:c r="E413" s="47"/>
      <x:c r="F413" s="47"/>
      <x:c r="G413" s="47"/>
      <x:c r="H413" s="48"/>
      <x:c r="I413" s="48"/>
      <x:c r="J413" s="47"/>
      <x:c r="K413" s="47"/>
      <x:c r="L413" s="57" t="str">
        <x:f>IF(COUNTA(A413:K413)=0,"",IF(K413="CANCELLED","CANCELLED",IF(A413="","INVOICE ID REQUIRED",IF(B413="","PROJECT ID REQUIRED",IF(NOT(ISNUMBER(C413)),"INVALID INVOICE DATE",IF(NOT(AND(ISNUMBER(C413),C413&gt;=2,C413&lt;=2958465,C413=INT(C413))),"INVALID INVOICE DATE",IF(NOT(OR(D413="MX",D413="US")),"ENTITY REQUIRED",IF(NOT(OR(E413="Strategic Services",E413="Brands")),"UNIT REQUIRED",IF(F413="","BRAND / N/A REQUIRED",IF(NOT(OR(G413="USD",G413="MXN")),"CURRENCY REQUIRED",IF(NOT(ISNUMBER(H413)),"AMOUNT REQUIRED",IF(J413="","ERP SOURCE REQUIRED",IF(NOT(OR(K413="ISSUED",K413="CANCELLED")),"INVOICE STATUS REQUIRED",IF(COUNTIFS($A$2:$A$501,A413,$B$2:$B$501,B413,$D$2:$D$501,D413)&gt;1,"DUPLICATE INVOICE / PROJECT",IF(AND(G413="MXN",NOT(AND(ISNUMBER(I413),Settings!$B$8="APPROVED",Settings!$B$9&lt;&gt;"",Settings!$B$10&lt;&gt;""))),"FX HOLD","VALID")))))))))))))))</x:f>
      </x:c>
      <x:c r="M413" s="57" t="str">
        <x:f>IF(ISNUMBER(C413),IF(AND(ISNUMBER(C413),C413&gt;=2,C413&lt;=2958465,C413=INT(C413)),TEXT(C413,"yyyy-mm"),""),"")</x:f>
      </x:c>
      <x:c r="N413" s="59" t="str">
        <x:f>IF(L413="VALID",IF(G413="USD",H413,I413),"")</x:f>
      </x:c>
      <x:c r="O413" s="57" t="n">
        <x:f>IF(L413="VALID",IF(COUNTIFS($B$2:B413,B413,$M$2:M413,M413,$L$2:L413,"VALID")=1,1,0),0)</x:f>
        <x:v>0</x:v>
      </x:c>
    </x:row>
    <x:row r="414">
      <x:c r="A414" s="47"/>
      <x:c r="B414" s="47"/>
      <x:c r="C414" s="58"/>
      <x:c r="D414" s="47"/>
      <x:c r="E414" s="47"/>
      <x:c r="F414" s="47"/>
      <x:c r="G414" s="47"/>
      <x:c r="H414" s="48"/>
      <x:c r="I414" s="48"/>
      <x:c r="J414" s="47"/>
      <x:c r="K414" s="47"/>
      <x:c r="L414" s="57" t="str">
        <x:f>IF(COUNTA(A414:K414)=0,"",IF(K414="CANCELLED","CANCELLED",IF(A414="","INVOICE ID REQUIRED",IF(B414="","PROJECT ID REQUIRED",IF(NOT(ISNUMBER(C414)),"INVALID INVOICE DATE",IF(NOT(AND(ISNUMBER(C414),C414&gt;=2,C414&lt;=2958465,C414=INT(C414))),"INVALID INVOICE DATE",IF(NOT(OR(D414="MX",D414="US")),"ENTITY REQUIRED",IF(NOT(OR(E414="Strategic Services",E414="Brands")),"UNIT REQUIRED",IF(F414="","BRAND / N/A REQUIRED",IF(NOT(OR(G414="USD",G414="MXN")),"CURRENCY REQUIRED",IF(NOT(ISNUMBER(H414)),"AMOUNT REQUIRED",IF(J414="","ERP SOURCE REQUIRED",IF(NOT(OR(K414="ISSUED",K414="CANCELLED")),"INVOICE STATUS REQUIRED",IF(COUNTIFS($A$2:$A$501,A414,$B$2:$B$501,B414,$D$2:$D$501,D414)&gt;1,"DUPLICATE INVOICE / PROJECT",IF(AND(G414="MXN",NOT(AND(ISNUMBER(I414),Settings!$B$8="APPROVED",Settings!$B$9&lt;&gt;"",Settings!$B$10&lt;&gt;""))),"FX HOLD","VALID")))))))))))))))</x:f>
      </x:c>
      <x:c r="M414" s="57" t="str">
        <x:f>IF(ISNUMBER(C414),IF(AND(ISNUMBER(C414),C414&gt;=2,C414&lt;=2958465,C414=INT(C414)),TEXT(C414,"yyyy-mm"),""),"")</x:f>
      </x:c>
      <x:c r="N414" s="59" t="str">
        <x:f>IF(L414="VALID",IF(G414="USD",H414,I414),"")</x:f>
      </x:c>
      <x:c r="O414" s="57" t="n">
        <x:f>IF(L414="VALID",IF(COUNTIFS($B$2:B414,B414,$M$2:M414,M414,$L$2:L414,"VALID")=1,1,0),0)</x:f>
        <x:v>0</x:v>
      </x:c>
    </x:row>
    <x:row r="415">
      <x:c r="A415" s="47"/>
      <x:c r="B415" s="47"/>
      <x:c r="C415" s="58"/>
      <x:c r="D415" s="47"/>
      <x:c r="E415" s="47"/>
      <x:c r="F415" s="47"/>
      <x:c r="G415" s="47"/>
      <x:c r="H415" s="48"/>
      <x:c r="I415" s="48"/>
      <x:c r="J415" s="47"/>
      <x:c r="K415" s="47"/>
      <x:c r="L415" s="57" t="str">
        <x:f>IF(COUNTA(A415:K415)=0,"",IF(K415="CANCELLED","CANCELLED",IF(A415="","INVOICE ID REQUIRED",IF(B415="","PROJECT ID REQUIRED",IF(NOT(ISNUMBER(C415)),"INVALID INVOICE DATE",IF(NOT(AND(ISNUMBER(C415),C415&gt;=2,C415&lt;=2958465,C415=INT(C415))),"INVALID INVOICE DATE",IF(NOT(OR(D415="MX",D415="US")),"ENTITY REQUIRED",IF(NOT(OR(E415="Strategic Services",E415="Brands")),"UNIT REQUIRED",IF(F415="","BRAND / N/A REQUIRED",IF(NOT(OR(G415="USD",G415="MXN")),"CURRENCY REQUIRED",IF(NOT(ISNUMBER(H415)),"AMOUNT REQUIRED",IF(J415="","ERP SOURCE REQUIRED",IF(NOT(OR(K415="ISSUED",K415="CANCELLED")),"INVOICE STATUS REQUIRED",IF(COUNTIFS($A$2:$A$501,A415,$B$2:$B$501,B415,$D$2:$D$501,D415)&gt;1,"DUPLICATE INVOICE / PROJECT",IF(AND(G415="MXN",NOT(AND(ISNUMBER(I415),Settings!$B$8="APPROVED",Settings!$B$9&lt;&gt;"",Settings!$B$10&lt;&gt;""))),"FX HOLD","VALID")))))))))))))))</x:f>
      </x:c>
      <x:c r="M415" s="57" t="str">
        <x:f>IF(ISNUMBER(C415),IF(AND(ISNUMBER(C415),C415&gt;=2,C415&lt;=2958465,C415=INT(C415)),TEXT(C415,"yyyy-mm"),""),"")</x:f>
      </x:c>
      <x:c r="N415" s="59" t="str">
        <x:f>IF(L415="VALID",IF(G415="USD",H415,I415),"")</x:f>
      </x:c>
      <x:c r="O415" s="57" t="n">
        <x:f>IF(L415="VALID",IF(COUNTIFS($B$2:B415,B415,$M$2:M415,M415,$L$2:L415,"VALID")=1,1,0),0)</x:f>
        <x:v>0</x:v>
      </x:c>
    </x:row>
    <x:row r="416">
      <x:c r="A416" s="47"/>
      <x:c r="B416" s="47"/>
      <x:c r="C416" s="58"/>
      <x:c r="D416" s="47"/>
      <x:c r="E416" s="47"/>
      <x:c r="F416" s="47"/>
      <x:c r="G416" s="47"/>
      <x:c r="H416" s="48"/>
      <x:c r="I416" s="48"/>
      <x:c r="J416" s="47"/>
      <x:c r="K416" s="47"/>
      <x:c r="L416" s="57" t="str">
        <x:f>IF(COUNTA(A416:K416)=0,"",IF(K416="CANCELLED","CANCELLED",IF(A416="","INVOICE ID REQUIRED",IF(B416="","PROJECT ID REQUIRED",IF(NOT(ISNUMBER(C416)),"INVALID INVOICE DATE",IF(NOT(AND(ISNUMBER(C416),C416&gt;=2,C416&lt;=2958465,C416=INT(C416))),"INVALID INVOICE DATE",IF(NOT(OR(D416="MX",D416="US")),"ENTITY REQUIRED",IF(NOT(OR(E416="Strategic Services",E416="Brands")),"UNIT REQUIRED",IF(F416="","BRAND / N/A REQUIRED",IF(NOT(OR(G416="USD",G416="MXN")),"CURRENCY REQUIRED",IF(NOT(ISNUMBER(H416)),"AMOUNT REQUIRED",IF(J416="","ERP SOURCE REQUIRED",IF(NOT(OR(K416="ISSUED",K416="CANCELLED")),"INVOICE STATUS REQUIRED",IF(COUNTIFS($A$2:$A$501,A416,$B$2:$B$501,B416,$D$2:$D$501,D416)&gt;1,"DUPLICATE INVOICE / PROJECT",IF(AND(G416="MXN",NOT(AND(ISNUMBER(I416),Settings!$B$8="APPROVED",Settings!$B$9&lt;&gt;"",Settings!$B$10&lt;&gt;""))),"FX HOLD","VALID")))))))))))))))</x:f>
      </x:c>
      <x:c r="M416" s="57" t="str">
        <x:f>IF(ISNUMBER(C416),IF(AND(ISNUMBER(C416),C416&gt;=2,C416&lt;=2958465,C416=INT(C416)),TEXT(C416,"yyyy-mm"),""),"")</x:f>
      </x:c>
      <x:c r="N416" s="59" t="str">
        <x:f>IF(L416="VALID",IF(G416="USD",H416,I416),"")</x:f>
      </x:c>
      <x:c r="O416" s="57" t="n">
        <x:f>IF(L416="VALID",IF(COUNTIFS($B$2:B416,B416,$M$2:M416,M416,$L$2:L416,"VALID")=1,1,0),0)</x:f>
        <x:v>0</x:v>
      </x:c>
    </x:row>
    <x:row r="417">
      <x:c r="A417" s="47"/>
      <x:c r="B417" s="47"/>
      <x:c r="C417" s="58"/>
      <x:c r="D417" s="47"/>
      <x:c r="E417" s="47"/>
      <x:c r="F417" s="47"/>
      <x:c r="G417" s="47"/>
      <x:c r="H417" s="48"/>
      <x:c r="I417" s="48"/>
      <x:c r="J417" s="47"/>
      <x:c r="K417" s="47"/>
      <x:c r="L417" s="57" t="str">
        <x:f>IF(COUNTA(A417:K417)=0,"",IF(K417="CANCELLED","CANCELLED",IF(A417="","INVOICE ID REQUIRED",IF(B417="","PROJECT ID REQUIRED",IF(NOT(ISNUMBER(C417)),"INVALID INVOICE DATE",IF(NOT(AND(ISNUMBER(C417),C417&gt;=2,C417&lt;=2958465,C417=INT(C417))),"INVALID INVOICE DATE",IF(NOT(OR(D417="MX",D417="US")),"ENTITY REQUIRED",IF(NOT(OR(E417="Strategic Services",E417="Brands")),"UNIT REQUIRED",IF(F417="","BRAND / N/A REQUIRED",IF(NOT(OR(G417="USD",G417="MXN")),"CURRENCY REQUIRED",IF(NOT(ISNUMBER(H417)),"AMOUNT REQUIRED",IF(J417="","ERP SOURCE REQUIRED",IF(NOT(OR(K417="ISSUED",K417="CANCELLED")),"INVOICE STATUS REQUIRED",IF(COUNTIFS($A$2:$A$501,A417,$B$2:$B$501,B417,$D$2:$D$501,D417)&gt;1,"DUPLICATE INVOICE / PROJECT",IF(AND(G417="MXN",NOT(AND(ISNUMBER(I417),Settings!$B$8="APPROVED",Settings!$B$9&lt;&gt;"",Settings!$B$10&lt;&gt;""))),"FX HOLD","VALID")))))))))))))))</x:f>
      </x:c>
      <x:c r="M417" s="57" t="str">
        <x:f>IF(ISNUMBER(C417),IF(AND(ISNUMBER(C417),C417&gt;=2,C417&lt;=2958465,C417=INT(C417)),TEXT(C417,"yyyy-mm"),""),"")</x:f>
      </x:c>
      <x:c r="N417" s="59" t="str">
        <x:f>IF(L417="VALID",IF(G417="USD",H417,I417),"")</x:f>
      </x:c>
      <x:c r="O417" s="57" t="n">
        <x:f>IF(L417="VALID",IF(COUNTIFS($B$2:B417,B417,$M$2:M417,M417,$L$2:L417,"VALID")=1,1,0),0)</x:f>
        <x:v>0</x:v>
      </x:c>
    </x:row>
    <x:row r="418">
      <x:c r="A418" s="47"/>
      <x:c r="B418" s="47"/>
      <x:c r="C418" s="58"/>
      <x:c r="D418" s="47"/>
      <x:c r="E418" s="47"/>
      <x:c r="F418" s="47"/>
      <x:c r="G418" s="47"/>
      <x:c r="H418" s="48"/>
      <x:c r="I418" s="48"/>
      <x:c r="J418" s="47"/>
      <x:c r="K418" s="47"/>
      <x:c r="L418" s="57" t="str">
        <x:f>IF(COUNTA(A418:K418)=0,"",IF(K418="CANCELLED","CANCELLED",IF(A418="","INVOICE ID REQUIRED",IF(B418="","PROJECT ID REQUIRED",IF(NOT(ISNUMBER(C418)),"INVALID INVOICE DATE",IF(NOT(AND(ISNUMBER(C418),C418&gt;=2,C418&lt;=2958465,C418=INT(C418))),"INVALID INVOICE DATE",IF(NOT(OR(D418="MX",D418="US")),"ENTITY REQUIRED",IF(NOT(OR(E418="Strategic Services",E418="Brands")),"UNIT REQUIRED",IF(F418="","BRAND / N/A REQUIRED",IF(NOT(OR(G418="USD",G418="MXN")),"CURRENCY REQUIRED",IF(NOT(ISNUMBER(H418)),"AMOUNT REQUIRED",IF(J418="","ERP SOURCE REQUIRED",IF(NOT(OR(K418="ISSUED",K418="CANCELLED")),"INVOICE STATUS REQUIRED",IF(COUNTIFS($A$2:$A$501,A418,$B$2:$B$501,B418,$D$2:$D$501,D418)&gt;1,"DUPLICATE INVOICE / PROJECT",IF(AND(G418="MXN",NOT(AND(ISNUMBER(I418),Settings!$B$8="APPROVED",Settings!$B$9&lt;&gt;"",Settings!$B$10&lt;&gt;""))),"FX HOLD","VALID")))))))))))))))</x:f>
      </x:c>
      <x:c r="M418" s="57" t="str">
        <x:f>IF(ISNUMBER(C418),IF(AND(ISNUMBER(C418),C418&gt;=2,C418&lt;=2958465,C418=INT(C418)),TEXT(C418,"yyyy-mm"),""),"")</x:f>
      </x:c>
      <x:c r="N418" s="59" t="str">
        <x:f>IF(L418="VALID",IF(G418="USD",H418,I418),"")</x:f>
      </x:c>
      <x:c r="O418" s="57" t="n">
        <x:f>IF(L418="VALID",IF(COUNTIFS($B$2:B418,B418,$M$2:M418,M418,$L$2:L418,"VALID")=1,1,0),0)</x:f>
        <x:v>0</x:v>
      </x:c>
    </x:row>
    <x:row r="419">
      <x:c r="A419" s="47"/>
      <x:c r="B419" s="47"/>
      <x:c r="C419" s="58"/>
      <x:c r="D419" s="47"/>
      <x:c r="E419" s="47"/>
      <x:c r="F419" s="47"/>
      <x:c r="G419" s="47"/>
      <x:c r="H419" s="48"/>
      <x:c r="I419" s="48"/>
      <x:c r="J419" s="47"/>
      <x:c r="K419" s="47"/>
      <x:c r="L419" s="57" t="str">
        <x:f>IF(COUNTA(A419:K419)=0,"",IF(K419="CANCELLED","CANCELLED",IF(A419="","INVOICE ID REQUIRED",IF(B419="","PROJECT ID REQUIRED",IF(NOT(ISNUMBER(C419)),"INVALID INVOICE DATE",IF(NOT(AND(ISNUMBER(C419),C419&gt;=2,C419&lt;=2958465,C419=INT(C419))),"INVALID INVOICE DATE",IF(NOT(OR(D419="MX",D419="US")),"ENTITY REQUIRED",IF(NOT(OR(E419="Strategic Services",E419="Brands")),"UNIT REQUIRED",IF(F419="","BRAND / N/A REQUIRED",IF(NOT(OR(G419="USD",G419="MXN")),"CURRENCY REQUIRED",IF(NOT(ISNUMBER(H419)),"AMOUNT REQUIRED",IF(J419="","ERP SOURCE REQUIRED",IF(NOT(OR(K419="ISSUED",K419="CANCELLED")),"INVOICE STATUS REQUIRED",IF(COUNTIFS($A$2:$A$501,A419,$B$2:$B$501,B419,$D$2:$D$501,D419)&gt;1,"DUPLICATE INVOICE / PROJECT",IF(AND(G419="MXN",NOT(AND(ISNUMBER(I419),Settings!$B$8="APPROVED",Settings!$B$9&lt;&gt;"",Settings!$B$10&lt;&gt;""))),"FX HOLD","VALID")))))))))))))))</x:f>
      </x:c>
      <x:c r="M419" s="57" t="str">
        <x:f>IF(ISNUMBER(C419),IF(AND(ISNUMBER(C419),C419&gt;=2,C419&lt;=2958465,C419=INT(C419)),TEXT(C419,"yyyy-mm"),""),"")</x:f>
      </x:c>
      <x:c r="N419" s="59" t="str">
        <x:f>IF(L419="VALID",IF(G419="USD",H419,I419),"")</x:f>
      </x:c>
      <x:c r="O419" s="57" t="n">
        <x:f>IF(L419="VALID",IF(COUNTIFS($B$2:B419,B419,$M$2:M419,M419,$L$2:L419,"VALID")=1,1,0),0)</x:f>
        <x:v>0</x:v>
      </x:c>
    </x:row>
    <x:row r="420">
      <x:c r="A420" s="47"/>
      <x:c r="B420" s="47"/>
      <x:c r="C420" s="58"/>
      <x:c r="D420" s="47"/>
      <x:c r="E420" s="47"/>
      <x:c r="F420" s="47"/>
      <x:c r="G420" s="47"/>
      <x:c r="H420" s="48"/>
      <x:c r="I420" s="48"/>
      <x:c r="J420" s="47"/>
      <x:c r="K420" s="47"/>
      <x:c r="L420" s="57" t="str">
        <x:f>IF(COUNTA(A420:K420)=0,"",IF(K420="CANCELLED","CANCELLED",IF(A420="","INVOICE ID REQUIRED",IF(B420="","PROJECT ID REQUIRED",IF(NOT(ISNUMBER(C420)),"INVALID INVOICE DATE",IF(NOT(AND(ISNUMBER(C420),C420&gt;=2,C420&lt;=2958465,C420=INT(C420))),"INVALID INVOICE DATE",IF(NOT(OR(D420="MX",D420="US")),"ENTITY REQUIRED",IF(NOT(OR(E420="Strategic Services",E420="Brands")),"UNIT REQUIRED",IF(F420="","BRAND / N/A REQUIRED",IF(NOT(OR(G420="USD",G420="MXN")),"CURRENCY REQUIRED",IF(NOT(ISNUMBER(H420)),"AMOUNT REQUIRED",IF(J420="","ERP SOURCE REQUIRED",IF(NOT(OR(K420="ISSUED",K420="CANCELLED")),"INVOICE STATUS REQUIRED",IF(COUNTIFS($A$2:$A$501,A420,$B$2:$B$501,B420,$D$2:$D$501,D420)&gt;1,"DUPLICATE INVOICE / PROJECT",IF(AND(G420="MXN",NOT(AND(ISNUMBER(I420),Settings!$B$8="APPROVED",Settings!$B$9&lt;&gt;"",Settings!$B$10&lt;&gt;""))),"FX HOLD","VALID")))))))))))))))</x:f>
      </x:c>
      <x:c r="M420" s="57" t="str">
        <x:f>IF(ISNUMBER(C420),IF(AND(ISNUMBER(C420),C420&gt;=2,C420&lt;=2958465,C420=INT(C420)),TEXT(C420,"yyyy-mm"),""),"")</x:f>
      </x:c>
      <x:c r="N420" s="59" t="str">
        <x:f>IF(L420="VALID",IF(G420="USD",H420,I420),"")</x:f>
      </x:c>
      <x:c r="O420" s="57" t="n">
        <x:f>IF(L420="VALID",IF(COUNTIFS($B$2:B420,B420,$M$2:M420,M420,$L$2:L420,"VALID")=1,1,0),0)</x:f>
        <x:v>0</x:v>
      </x:c>
    </x:row>
    <x:row r="421">
      <x:c r="A421" s="47"/>
      <x:c r="B421" s="47"/>
      <x:c r="C421" s="58"/>
      <x:c r="D421" s="47"/>
      <x:c r="E421" s="47"/>
      <x:c r="F421" s="47"/>
      <x:c r="G421" s="47"/>
      <x:c r="H421" s="48"/>
      <x:c r="I421" s="48"/>
      <x:c r="J421" s="47"/>
      <x:c r="K421" s="47"/>
      <x:c r="L421" s="57" t="str">
        <x:f>IF(COUNTA(A421:K421)=0,"",IF(K421="CANCELLED","CANCELLED",IF(A421="","INVOICE ID REQUIRED",IF(B421="","PROJECT ID REQUIRED",IF(NOT(ISNUMBER(C421)),"INVALID INVOICE DATE",IF(NOT(AND(ISNUMBER(C421),C421&gt;=2,C421&lt;=2958465,C421=INT(C421))),"INVALID INVOICE DATE",IF(NOT(OR(D421="MX",D421="US")),"ENTITY REQUIRED",IF(NOT(OR(E421="Strategic Services",E421="Brands")),"UNIT REQUIRED",IF(F421="","BRAND / N/A REQUIRED",IF(NOT(OR(G421="USD",G421="MXN")),"CURRENCY REQUIRED",IF(NOT(ISNUMBER(H421)),"AMOUNT REQUIRED",IF(J421="","ERP SOURCE REQUIRED",IF(NOT(OR(K421="ISSUED",K421="CANCELLED")),"INVOICE STATUS REQUIRED",IF(COUNTIFS($A$2:$A$501,A421,$B$2:$B$501,B421,$D$2:$D$501,D421)&gt;1,"DUPLICATE INVOICE / PROJECT",IF(AND(G421="MXN",NOT(AND(ISNUMBER(I421),Settings!$B$8="APPROVED",Settings!$B$9&lt;&gt;"",Settings!$B$10&lt;&gt;""))),"FX HOLD","VALID")))))))))))))))</x:f>
      </x:c>
      <x:c r="M421" s="57" t="str">
        <x:f>IF(ISNUMBER(C421),IF(AND(ISNUMBER(C421),C421&gt;=2,C421&lt;=2958465,C421=INT(C421)),TEXT(C421,"yyyy-mm"),""),"")</x:f>
      </x:c>
      <x:c r="N421" s="59" t="str">
        <x:f>IF(L421="VALID",IF(G421="USD",H421,I421),"")</x:f>
      </x:c>
      <x:c r="O421" s="57" t="n">
        <x:f>IF(L421="VALID",IF(COUNTIFS($B$2:B421,B421,$M$2:M421,M421,$L$2:L421,"VALID")=1,1,0),0)</x:f>
        <x:v>0</x:v>
      </x:c>
    </x:row>
    <x:row r="422">
      <x:c r="A422" s="47"/>
      <x:c r="B422" s="47"/>
      <x:c r="C422" s="58"/>
      <x:c r="D422" s="47"/>
      <x:c r="E422" s="47"/>
      <x:c r="F422" s="47"/>
      <x:c r="G422" s="47"/>
      <x:c r="H422" s="48"/>
      <x:c r="I422" s="48"/>
      <x:c r="J422" s="47"/>
      <x:c r="K422" s="47"/>
      <x:c r="L422" s="57" t="str">
        <x:f>IF(COUNTA(A422:K422)=0,"",IF(K422="CANCELLED","CANCELLED",IF(A422="","INVOICE ID REQUIRED",IF(B422="","PROJECT ID REQUIRED",IF(NOT(ISNUMBER(C422)),"INVALID INVOICE DATE",IF(NOT(AND(ISNUMBER(C422),C422&gt;=2,C422&lt;=2958465,C422=INT(C422))),"INVALID INVOICE DATE",IF(NOT(OR(D422="MX",D422="US")),"ENTITY REQUIRED",IF(NOT(OR(E422="Strategic Services",E422="Brands")),"UNIT REQUIRED",IF(F422="","BRAND / N/A REQUIRED",IF(NOT(OR(G422="USD",G422="MXN")),"CURRENCY REQUIRED",IF(NOT(ISNUMBER(H422)),"AMOUNT REQUIRED",IF(J422="","ERP SOURCE REQUIRED",IF(NOT(OR(K422="ISSUED",K422="CANCELLED")),"INVOICE STATUS REQUIRED",IF(COUNTIFS($A$2:$A$501,A422,$B$2:$B$501,B422,$D$2:$D$501,D422)&gt;1,"DUPLICATE INVOICE / PROJECT",IF(AND(G422="MXN",NOT(AND(ISNUMBER(I422),Settings!$B$8="APPROVED",Settings!$B$9&lt;&gt;"",Settings!$B$10&lt;&gt;""))),"FX HOLD","VALID")))))))))))))))</x:f>
      </x:c>
      <x:c r="M422" s="57" t="str">
        <x:f>IF(ISNUMBER(C422),IF(AND(ISNUMBER(C422),C422&gt;=2,C422&lt;=2958465,C422=INT(C422)),TEXT(C422,"yyyy-mm"),""),"")</x:f>
      </x:c>
      <x:c r="N422" s="59" t="str">
        <x:f>IF(L422="VALID",IF(G422="USD",H422,I422),"")</x:f>
      </x:c>
      <x:c r="O422" s="57" t="n">
        <x:f>IF(L422="VALID",IF(COUNTIFS($B$2:B422,B422,$M$2:M422,M422,$L$2:L422,"VALID")=1,1,0),0)</x:f>
        <x:v>0</x:v>
      </x:c>
    </x:row>
    <x:row r="423">
      <x:c r="A423" s="47"/>
      <x:c r="B423" s="47"/>
      <x:c r="C423" s="58"/>
      <x:c r="D423" s="47"/>
      <x:c r="E423" s="47"/>
      <x:c r="F423" s="47"/>
      <x:c r="G423" s="47"/>
      <x:c r="H423" s="48"/>
      <x:c r="I423" s="48"/>
      <x:c r="J423" s="47"/>
      <x:c r="K423" s="47"/>
      <x:c r="L423" s="57" t="str">
        <x:f>IF(COUNTA(A423:K423)=0,"",IF(K423="CANCELLED","CANCELLED",IF(A423="","INVOICE ID REQUIRED",IF(B423="","PROJECT ID REQUIRED",IF(NOT(ISNUMBER(C423)),"INVALID INVOICE DATE",IF(NOT(AND(ISNUMBER(C423),C423&gt;=2,C423&lt;=2958465,C423=INT(C423))),"INVALID INVOICE DATE",IF(NOT(OR(D423="MX",D423="US")),"ENTITY REQUIRED",IF(NOT(OR(E423="Strategic Services",E423="Brands")),"UNIT REQUIRED",IF(F423="","BRAND / N/A REQUIRED",IF(NOT(OR(G423="USD",G423="MXN")),"CURRENCY REQUIRED",IF(NOT(ISNUMBER(H423)),"AMOUNT REQUIRED",IF(J423="","ERP SOURCE REQUIRED",IF(NOT(OR(K423="ISSUED",K423="CANCELLED")),"INVOICE STATUS REQUIRED",IF(COUNTIFS($A$2:$A$501,A423,$B$2:$B$501,B423,$D$2:$D$501,D423)&gt;1,"DUPLICATE INVOICE / PROJECT",IF(AND(G423="MXN",NOT(AND(ISNUMBER(I423),Settings!$B$8="APPROVED",Settings!$B$9&lt;&gt;"",Settings!$B$10&lt;&gt;""))),"FX HOLD","VALID")))))))))))))))</x:f>
      </x:c>
      <x:c r="M423" s="57" t="str">
        <x:f>IF(ISNUMBER(C423),IF(AND(ISNUMBER(C423),C423&gt;=2,C423&lt;=2958465,C423=INT(C423)),TEXT(C423,"yyyy-mm"),""),"")</x:f>
      </x:c>
      <x:c r="N423" s="59" t="str">
        <x:f>IF(L423="VALID",IF(G423="USD",H423,I423),"")</x:f>
      </x:c>
      <x:c r="O423" s="57" t="n">
        <x:f>IF(L423="VALID",IF(COUNTIFS($B$2:B423,B423,$M$2:M423,M423,$L$2:L423,"VALID")=1,1,0),0)</x:f>
        <x:v>0</x:v>
      </x:c>
    </x:row>
    <x:row r="424">
      <x:c r="A424" s="47"/>
      <x:c r="B424" s="47"/>
      <x:c r="C424" s="58"/>
      <x:c r="D424" s="47"/>
      <x:c r="E424" s="47"/>
      <x:c r="F424" s="47"/>
      <x:c r="G424" s="47"/>
      <x:c r="H424" s="48"/>
      <x:c r="I424" s="48"/>
      <x:c r="J424" s="47"/>
      <x:c r="K424" s="47"/>
      <x:c r="L424" s="57" t="str">
        <x:f>IF(COUNTA(A424:K424)=0,"",IF(K424="CANCELLED","CANCELLED",IF(A424="","INVOICE ID REQUIRED",IF(B424="","PROJECT ID REQUIRED",IF(NOT(ISNUMBER(C424)),"INVALID INVOICE DATE",IF(NOT(AND(ISNUMBER(C424),C424&gt;=2,C424&lt;=2958465,C424=INT(C424))),"INVALID INVOICE DATE",IF(NOT(OR(D424="MX",D424="US")),"ENTITY REQUIRED",IF(NOT(OR(E424="Strategic Services",E424="Brands")),"UNIT REQUIRED",IF(F424="","BRAND / N/A REQUIRED",IF(NOT(OR(G424="USD",G424="MXN")),"CURRENCY REQUIRED",IF(NOT(ISNUMBER(H424)),"AMOUNT REQUIRED",IF(J424="","ERP SOURCE REQUIRED",IF(NOT(OR(K424="ISSUED",K424="CANCELLED")),"INVOICE STATUS REQUIRED",IF(COUNTIFS($A$2:$A$501,A424,$B$2:$B$501,B424,$D$2:$D$501,D424)&gt;1,"DUPLICATE INVOICE / PROJECT",IF(AND(G424="MXN",NOT(AND(ISNUMBER(I424),Settings!$B$8="APPROVED",Settings!$B$9&lt;&gt;"",Settings!$B$10&lt;&gt;""))),"FX HOLD","VALID")))))))))))))))</x:f>
      </x:c>
      <x:c r="M424" s="57" t="str">
        <x:f>IF(ISNUMBER(C424),IF(AND(ISNUMBER(C424),C424&gt;=2,C424&lt;=2958465,C424=INT(C424)),TEXT(C424,"yyyy-mm"),""),"")</x:f>
      </x:c>
      <x:c r="N424" s="59" t="str">
        <x:f>IF(L424="VALID",IF(G424="USD",H424,I424),"")</x:f>
      </x:c>
      <x:c r="O424" s="57" t="n">
        <x:f>IF(L424="VALID",IF(COUNTIFS($B$2:B424,B424,$M$2:M424,M424,$L$2:L424,"VALID")=1,1,0),0)</x:f>
        <x:v>0</x:v>
      </x:c>
    </x:row>
    <x:row r="425">
      <x:c r="A425" s="47"/>
      <x:c r="B425" s="47"/>
      <x:c r="C425" s="58"/>
      <x:c r="D425" s="47"/>
      <x:c r="E425" s="47"/>
      <x:c r="F425" s="47"/>
      <x:c r="G425" s="47"/>
      <x:c r="H425" s="48"/>
      <x:c r="I425" s="48"/>
      <x:c r="J425" s="47"/>
      <x:c r="K425" s="47"/>
      <x:c r="L425" s="57" t="str">
        <x:f>IF(COUNTA(A425:K425)=0,"",IF(K425="CANCELLED","CANCELLED",IF(A425="","INVOICE ID REQUIRED",IF(B425="","PROJECT ID REQUIRED",IF(NOT(ISNUMBER(C425)),"INVALID INVOICE DATE",IF(NOT(AND(ISNUMBER(C425),C425&gt;=2,C425&lt;=2958465,C425=INT(C425))),"INVALID INVOICE DATE",IF(NOT(OR(D425="MX",D425="US")),"ENTITY REQUIRED",IF(NOT(OR(E425="Strategic Services",E425="Brands")),"UNIT REQUIRED",IF(F425="","BRAND / N/A REQUIRED",IF(NOT(OR(G425="USD",G425="MXN")),"CURRENCY REQUIRED",IF(NOT(ISNUMBER(H425)),"AMOUNT REQUIRED",IF(J425="","ERP SOURCE REQUIRED",IF(NOT(OR(K425="ISSUED",K425="CANCELLED")),"INVOICE STATUS REQUIRED",IF(COUNTIFS($A$2:$A$501,A425,$B$2:$B$501,B425,$D$2:$D$501,D425)&gt;1,"DUPLICATE INVOICE / PROJECT",IF(AND(G425="MXN",NOT(AND(ISNUMBER(I425),Settings!$B$8="APPROVED",Settings!$B$9&lt;&gt;"",Settings!$B$10&lt;&gt;""))),"FX HOLD","VALID")))))))))))))))</x:f>
      </x:c>
      <x:c r="M425" s="57" t="str">
        <x:f>IF(ISNUMBER(C425),IF(AND(ISNUMBER(C425),C425&gt;=2,C425&lt;=2958465,C425=INT(C425)),TEXT(C425,"yyyy-mm"),""),"")</x:f>
      </x:c>
      <x:c r="N425" s="59" t="str">
        <x:f>IF(L425="VALID",IF(G425="USD",H425,I425),"")</x:f>
      </x:c>
      <x:c r="O425" s="57" t="n">
        <x:f>IF(L425="VALID",IF(COUNTIFS($B$2:B425,B425,$M$2:M425,M425,$L$2:L425,"VALID")=1,1,0),0)</x:f>
        <x:v>0</x:v>
      </x:c>
    </x:row>
    <x:row r="426">
      <x:c r="A426" s="47"/>
      <x:c r="B426" s="47"/>
      <x:c r="C426" s="58"/>
      <x:c r="D426" s="47"/>
      <x:c r="E426" s="47"/>
      <x:c r="F426" s="47"/>
      <x:c r="G426" s="47"/>
      <x:c r="H426" s="48"/>
      <x:c r="I426" s="48"/>
      <x:c r="J426" s="47"/>
      <x:c r="K426" s="47"/>
      <x:c r="L426" s="57" t="str">
        <x:f>IF(COUNTA(A426:K426)=0,"",IF(K426="CANCELLED","CANCELLED",IF(A426="","INVOICE ID REQUIRED",IF(B426="","PROJECT ID REQUIRED",IF(NOT(ISNUMBER(C426)),"INVALID INVOICE DATE",IF(NOT(AND(ISNUMBER(C426),C426&gt;=2,C426&lt;=2958465,C426=INT(C426))),"INVALID INVOICE DATE",IF(NOT(OR(D426="MX",D426="US")),"ENTITY REQUIRED",IF(NOT(OR(E426="Strategic Services",E426="Brands")),"UNIT REQUIRED",IF(F426="","BRAND / N/A REQUIRED",IF(NOT(OR(G426="USD",G426="MXN")),"CURRENCY REQUIRED",IF(NOT(ISNUMBER(H426)),"AMOUNT REQUIRED",IF(J426="","ERP SOURCE REQUIRED",IF(NOT(OR(K426="ISSUED",K426="CANCELLED")),"INVOICE STATUS REQUIRED",IF(COUNTIFS($A$2:$A$501,A426,$B$2:$B$501,B426,$D$2:$D$501,D426)&gt;1,"DUPLICATE INVOICE / PROJECT",IF(AND(G426="MXN",NOT(AND(ISNUMBER(I426),Settings!$B$8="APPROVED",Settings!$B$9&lt;&gt;"",Settings!$B$10&lt;&gt;""))),"FX HOLD","VALID")))))))))))))))</x:f>
      </x:c>
      <x:c r="M426" s="57" t="str">
        <x:f>IF(ISNUMBER(C426),IF(AND(ISNUMBER(C426),C426&gt;=2,C426&lt;=2958465,C426=INT(C426)),TEXT(C426,"yyyy-mm"),""),"")</x:f>
      </x:c>
      <x:c r="N426" s="59" t="str">
        <x:f>IF(L426="VALID",IF(G426="USD",H426,I426),"")</x:f>
      </x:c>
      <x:c r="O426" s="57" t="n">
        <x:f>IF(L426="VALID",IF(COUNTIFS($B$2:B426,B426,$M$2:M426,M426,$L$2:L426,"VALID")=1,1,0),0)</x:f>
        <x:v>0</x:v>
      </x:c>
    </x:row>
    <x:row r="427">
      <x:c r="A427" s="47"/>
      <x:c r="B427" s="47"/>
      <x:c r="C427" s="58"/>
      <x:c r="D427" s="47"/>
      <x:c r="E427" s="47"/>
      <x:c r="F427" s="47"/>
      <x:c r="G427" s="47"/>
      <x:c r="H427" s="48"/>
      <x:c r="I427" s="48"/>
      <x:c r="J427" s="47"/>
      <x:c r="K427" s="47"/>
      <x:c r="L427" s="57" t="str">
        <x:f>IF(COUNTA(A427:K427)=0,"",IF(K427="CANCELLED","CANCELLED",IF(A427="","INVOICE ID REQUIRED",IF(B427="","PROJECT ID REQUIRED",IF(NOT(ISNUMBER(C427)),"INVALID INVOICE DATE",IF(NOT(AND(ISNUMBER(C427),C427&gt;=2,C427&lt;=2958465,C427=INT(C427))),"INVALID INVOICE DATE",IF(NOT(OR(D427="MX",D427="US")),"ENTITY REQUIRED",IF(NOT(OR(E427="Strategic Services",E427="Brands")),"UNIT REQUIRED",IF(F427="","BRAND / N/A REQUIRED",IF(NOT(OR(G427="USD",G427="MXN")),"CURRENCY REQUIRED",IF(NOT(ISNUMBER(H427)),"AMOUNT REQUIRED",IF(J427="","ERP SOURCE REQUIRED",IF(NOT(OR(K427="ISSUED",K427="CANCELLED")),"INVOICE STATUS REQUIRED",IF(COUNTIFS($A$2:$A$501,A427,$B$2:$B$501,B427,$D$2:$D$501,D427)&gt;1,"DUPLICATE INVOICE / PROJECT",IF(AND(G427="MXN",NOT(AND(ISNUMBER(I427),Settings!$B$8="APPROVED",Settings!$B$9&lt;&gt;"",Settings!$B$10&lt;&gt;""))),"FX HOLD","VALID")))))))))))))))</x:f>
      </x:c>
      <x:c r="M427" s="57" t="str">
        <x:f>IF(ISNUMBER(C427),IF(AND(ISNUMBER(C427),C427&gt;=2,C427&lt;=2958465,C427=INT(C427)),TEXT(C427,"yyyy-mm"),""),"")</x:f>
      </x:c>
      <x:c r="N427" s="59" t="str">
        <x:f>IF(L427="VALID",IF(G427="USD",H427,I427),"")</x:f>
      </x:c>
      <x:c r="O427" s="57" t="n">
        <x:f>IF(L427="VALID",IF(COUNTIFS($B$2:B427,B427,$M$2:M427,M427,$L$2:L427,"VALID")=1,1,0),0)</x:f>
        <x:v>0</x:v>
      </x:c>
    </x:row>
    <x:row r="428">
      <x:c r="A428" s="47"/>
      <x:c r="B428" s="47"/>
      <x:c r="C428" s="58"/>
      <x:c r="D428" s="47"/>
      <x:c r="E428" s="47"/>
      <x:c r="F428" s="47"/>
      <x:c r="G428" s="47"/>
      <x:c r="H428" s="48"/>
      <x:c r="I428" s="48"/>
      <x:c r="J428" s="47"/>
      <x:c r="K428" s="47"/>
      <x:c r="L428" s="57" t="str">
        <x:f>IF(COUNTA(A428:K428)=0,"",IF(K428="CANCELLED","CANCELLED",IF(A428="","INVOICE ID REQUIRED",IF(B428="","PROJECT ID REQUIRED",IF(NOT(ISNUMBER(C428)),"INVALID INVOICE DATE",IF(NOT(AND(ISNUMBER(C428),C428&gt;=2,C428&lt;=2958465,C428=INT(C428))),"INVALID INVOICE DATE",IF(NOT(OR(D428="MX",D428="US")),"ENTITY REQUIRED",IF(NOT(OR(E428="Strategic Services",E428="Brands")),"UNIT REQUIRED",IF(F428="","BRAND / N/A REQUIRED",IF(NOT(OR(G428="USD",G428="MXN")),"CURRENCY REQUIRED",IF(NOT(ISNUMBER(H428)),"AMOUNT REQUIRED",IF(J428="","ERP SOURCE REQUIRED",IF(NOT(OR(K428="ISSUED",K428="CANCELLED")),"INVOICE STATUS REQUIRED",IF(COUNTIFS($A$2:$A$501,A428,$B$2:$B$501,B428,$D$2:$D$501,D428)&gt;1,"DUPLICATE INVOICE / PROJECT",IF(AND(G428="MXN",NOT(AND(ISNUMBER(I428),Settings!$B$8="APPROVED",Settings!$B$9&lt;&gt;"",Settings!$B$10&lt;&gt;""))),"FX HOLD","VALID")))))))))))))))</x:f>
      </x:c>
      <x:c r="M428" s="57" t="str">
        <x:f>IF(ISNUMBER(C428),IF(AND(ISNUMBER(C428),C428&gt;=2,C428&lt;=2958465,C428=INT(C428)),TEXT(C428,"yyyy-mm"),""),"")</x:f>
      </x:c>
      <x:c r="N428" s="59" t="str">
        <x:f>IF(L428="VALID",IF(G428="USD",H428,I428),"")</x:f>
      </x:c>
      <x:c r="O428" s="57" t="n">
        <x:f>IF(L428="VALID",IF(COUNTIFS($B$2:B428,B428,$M$2:M428,M428,$L$2:L428,"VALID")=1,1,0),0)</x:f>
        <x:v>0</x:v>
      </x:c>
    </x:row>
    <x:row r="429">
      <x:c r="A429" s="47"/>
      <x:c r="B429" s="47"/>
      <x:c r="C429" s="58"/>
      <x:c r="D429" s="47"/>
      <x:c r="E429" s="47"/>
      <x:c r="F429" s="47"/>
      <x:c r="G429" s="47"/>
      <x:c r="H429" s="48"/>
      <x:c r="I429" s="48"/>
      <x:c r="J429" s="47"/>
      <x:c r="K429" s="47"/>
      <x:c r="L429" s="57" t="str">
        <x:f>IF(COUNTA(A429:K429)=0,"",IF(K429="CANCELLED","CANCELLED",IF(A429="","INVOICE ID REQUIRED",IF(B429="","PROJECT ID REQUIRED",IF(NOT(ISNUMBER(C429)),"INVALID INVOICE DATE",IF(NOT(AND(ISNUMBER(C429),C429&gt;=2,C429&lt;=2958465,C429=INT(C429))),"INVALID INVOICE DATE",IF(NOT(OR(D429="MX",D429="US")),"ENTITY REQUIRED",IF(NOT(OR(E429="Strategic Services",E429="Brands")),"UNIT REQUIRED",IF(F429="","BRAND / N/A REQUIRED",IF(NOT(OR(G429="USD",G429="MXN")),"CURRENCY REQUIRED",IF(NOT(ISNUMBER(H429)),"AMOUNT REQUIRED",IF(J429="","ERP SOURCE REQUIRED",IF(NOT(OR(K429="ISSUED",K429="CANCELLED")),"INVOICE STATUS REQUIRED",IF(COUNTIFS($A$2:$A$501,A429,$B$2:$B$501,B429,$D$2:$D$501,D429)&gt;1,"DUPLICATE INVOICE / PROJECT",IF(AND(G429="MXN",NOT(AND(ISNUMBER(I429),Settings!$B$8="APPROVED",Settings!$B$9&lt;&gt;"",Settings!$B$10&lt;&gt;""))),"FX HOLD","VALID")))))))))))))))</x:f>
      </x:c>
      <x:c r="M429" s="57" t="str">
        <x:f>IF(ISNUMBER(C429),IF(AND(ISNUMBER(C429),C429&gt;=2,C429&lt;=2958465,C429=INT(C429)),TEXT(C429,"yyyy-mm"),""),"")</x:f>
      </x:c>
      <x:c r="N429" s="59" t="str">
        <x:f>IF(L429="VALID",IF(G429="USD",H429,I429),"")</x:f>
      </x:c>
      <x:c r="O429" s="57" t="n">
        <x:f>IF(L429="VALID",IF(COUNTIFS($B$2:B429,B429,$M$2:M429,M429,$L$2:L429,"VALID")=1,1,0),0)</x:f>
        <x:v>0</x:v>
      </x:c>
    </x:row>
    <x:row r="430">
      <x:c r="A430" s="47"/>
      <x:c r="B430" s="47"/>
      <x:c r="C430" s="58"/>
      <x:c r="D430" s="47"/>
      <x:c r="E430" s="47"/>
      <x:c r="F430" s="47"/>
      <x:c r="G430" s="47"/>
      <x:c r="H430" s="48"/>
      <x:c r="I430" s="48"/>
      <x:c r="J430" s="47"/>
      <x:c r="K430" s="47"/>
      <x:c r="L430" s="57" t="str">
        <x:f>IF(COUNTA(A430:K430)=0,"",IF(K430="CANCELLED","CANCELLED",IF(A430="","INVOICE ID REQUIRED",IF(B430="","PROJECT ID REQUIRED",IF(NOT(ISNUMBER(C430)),"INVALID INVOICE DATE",IF(NOT(AND(ISNUMBER(C430),C430&gt;=2,C430&lt;=2958465,C430=INT(C430))),"INVALID INVOICE DATE",IF(NOT(OR(D430="MX",D430="US")),"ENTITY REQUIRED",IF(NOT(OR(E430="Strategic Services",E430="Brands")),"UNIT REQUIRED",IF(F430="","BRAND / N/A REQUIRED",IF(NOT(OR(G430="USD",G430="MXN")),"CURRENCY REQUIRED",IF(NOT(ISNUMBER(H430)),"AMOUNT REQUIRED",IF(J430="","ERP SOURCE REQUIRED",IF(NOT(OR(K430="ISSUED",K430="CANCELLED")),"INVOICE STATUS REQUIRED",IF(COUNTIFS($A$2:$A$501,A430,$B$2:$B$501,B430,$D$2:$D$501,D430)&gt;1,"DUPLICATE INVOICE / PROJECT",IF(AND(G430="MXN",NOT(AND(ISNUMBER(I430),Settings!$B$8="APPROVED",Settings!$B$9&lt;&gt;"",Settings!$B$10&lt;&gt;""))),"FX HOLD","VALID")))))))))))))))</x:f>
      </x:c>
      <x:c r="M430" s="57" t="str">
        <x:f>IF(ISNUMBER(C430),IF(AND(ISNUMBER(C430),C430&gt;=2,C430&lt;=2958465,C430=INT(C430)),TEXT(C430,"yyyy-mm"),""),"")</x:f>
      </x:c>
      <x:c r="N430" s="59" t="str">
        <x:f>IF(L430="VALID",IF(G430="USD",H430,I430),"")</x:f>
      </x:c>
      <x:c r="O430" s="57" t="n">
        <x:f>IF(L430="VALID",IF(COUNTIFS($B$2:B430,B430,$M$2:M430,M430,$L$2:L430,"VALID")=1,1,0),0)</x:f>
        <x:v>0</x:v>
      </x:c>
    </x:row>
    <x:row r="431">
      <x:c r="A431" s="47"/>
      <x:c r="B431" s="47"/>
      <x:c r="C431" s="58"/>
      <x:c r="D431" s="47"/>
      <x:c r="E431" s="47"/>
      <x:c r="F431" s="47"/>
      <x:c r="G431" s="47"/>
      <x:c r="H431" s="48"/>
      <x:c r="I431" s="48"/>
      <x:c r="J431" s="47"/>
      <x:c r="K431" s="47"/>
      <x:c r="L431" s="57" t="str">
        <x:f>IF(COUNTA(A431:K431)=0,"",IF(K431="CANCELLED","CANCELLED",IF(A431="","INVOICE ID REQUIRED",IF(B431="","PROJECT ID REQUIRED",IF(NOT(ISNUMBER(C431)),"INVALID INVOICE DATE",IF(NOT(AND(ISNUMBER(C431),C431&gt;=2,C431&lt;=2958465,C431=INT(C431))),"INVALID INVOICE DATE",IF(NOT(OR(D431="MX",D431="US")),"ENTITY REQUIRED",IF(NOT(OR(E431="Strategic Services",E431="Brands")),"UNIT REQUIRED",IF(F431="","BRAND / N/A REQUIRED",IF(NOT(OR(G431="USD",G431="MXN")),"CURRENCY REQUIRED",IF(NOT(ISNUMBER(H431)),"AMOUNT REQUIRED",IF(J431="","ERP SOURCE REQUIRED",IF(NOT(OR(K431="ISSUED",K431="CANCELLED")),"INVOICE STATUS REQUIRED",IF(COUNTIFS($A$2:$A$501,A431,$B$2:$B$501,B431,$D$2:$D$501,D431)&gt;1,"DUPLICATE INVOICE / PROJECT",IF(AND(G431="MXN",NOT(AND(ISNUMBER(I431),Settings!$B$8="APPROVED",Settings!$B$9&lt;&gt;"",Settings!$B$10&lt;&gt;""))),"FX HOLD","VALID")))))))))))))))</x:f>
      </x:c>
      <x:c r="M431" s="57" t="str">
        <x:f>IF(ISNUMBER(C431),IF(AND(ISNUMBER(C431),C431&gt;=2,C431&lt;=2958465,C431=INT(C431)),TEXT(C431,"yyyy-mm"),""),"")</x:f>
      </x:c>
      <x:c r="N431" s="59" t="str">
        <x:f>IF(L431="VALID",IF(G431="USD",H431,I431),"")</x:f>
      </x:c>
      <x:c r="O431" s="57" t="n">
        <x:f>IF(L431="VALID",IF(COUNTIFS($B$2:B431,B431,$M$2:M431,M431,$L$2:L431,"VALID")=1,1,0),0)</x:f>
        <x:v>0</x:v>
      </x:c>
    </x:row>
    <x:row r="432">
      <x:c r="A432" s="47"/>
      <x:c r="B432" s="47"/>
      <x:c r="C432" s="58"/>
      <x:c r="D432" s="47"/>
      <x:c r="E432" s="47"/>
      <x:c r="F432" s="47"/>
      <x:c r="G432" s="47"/>
      <x:c r="H432" s="48"/>
      <x:c r="I432" s="48"/>
      <x:c r="J432" s="47"/>
      <x:c r="K432" s="47"/>
      <x:c r="L432" s="57" t="str">
        <x:f>IF(COUNTA(A432:K432)=0,"",IF(K432="CANCELLED","CANCELLED",IF(A432="","INVOICE ID REQUIRED",IF(B432="","PROJECT ID REQUIRED",IF(NOT(ISNUMBER(C432)),"INVALID INVOICE DATE",IF(NOT(AND(ISNUMBER(C432),C432&gt;=2,C432&lt;=2958465,C432=INT(C432))),"INVALID INVOICE DATE",IF(NOT(OR(D432="MX",D432="US")),"ENTITY REQUIRED",IF(NOT(OR(E432="Strategic Services",E432="Brands")),"UNIT REQUIRED",IF(F432="","BRAND / N/A REQUIRED",IF(NOT(OR(G432="USD",G432="MXN")),"CURRENCY REQUIRED",IF(NOT(ISNUMBER(H432)),"AMOUNT REQUIRED",IF(J432="","ERP SOURCE REQUIRED",IF(NOT(OR(K432="ISSUED",K432="CANCELLED")),"INVOICE STATUS REQUIRED",IF(COUNTIFS($A$2:$A$501,A432,$B$2:$B$501,B432,$D$2:$D$501,D432)&gt;1,"DUPLICATE INVOICE / PROJECT",IF(AND(G432="MXN",NOT(AND(ISNUMBER(I432),Settings!$B$8="APPROVED",Settings!$B$9&lt;&gt;"",Settings!$B$10&lt;&gt;""))),"FX HOLD","VALID")))))))))))))))</x:f>
      </x:c>
      <x:c r="M432" s="57" t="str">
        <x:f>IF(ISNUMBER(C432),IF(AND(ISNUMBER(C432),C432&gt;=2,C432&lt;=2958465,C432=INT(C432)),TEXT(C432,"yyyy-mm"),""),"")</x:f>
      </x:c>
      <x:c r="N432" s="59" t="str">
        <x:f>IF(L432="VALID",IF(G432="USD",H432,I432),"")</x:f>
      </x:c>
      <x:c r="O432" s="57" t="n">
        <x:f>IF(L432="VALID",IF(COUNTIFS($B$2:B432,B432,$M$2:M432,M432,$L$2:L432,"VALID")=1,1,0),0)</x:f>
        <x:v>0</x:v>
      </x:c>
    </x:row>
    <x:row r="433">
      <x:c r="A433" s="47"/>
      <x:c r="B433" s="47"/>
      <x:c r="C433" s="58"/>
      <x:c r="D433" s="47"/>
      <x:c r="E433" s="47"/>
      <x:c r="F433" s="47"/>
      <x:c r="G433" s="47"/>
      <x:c r="H433" s="48"/>
      <x:c r="I433" s="48"/>
      <x:c r="J433" s="47"/>
      <x:c r="K433" s="47"/>
      <x:c r="L433" s="57" t="str">
        <x:f>IF(COUNTA(A433:K433)=0,"",IF(K433="CANCELLED","CANCELLED",IF(A433="","INVOICE ID REQUIRED",IF(B433="","PROJECT ID REQUIRED",IF(NOT(ISNUMBER(C433)),"INVALID INVOICE DATE",IF(NOT(AND(ISNUMBER(C433),C433&gt;=2,C433&lt;=2958465,C433=INT(C433))),"INVALID INVOICE DATE",IF(NOT(OR(D433="MX",D433="US")),"ENTITY REQUIRED",IF(NOT(OR(E433="Strategic Services",E433="Brands")),"UNIT REQUIRED",IF(F433="","BRAND / N/A REQUIRED",IF(NOT(OR(G433="USD",G433="MXN")),"CURRENCY REQUIRED",IF(NOT(ISNUMBER(H433)),"AMOUNT REQUIRED",IF(J433="","ERP SOURCE REQUIRED",IF(NOT(OR(K433="ISSUED",K433="CANCELLED")),"INVOICE STATUS REQUIRED",IF(COUNTIFS($A$2:$A$501,A433,$B$2:$B$501,B433,$D$2:$D$501,D433)&gt;1,"DUPLICATE INVOICE / PROJECT",IF(AND(G433="MXN",NOT(AND(ISNUMBER(I433),Settings!$B$8="APPROVED",Settings!$B$9&lt;&gt;"",Settings!$B$10&lt;&gt;""))),"FX HOLD","VALID")))))))))))))))</x:f>
      </x:c>
      <x:c r="M433" s="57" t="str">
        <x:f>IF(ISNUMBER(C433),IF(AND(ISNUMBER(C433),C433&gt;=2,C433&lt;=2958465,C433=INT(C433)),TEXT(C433,"yyyy-mm"),""),"")</x:f>
      </x:c>
      <x:c r="N433" s="59" t="str">
        <x:f>IF(L433="VALID",IF(G433="USD",H433,I433),"")</x:f>
      </x:c>
      <x:c r="O433" s="57" t="n">
        <x:f>IF(L433="VALID",IF(COUNTIFS($B$2:B433,B433,$M$2:M433,M433,$L$2:L433,"VALID")=1,1,0),0)</x:f>
        <x:v>0</x:v>
      </x:c>
    </x:row>
    <x:row r="434">
      <x:c r="A434" s="47"/>
      <x:c r="B434" s="47"/>
      <x:c r="C434" s="58"/>
      <x:c r="D434" s="47"/>
      <x:c r="E434" s="47"/>
      <x:c r="F434" s="47"/>
      <x:c r="G434" s="47"/>
      <x:c r="H434" s="48"/>
      <x:c r="I434" s="48"/>
      <x:c r="J434" s="47"/>
      <x:c r="K434" s="47"/>
      <x:c r="L434" s="57" t="str">
        <x:f>IF(COUNTA(A434:K434)=0,"",IF(K434="CANCELLED","CANCELLED",IF(A434="","INVOICE ID REQUIRED",IF(B434="","PROJECT ID REQUIRED",IF(NOT(ISNUMBER(C434)),"INVALID INVOICE DATE",IF(NOT(AND(ISNUMBER(C434),C434&gt;=2,C434&lt;=2958465,C434=INT(C434))),"INVALID INVOICE DATE",IF(NOT(OR(D434="MX",D434="US")),"ENTITY REQUIRED",IF(NOT(OR(E434="Strategic Services",E434="Brands")),"UNIT REQUIRED",IF(F434="","BRAND / N/A REQUIRED",IF(NOT(OR(G434="USD",G434="MXN")),"CURRENCY REQUIRED",IF(NOT(ISNUMBER(H434)),"AMOUNT REQUIRED",IF(J434="","ERP SOURCE REQUIRED",IF(NOT(OR(K434="ISSUED",K434="CANCELLED")),"INVOICE STATUS REQUIRED",IF(COUNTIFS($A$2:$A$501,A434,$B$2:$B$501,B434,$D$2:$D$501,D434)&gt;1,"DUPLICATE INVOICE / PROJECT",IF(AND(G434="MXN",NOT(AND(ISNUMBER(I434),Settings!$B$8="APPROVED",Settings!$B$9&lt;&gt;"",Settings!$B$10&lt;&gt;""))),"FX HOLD","VALID")))))))))))))))</x:f>
      </x:c>
      <x:c r="M434" s="57" t="str">
        <x:f>IF(ISNUMBER(C434),IF(AND(ISNUMBER(C434),C434&gt;=2,C434&lt;=2958465,C434=INT(C434)),TEXT(C434,"yyyy-mm"),""),"")</x:f>
      </x:c>
      <x:c r="N434" s="59" t="str">
        <x:f>IF(L434="VALID",IF(G434="USD",H434,I434),"")</x:f>
      </x:c>
      <x:c r="O434" s="57" t="n">
        <x:f>IF(L434="VALID",IF(COUNTIFS($B$2:B434,B434,$M$2:M434,M434,$L$2:L434,"VALID")=1,1,0),0)</x:f>
        <x:v>0</x:v>
      </x:c>
    </x:row>
    <x:row r="435">
      <x:c r="A435" s="47"/>
      <x:c r="B435" s="47"/>
      <x:c r="C435" s="58"/>
      <x:c r="D435" s="47"/>
      <x:c r="E435" s="47"/>
      <x:c r="F435" s="47"/>
      <x:c r="G435" s="47"/>
      <x:c r="H435" s="48"/>
      <x:c r="I435" s="48"/>
      <x:c r="J435" s="47"/>
      <x:c r="K435" s="47"/>
      <x:c r="L435" s="57" t="str">
        <x:f>IF(COUNTA(A435:K435)=0,"",IF(K435="CANCELLED","CANCELLED",IF(A435="","INVOICE ID REQUIRED",IF(B435="","PROJECT ID REQUIRED",IF(NOT(ISNUMBER(C435)),"INVALID INVOICE DATE",IF(NOT(AND(ISNUMBER(C435),C435&gt;=2,C435&lt;=2958465,C435=INT(C435))),"INVALID INVOICE DATE",IF(NOT(OR(D435="MX",D435="US")),"ENTITY REQUIRED",IF(NOT(OR(E435="Strategic Services",E435="Brands")),"UNIT REQUIRED",IF(F435="","BRAND / N/A REQUIRED",IF(NOT(OR(G435="USD",G435="MXN")),"CURRENCY REQUIRED",IF(NOT(ISNUMBER(H435)),"AMOUNT REQUIRED",IF(J435="","ERP SOURCE REQUIRED",IF(NOT(OR(K435="ISSUED",K435="CANCELLED")),"INVOICE STATUS REQUIRED",IF(COUNTIFS($A$2:$A$501,A435,$B$2:$B$501,B435,$D$2:$D$501,D435)&gt;1,"DUPLICATE INVOICE / PROJECT",IF(AND(G435="MXN",NOT(AND(ISNUMBER(I435),Settings!$B$8="APPROVED",Settings!$B$9&lt;&gt;"",Settings!$B$10&lt;&gt;""))),"FX HOLD","VALID")))))))))))))))</x:f>
      </x:c>
      <x:c r="M435" s="57" t="str">
        <x:f>IF(ISNUMBER(C435),IF(AND(ISNUMBER(C435),C435&gt;=2,C435&lt;=2958465,C435=INT(C435)),TEXT(C435,"yyyy-mm"),""),"")</x:f>
      </x:c>
      <x:c r="N435" s="59" t="str">
        <x:f>IF(L435="VALID",IF(G435="USD",H435,I435),"")</x:f>
      </x:c>
      <x:c r="O435" s="57" t="n">
        <x:f>IF(L435="VALID",IF(COUNTIFS($B$2:B435,B435,$M$2:M435,M435,$L$2:L435,"VALID")=1,1,0),0)</x:f>
        <x:v>0</x:v>
      </x:c>
    </x:row>
    <x:row r="436">
      <x:c r="A436" s="47"/>
      <x:c r="B436" s="47"/>
      <x:c r="C436" s="58"/>
      <x:c r="D436" s="47"/>
      <x:c r="E436" s="47"/>
      <x:c r="F436" s="47"/>
      <x:c r="G436" s="47"/>
      <x:c r="H436" s="48"/>
      <x:c r="I436" s="48"/>
      <x:c r="J436" s="47"/>
      <x:c r="K436" s="47"/>
      <x:c r="L436" s="57" t="str">
        <x:f>IF(COUNTA(A436:K436)=0,"",IF(K436="CANCELLED","CANCELLED",IF(A436="","INVOICE ID REQUIRED",IF(B436="","PROJECT ID REQUIRED",IF(NOT(ISNUMBER(C436)),"INVALID INVOICE DATE",IF(NOT(AND(ISNUMBER(C436),C436&gt;=2,C436&lt;=2958465,C436=INT(C436))),"INVALID INVOICE DATE",IF(NOT(OR(D436="MX",D436="US")),"ENTITY REQUIRED",IF(NOT(OR(E436="Strategic Services",E436="Brands")),"UNIT REQUIRED",IF(F436="","BRAND / N/A REQUIRED",IF(NOT(OR(G436="USD",G436="MXN")),"CURRENCY REQUIRED",IF(NOT(ISNUMBER(H436)),"AMOUNT REQUIRED",IF(J436="","ERP SOURCE REQUIRED",IF(NOT(OR(K436="ISSUED",K436="CANCELLED")),"INVOICE STATUS REQUIRED",IF(COUNTIFS($A$2:$A$501,A436,$B$2:$B$501,B436,$D$2:$D$501,D436)&gt;1,"DUPLICATE INVOICE / PROJECT",IF(AND(G436="MXN",NOT(AND(ISNUMBER(I436),Settings!$B$8="APPROVED",Settings!$B$9&lt;&gt;"",Settings!$B$10&lt;&gt;""))),"FX HOLD","VALID")))))))))))))))</x:f>
      </x:c>
      <x:c r="M436" s="57" t="str">
        <x:f>IF(ISNUMBER(C436),IF(AND(ISNUMBER(C436),C436&gt;=2,C436&lt;=2958465,C436=INT(C436)),TEXT(C436,"yyyy-mm"),""),"")</x:f>
      </x:c>
      <x:c r="N436" s="59" t="str">
        <x:f>IF(L436="VALID",IF(G436="USD",H436,I436),"")</x:f>
      </x:c>
      <x:c r="O436" s="57" t="n">
        <x:f>IF(L436="VALID",IF(COUNTIFS($B$2:B436,B436,$M$2:M436,M436,$L$2:L436,"VALID")=1,1,0),0)</x:f>
        <x:v>0</x:v>
      </x:c>
    </x:row>
    <x:row r="437">
      <x:c r="A437" s="47"/>
      <x:c r="B437" s="47"/>
      <x:c r="C437" s="58"/>
      <x:c r="D437" s="47"/>
      <x:c r="E437" s="47"/>
      <x:c r="F437" s="47"/>
      <x:c r="G437" s="47"/>
      <x:c r="H437" s="48"/>
      <x:c r="I437" s="48"/>
      <x:c r="J437" s="47"/>
      <x:c r="K437" s="47"/>
      <x:c r="L437" s="57" t="str">
        <x:f>IF(COUNTA(A437:K437)=0,"",IF(K437="CANCELLED","CANCELLED",IF(A437="","INVOICE ID REQUIRED",IF(B437="","PROJECT ID REQUIRED",IF(NOT(ISNUMBER(C437)),"INVALID INVOICE DATE",IF(NOT(AND(ISNUMBER(C437),C437&gt;=2,C437&lt;=2958465,C437=INT(C437))),"INVALID INVOICE DATE",IF(NOT(OR(D437="MX",D437="US")),"ENTITY REQUIRED",IF(NOT(OR(E437="Strategic Services",E437="Brands")),"UNIT REQUIRED",IF(F437="","BRAND / N/A REQUIRED",IF(NOT(OR(G437="USD",G437="MXN")),"CURRENCY REQUIRED",IF(NOT(ISNUMBER(H437)),"AMOUNT REQUIRED",IF(J437="","ERP SOURCE REQUIRED",IF(NOT(OR(K437="ISSUED",K437="CANCELLED")),"INVOICE STATUS REQUIRED",IF(COUNTIFS($A$2:$A$501,A437,$B$2:$B$501,B437,$D$2:$D$501,D437)&gt;1,"DUPLICATE INVOICE / PROJECT",IF(AND(G437="MXN",NOT(AND(ISNUMBER(I437),Settings!$B$8="APPROVED",Settings!$B$9&lt;&gt;"",Settings!$B$10&lt;&gt;""))),"FX HOLD","VALID")))))))))))))))</x:f>
      </x:c>
      <x:c r="M437" s="57" t="str">
        <x:f>IF(ISNUMBER(C437),IF(AND(ISNUMBER(C437),C437&gt;=2,C437&lt;=2958465,C437=INT(C437)),TEXT(C437,"yyyy-mm"),""),"")</x:f>
      </x:c>
      <x:c r="N437" s="59" t="str">
        <x:f>IF(L437="VALID",IF(G437="USD",H437,I437),"")</x:f>
      </x:c>
      <x:c r="O437" s="57" t="n">
        <x:f>IF(L437="VALID",IF(COUNTIFS($B$2:B437,B437,$M$2:M437,M437,$L$2:L437,"VALID")=1,1,0),0)</x:f>
        <x:v>0</x:v>
      </x:c>
    </x:row>
    <x:row r="438">
      <x:c r="A438" s="47"/>
      <x:c r="B438" s="47"/>
      <x:c r="C438" s="58"/>
      <x:c r="D438" s="47"/>
      <x:c r="E438" s="47"/>
      <x:c r="F438" s="47"/>
      <x:c r="G438" s="47"/>
      <x:c r="H438" s="48"/>
      <x:c r="I438" s="48"/>
      <x:c r="J438" s="47"/>
      <x:c r="K438" s="47"/>
      <x:c r="L438" s="57" t="str">
        <x:f>IF(COUNTA(A438:K438)=0,"",IF(K438="CANCELLED","CANCELLED",IF(A438="","INVOICE ID REQUIRED",IF(B438="","PROJECT ID REQUIRED",IF(NOT(ISNUMBER(C438)),"INVALID INVOICE DATE",IF(NOT(AND(ISNUMBER(C438),C438&gt;=2,C438&lt;=2958465,C438=INT(C438))),"INVALID INVOICE DATE",IF(NOT(OR(D438="MX",D438="US")),"ENTITY REQUIRED",IF(NOT(OR(E438="Strategic Services",E438="Brands")),"UNIT REQUIRED",IF(F438="","BRAND / N/A REQUIRED",IF(NOT(OR(G438="USD",G438="MXN")),"CURRENCY REQUIRED",IF(NOT(ISNUMBER(H438)),"AMOUNT REQUIRED",IF(J438="","ERP SOURCE REQUIRED",IF(NOT(OR(K438="ISSUED",K438="CANCELLED")),"INVOICE STATUS REQUIRED",IF(COUNTIFS($A$2:$A$501,A438,$B$2:$B$501,B438,$D$2:$D$501,D438)&gt;1,"DUPLICATE INVOICE / PROJECT",IF(AND(G438="MXN",NOT(AND(ISNUMBER(I438),Settings!$B$8="APPROVED",Settings!$B$9&lt;&gt;"",Settings!$B$10&lt;&gt;""))),"FX HOLD","VALID")))))))))))))))</x:f>
      </x:c>
      <x:c r="M438" s="57" t="str">
        <x:f>IF(ISNUMBER(C438),IF(AND(ISNUMBER(C438),C438&gt;=2,C438&lt;=2958465,C438=INT(C438)),TEXT(C438,"yyyy-mm"),""),"")</x:f>
      </x:c>
      <x:c r="N438" s="59" t="str">
        <x:f>IF(L438="VALID",IF(G438="USD",H438,I438),"")</x:f>
      </x:c>
      <x:c r="O438" s="57" t="n">
        <x:f>IF(L438="VALID",IF(COUNTIFS($B$2:B438,B438,$M$2:M438,M438,$L$2:L438,"VALID")=1,1,0),0)</x:f>
        <x:v>0</x:v>
      </x:c>
    </x:row>
    <x:row r="439">
      <x:c r="A439" s="47"/>
      <x:c r="B439" s="47"/>
      <x:c r="C439" s="58"/>
      <x:c r="D439" s="47"/>
      <x:c r="E439" s="47"/>
      <x:c r="F439" s="47"/>
      <x:c r="G439" s="47"/>
      <x:c r="H439" s="48"/>
      <x:c r="I439" s="48"/>
      <x:c r="J439" s="47"/>
      <x:c r="K439" s="47"/>
      <x:c r="L439" s="57" t="str">
        <x:f>IF(COUNTA(A439:K439)=0,"",IF(K439="CANCELLED","CANCELLED",IF(A439="","INVOICE ID REQUIRED",IF(B439="","PROJECT ID REQUIRED",IF(NOT(ISNUMBER(C439)),"INVALID INVOICE DATE",IF(NOT(AND(ISNUMBER(C439),C439&gt;=2,C439&lt;=2958465,C439=INT(C439))),"INVALID INVOICE DATE",IF(NOT(OR(D439="MX",D439="US")),"ENTITY REQUIRED",IF(NOT(OR(E439="Strategic Services",E439="Brands")),"UNIT REQUIRED",IF(F439="","BRAND / N/A REQUIRED",IF(NOT(OR(G439="USD",G439="MXN")),"CURRENCY REQUIRED",IF(NOT(ISNUMBER(H439)),"AMOUNT REQUIRED",IF(J439="","ERP SOURCE REQUIRED",IF(NOT(OR(K439="ISSUED",K439="CANCELLED")),"INVOICE STATUS REQUIRED",IF(COUNTIFS($A$2:$A$501,A439,$B$2:$B$501,B439,$D$2:$D$501,D439)&gt;1,"DUPLICATE INVOICE / PROJECT",IF(AND(G439="MXN",NOT(AND(ISNUMBER(I439),Settings!$B$8="APPROVED",Settings!$B$9&lt;&gt;"",Settings!$B$10&lt;&gt;""))),"FX HOLD","VALID")))))))))))))))</x:f>
      </x:c>
      <x:c r="M439" s="57" t="str">
        <x:f>IF(ISNUMBER(C439),IF(AND(ISNUMBER(C439),C439&gt;=2,C439&lt;=2958465,C439=INT(C439)),TEXT(C439,"yyyy-mm"),""),"")</x:f>
      </x:c>
      <x:c r="N439" s="59" t="str">
        <x:f>IF(L439="VALID",IF(G439="USD",H439,I439),"")</x:f>
      </x:c>
      <x:c r="O439" s="57" t="n">
        <x:f>IF(L439="VALID",IF(COUNTIFS($B$2:B439,B439,$M$2:M439,M439,$L$2:L439,"VALID")=1,1,0),0)</x:f>
        <x:v>0</x:v>
      </x:c>
    </x:row>
    <x:row r="440">
      <x:c r="A440" s="47"/>
      <x:c r="B440" s="47"/>
      <x:c r="C440" s="58"/>
      <x:c r="D440" s="47"/>
      <x:c r="E440" s="47"/>
      <x:c r="F440" s="47"/>
      <x:c r="G440" s="47"/>
      <x:c r="H440" s="48"/>
      <x:c r="I440" s="48"/>
      <x:c r="J440" s="47"/>
      <x:c r="K440" s="47"/>
      <x:c r="L440" s="57" t="str">
        <x:f>IF(COUNTA(A440:K440)=0,"",IF(K440="CANCELLED","CANCELLED",IF(A440="","INVOICE ID REQUIRED",IF(B440="","PROJECT ID REQUIRED",IF(NOT(ISNUMBER(C440)),"INVALID INVOICE DATE",IF(NOT(AND(ISNUMBER(C440),C440&gt;=2,C440&lt;=2958465,C440=INT(C440))),"INVALID INVOICE DATE",IF(NOT(OR(D440="MX",D440="US")),"ENTITY REQUIRED",IF(NOT(OR(E440="Strategic Services",E440="Brands")),"UNIT REQUIRED",IF(F440="","BRAND / N/A REQUIRED",IF(NOT(OR(G440="USD",G440="MXN")),"CURRENCY REQUIRED",IF(NOT(ISNUMBER(H440)),"AMOUNT REQUIRED",IF(J440="","ERP SOURCE REQUIRED",IF(NOT(OR(K440="ISSUED",K440="CANCELLED")),"INVOICE STATUS REQUIRED",IF(COUNTIFS($A$2:$A$501,A440,$B$2:$B$501,B440,$D$2:$D$501,D440)&gt;1,"DUPLICATE INVOICE / PROJECT",IF(AND(G440="MXN",NOT(AND(ISNUMBER(I440),Settings!$B$8="APPROVED",Settings!$B$9&lt;&gt;"",Settings!$B$10&lt;&gt;""))),"FX HOLD","VALID")))))))))))))))</x:f>
      </x:c>
      <x:c r="M440" s="57" t="str">
        <x:f>IF(ISNUMBER(C440),IF(AND(ISNUMBER(C440),C440&gt;=2,C440&lt;=2958465,C440=INT(C440)),TEXT(C440,"yyyy-mm"),""),"")</x:f>
      </x:c>
      <x:c r="N440" s="59" t="str">
        <x:f>IF(L440="VALID",IF(G440="USD",H440,I440),"")</x:f>
      </x:c>
      <x:c r="O440" s="57" t="n">
        <x:f>IF(L440="VALID",IF(COUNTIFS($B$2:B440,B440,$M$2:M440,M440,$L$2:L440,"VALID")=1,1,0),0)</x:f>
        <x:v>0</x:v>
      </x:c>
    </x:row>
    <x:row r="441">
      <x:c r="A441" s="47"/>
      <x:c r="B441" s="47"/>
      <x:c r="C441" s="58"/>
      <x:c r="D441" s="47"/>
      <x:c r="E441" s="47"/>
      <x:c r="F441" s="47"/>
      <x:c r="G441" s="47"/>
      <x:c r="H441" s="48"/>
      <x:c r="I441" s="48"/>
      <x:c r="J441" s="47"/>
      <x:c r="K441" s="47"/>
      <x:c r="L441" s="57" t="str">
        <x:f>IF(COUNTA(A441:K441)=0,"",IF(K441="CANCELLED","CANCELLED",IF(A441="","INVOICE ID REQUIRED",IF(B441="","PROJECT ID REQUIRED",IF(NOT(ISNUMBER(C441)),"INVALID INVOICE DATE",IF(NOT(AND(ISNUMBER(C441),C441&gt;=2,C441&lt;=2958465,C441=INT(C441))),"INVALID INVOICE DATE",IF(NOT(OR(D441="MX",D441="US")),"ENTITY REQUIRED",IF(NOT(OR(E441="Strategic Services",E441="Brands")),"UNIT REQUIRED",IF(F441="","BRAND / N/A REQUIRED",IF(NOT(OR(G441="USD",G441="MXN")),"CURRENCY REQUIRED",IF(NOT(ISNUMBER(H441)),"AMOUNT REQUIRED",IF(J441="","ERP SOURCE REQUIRED",IF(NOT(OR(K441="ISSUED",K441="CANCELLED")),"INVOICE STATUS REQUIRED",IF(COUNTIFS($A$2:$A$501,A441,$B$2:$B$501,B441,$D$2:$D$501,D441)&gt;1,"DUPLICATE INVOICE / PROJECT",IF(AND(G441="MXN",NOT(AND(ISNUMBER(I441),Settings!$B$8="APPROVED",Settings!$B$9&lt;&gt;"",Settings!$B$10&lt;&gt;""))),"FX HOLD","VALID")))))))))))))))</x:f>
      </x:c>
      <x:c r="M441" s="57" t="str">
        <x:f>IF(ISNUMBER(C441),IF(AND(ISNUMBER(C441),C441&gt;=2,C441&lt;=2958465,C441=INT(C441)),TEXT(C441,"yyyy-mm"),""),"")</x:f>
      </x:c>
      <x:c r="N441" s="59" t="str">
        <x:f>IF(L441="VALID",IF(G441="USD",H441,I441),"")</x:f>
      </x:c>
      <x:c r="O441" s="57" t="n">
        <x:f>IF(L441="VALID",IF(COUNTIFS($B$2:B441,B441,$M$2:M441,M441,$L$2:L441,"VALID")=1,1,0),0)</x:f>
        <x:v>0</x:v>
      </x:c>
    </x:row>
    <x:row r="442">
      <x:c r="A442" s="47"/>
      <x:c r="B442" s="47"/>
      <x:c r="C442" s="58"/>
      <x:c r="D442" s="47"/>
      <x:c r="E442" s="47"/>
      <x:c r="F442" s="47"/>
      <x:c r="G442" s="47"/>
      <x:c r="H442" s="48"/>
      <x:c r="I442" s="48"/>
      <x:c r="J442" s="47"/>
      <x:c r="K442" s="47"/>
      <x:c r="L442" s="57" t="str">
        <x:f>IF(COUNTA(A442:K442)=0,"",IF(K442="CANCELLED","CANCELLED",IF(A442="","INVOICE ID REQUIRED",IF(B442="","PROJECT ID REQUIRED",IF(NOT(ISNUMBER(C442)),"INVALID INVOICE DATE",IF(NOT(AND(ISNUMBER(C442),C442&gt;=2,C442&lt;=2958465,C442=INT(C442))),"INVALID INVOICE DATE",IF(NOT(OR(D442="MX",D442="US")),"ENTITY REQUIRED",IF(NOT(OR(E442="Strategic Services",E442="Brands")),"UNIT REQUIRED",IF(F442="","BRAND / N/A REQUIRED",IF(NOT(OR(G442="USD",G442="MXN")),"CURRENCY REQUIRED",IF(NOT(ISNUMBER(H442)),"AMOUNT REQUIRED",IF(J442="","ERP SOURCE REQUIRED",IF(NOT(OR(K442="ISSUED",K442="CANCELLED")),"INVOICE STATUS REQUIRED",IF(COUNTIFS($A$2:$A$501,A442,$B$2:$B$501,B442,$D$2:$D$501,D442)&gt;1,"DUPLICATE INVOICE / PROJECT",IF(AND(G442="MXN",NOT(AND(ISNUMBER(I442),Settings!$B$8="APPROVED",Settings!$B$9&lt;&gt;"",Settings!$B$10&lt;&gt;""))),"FX HOLD","VALID")))))))))))))))</x:f>
      </x:c>
      <x:c r="M442" s="57" t="str">
        <x:f>IF(ISNUMBER(C442),IF(AND(ISNUMBER(C442),C442&gt;=2,C442&lt;=2958465,C442=INT(C442)),TEXT(C442,"yyyy-mm"),""),"")</x:f>
      </x:c>
      <x:c r="N442" s="59" t="str">
        <x:f>IF(L442="VALID",IF(G442="USD",H442,I442),"")</x:f>
      </x:c>
      <x:c r="O442" s="57" t="n">
        <x:f>IF(L442="VALID",IF(COUNTIFS($B$2:B442,B442,$M$2:M442,M442,$L$2:L442,"VALID")=1,1,0),0)</x:f>
        <x:v>0</x:v>
      </x:c>
    </x:row>
    <x:row r="443">
      <x:c r="A443" s="47"/>
      <x:c r="B443" s="47"/>
      <x:c r="C443" s="58"/>
      <x:c r="D443" s="47"/>
      <x:c r="E443" s="47"/>
      <x:c r="F443" s="47"/>
      <x:c r="G443" s="47"/>
      <x:c r="H443" s="48"/>
      <x:c r="I443" s="48"/>
      <x:c r="J443" s="47"/>
      <x:c r="K443" s="47"/>
      <x:c r="L443" s="57" t="str">
        <x:f>IF(COUNTA(A443:K443)=0,"",IF(K443="CANCELLED","CANCELLED",IF(A443="","INVOICE ID REQUIRED",IF(B443="","PROJECT ID REQUIRED",IF(NOT(ISNUMBER(C443)),"INVALID INVOICE DATE",IF(NOT(AND(ISNUMBER(C443),C443&gt;=2,C443&lt;=2958465,C443=INT(C443))),"INVALID INVOICE DATE",IF(NOT(OR(D443="MX",D443="US")),"ENTITY REQUIRED",IF(NOT(OR(E443="Strategic Services",E443="Brands")),"UNIT REQUIRED",IF(F443="","BRAND / N/A REQUIRED",IF(NOT(OR(G443="USD",G443="MXN")),"CURRENCY REQUIRED",IF(NOT(ISNUMBER(H443)),"AMOUNT REQUIRED",IF(J443="","ERP SOURCE REQUIRED",IF(NOT(OR(K443="ISSUED",K443="CANCELLED")),"INVOICE STATUS REQUIRED",IF(COUNTIFS($A$2:$A$501,A443,$B$2:$B$501,B443,$D$2:$D$501,D443)&gt;1,"DUPLICATE INVOICE / PROJECT",IF(AND(G443="MXN",NOT(AND(ISNUMBER(I443),Settings!$B$8="APPROVED",Settings!$B$9&lt;&gt;"",Settings!$B$10&lt;&gt;""))),"FX HOLD","VALID")))))))))))))))</x:f>
      </x:c>
      <x:c r="M443" s="57" t="str">
        <x:f>IF(ISNUMBER(C443),IF(AND(ISNUMBER(C443),C443&gt;=2,C443&lt;=2958465,C443=INT(C443)),TEXT(C443,"yyyy-mm"),""),"")</x:f>
      </x:c>
      <x:c r="N443" s="59" t="str">
        <x:f>IF(L443="VALID",IF(G443="USD",H443,I443),"")</x:f>
      </x:c>
      <x:c r="O443" s="57" t="n">
        <x:f>IF(L443="VALID",IF(COUNTIFS($B$2:B443,B443,$M$2:M443,M443,$L$2:L443,"VALID")=1,1,0),0)</x:f>
        <x:v>0</x:v>
      </x:c>
    </x:row>
    <x:row r="444">
      <x:c r="A444" s="47"/>
      <x:c r="B444" s="47"/>
      <x:c r="C444" s="58"/>
      <x:c r="D444" s="47"/>
      <x:c r="E444" s="47"/>
      <x:c r="F444" s="47"/>
      <x:c r="G444" s="47"/>
      <x:c r="H444" s="48"/>
      <x:c r="I444" s="48"/>
      <x:c r="J444" s="47"/>
      <x:c r="K444" s="47"/>
      <x:c r="L444" s="57" t="str">
        <x:f>IF(COUNTA(A444:K444)=0,"",IF(K444="CANCELLED","CANCELLED",IF(A444="","INVOICE ID REQUIRED",IF(B444="","PROJECT ID REQUIRED",IF(NOT(ISNUMBER(C444)),"INVALID INVOICE DATE",IF(NOT(AND(ISNUMBER(C444),C444&gt;=2,C444&lt;=2958465,C444=INT(C444))),"INVALID INVOICE DATE",IF(NOT(OR(D444="MX",D444="US")),"ENTITY REQUIRED",IF(NOT(OR(E444="Strategic Services",E444="Brands")),"UNIT REQUIRED",IF(F444="","BRAND / N/A REQUIRED",IF(NOT(OR(G444="USD",G444="MXN")),"CURRENCY REQUIRED",IF(NOT(ISNUMBER(H444)),"AMOUNT REQUIRED",IF(J444="","ERP SOURCE REQUIRED",IF(NOT(OR(K444="ISSUED",K444="CANCELLED")),"INVOICE STATUS REQUIRED",IF(COUNTIFS($A$2:$A$501,A444,$B$2:$B$501,B444,$D$2:$D$501,D444)&gt;1,"DUPLICATE INVOICE / PROJECT",IF(AND(G444="MXN",NOT(AND(ISNUMBER(I444),Settings!$B$8="APPROVED",Settings!$B$9&lt;&gt;"",Settings!$B$10&lt;&gt;""))),"FX HOLD","VALID")))))))))))))))</x:f>
      </x:c>
      <x:c r="M444" s="57" t="str">
        <x:f>IF(ISNUMBER(C444),IF(AND(ISNUMBER(C444),C444&gt;=2,C444&lt;=2958465,C444=INT(C444)),TEXT(C444,"yyyy-mm"),""),"")</x:f>
      </x:c>
      <x:c r="N444" s="59" t="str">
        <x:f>IF(L444="VALID",IF(G444="USD",H444,I444),"")</x:f>
      </x:c>
      <x:c r="O444" s="57" t="n">
        <x:f>IF(L444="VALID",IF(COUNTIFS($B$2:B444,B444,$M$2:M444,M444,$L$2:L444,"VALID")=1,1,0),0)</x:f>
        <x:v>0</x:v>
      </x:c>
    </x:row>
    <x:row r="445">
      <x:c r="A445" s="47"/>
      <x:c r="B445" s="47"/>
      <x:c r="C445" s="58"/>
      <x:c r="D445" s="47"/>
      <x:c r="E445" s="47"/>
      <x:c r="F445" s="47"/>
      <x:c r="G445" s="47"/>
      <x:c r="H445" s="48"/>
      <x:c r="I445" s="48"/>
      <x:c r="J445" s="47"/>
      <x:c r="K445" s="47"/>
      <x:c r="L445" s="57" t="str">
        <x:f>IF(COUNTA(A445:K445)=0,"",IF(K445="CANCELLED","CANCELLED",IF(A445="","INVOICE ID REQUIRED",IF(B445="","PROJECT ID REQUIRED",IF(NOT(ISNUMBER(C445)),"INVALID INVOICE DATE",IF(NOT(AND(ISNUMBER(C445),C445&gt;=2,C445&lt;=2958465,C445=INT(C445))),"INVALID INVOICE DATE",IF(NOT(OR(D445="MX",D445="US")),"ENTITY REQUIRED",IF(NOT(OR(E445="Strategic Services",E445="Brands")),"UNIT REQUIRED",IF(F445="","BRAND / N/A REQUIRED",IF(NOT(OR(G445="USD",G445="MXN")),"CURRENCY REQUIRED",IF(NOT(ISNUMBER(H445)),"AMOUNT REQUIRED",IF(J445="","ERP SOURCE REQUIRED",IF(NOT(OR(K445="ISSUED",K445="CANCELLED")),"INVOICE STATUS REQUIRED",IF(COUNTIFS($A$2:$A$501,A445,$B$2:$B$501,B445,$D$2:$D$501,D445)&gt;1,"DUPLICATE INVOICE / PROJECT",IF(AND(G445="MXN",NOT(AND(ISNUMBER(I445),Settings!$B$8="APPROVED",Settings!$B$9&lt;&gt;"",Settings!$B$10&lt;&gt;""))),"FX HOLD","VALID")))))))))))))))</x:f>
      </x:c>
      <x:c r="M445" s="57" t="str">
        <x:f>IF(ISNUMBER(C445),IF(AND(ISNUMBER(C445),C445&gt;=2,C445&lt;=2958465,C445=INT(C445)),TEXT(C445,"yyyy-mm"),""),"")</x:f>
      </x:c>
      <x:c r="N445" s="59" t="str">
        <x:f>IF(L445="VALID",IF(G445="USD",H445,I445),"")</x:f>
      </x:c>
      <x:c r="O445" s="57" t="n">
        <x:f>IF(L445="VALID",IF(COUNTIFS($B$2:B445,B445,$M$2:M445,M445,$L$2:L445,"VALID")=1,1,0),0)</x:f>
        <x:v>0</x:v>
      </x:c>
    </x:row>
    <x:row r="446">
      <x:c r="A446" s="47"/>
      <x:c r="B446" s="47"/>
      <x:c r="C446" s="58"/>
      <x:c r="D446" s="47"/>
      <x:c r="E446" s="47"/>
      <x:c r="F446" s="47"/>
      <x:c r="G446" s="47"/>
      <x:c r="H446" s="48"/>
      <x:c r="I446" s="48"/>
      <x:c r="J446" s="47"/>
      <x:c r="K446" s="47"/>
      <x:c r="L446" s="57" t="str">
        <x:f>IF(COUNTA(A446:K446)=0,"",IF(K446="CANCELLED","CANCELLED",IF(A446="","INVOICE ID REQUIRED",IF(B446="","PROJECT ID REQUIRED",IF(NOT(ISNUMBER(C446)),"INVALID INVOICE DATE",IF(NOT(AND(ISNUMBER(C446),C446&gt;=2,C446&lt;=2958465,C446=INT(C446))),"INVALID INVOICE DATE",IF(NOT(OR(D446="MX",D446="US")),"ENTITY REQUIRED",IF(NOT(OR(E446="Strategic Services",E446="Brands")),"UNIT REQUIRED",IF(F446="","BRAND / N/A REQUIRED",IF(NOT(OR(G446="USD",G446="MXN")),"CURRENCY REQUIRED",IF(NOT(ISNUMBER(H446)),"AMOUNT REQUIRED",IF(J446="","ERP SOURCE REQUIRED",IF(NOT(OR(K446="ISSUED",K446="CANCELLED")),"INVOICE STATUS REQUIRED",IF(COUNTIFS($A$2:$A$501,A446,$B$2:$B$501,B446,$D$2:$D$501,D446)&gt;1,"DUPLICATE INVOICE / PROJECT",IF(AND(G446="MXN",NOT(AND(ISNUMBER(I446),Settings!$B$8="APPROVED",Settings!$B$9&lt;&gt;"",Settings!$B$10&lt;&gt;""))),"FX HOLD","VALID")))))))))))))))</x:f>
      </x:c>
      <x:c r="M446" s="57" t="str">
        <x:f>IF(ISNUMBER(C446),IF(AND(ISNUMBER(C446),C446&gt;=2,C446&lt;=2958465,C446=INT(C446)),TEXT(C446,"yyyy-mm"),""),"")</x:f>
      </x:c>
      <x:c r="N446" s="59" t="str">
        <x:f>IF(L446="VALID",IF(G446="USD",H446,I446),"")</x:f>
      </x:c>
      <x:c r="O446" s="57" t="n">
        <x:f>IF(L446="VALID",IF(COUNTIFS($B$2:B446,B446,$M$2:M446,M446,$L$2:L446,"VALID")=1,1,0),0)</x:f>
        <x:v>0</x:v>
      </x:c>
    </x:row>
    <x:row r="447">
      <x:c r="A447" s="47"/>
      <x:c r="B447" s="47"/>
      <x:c r="C447" s="58"/>
      <x:c r="D447" s="47"/>
      <x:c r="E447" s="47"/>
      <x:c r="F447" s="47"/>
      <x:c r="G447" s="47"/>
      <x:c r="H447" s="48"/>
      <x:c r="I447" s="48"/>
      <x:c r="J447" s="47"/>
      <x:c r="K447" s="47"/>
      <x:c r="L447" s="57" t="str">
        <x:f>IF(COUNTA(A447:K447)=0,"",IF(K447="CANCELLED","CANCELLED",IF(A447="","INVOICE ID REQUIRED",IF(B447="","PROJECT ID REQUIRED",IF(NOT(ISNUMBER(C447)),"INVALID INVOICE DATE",IF(NOT(AND(ISNUMBER(C447),C447&gt;=2,C447&lt;=2958465,C447=INT(C447))),"INVALID INVOICE DATE",IF(NOT(OR(D447="MX",D447="US")),"ENTITY REQUIRED",IF(NOT(OR(E447="Strategic Services",E447="Brands")),"UNIT REQUIRED",IF(F447="","BRAND / N/A REQUIRED",IF(NOT(OR(G447="USD",G447="MXN")),"CURRENCY REQUIRED",IF(NOT(ISNUMBER(H447)),"AMOUNT REQUIRED",IF(J447="","ERP SOURCE REQUIRED",IF(NOT(OR(K447="ISSUED",K447="CANCELLED")),"INVOICE STATUS REQUIRED",IF(COUNTIFS($A$2:$A$501,A447,$B$2:$B$501,B447,$D$2:$D$501,D447)&gt;1,"DUPLICATE INVOICE / PROJECT",IF(AND(G447="MXN",NOT(AND(ISNUMBER(I447),Settings!$B$8="APPROVED",Settings!$B$9&lt;&gt;"",Settings!$B$10&lt;&gt;""))),"FX HOLD","VALID")))))))))))))))</x:f>
      </x:c>
      <x:c r="M447" s="57" t="str">
        <x:f>IF(ISNUMBER(C447),IF(AND(ISNUMBER(C447),C447&gt;=2,C447&lt;=2958465,C447=INT(C447)),TEXT(C447,"yyyy-mm"),""),"")</x:f>
      </x:c>
      <x:c r="N447" s="59" t="str">
        <x:f>IF(L447="VALID",IF(G447="USD",H447,I447),"")</x:f>
      </x:c>
      <x:c r="O447" s="57" t="n">
        <x:f>IF(L447="VALID",IF(COUNTIFS($B$2:B447,B447,$M$2:M447,M447,$L$2:L447,"VALID")=1,1,0),0)</x:f>
        <x:v>0</x:v>
      </x:c>
    </x:row>
    <x:row r="448">
      <x:c r="A448" s="47"/>
      <x:c r="B448" s="47"/>
      <x:c r="C448" s="58"/>
      <x:c r="D448" s="47"/>
      <x:c r="E448" s="47"/>
      <x:c r="F448" s="47"/>
      <x:c r="G448" s="47"/>
      <x:c r="H448" s="48"/>
      <x:c r="I448" s="48"/>
      <x:c r="J448" s="47"/>
      <x:c r="K448" s="47"/>
      <x:c r="L448" s="57" t="str">
        <x:f>IF(COUNTA(A448:K448)=0,"",IF(K448="CANCELLED","CANCELLED",IF(A448="","INVOICE ID REQUIRED",IF(B448="","PROJECT ID REQUIRED",IF(NOT(ISNUMBER(C448)),"INVALID INVOICE DATE",IF(NOT(AND(ISNUMBER(C448),C448&gt;=2,C448&lt;=2958465,C448=INT(C448))),"INVALID INVOICE DATE",IF(NOT(OR(D448="MX",D448="US")),"ENTITY REQUIRED",IF(NOT(OR(E448="Strategic Services",E448="Brands")),"UNIT REQUIRED",IF(F448="","BRAND / N/A REQUIRED",IF(NOT(OR(G448="USD",G448="MXN")),"CURRENCY REQUIRED",IF(NOT(ISNUMBER(H448)),"AMOUNT REQUIRED",IF(J448="","ERP SOURCE REQUIRED",IF(NOT(OR(K448="ISSUED",K448="CANCELLED")),"INVOICE STATUS REQUIRED",IF(COUNTIFS($A$2:$A$501,A448,$B$2:$B$501,B448,$D$2:$D$501,D448)&gt;1,"DUPLICATE INVOICE / PROJECT",IF(AND(G448="MXN",NOT(AND(ISNUMBER(I448),Settings!$B$8="APPROVED",Settings!$B$9&lt;&gt;"",Settings!$B$10&lt;&gt;""))),"FX HOLD","VALID")))))))))))))))</x:f>
      </x:c>
      <x:c r="M448" s="57" t="str">
        <x:f>IF(ISNUMBER(C448),IF(AND(ISNUMBER(C448),C448&gt;=2,C448&lt;=2958465,C448=INT(C448)),TEXT(C448,"yyyy-mm"),""),"")</x:f>
      </x:c>
      <x:c r="N448" s="59" t="str">
        <x:f>IF(L448="VALID",IF(G448="USD",H448,I448),"")</x:f>
      </x:c>
      <x:c r="O448" s="57" t="n">
        <x:f>IF(L448="VALID",IF(COUNTIFS($B$2:B448,B448,$M$2:M448,M448,$L$2:L448,"VALID")=1,1,0),0)</x:f>
        <x:v>0</x:v>
      </x:c>
    </x:row>
    <x:row r="449">
      <x:c r="A449" s="47"/>
      <x:c r="B449" s="47"/>
      <x:c r="C449" s="58"/>
      <x:c r="D449" s="47"/>
      <x:c r="E449" s="47"/>
      <x:c r="F449" s="47"/>
      <x:c r="G449" s="47"/>
      <x:c r="H449" s="48"/>
      <x:c r="I449" s="48"/>
      <x:c r="J449" s="47"/>
      <x:c r="K449" s="47"/>
      <x:c r="L449" s="57" t="str">
        <x:f>IF(COUNTA(A449:K449)=0,"",IF(K449="CANCELLED","CANCELLED",IF(A449="","INVOICE ID REQUIRED",IF(B449="","PROJECT ID REQUIRED",IF(NOT(ISNUMBER(C449)),"INVALID INVOICE DATE",IF(NOT(AND(ISNUMBER(C449),C449&gt;=2,C449&lt;=2958465,C449=INT(C449))),"INVALID INVOICE DATE",IF(NOT(OR(D449="MX",D449="US")),"ENTITY REQUIRED",IF(NOT(OR(E449="Strategic Services",E449="Brands")),"UNIT REQUIRED",IF(F449="","BRAND / N/A REQUIRED",IF(NOT(OR(G449="USD",G449="MXN")),"CURRENCY REQUIRED",IF(NOT(ISNUMBER(H449)),"AMOUNT REQUIRED",IF(J449="","ERP SOURCE REQUIRED",IF(NOT(OR(K449="ISSUED",K449="CANCELLED")),"INVOICE STATUS REQUIRED",IF(COUNTIFS($A$2:$A$501,A449,$B$2:$B$501,B449,$D$2:$D$501,D449)&gt;1,"DUPLICATE INVOICE / PROJECT",IF(AND(G449="MXN",NOT(AND(ISNUMBER(I449),Settings!$B$8="APPROVED",Settings!$B$9&lt;&gt;"",Settings!$B$10&lt;&gt;""))),"FX HOLD","VALID")))))))))))))))</x:f>
      </x:c>
      <x:c r="M449" s="57" t="str">
        <x:f>IF(ISNUMBER(C449),IF(AND(ISNUMBER(C449),C449&gt;=2,C449&lt;=2958465,C449=INT(C449)),TEXT(C449,"yyyy-mm"),""),"")</x:f>
      </x:c>
      <x:c r="N449" s="59" t="str">
        <x:f>IF(L449="VALID",IF(G449="USD",H449,I449),"")</x:f>
      </x:c>
      <x:c r="O449" s="57" t="n">
        <x:f>IF(L449="VALID",IF(COUNTIFS($B$2:B449,B449,$M$2:M449,M449,$L$2:L449,"VALID")=1,1,0),0)</x:f>
        <x:v>0</x:v>
      </x:c>
    </x:row>
    <x:row r="450">
      <x:c r="A450" s="47"/>
      <x:c r="B450" s="47"/>
      <x:c r="C450" s="58"/>
      <x:c r="D450" s="47"/>
      <x:c r="E450" s="47"/>
      <x:c r="F450" s="47"/>
      <x:c r="G450" s="47"/>
      <x:c r="H450" s="48"/>
      <x:c r="I450" s="48"/>
      <x:c r="J450" s="47"/>
      <x:c r="K450" s="47"/>
      <x:c r="L450" s="57" t="str">
        <x:f>IF(COUNTA(A450:K450)=0,"",IF(K450="CANCELLED","CANCELLED",IF(A450="","INVOICE ID REQUIRED",IF(B450="","PROJECT ID REQUIRED",IF(NOT(ISNUMBER(C450)),"INVALID INVOICE DATE",IF(NOT(AND(ISNUMBER(C450),C450&gt;=2,C450&lt;=2958465,C450=INT(C450))),"INVALID INVOICE DATE",IF(NOT(OR(D450="MX",D450="US")),"ENTITY REQUIRED",IF(NOT(OR(E450="Strategic Services",E450="Brands")),"UNIT REQUIRED",IF(F450="","BRAND / N/A REQUIRED",IF(NOT(OR(G450="USD",G450="MXN")),"CURRENCY REQUIRED",IF(NOT(ISNUMBER(H450)),"AMOUNT REQUIRED",IF(J450="","ERP SOURCE REQUIRED",IF(NOT(OR(K450="ISSUED",K450="CANCELLED")),"INVOICE STATUS REQUIRED",IF(COUNTIFS($A$2:$A$501,A450,$B$2:$B$501,B450,$D$2:$D$501,D450)&gt;1,"DUPLICATE INVOICE / PROJECT",IF(AND(G450="MXN",NOT(AND(ISNUMBER(I450),Settings!$B$8="APPROVED",Settings!$B$9&lt;&gt;"",Settings!$B$10&lt;&gt;""))),"FX HOLD","VALID")))))))))))))))</x:f>
      </x:c>
      <x:c r="M450" s="57" t="str">
        <x:f>IF(ISNUMBER(C450),IF(AND(ISNUMBER(C450),C450&gt;=2,C450&lt;=2958465,C450=INT(C450)),TEXT(C450,"yyyy-mm"),""),"")</x:f>
      </x:c>
      <x:c r="N450" s="59" t="str">
        <x:f>IF(L450="VALID",IF(G450="USD",H450,I450),"")</x:f>
      </x:c>
      <x:c r="O450" s="57" t="n">
        <x:f>IF(L450="VALID",IF(COUNTIFS($B$2:B450,B450,$M$2:M450,M450,$L$2:L450,"VALID")=1,1,0),0)</x:f>
        <x:v>0</x:v>
      </x:c>
    </x:row>
    <x:row r="451">
      <x:c r="A451" s="47"/>
      <x:c r="B451" s="47"/>
      <x:c r="C451" s="58"/>
      <x:c r="D451" s="47"/>
      <x:c r="E451" s="47"/>
      <x:c r="F451" s="47"/>
      <x:c r="G451" s="47"/>
      <x:c r="H451" s="48"/>
      <x:c r="I451" s="48"/>
      <x:c r="J451" s="47"/>
      <x:c r="K451" s="47"/>
      <x:c r="L451" s="57" t="str">
        <x:f>IF(COUNTA(A451:K451)=0,"",IF(K451="CANCELLED","CANCELLED",IF(A451="","INVOICE ID REQUIRED",IF(B451="","PROJECT ID REQUIRED",IF(NOT(ISNUMBER(C451)),"INVALID INVOICE DATE",IF(NOT(AND(ISNUMBER(C451),C451&gt;=2,C451&lt;=2958465,C451=INT(C451))),"INVALID INVOICE DATE",IF(NOT(OR(D451="MX",D451="US")),"ENTITY REQUIRED",IF(NOT(OR(E451="Strategic Services",E451="Brands")),"UNIT REQUIRED",IF(F451="","BRAND / N/A REQUIRED",IF(NOT(OR(G451="USD",G451="MXN")),"CURRENCY REQUIRED",IF(NOT(ISNUMBER(H451)),"AMOUNT REQUIRED",IF(J451="","ERP SOURCE REQUIRED",IF(NOT(OR(K451="ISSUED",K451="CANCELLED")),"INVOICE STATUS REQUIRED",IF(COUNTIFS($A$2:$A$501,A451,$B$2:$B$501,B451,$D$2:$D$501,D451)&gt;1,"DUPLICATE INVOICE / PROJECT",IF(AND(G451="MXN",NOT(AND(ISNUMBER(I451),Settings!$B$8="APPROVED",Settings!$B$9&lt;&gt;"",Settings!$B$10&lt;&gt;""))),"FX HOLD","VALID")))))))))))))))</x:f>
      </x:c>
      <x:c r="M451" s="57" t="str">
        <x:f>IF(ISNUMBER(C451),IF(AND(ISNUMBER(C451),C451&gt;=2,C451&lt;=2958465,C451=INT(C451)),TEXT(C451,"yyyy-mm"),""),"")</x:f>
      </x:c>
      <x:c r="N451" s="59" t="str">
        <x:f>IF(L451="VALID",IF(G451="USD",H451,I451),"")</x:f>
      </x:c>
      <x:c r="O451" s="57" t="n">
        <x:f>IF(L451="VALID",IF(COUNTIFS($B$2:B451,B451,$M$2:M451,M451,$L$2:L451,"VALID")=1,1,0),0)</x:f>
        <x:v>0</x:v>
      </x:c>
    </x:row>
    <x:row r="452">
      <x:c r="A452" s="47"/>
      <x:c r="B452" s="47"/>
      <x:c r="C452" s="58"/>
      <x:c r="D452" s="47"/>
      <x:c r="E452" s="47"/>
      <x:c r="F452" s="47"/>
      <x:c r="G452" s="47"/>
      <x:c r="H452" s="48"/>
      <x:c r="I452" s="48"/>
      <x:c r="J452" s="47"/>
      <x:c r="K452" s="47"/>
      <x:c r="L452" s="57" t="str">
        <x:f>IF(COUNTA(A452:K452)=0,"",IF(K452="CANCELLED","CANCELLED",IF(A452="","INVOICE ID REQUIRED",IF(B452="","PROJECT ID REQUIRED",IF(NOT(ISNUMBER(C452)),"INVALID INVOICE DATE",IF(NOT(AND(ISNUMBER(C452),C452&gt;=2,C452&lt;=2958465,C452=INT(C452))),"INVALID INVOICE DATE",IF(NOT(OR(D452="MX",D452="US")),"ENTITY REQUIRED",IF(NOT(OR(E452="Strategic Services",E452="Brands")),"UNIT REQUIRED",IF(F452="","BRAND / N/A REQUIRED",IF(NOT(OR(G452="USD",G452="MXN")),"CURRENCY REQUIRED",IF(NOT(ISNUMBER(H452)),"AMOUNT REQUIRED",IF(J452="","ERP SOURCE REQUIRED",IF(NOT(OR(K452="ISSUED",K452="CANCELLED")),"INVOICE STATUS REQUIRED",IF(COUNTIFS($A$2:$A$501,A452,$B$2:$B$501,B452,$D$2:$D$501,D452)&gt;1,"DUPLICATE INVOICE / PROJECT",IF(AND(G452="MXN",NOT(AND(ISNUMBER(I452),Settings!$B$8="APPROVED",Settings!$B$9&lt;&gt;"",Settings!$B$10&lt;&gt;""))),"FX HOLD","VALID")))))))))))))))</x:f>
      </x:c>
      <x:c r="M452" s="57" t="str">
        <x:f>IF(ISNUMBER(C452),IF(AND(ISNUMBER(C452),C452&gt;=2,C452&lt;=2958465,C452=INT(C452)),TEXT(C452,"yyyy-mm"),""),"")</x:f>
      </x:c>
      <x:c r="N452" s="59" t="str">
        <x:f>IF(L452="VALID",IF(G452="USD",H452,I452),"")</x:f>
      </x:c>
      <x:c r="O452" s="57" t="n">
        <x:f>IF(L452="VALID",IF(COUNTIFS($B$2:B452,B452,$M$2:M452,M452,$L$2:L452,"VALID")=1,1,0),0)</x:f>
        <x:v>0</x:v>
      </x:c>
    </x:row>
    <x:row r="453">
      <x:c r="A453" s="47"/>
      <x:c r="B453" s="47"/>
      <x:c r="C453" s="58"/>
      <x:c r="D453" s="47"/>
      <x:c r="E453" s="47"/>
      <x:c r="F453" s="47"/>
      <x:c r="G453" s="47"/>
      <x:c r="H453" s="48"/>
      <x:c r="I453" s="48"/>
      <x:c r="J453" s="47"/>
      <x:c r="K453" s="47"/>
      <x:c r="L453" s="57" t="str">
        <x:f>IF(COUNTA(A453:K453)=0,"",IF(K453="CANCELLED","CANCELLED",IF(A453="","INVOICE ID REQUIRED",IF(B453="","PROJECT ID REQUIRED",IF(NOT(ISNUMBER(C453)),"INVALID INVOICE DATE",IF(NOT(AND(ISNUMBER(C453),C453&gt;=2,C453&lt;=2958465,C453=INT(C453))),"INVALID INVOICE DATE",IF(NOT(OR(D453="MX",D453="US")),"ENTITY REQUIRED",IF(NOT(OR(E453="Strategic Services",E453="Brands")),"UNIT REQUIRED",IF(F453="","BRAND / N/A REQUIRED",IF(NOT(OR(G453="USD",G453="MXN")),"CURRENCY REQUIRED",IF(NOT(ISNUMBER(H453)),"AMOUNT REQUIRED",IF(J453="","ERP SOURCE REQUIRED",IF(NOT(OR(K453="ISSUED",K453="CANCELLED")),"INVOICE STATUS REQUIRED",IF(COUNTIFS($A$2:$A$501,A453,$B$2:$B$501,B453,$D$2:$D$501,D453)&gt;1,"DUPLICATE INVOICE / PROJECT",IF(AND(G453="MXN",NOT(AND(ISNUMBER(I453),Settings!$B$8="APPROVED",Settings!$B$9&lt;&gt;"",Settings!$B$10&lt;&gt;""))),"FX HOLD","VALID")))))))))))))))</x:f>
      </x:c>
      <x:c r="M453" s="57" t="str">
        <x:f>IF(ISNUMBER(C453),IF(AND(ISNUMBER(C453),C453&gt;=2,C453&lt;=2958465,C453=INT(C453)),TEXT(C453,"yyyy-mm"),""),"")</x:f>
      </x:c>
      <x:c r="N453" s="59" t="str">
        <x:f>IF(L453="VALID",IF(G453="USD",H453,I453),"")</x:f>
      </x:c>
      <x:c r="O453" s="57" t="n">
        <x:f>IF(L453="VALID",IF(COUNTIFS($B$2:B453,B453,$M$2:M453,M453,$L$2:L453,"VALID")=1,1,0),0)</x:f>
        <x:v>0</x:v>
      </x:c>
    </x:row>
    <x:row r="454">
      <x:c r="A454" s="47"/>
      <x:c r="B454" s="47"/>
      <x:c r="C454" s="58"/>
      <x:c r="D454" s="47"/>
      <x:c r="E454" s="47"/>
      <x:c r="F454" s="47"/>
      <x:c r="G454" s="47"/>
      <x:c r="H454" s="48"/>
      <x:c r="I454" s="48"/>
      <x:c r="J454" s="47"/>
      <x:c r="K454" s="47"/>
      <x:c r="L454" s="57" t="str">
        <x:f>IF(COUNTA(A454:K454)=0,"",IF(K454="CANCELLED","CANCELLED",IF(A454="","INVOICE ID REQUIRED",IF(B454="","PROJECT ID REQUIRED",IF(NOT(ISNUMBER(C454)),"INVALID INVOICE DATE",IF(NOT(AND(ISNUMBER(C454),C454&gt;=2,C454&lt;=2958465,C454=INT(C454))),"INVALID INVOICE DATE",IF(NOT(OR(D454="MX",D454="US")),"ENTITY REQUIRED",IF(NOT(OR(E454="Strategic Services",E454="Brands")),"UNIT REQUIRED",IF(F454="","BRAND / N/A REQUIRED",IF(NOT(OR(G454="USD",G454="MXN")),"CURRENCY REQUIRED",IF(NOT(ISNUMBER(H454)),"AMOUNT REQUIRED",IF(J454="","ERP SOURCE REQUIRED",IF(NOT(OR(K454="ISSUED",K454="CANCELLED")),"INVOICE STATUS REQUIRED",IF(COUNTIFS($A$2:$A$501,A454,$B$2:$B$501,B454,$D$2:$D$501,D454)&gt;1,"DUPLICATE INVOICE / PROJECT",IF(AND(G454="MXN",NOT(AND(ISNUMBER(I454),Settings!$B$8="APPROVED",Settings!$B$9&lt;&gt;"",Settings!$B$10&lt;&gt;""))),"FX HOLD","VALID")))))))))))))))</x:f>
      </x:c>
      <x:c r="M454" s="57" t="str">
        <x:f>IF(ISNUMBER(C454),IF(AND(ISNUMBER(C454),C454&gt;=2,C454&lt;=2958465,C454=INT(C454)),TEXT(C454,"yyyy-mm"),""),"")</x:f>
      </x:c>
      <x:c r="N454" s="59" t="str">
        <x:f>IF(L454="VALID",IF(G454="USD",H454,I454),"")</x:f>
      </x:c>
      <x:c r="O454" s="57" t="n">
        <x:f>IF(L454="VALID",IF(COUNTIFS($B$2:B454,B454,$M$2:M454,M454,$L$2:L454,"VALID")=1,1,0),0)</x:f>
        <x:v>0</x:v>
      </x:c>
    </x:row>
    <x:row r="455">
      <x:c r="A455" s="47"/>
      <x:c r="B455" s="47"/>
      <x:c r="C455" s="58"/>
      <x:c r="D455" s="47"/>
      <x:c r="E455" s="47"/>
      <x:c r="F455" s="47"/>
      <x:c r="G455" s="47"/>
      <x:c r="H455" s="48"/>
      <x:c r="I455" s="48"/>
      <x:c r="J455" s="47"/>
      <x:c r="K455" s="47"/>
      <x:c r="L455" s="57" t="str">
        <x:f>IF(COUNTA(A455:K455)=0,"",IF(K455="CANCELLED","CANCELLED",IF(A455="","INVOICE ID REQUIRED",IF(B455="","PROJECT ID REQUIRED",IF(NOT(ISNUMBER(C455)),"INVALID INVOICE DATE",IF(NOT(AND(ISNUMBER(C455),C455&gt;=2,C455&lt;=2958465,C455=INT(C455))),"INVALID INVOICE DATE",IF(NOT(OR(D455="MX",D455="US")),"ENTITY REQUIRED",IF(NOT(OR(E455="Strategic Services",E455="Brands")),"UNIT REQUIRED",IF(F455="","BRAND / N/A REQUIRED",IF(NOT(OR(G455="USD",G455="MXN")),"CURRENCY REQUIRED",IF(NOT(ISNUMBER(H455)),"AMOUNT REQUIRED",IF(J455="","ERP SOURCE REQUIRED",IF(NOT(OR(K455="ISSUED",K455="CANCELLED")),"INVOICE STATUS REQUIRED",IF(COUNTIFS($A$2:$A$501,A455,$B$2:$B$501,B455,$D$2:$D$501,D455)&gt;1,"DUPLICATE INVOICE / PROJECT",IF(AND(G455="MXN",NOT(AND(ISNUMBER(I455),Settings!$B$8="APPROVED",Settings!$B$9&lt;&gt;"",Settings!$B$10&lt;&gt;""))),"FX HOLD","VALID")))))))))))))))</x:f>
      </x:c>
      <x:c r="M455" s="57" t="str">
        <x:f>IF(ISNUMBER(C455),IF(AND(ISNUMBER(C455),C455&gt;=2,C455&lt;=2958465,C455=INT(C455)),TEXT(C455,"yyyy-mm"),""),"")</x:f>
      </x:c>
      <x:c r="N455" s="59" t="str">
        <x:f>IF(L455="VALID",IF(G455="USD",H455,I455),"")</x:f>
      </x:c>
      <x:c r="O455" s="57" t="n">
        <x:f>IF(L455="VALID",IF(COUNTIFS($B$2:B455,B455,$M$2:M455,M455,$L$2:L455,"VALID")=1,1,0),0)</x:f>
        <x:v>0</x:v>
      </x:c>
    </x:row>
    <x:row r="456">
      <x:c r="A456" s="47"/>
      <x:c r="B456" s="47"/>
      <x:c r="C456" s="58"/>
      <x:c r="D456" s="47"/>
      <x:c r="E456" s="47"/>
      <x:c r="F456" s="47"/>
      <x:c r="G456" s="47"/>
      <x:c r="H456" s="48"/>
      <x:c r="I456" s="48"/>
      <x:c r="J456" s="47"/>
      <x:c r="K456" s="47"/>
      <x:c r="L456" s="57" t="str">
        <x:f>IF(COUNTA(A456:K456)=0,"",IF(K456="CANCELLED","CANCELLED",IF(A456="","INVOICE ID REQUIRED",IF(B456="","PROJECT ID REQUIRED",IF(NOT(ISNUMBER(C456)),"INVALID INVOICE DATE",IF(NOT(AND(ISNUMBER(C456),C456&gt;=2,C456&lt;=2958465,C456=INT(C456))),"INVALID INVOICE DATE",IF(NOT(OR(D456="MX",D456="US")),"ENTITY REQUIRED",IF(NOT(OR(E456="Strategic Services",E456="Brands")),"UNIT REQUIRED",IF(F456="","BRAND / N/A REQUIRED",IF(NOT(OR(G456="USD",G456="MXN")),"CURRENCY REQUIRED",IF(NOT(ISNUMBER(H456)),"AMOUNT REQUIRED",IF(J456="","ERP SOURCE REQUIRED",IF(NOT(OR(K456="ISSUED",K456="CANCELLED")),"INVOICE STATUS REQUIRED",IF(COUNTIFS($A$2:$A$501,A456,$B$2:$B$501,B456,$D$2:$D$501,D456)&gt;1,"DUPLICATE INVOICE / PROJECT",IF(AND(G456="MXN",NOT(AND(ISNUMBER(I456),Settings!$B$8="APPROVED",Settings!$B$9&lt;&gt;"",Settings!$B$10&lt;&gt;""))),"FX HOLD","VALID")))))))))))))))</x:f>
      </x:c>
      <x:c r="M456" s="57" t="str">
        <x:f>IF(ISNUMBER(C456),IF(AND(ISNUMBER(C456),C456&gt;=2,C456&lt;=2958465,C456=INT(C456)),TEXT(C456,"yyyy-mm"),""),"")</x:f>
      </x:c>
      <x:c r="N456" s="59" t="str">
        <x:f>IF(L456="VALID",IF(G456="USD",H456,I456),"")</x:f>
      </x:c>
      <x:c r="O456" s="57" t="n">
        <x:f>IF(L456="VALID",IF(COUNTIFS($B$2:B456,B456,$M$2:M456,M456,$L$2:L456,"VALID")=1,1,0),0)</x:f>
        <x:v>0</x:v>
      </x:c>
    </x:row>
    <x:row r="457">
      <x:c r="A457" s="47"/>
      <x:c r="B457" s="47"/>
      <x:c r="C457" s="58"/>
      <x:c r="D457" s="47"/>
      <x:c r="E457" s="47"/>
      <x:c r="F457" s="47"/>
      <x:c r="G457" s="47"/>
      <x:c r="H457" s="48"/>
      <x:c r="I457" s="48"/>
      <x:c r="J457" s="47"/>
      <x:c r="K457" s="47"/>
      <x:c r="L457" s="57" t="str">
        <x:f>IF(COUNTA(A457:K457)=0,"",IF(K457="CANCELLED","CANCELLED",IF(A457="","INVOICE ID REQUIRED",IF(B457="","PROJECT ID REQUIRED",IF(NOT(ISNUMBER(C457)),"INVALID INVOICE DATE",IF(NOT(AND(ISNUMBER(C457),C457&gt;=2,C457&lt;=2958465,C457=INT(C457))),"INVALID INVOICE DATE",IF(NOT(OR(D457="MX",D457="US")),"ENTITY REQUIRED",IF(NOT(OR(E457="Strategic Services",E457="Brands")),"UNIT REQUIRED",IF(F457="","BRAND / N/A REQUIRED",IF(NOT(OR(G457="USD",G457="MXN")),"CURRENCY REQUIRED",IF(NOT(ISNUMBER(H457)),"AMOUNT REQUIRED",IF(J457="","ERP SOURCE REQUIRED",IF(NOT(OR(K457="ISSUED",K457="CANCELLED")),"INVOICE STATUS REQUIRED",IF(COUNTIFS($A$2:$A$501,A457,$B$2:$B$501,B457,$D$2:$D$501,D457)&gt;1,"DUPLICATE INVOICE / PROJECT",IF(AND(G457="MXN",NOT(AND(ISNUMBER(I457),Settings!$B$8="APPROVED",Settings!$B$9&lt;&gt;"",Settings!$B$10&lt;&gt;""))),"FX HOLD","VALID")))))))))))))))</x:f>
      </x:c>
      <x:c r="M457" s="57" t="str">
        <x:f>IF(ISNUMBER(C457),IF(AND(ISNUMBER(C457),C457&gt;=2,C457&lt;=2958465,C457=INT(C457)),TEXT(C457,"yyyy-mm"),""),"")</x:f>
      </x:c>
      <x:c r="N457" s="59" t="str">
        <x:f>IF(L457="VALID",IF(G457="USD",H457,I457),"")</x:f>
      </x:c>
      <x:c r="O457" s="57" t="n">
        <x:f>IF(L457="VALID",IF(COUNTIFS($B$2:B457,B457,$M$2:M457,M457,$L$2:L457,"VALID")=1,1,0),0)</x:f>
        <x:v>0</x:v>
      </x:c>
    </x:row>
    <x:row r="458">
      <x:c r="A458" s="47"/>
      <x:c r="B458" s="47"/>
      <x:c r="C458" s="58"/>
      <x:c r="D458" s="47"/>
      <x:c r="E458" s="47"/>
      <x:c r="F458" s="47"/>
      <x:c r="G458" s="47"/>
      <x:c r="H458" s="48"/>
      <x:c r="I458" s="48"/>
      <x:c r="J458" s="47"/>
      <x:c r="K458" s="47"/>
      <x:c r="L458" s="57" t="str">
        <x:f>IF(COUNTA(A458:K458)=0,"",IF(K458="CANCELLED","CANCELLED",IF(A458="","INVOICE ID REQUIRED",IF(B458="","PROJECT ID REQUIRED",IF(NOT(ISNUMBER(C458)),"INVALID INVOICE DATE",IF(NOT(AND(ISNUMBER(C458),C458&gt;=2,C458&lt;=2958465,C458=INT(C458))),"INVALID INVOICE DATE",IF(NOT(OR(D458="MX",D458="US")),"ENTITY REQUIRED",IF(NOT(OR(E458="Strategic Services",E458="Brands")),"UNIT REQUIRED",IF(F458="","BRAND / N/A REQUIRED",IF(NOT(OR(G458="USD",G458="MXN")),"CURRENCY REQUIRED",IF(NOT(ISNUMBER(H458)),"AMOUNT REQUIRED",IF(J458="","ERP SOURCE REQUIRED",IF(NOT(OR(K458="ISSUED",K458="CANCELLED")),"INVOICE STATUS REQUIRED",IF(COUNTIFS($A$2:$A$501,A458,$B$2:$B$501,B458,$D$2:$D$501,D458)&gt;1,"DUPLICATE INVOICE / PROJECT",IF(AND(G458="MXN",NOT(AND(ISNUMBER(I458),Settings!$B$8="APPROVED",Settings!$B$9&lt;&gt;"",Settings!$B$10&lt;&gt;""))),"FX HOLD","VALID")))))))))))))))</x:f>
      </x:c>
      <x:c r="M458" s="57" t="str">
        <x:f>IF(ISNUMBER(C458),IF(AND(ISNUMBER(C458),C458&gt;=2,C458&lt;=2958465,C458=INT(C458)),TEXT(C458,"yyyy-mm"),""),"")</x:f>
      </x:c>
      <x:c r="N458" s="59" t="str">
        <x:f>IF(L458="VALID",IF(G458="USD",H458,I458),"")</x:f>
      </x:c>
      <x:c r="O458" s="57" t="n">
        <x:f>IF(L458="VALID",IF(COUNTIFS($B$2:B458,B458,$M$2:M458,M458,$L$2:L458,"VALID")=1,1,0),0)</x:f>
        <x:v>0</x:v>
      </x:c>
    </x:row>
    <x:row r="459">
      <x:c r="A459" s="47"/>
      <x:c r="B459" s="47"/>
      <x:c r="C459" s="58"/>
      <x:c r="D459" s="47"/>
      <x:c r="E459" s="47"/>
      <x:c r="F459" s="47"/>
      <x:c r="G459" s="47"/>
      <x:c r="H459" s="48"/>
      <x:c r="I459" s="48"/>
      <x:c r="J459" s="47"/>
      <x:c r="K459" s="47"/>
      <x:c r="L459" s="57" t="str">
        <x:f>IF(COUNTA(A459:K459)=0,"",IF(K459="CANCELLED","CANCELLED",IF(A459="","INVOICE ID REQUIRED",IF(B459="","PROJECT ID REQUIRED",IF(NOT(ISNUMBER(C459)),"INVALID INVOICE DATE",IF(NOT(AND(ISNUMBER(C459),C459&gt;=2,C459&lt;=2958465,C459=INT(C459))),"INVALID INVOICE DATE",IF(NOT(OR(D459="MX",D459="US")),"ENTITY REQUIRED",IF(NOT(OR(E459="Strategic Services",E459="Brands")),"UNIT REQUIRED",IF(F459="","BRAND / N/A REQUIRED",IF(NOT(OR(G459="USD",G459="MXN")),"CURRENCY REQUIRED",IF(NOT(ISNUMBER(H459)),"AMOUNT REQUIRED",IF(J459="","ERP SOURCE REQUIRED",IF(NOT(OR(K459="ISSUED",K459="CANCELLED")),"INVOICE STATUS REQUIRED",IF(COUNTIFS($A$2:$A$501,A459,$B$2:$B$501,B459,$D$2:$D$501,D459)&gt;1,"DUPLICATE INVOICE / PROJECT",IF(AND(G459="MXN",NOT(AND(ISNUMBER(I459),Settings!$B$8="APPROVED",Settings!$B$9&lt;&gt;"",Settings!$B$10&lt;&gt;""))),"FX HOLD","VALID")))))))))))))))</x:f>
      </x:c>
      <x:c r="M459" s="57" t="str">
        <x:f>IF(ISNUMBER(C459),IF(AND(ISNUMBER(C459),C459&gt;=2,C459&lt;=2958465,C459=INT(C459)),TEXT(C459,"yyyy-mm"),""),"")</x:f>
      </x:c>
      <x:c r="N459" s="59" t="str">
        <x:f>IF(L459="VALID",IF(G459="USD",H459,I459),"")</x:f>
      </x:c>
      <x:c r="O459" s="57" t="n">
        <x:f>IF(L459="VALID",IF(COUNTIFS($B$2:B459,B459,$M$2:M459,M459,$L$2:L459,"VALID")=1,1,0),0)</x:f>
        <x:v>0</x:v>
      </x:c>
    </x:row>
    <x:row r="460">
      <x:c r="A460" s="47"/>
      <x:c r="B460" s="47"/>
      <x:c r="C460" s="58"/>
      <x:c r="D460" s="47"/>
      <x:c r="E460" s="47"/>
      <x:c r="F460" s="47"/>
      <x:c r="G460" s="47"/>
      <x:c r="H460" s="48"/>
      <x:c r="I460" s="48"/>
      <x:c r="J460" s="47"/>
      <x:c r="K460" s="47"/>
      <x:c r="L460" s="57" t="str">
        <x:f>IF(COUNTA(A460:K460)=0,"",IF(K460="CANCELLED","CANCELLED",IF(A460="","INVOICE ID REQUIRED",IF(B460="","PROJECT ID REQUIRED",IF(NOT(ISNUMBER(C460)),"INVALID INVOICE DATE",IF(NOT(AND(ISNUMBER(C460),C460&gt;=2,C460&lt;=2958465,C460=INT(C460))),"INVALID INVOICE DATE",IF(NOT(OR(D460="MX",D460="US")),"ENTITY REQUIRED",IF(NOT(OR(E460="Strategic Services",E460="Brands")),"UNIT REQUIRED",IF(F460="","BRAND / N/A REQUIRED",IF(NOT(OR(G460="USD",G460="MXN")),"CURRENCY REQUIRED",IF(NOT(ISNUMBER(H460)),"AMOUNT REQUIRED",IF(J460="","ERP SOURCE REQUIRED",IF(NOT(OR(K460="ISSUED",K460="CANCELLED")),"INVOICE STATUS REQUIRED",IF(COUNTIFS($A$2:$A$501,A460,$B$2:$B$501,B460,$D$2:$D$501,D460)&gt;1,"DUPLICATE INVOICE / PROJECT",IF(AND(G460="MXN",NOT(AND(ISNUMBER(I460),Settings!$B$8="APPROVED",Settings!$B$9&lt;&gt;"",Settings!$B$10&lt;&gt;""))),"FX HOLD","VALID")))))))))))))))</x:f>
      </x:c>
      <x:c r="M460" s="57" t="str">
        <x:f>IF(ISNUMBER(C460),IF(AND(ISNUMBER(C460),C460&gt;=2,C460&lt;=2958465,C460=INT(C460)),TEXT(C460,"yyyy-mm"),""),"")</x:f>
      </x:c>
      <x:c r="N460" s="59" t="str">
        <x:f>IF(L460="VALID",IF(G460="USD",H460,I460),"")</x:f>
      </x:c>
      <x:c r="O460" s="57" t="n">
        <x:f>IF(L460="VALID",IF(COUNTIFS($B$2:B460,B460,$M$2:M460,M460,$L$2:L460,"VALID")=1,1,0),0)</x:f>
        <x:v>0</x:v>
      </x:c>
    </x:row>
    <x:row r="461">
      <x:c r="A461" s="47"/>
      <x:c r="B461" s="47"/>
      <x:c r="C461" s="58"/>
      <x:c r="D461" s="47"/>
      <x:c r="E461" s="47"/>
      <x:c r="F461" s="47"/>
      <x:c r="G461" s="47"/>
      <x:c r="H461" s="48"/>
      <x:c r="I461" s="48"/>
      <x:c r="J461" s="47"/>
      <x:c r="K461" s="47"/>
      <x:c r="L461" s="57" t="str">
        <x:f>IF(COUNTA(A461:K461)=0,"",IF(K461="CANCELLED","CANCELLED",IF(A461="","INVOICE ID REQUIRED",IF(B461="","PROJECT ID REQUIRED",IF(NOT(ISNUMBER(C461)),"INVALID INVOICE DATE",IF(NOT(AND(ISNUMBER(C461),C461&gt;=2,C461&lt;=2958465,C461=INT(C461))),"INVALID INVOICE DATE",IF(NOT(OR(D461="MX",D461="US")),"ENTITY REQUIRED",IF(NOT(OR(E461="Strategic Services",E461="Brands")),"UNIT REQUIRED",IF(F461="","BRAND / N/A REQUIRED",IF(NOT(OR(G461="USD",G461="MXN")),"CURRENCY REQUIRED",IF(NOT(ISNUMBER(H461)),"AMOUNT REQUIRED",IF(J461="","ERP SOURCE REQUIRED",IF(NOT(OR(K461="ISSUED",K461="CANCELLED")),"INVOICE STATUS REQUIRED",IF(COUNTIFS($A$2:$A$501,A461,$B$2:$B$501,B461,$D$2:$D$501,D461)&gt;1,"DUPLICATE INVOICE / PROJECT",IF(AND(G461="MXN",NOT(AND(ISNUMBER(I461),Settings!$B$8="APPROVED",Settings!$B$9&lt;&gt;"",Settings!$B$10&lt;&gt;""))),"FX HOLD","VALID")))))))))))))))</x:f>
      </x:c>
      <x:c r="M461" s="57" t="str">
        <x:f>IF(ISNUMBER(C461),IF(AND(ISNUMBER(C461),C461&gt;=2,C461&lt;=2958465,C461=INT(C461)),TEXT(C461,"yyyy-mm"),""),"")</x:f>
      </x:c>
      <x:c r="N461" s="59" t="str">
        <x:f>IF(L461="VALID",IF(G461="USD",H461,I461),"")</x:f>
      </x:c>
      <x:c r="O461" s="57" t="n">
        <x:f>IF(L461="VALID",IF(COUNTIFS($B$2:B461,B461,$M$2:M461,M461,$L$2:L461,"VALID")=1,1,0),0)</x:f>
        <x:v>0</x:v>
      </x:c>
    </x:row>
    <x:row r="462">
      <x:c r="A462" s="47"/>
      <x:c r="B462" s="47"/>
      <x:c r="C462" s="58"/>
      <x:c r="D462" s="47"/>
      <x:c r="E462" s="47"/>
      <x:c r="F462" s="47"/>
      <x:c r="G462" s="47"/>
      <x:c r="H462" s="48"/>
      <x:c r="I462" s="48"/>
      <x:c r="J462" s="47"/>
      <x:c r="K462" s="47"/>
      <x:c r="L462" s="57" t="str">
        <x:f>IF(COUNTA(A462:K462)=0,"",IF(K462="CANCELLED","CANCELLED",IF(A462="","INVOICE ID REQUIRED",IF(B462="","PROJECT ID REQUIRED",IF(NOT(ISNUMBER(C462)),"INVALID INVOICE DATE",IF(NOT(AND(ISNUMBER(C462),C462&gt;=2,C462&lt;=2958465,C462=INT(C462))),"INVALID INVOICE DATE",IF(NOT(OR(D462="MX",D462="US")),"ENTITY REQUIRED",IF(NOT(OR(E462="Strategic Services",E462="Brands")),"UNIT REQUIRED",IF(F462="","BRAND / N/A REQUIRED",IF(NOT(OR(G462="USD",G462="MXN")),"CURRENCY REQUIRED",IF(NOT(ISNUMBER(H462)),"AMOUNT REQUIRED",IF(J462="","ERP SOURCE REQUIRED",IF(NOT(OR(K462="ISSUED",K462="CANCELLED")),"INVOICE STATUS REQUIRED",IF(COUNTIFS($A$2:$A$501,A462,$B$2:$B$501,B462,$D$2:$D$501,D462)&gt;1,"DUPLICATE INVOICE / PROJECT",IF(AND(G462="MXN",NOT(AND(ISNUMBER(I462),Settings!$B$8="APPROVED",Settings!$B$9&lt;&gt;"",Settings!$B$10&lt;&gt;""))),"FX HOLD","VALID")))))))))))))))</x:f>
      </x:c>
      <x:c r="M462" s="57" t="str">
        <x:f>IF(ISNUMBER(C462),IF(AND(ISNUMBER(C462),C462&gt;=2,C462&lt;=2958465,C462=INT(C462)),TEXT(C462,"yyyy-mm"),""),"")</x:f>
      </x:c>
      <x:c r="N462" s="59" t="str">
        <x:f>IF(L462="VALID",IF(G462="USD",H462,I462),"")</x:f>
      </x:c>
      <x:c r="O462" s="57" t="n">
        <x:f>IF(L462="VALID",IF(COUNTIFS($B$2:B462,B462,$M$2:M462,M462,$L$2:L462,"VALID")=1,1,0),0)</x:f>
        <x:v>0</x:v>
      </x:c>
    </x:row>
    <x:row r="463">
      <x:c r="A463" s="47"/>
      <x:c r="B463" s="47"/>
      <x:c r="C463" s="58"/>
      <x:c r="D463" s="47"/>
      <x:c r="E463" s="47"/>
      <x:c r="F463" s="47"/>
      <x:c r="G463" s="47"/>
      <x:c r="H463" s="48"/>
      <x:c r="I463" s="48"/>
      <x:c r="J463" s="47"/>
      <x:c r="K463" s="47"/>
      <x:c r="L463" s="57" t="str">
        <x:f>IF(COUNTA(A463:K463)=0,"",IF(K463="CANCELLED","CANCELLED",IF(A463="","INVOICE ID REQUIRED",IF(B463="","PROJECT ID REQUIRED",IF(NOT(ISNUMBER(C463)),"INVALID INVOICE DATE",IF(NOT(AND(ISNUMBER(C463),C463&gt;=2,C463&lt;=2958465,C463=INT(C463))),"INVALID INVOICE DATE",IF(NOT(OR(D463="MX",D463="US")),"ENTITY REQUIRED",IF(NOT(OR(E463="Strategic Services",E463="Brands")),"UNIT REQUIRED",IF(F463="","BRAND / N/A REQUIRED",IF(NOT(OR(G463="USD",G463="MXN")),"CURRENCY REQUIRED",IF(NOT(ISNUMBER(H463)),"AMOUNT REQUIRED",IF(J463="","ERP SOURCE REQUIRED",IF(NOT(OR(K463="ISSUED",K463="CANCELLED")),"INVOICE STATUS REQUIRED",IF(COUNTIFS($A$2:$A$501,A463,$B$2:$B$501,B463,$D$2:$D$501,D463)&gt;1,"DUPLICATE INVOICE / PROJECT",IF(AND(G463="MXN",NOT(AND(ISNUMBER(I463),Settings!$B$8="APPROVED",Settings!$B$9&lt;&gt;"",Settings!$B$10&lt;&gt;""))),"FX HOLD","VALID")))))))))))))))</x:f>
      </x:c>
      <x:c r="M463" s="57" t="str">
        <x:f>IF(ISNUMBER(C463),IF(AND(ISNUMBER(C463),C463&gt;=2,C463&lt;=2958465,C463=INT(C463)),TEXT(C463,"yyyy-mm"),""),"")</x:f>
      </x:c>
      <x:c r="N463" s="59" t="str">
        <x:f>IF(L463="VALID",IF(G463="USD",H463,I463),"")</x:f>
      </x:c>
      <x:c r="O463" s="57" t="n">
        <x:f>IF(L463="VALID",IF(COUNTIFS($B$2:B463,B463,$M$2:M463,M463,$L$2:L463,"VALID")=1,1,0),0)</x:f>
        <x:v>0</x:v>
      </x:c>
    </x:row>
    <x:row r="464">
      <x:c r="A464" s="47"/>
      <x:c r="B464" s="47"/>
      <x:c r="C464" s="58"/>
      <x:c r="D464" s="47"/>
      <x:c r="E464" s="47"/>
      <x:c r="F464" s="47"/>
      <x:c r="G464" s="47"/>
      <x:c r="H464" s="48"/>
      <x:c r="I464" s="48"/>
      <x:c r="J464" s="47"/>
      <x:c r="K464" s="47"/>
      <x:c r="L464" s="57" t="str">
        <x:f>IF(COUNTA(A464:K464)=0,"",IF(K464="CANCELLED","CANCELLED",IF(A464="","INVOICE ID REQUIRED",IF(B464="","PROJECT ID REQUIRED",IF(NOT(ISNUMBER(C464)),"INVALID INVOICE DATE",IF(NOT(AND(ISNUMBER(C464),C464&gt;=2,C464&lt;=2958465,C464=INT(C464))),"INVALID INVOICE DATE",IF(NOT(OR(D464="MX",D464="US")),"ENTITY REQUIRED",IF(NOT(OR(E464="Strategic Services",E464="Brands")),"UNIT REQUIRED",IF(F464="","BRAND / N/A REQUIRED",IF(NOT(OR(G464="USD",G464="MXN")),"CURRENCY REQUIRED",IF(NOT(ISNUMBER(H464)),"AMOUNT REQUIRED",IF(J464="","ERP SOURCE REQUIRED",IF(NOT(OR(K464="ISSUED",K464="CANCELLED")),"INVOICE STATUS REQUIRED",IF(COUNTIFS($A$2:$A$501,A464,$B$2:$B$501,B464,$D$2:$D$501,D464)&gt;1,"DUPLICATE INVOICE / PROJECT",IF(AND(G464="MXN",NOT(AND(ISNUMBER(I464),Settings!$B$8="APPROVED",Settings!$B$9&lt;&gt;"",Settings!$B$10&lt;&gt;""))),"FX HOLD","VALID")))))))))))))))</x:f>
      </x:c>
      <x:c r="M464" s="57" t="str">
        <x:f>IF(ISNUMBER(C464),IF(AND(ISNUMBER(C464),C464&gt;=2,C464&lt;=2958465,C464=INT(C464)),TEXT(C464,"yyyy-mm"),""),"")</x:f>
      </x:c>
      <x:c r="N464" s="59" t="str">
        <x:f>IF(L464="VALID",IF(G464="USD",H464,I464),"")</x:f>
      </x:c>
      <x:c r="O464" s="57" t="n">
        <x:f>IF(L464="VALID",IF(COUNTIFS($B$2:B464,B464,$M$2:M464,M464,$L$2:L464,"VALID")=1,1,0),0)</x:f>
        <x:v>0</x:v>
      </x:c>
    </x:row>
    <x:row r="465">
      <x:c r="A465" s="47"/>
      <x:c r="B465" s="47"/>
      <x:c r="C465" s="58"/>
      <x:c r="D465" s="47"/>
      <x:c r="E465" s="47"/>
      <x:c r="F465" s="47"/>
      <x:c r="G465" s="47"/>
      <x:c r="H465" s="48"/>
      <x:c r="I465" s="48"/>
      <x:c r="J465" s="47"/>
      <x:c r="K465" s="47"/>
      <x:c r="L465" s="57" t="str">
        <x:f>IF(COUNTA(A465:K465)=0,"",IF(K465="CANCELLED","CANCELLED",IF(A465="","INVOICE ID REQUIRED",IF(B465="","PROJECT ID REQUIRED",IF(NOT(ISNUMBER(C465)),"INVALID INVOICE DATE",IF(NOT(AND(ISNUMBER(C465),C465&gt;=2,C465&lt;=2958465,C465=INT(C465))),"INVALID INVOICE DATE",IF(NOT(OR(D465="MX",D465="US")),"ENTITY REQUIRED",IF(NOT(OR(E465="Strategic Services",E465="Brands")),"UNIT REQUIRED",IF(F465="","BRAND / N/A REQUIRED",IF(NOT(OR(G465="USD",G465="MXN")),"CURRENCY REQUIRED",IF(NOT(ISNUMBER(H465)),"AMOUNT REQUIRED",IF(J465="","ERP SOURCE REQUIRED",IF(NOT(OR(K465="ISSUED",K465="CANCELLED")),"INVOICE STATUS REQUIRED",IF(COUNTIFS($A$2:$A$501,A465,$B$2:$B$501,B465,$D$2:$D$501,D465)&gt;1,"DUPLICATE INVOICE / PROJECT",IF(AND(G465="MXN",NOT(AND(ISNUMBER(I465),Settings!$B$8="APPROVED",Settings!$B$9&lt;&gt;"",Settings!$B$10&lt;&gt;""))),"FX HOLD","VALID")))))))))))))))</x:f>
      </x:c>
      <x:c r="M465" s="57" t="str">
        <x:f>IF(ISNUMBER(C465),IF(AND(ISNUMBER(C465),C465&gt;=2,C465&lt;=2958465,C465=INT(C465)),TEXT(C465,"yyyy-mm"),""),"")</x:f>
      </x:c>
      <x:c r="N465" s="59" t="str">
        <x:f>IF(L465="VALID",IF(G465="USD",H465,I465),"")</x:f>
      </x:c>
      <x:c r="O465" s="57" t="n">
        <x:f>IF(L465="VALID",IF(COUNTIFS($B$2:B465,B465,$M$2:M465,M465,$L$2:L465,"VALID")=1,1,0),0)</x:f>
        <x:v>0</x:v>
      </x:c>
    </x:row>
    <x:row r="466">
      <x:c r="A466" s="47"/>
      <x:c r="B466" s="47"/>
      <x:c r="C466" s="58"/>
      <x:c r="D466" s="47"/>
      <x:c r="E466" s="47"/>
      <x:c r="F466" s="47"/>
      <x:c r="G466" s="47"/>
      <x:c r="H466" s="48"/>
      <x:c r="I466" s="48"/>
      <x:c r="J466" s="47"/>
      <x:c r="K466" s="47"/>
      <x:c r="L466" s="57" t="str">
        <x:f>IF(COUNTA(A466:K466)=0,"",IF(K466="CANCELLED","CANCELLED",IF(A466="","INVOICE ID REQUIRED",IF(B466="","PROJECT ID REQUIRED",IF(NOT(ISNUMBER(C466)),"INVALID INVOICE DATE",IF(NOT(AND(ISNUMBER(C466),C466&gt;=2,C466&lt;=2958465,C466=INT(C466))),"INVALID INVOICE DATE",IF(NOT(OR(D466="MX",D466="US")),"ENTITY REQUIRED",IF(NOT(OR(E466="Strategic Services",E466="Brands")),"UNIT REQUIRED",IF(F466="","BRAND / N/A REQUIRED",IF(NOT(OR(G466="USD",G466="MXN")),"CURRENCY REQUIRED",IF(NOT(ISNUMBER(H466)),"AMOUNT REQUIRED",IF(J466="","ERP SOURCE REQUIRED",IF(NOT(OR(K466="ISSUED",K466="CANCELLED")),"INVOICE STATUS REQUIRED",IF(COUNTIFS($A$2:$A$501,A466,$B$2:$B$501,B466,$D$2:$D$501,D466)&gt;1,"DUPLICATE INVOICE / PROJECT",IF(AND(G466="MXN",NOT(AND(ISNUMBER(I466),Settings!$B$8="APPROVED",Settings!$B$9&lt;&gt;"",Settings!$B$10&lt;&gt;""))),"FX HOLD","VALID")))))))))))))))</x:f>
      </x:c>
      <x:c r="M466" s="57" t="str">
        <x:f>IF(ISNUMBER(C466),IF(AND(ISNUMBER(C466),C466&gt;=2,C466&lt;=2958465,C466=INT(C466)),TEXT(C466,"yyyy-mm"),""),"")</x:f>
      </x:c>
      <x:c r="N466" s="59" t="str">
        <x:f>IF(L466="VALID",IF(G466="USD",H466,I466),"")</x:f>
      </x:c>
      <x:c r="O466" s="57" t="n">
        <x:f>IF(L466="VALID",IF(COUNTIFS($B$2:B466,B466,$M$2:M466,M466,$L$2:L466,"VALID")=1,1,0),0)</x:f>
        <x:v>0</x:v>
      </x:c>
    </x:row>
    <x:row r="467">
      <x:c r="A467" s="47"/>
      <x:c r="B467" s="47"/>
      <x:c r="C467" s="58"/>
      <x:c r="D467" s="47"/>
      <x:c r="E467" s="47"/>
      <x:c r="F467" s="47"/>
      <x:c r="G467" s="47"/>
      <x:c r="H467" s="48"/>
      <x:c r="I467" s="48"/>
      <x:c r="J467" s="47"/>
      <x:c r="K467" s="47"/>
      <x:c r="L467" s="57" t="str">
        <x:f>IF(COUNTA(A467:K467)=0,"",IF(K467="CANCELLED","CANCELLED",IF(A467="","INVOICE ID REQUIRED",IF(B467="","PROJECT ID REQUIRED",IF(NOT(ISNUMBER(C467)),"INVALID INVOICE DATE",IF(NOT(AND(ISNUMBER(C467),C467&gt;=2,C467&lt;=2958465,C467=INT(C467))),"INVALID INVOICE DATE",IF(NOT(OR(D467="MX",D467="US")),"ENTITY REQUIRED",IF(NOT(OR(E467="Strategic Services",E467="Brands")),"UNIT REQUIRED",IF(F467="","BRAND / N/A REQUIRED",IF(NOT(OR(G467="USD",G467="MXN")),"CURRENCY REQUIRED",IF(NOT(ISNUMBER(H467)),"AMOUNT REQUIRED",IF(J467="","ERP SOURCE REQUIRED",IF(NOT(OR(K467="ISSUED",K467="CANCELLED")),"INVOICE STATUS REQUIRED",IF(COUNTIFS($A$2:$A$501,A467,$B$2:$B$501,B467,$D$2:$D$501,D467)&gt;1,"DUPLICATE INVOICE / PROJECT",IF(AND(G467="MXN",NOT(AND(ISNUMBER(I467),Settings!$B$8="APPROVED",Settings!$B$9&lt;&gt;"",Settings!$B$10&lt;&gt;""))),"FX HOLD","VALID")))))))))))))))</x:f>
      </x:c>
      <x:c r="M467" s="57" t="str">
        <x:f>IF(ISNUMBER(C467),IF(AND(ISNUMBER(C467),C467&gt;=2,C467&lt;=2958465,C467=INT(C467)),TEXT(C467,"yyyy-mm"),""),"")</x:f>
      </x:c>
      <x:c r="N467" s="59" t="str">
        <x:f>IF(L467="VALID",IF(G467="USD",H467,I467),"")</x:f>
      </x:c>
      <x:c r="O467" s="57" t="n">
        <x:f>IF(L467="VALID",IF(COUNTIFS($B$2:B467,B467,$M$2:M467,M467,$L$2:L467,"VALID")=1,1,0),0)</x:f>
        <x:v>0</x:v>
      </x:c>
    </x:row>
    <x:row r="468">
      <x:c r="A468" s="47"/>
      <x:c r="B468" s="47"/>
      <x:c r="C468" s="58"/>
      <x:c r="D468" s="47"/>
      <x:c r="E468" s="47"/>
      <x:c r="F468" s="47"/>
      <x:c r="G468" s="47"/>
      <x:c r="H468" s="48"/>
      <x:c r="I468" s="48"/>
      <x:c r="J468" s="47"/>
      <x:c r="K468" s="47"/>
      <x:c r="L468" s="57" t="str">
        <x:f>IF(COUNTA(A468:K468)=0,"",IF(K468="CANCELLED","CANCELLED",IF(A468="","INVOICE ID REQUIRED",IF(B468="","PROJECT ID REQUIRED",IF(NOT(ISNUMBER(C468)),"INVALID INVOICE DATE",IF(NOT(AND(ISNUMBER(C468),C468&gt;=2,C468&lt;=2958465,C468=INT(C468))),"INVALID INVOICE DATE",IF(NOT(OR(D468="MX",D468="US")),"ENTITY REQUIRED",IF(NOT(OR(E468="Strategic Services",E468="Brands")),"UNIT REQUIRED",IF(F468="","BRAND / N/A REQUIRED",IF(NOT(OR(G468="USD",G468="MXN")),"CURRENCY REQUIRED",IF(NOT(ISNUMBER(H468)),"AMOUNT REQUIRED",IF(J468="","ERP SOURCE REQUIRED",IF(NOT(OR(K468="ISSUED",K468="CANCELLED")),"INVOICE STATUS REQUIRED",IF(COUNTIFS($A$2:$A$501,A468,$B$2:$B$501,B468,$D$2:$D$501,D468)&gt;1,"DUPLICATE INVOICE / PROJECT",IF(AND(G468="MXN",NOT(AND(ISNUMBER(I468),Settings!$B$8="APPROVED",Settings!$B$9&lt;&gt;"",Settings!$B$10&lt;&gt;""))),"FX HOLD","VALID")))))))))))))))</x:f>
      </x:c>
      <x:c r="M468" s="57" t="str">
        <x:f>IF(ISNUMBER(C468),IF(AND(ISNUMBER(C468),C468&gt;=2,C468&lt;=2958465,C468=INT(C468)),TEXT(C468,"yyyy-mm"),""),"")</x:f>
      </x:c>
      <x:c r="N468" s="59" t="str">
        <x:f>IF(L468="VALID",IF(G468="USD",H468,I468),"")</x:f>
      </x:c>
      <x:c r="O468" s="57" t="n">
        <x:f>IF(L468="VALID",IF(COUNTIFS($B$2:B468,B468,$M$2:M468,M468,$L$2:L468,"VALID")=1,1,0),0)</x:f>
        <x:v>0</x:v>
      </x:c>
    </x:row>
    <x:row r="469">
      <x:c r="A469" s="47"/>
      <x:c r="B469" s="47"/>
      <x:c r="C469" s="58"/>
      <x:c r="D469" s="47"/>
      <x:c r="E469" s="47"/>
      <x:c r="F469" s="47"/>
      <x:c r="G469" s="47"/>
      <x:c r="H469" s="48"/>
      <x:c r="I469" s="48"/>
      <x:c r="J469" s="47"/>
      <x:c r="K469" s="47"/>
      <x:c r="L469" s="57" t="str">
        <x:f>IF(COUNTA(A469:K469)=0,"",IF(K469="CANCELLED","CANCELLED",IF(A469="","INVOICE ID REQUIRED",IF(B469="","PROJECT ID REQUIRED",IF(NOT(ISNUMBER(C469)),"INVALID INVOICE DATE",IF(NOT(AND(ISNUMBER(C469),C469&gt;=2,C469&lt;=2958465,C469=INT(C469))),"INVALID INVOICE DATE",IF(NOT(OR(D469="MX",D469="US")),"ENTITY REQUIRED",IF(NOT(OR(E469="Strategic Services",E469="Brands")),"UNIT REQUIRED",IF(F469="","BRAND / N/A REQUIRED",IF(NOT(OR(G469="USD",G469="MXN")),"CURRENCY REQUIRED",IF(NOT(ISNUMBER(H469)),"AMOUNT REQUIRED",IF(J469="","ERP SOURCE REQUIRED",IF(NOT(OR(K469="ISSUED",K469="CANCELLED")),"INVOICE STATUS REQUIRED",IF(COUNTIFS($A$2:$A$501,A469,$B$2:$B$501,B469,$D$2:$D$501,D469)&gt;1,"DUPLICATE INVOICE / PROJECT",IF(AND(G469="MXN",NOT(AND(ISNUMBER(I469),Settings!$B$8="APPROVED",Settings!$B$9&lt;&gt;"",Settings!$B$10&lt;&gt;""))),"FX HOLD","VALID")))))))))))))))</x:f>
      </x:c>
      <x:c r="M469" s="57" t="str">
        <x:f>IF(ISNUMBER(C469),IF(AND(ISNUMBER(C469),C469&gt;=2,C469&lt;=2958465,C469=INT(C469)),TEXT(C469,"yyyy-mm"),""),"")</x:f>
      </x:c>
      <x:c r="N469" s="59" t="str">
        <x:f>IF(L469="VALID",IF(G469="USD",H469,I469),"")</x:f>
      </x:c>
      <x:c r="O469" s="57" t="n">
        <x:f>IF(L469="VALID",IF(COUNTIFS($B$2:B469,B469,$M$2:M469,M469,$L$2:L469,"VALID")=1,1,0),0)</x:f>
        <x:v>0</x:v>
      </x:c>
    </x:row>
    <x:row r="470">
      <x:c r="A470" s="47"/>
      <x:c r="B470" s="47"/>
      <x:c r="C470" s="58"/>
      <x:c r="D470" s="47"/>
      <x:c r="E470" s="47"/>
      <x:c r="F470" s="47"/>
      <x:c r="G470" s="47"/>
      <x:c r="H470" s="48"/>
      <x:c r="I470" s="48"/>
      <x:c r="J470" s="47"/>
      <x:c r="K470" s="47"/>
      <x:c r="L470" s="57" t="str">
        <x:f>IF(COUNTA(A470:K470)=0,"",IF(K470="CANCELLED","CANCELLED",IF(A470="","INVOICE ID REQUIRED",IF(B470="","PROJECT ID REQUIRED",IF(NOT(ISNUMBER(C470)),"INVALID INVOICE DATE",IF(NOT(AND(ISNUMBER(C470),C470&gt;=2,C470&lt;=2958465,C470=INT(C470))),"INVALID INVOICE DATE",IF(NOT(OR(D470="MX",D470="US")),"ENTITY REQUIRED",IF(NOT(OR(E470="Strategic Services",E470="Brands")),"UNIT REQUIRED",IF(F470="","BRAND / N/A REQUIRED",IF(NOT(OR(G470="USD",G470="MXN")),"CURRENCY REQUIRED",IF(NOT(ISNUMBER(H470)),"AMOUNT REQUIRED",IF(J470="","ERP SOURCE REQUIRED",IF(NOT(OR(K470="ISSUED",K470="CANCELLED")),"INVOICE STATUS REQUIRED",IF(COUNTIFS($A$2:$A$501,A470,$B$2:$B$501,B470,$D$2:$D$501,D470)&gt;1,"DUPLICATE INVOICE / PROJECT",IF(AND(G470="MXN",NOT(AND(ISNUMBER(I470),Settings!$B$8="APPROVED",Settings!$B$9&lt;&gt;"",Settings!$B$10&lt;&gt;""))),"FX HOLD","VALID")))))))))))))))</x:f>
      </x:c>
      <x:c r="M470" s="57" t="str">
        <x:f>IF(ISNUMBER(C470),IF(AND(ISNUMBER(C470),C470&gt;=2,C470&lt;=2958465,C470=INT(C470)),TEXT(C470,"yyyy-mm"),""),"")</x:f>
      </x:c>
      <x:c r="N470" s="59" t="str">
        <x:f>IF(L470="VALID",IF(G470="USD",H470,I470),"")</x:f>
      </x:c>
      <x:c r="O470" s="57" t="n">
        <x:f>IF(L470="VALID",IF(COUNTIFS($B$2:B470,B470,$M$2:M470,M470,$L$2:L470,"VALID")=1,1,0),0)</x:f>
        <x:v>0</x:v>
      </x:c>
    </x:row>
    <x:row r="471">
      <x:c r="A471" s="47"/>
      <x:c r="B471" s="47"/>
      <x:c r="C471" s="58"/>
      <x:c r="D471" s="47"/>
      <x:c r="E471" s="47"/>
      <x:c r="F471" s="47"/>
      <x:c r="G471" s="47"/>
      <x:c r="H471" s="48"/>
      <x:c r="I471" s="48"/>
      <x:c r="J471" s="47"/>
      <x:c r="K471" s="47"/>
      <x:c r="L471" s="57" t="str">
        <x:f>IF(COUNTA(A471:K471)=0,"",IF(K471="CANCELLED","CANCELLED",IF(A471="","INVOICE ID REQUIRED",IF(B471="","PROJECT ID REQUIRED",IF(NOT(ISNUMBER(C471)),"INVALID INVOICE DATE",IF(NOT(AND(ISNUMBER(C471),C471&gt;=2,C471&lt;=2958465,C471=INT(C471))),"INVALID INVOICE DATE",IF(NOT(OR(D471="MX",D471="US")),"ENTITY REQUIRED",IF(NOT(OR(E471="Strategic Services",E471="Brands")),"UNIT REQUIRED",IF(F471="","BRAND / N/A REQUIRED",IF(NOT(OR(G471="USD",G471="MXN")),"CURRENCY REQUIRED",IF(NOT(ISNUMBER(H471)),"AMOUNT REQUIRED",IF(J471="","ERP SOURCE REQUIRED",IF(NOT(OR(K471="ISSUED",K471="CANCELLED")),"INVOICE STATUS REQUIRED",IF(COUNTIFS($A$2:$A$501,A471,$B$2:$B$501,B471,$D$2:$D$501,D471)&gt;1,"DUPLICATE INVOICE / PROJECT",IF(AND(G471="MXN",NOT(AND(ISNUMBER(I471),Settings!$B$8="APPROVED",Settings!$B$9&lt;&gt;"",Settings!$B$10&lt;&gt;""))),"FX HOLD","VALID")))))))))))))))</x:f>
      </x:c>
      <x:c r="M471" s="57" t="str">
        <x:f>IF(ISNUMBER(C471),IF(AND(ISNUMBER(C471),C471&gt;=2,C471&lt;=2958465,C471=INT(C471)),TEXT(C471,"yyyy-mm"),""),"")</x:f>
      </x:c>
      <x:c r="N471" s="59" t="str">
        <x:f>IF(L471="VALID",IF(G471="USD",H471,I471),"")</x:f>
      </x:c>
      <x:c r="O471" s="57" t="n">
        <x:f>IF(L471="VALID",IF(COUNTIFS($B$2:B471,B471,$M$2:M471,M471,$L$2:L471,"VALID")=1,1,0),0)</x:f>
        <x:v>0</x:v>
      </x:c>
    </x:row>
    <x:row r="472">
      <x:c r="A472" s="47"/>
      <x:c r="B472" s="47"/>
      <x:c r="C472" s="58"/>
      <x:c r="D472" s="47"/>
      <x:c r="E472" s="47"/>
      <x:c r="F472" s="47"/>
      <x:c r="G472" s="47"/>
      <x:c r="H472" s="48"/>
      <x:c r="I472" s="48"/>
      <x:c r="J472" s="47"/>
      <x:c r="K472" s="47"/>
      <x:c r="L472" s="57" t="str">
        <x:f>IF(COUNTA(A472:K472)=0,"",IF(K472="CANCELLED","CANCELLED",IF(A472="","INVOICE ID REQUIRED",IF(B472="","PROJECT ID REQUIRED",IF(NOT(ISNUMBER(C472)),"INVALID INVOICE DATE",IF(NOT(AND(ISNUMBER(C472),C472&gt;=2,C472&lt;=2958465,C472=INT(C472))),"INVALID INVOICE DATE",IF(NOT(OR(D472="MX",D472="US")),"ENTITY REQUIRED",IF(NOT(OR(E472="Strategic Services",E472="Brands")),"UNIT REQUIRED",IF(F472="","BRAND / N/A REQUIRED",IF(NOT(OR(G472="USD",G472="MXN")),"CURRENCY REQUIRED",IF(NOT(ISNUMBER(H472)),"AMOUNT REQUIRED",IF(J472="","ERP SOURCE REQUIRED",IF(NOT(OR(K472="ISSUED",K472="CANCELLED")),"INVOICE STATUS REQUIRED",IF(COUNTIFS($A$2:$A$501,A472,$B$2:$B$501,B472,$D$2:$D$501,D472)&gt;1,"DUPLICATE INVOICE / PROJECT",IF(AND(G472="MXN",NOT(AND(ISNUMBER(I472),Settings!$B$8="APPROVED",Settings!$B$9&lt;&gt;"",Settings!$B$10&lt;&gt;""))),"FX HOLD","VALID")))))))))))))))</x:f>
      </x:c>
      <x:c r="M472" s="57" t="str">
        <x:f>IF(ISNUMBER(C472),IF(AND(ISNUMBER(C472),C472&gt;=2,C472&lt;=2958465,C472=INT(C472)),TEXT(C472,"yyyy-mm"),""),"")</x:f>
      </x:c>
      <x:c r="N472" s="59" t="str">
        <x:f>IF(L472="VALID",IF(G472="USD",H472,I472),"")</x:f>
      </x:c>
      <x:c r="O472" s="57" t="n">
        <x:f>IF(L472="VALID",IF(COUNTIFS($B$2:B472,B472,$M$2:M472,M472,$L$2:L472,"VALID")=1,1,0),0)</x:f>
        <x:v>0</x:v>
      </x:c>
    </x:row>
    <x:row r="473">
      <x:c r="A473" s="47"/>
      <x:c r="B473" s="47"/>
      <x:c r="C473" s="58"/>
      <x:c r="D473" s="47"/>
      <x:c r="E473" s="47"/>
      <x:c r="F473" s="47"/>
      <x:c r="G473" s="47"/>
      <x:c r="H473" s="48"/>
      <x:c r="I473" s="48"/>
      <x:c r="J473" s="47"/>
      <x:c r="K473" s="47"/>
      <x:c r="L473" s="57" t="str">
        <x:f>IF(COUNTA(A473:K473)=0,"",IF(K473="CANCELLED","CANCELLED",IF(A473="","INVOICE ID REQUIRED",IF(B473="","PROJECT ID REQUIRED",IF(NOT(ISNUMBER(C473)),"INVALID INVOICE DATE",IF(NOT(AND(ISNUMBER(C473),C473&gt;=2,C473&lt;=2958465,C473=INT(C473))),"INVALID INVOICE DATE",IF(NOT(OR(D473="MX",D473="US")),"ENTITY REQUIRED",IF(NOT(OR(E473="Strategic Services",E473="Brands")),"UNIT REQUIRED",IF(F473="","BRAND / N/A REQUIRED",IF(NOT(OR(G473="USD",G473="MXN")),"CURRENCY REQUIRED",IF(NOT(ISNUMBER(H473)),"AMOUNT REQUIRED",IF(J473="","ERP SOURCE REQUIRED",IF(NOT(OR(K473="ISSUED",K473="CANCELLED")),"INVOICE STATUS REQUIRED",IF(COUNTIFS($A$2:$A$501,A473,$B$2:$B$501,B473,$D$2:$D$501,D473)&gt;1,"DUPLICATE INVOICE / PROJECT",IF(AND(G473="MXN",NOT(AND(ISNUMBER(I473),Settings!$B$8="APPROVED",Settings!$B$9&lt;&gt;"",Settings!$B$10&lt;&gt;""))),"FX HOLD","VALID")))))))))))))))</x:f>
      </x:c>
      <x:c r="M473" s="57" t="str">
        <x:f>IF(ISNUMBER(C473),IF(AND(ISNUMBER(C473),C473&gt;=2,C473&lt;=2958465,C473=INT(C473)),TEXT(C473,"yyyy-mm"),""),"")</x:f>
      </x:c>
      <x:c r="N473" s="59" t="str">
        <x:f>IF(L473="VALID",IF(G473="USD",H473,I473),"")</x:f>
      </x:c>
      <x:c r="O473" s="57" t="n">
        <x:f>IF(L473="VALID",IF(COUNTIFS($B$2:B473,B473,$M$2:M473,M473,$L$2:L473,"VALID")=1,1,0),0)</x:f>
        <x:v>0</x:v>
      </x:c>
    </x:row>
    <x:row r="474">
      <x:c r="A474" s="47"/>
      <x:c r="B474" s="47"/>
      <x:c r="C474" s="58"/>
      <x:c r="D474" s="47"/>
      <x:c r="E474" s="47"/>
      <x:c r="F474" s="47"/>
      <x:c r="G474" s="47"/>
      <x:c r="H474" s="48"/>
      <x:c r="I474" s="48"/>
      <x:c r="J474" s="47"/>
      <x:c r="K474" s="47"/>
      <x:c r="L474" s="57" t="str">
        <x:f>IF(COUNTA(A474:K474)=0,"",IF(K474="CANCELLED","CANCELLED",IF(A474="","INVOICE ID REQUIRED",IF(B474="","PROJECT ID REQUIRED",IF(NOT(ISNUMBER(C474)),"INVALID INVOICE DATE",IF(NOT(AND(ISNUMBER(C474),C474&gt;=2,C474&lt;=2958465,C474=INT(C474))),"INVALID INVOICE DATE",IF(NOT(OR(D474="MX",D474="US")),"ENTITY REQUIRED",IF(NOT(OR(E474="Strategic Services",E474="Brands")),"UNIT REQUIRED",IF(F474="","BRAND / N/A REQUIRED",IF(NOT(OR(G474="USD",G474="MXN")),"CURRENCY REQUIRED",IF(NOT(ISNUMBER(H474)),"AMOUNT REQUIRED",IF(J474="","ERP SOURCE REQUIRED",IF(NOT(OR(K474="ISSUED",K474="CANCELLED")),"INVOICE STATUS REQUIRED",IF(COUNTIFS($A$2:$A$501,A474,$B$2:$B$501,B474,$D$2:$D$501,D474)&gt;1,"DUPLICATE INVOICE / PROJECT",IF(AND(G474="MXN",NOT(AND(ISNUMBER(I474),Settings!$B$8="APPROVED",Settings!$B$9&lt;&gt;"",Settings!$B$10&lt;&gt;""))),"FX HOLD","VALID")))))))))))))))</x:f>
      </x:c>
      <x:c r="M474" s="57" t="str">
        <x:f>IF(ISNUMBER(C474),IF(AND(ISNUMBER(C474),C474&gt;=2,C474&lt;=2958465,C474=INT(C474)),TEXT(C474,"yyyy-mm"),""),"")</x:f>
      </x:c>
      <x:c r="N474" s="59" t="str">
        <x:f>IF(L474="VALID",IF(G474="USD",H474,I474),"")</x:f>
      </x:c>
      <x:c r="O474" s="57" t="n">
        <x:f>IF(L474="VALID",IF(COUNTIFS($B$2:B474,B474,$M$2:M474,M474,$L$2:L474,"VALID")=1,1,0),0)</x:f>
        <x:v>0</x:v>
      </x:c>
    </x:row>
    <x:row r="475">
      <x:c r="A475" s="47"/>
      <x:c r="B475" s="47"/>
      <x:c r="C475" s="58"/>
      <x:c r="D475" s="47"/>
      <x:c r="E475" s="47"/>
      <x:c r="F475" s="47"/>
      <x:c r="G475" s="47"/>
      <x:c r="H475" s="48"/>
      <x:c r="I475" s="48"/>
      <x:c r="J475" s="47"/>
      <x:c r="K475" s="47"/>
      <x:c r="L475" s="57" t="str">
        <x:f>IF(COUNTA(A475:K475)=0,"",IF(K475="CANCELLED","CANCELLED",IF(A475="","INVOICE ID REQUIRED",IF(B475="","PROJECT ID REQUIRED",IF(NOT(ISNUMBER(C475)),"INVALID INVOICE DATE",IF(NOT(AND(ISNUMBER(C475),C475&gt;=2,C475&lt;=2958465,C475=INT(C475))),"INVALID INVOICE DATE",IF(NOT(OR(D475="MX",D475="US")),"ENTITY REQUIRED",IF(NOT(OR(E475="Strategic Services",E475="Brands")),"UNIT REQUIRED",IF(F475="","BRAND / N/A REQUIRED",IF(NOT(OR(G475="USD",G475="MXN")),"CURRENCY REQUIRED",IF(NOT(ISNUMBER(H475)),"AMOUNT REQUIRED",IF(J475="","ERP SOURCE REQUIRED",IF(NOT(OR(K475="ISSUED",K475="CANCELLED")),"INVOICE STATUS REQUIRED",IF(COUNTIFS($A$2:$A$501,A475,$B$2:$B$501,B475,$D$2:$D$501,D475)&gt;1,"DUPLICATE INVOICE / PROJECT",IF(AND(G475="MXN",NOT(AND(ISNUMBER(I475),Settings!$B$8="APPROVED",Settings!$B$9&lt;&gt;"",Settings!$B$10&lt;&gt;""))),"FX HOLD","VALID")))))))))))))))</x:f>
      </x:c>
      <x:c r="M475" s="57" t="str">
        <x:f>IF(ISNUMBER(C475),IF(AND(ISNUMBER(C475),C475&gt;=2,C475&lt;=2958465,C475=INT(C475)),TEXT(C475,"yyyy-mm"),""),"")</x:f>
      </x:c>
      <x:c r="N475" s="59" t="str">
        <x:f>IF(L475="VALID",IF(G475="USD",H475,I475),"")</x:f>
      </x:c>
      <x:c r="O475" s="57" t="n">
        <x:f>IF(L475="VALID",IF(COUNTIFS($B$2:B475,B475,$M$2:M475,M475,$L$2:L475,"VALID")=1,1,0),0)</x:f>
        <x:v>0</x:v>
      </x:c>
    </x:row>
    <x:row r="476">
      <x:c r="A476" s="47"/>
      <x:c r="B476" s="47"/>
      <x:c r="C476" s="58"/>
      <x:c r="D476" s="47"/>
      <x:c r="E476" s="47"/>
      <x:c r="F476" s="47"/>
      <x:c r="G476" s="47"/>
      <x:c r="H476" s="48"/>
      <x:c r="I476" s="48"/>
      <x:c r="J476" s="47"/>
      <x:c r="K476" s="47"/>
      <x:c r="L476" s="57" t="str">
        <x:f>IF(COUNTA(A476:K476)=0,"",IF(K476="CANCELLED","CANCELLED",IF(A476="","INVOICE ID REQUIRED",IF(B476="","PROJECT ID REQUIRED",IF(NOT(ISNUMBER(C476)),"INVALID INVOICE DATE",IF(NOT(AND(ISNUMBER(C476),C476&gt;=2,C476&lt;=2958465,C476=INT(C476))),"INVALID INVOICE DATE",IF(NOT(OR(D476="MX",D476="US")),"ENTITY REQUIRED",IF(NOT(OR(E476="Strategic Services",E476="Brands")),"UNIT REQUIRED",IF(F476="","BRAND / N/A REQUIRED",IF(NOT(OR(G476="USD",G476="MXN")),"CURRENCY REQUIRED",IF(NOT(ISNUMBER(H476)),"AMOUNT REQUIRED",IF(J476="","ERP SOURCE REQUIRED",IF(NOT(OR(K476="ISSUED",K476="CANCELLED")),"INVOICE STATUS REQUIRED",IF(COUNTIFS($A$2:$A$501,A476,$B$2:$B$501,B476,$D$2:$D$501,D476)&gt;1,"DUPLICATE INVOICE / PROJECT",IF(AND(G476="MXN",NOT(AND(ISNUMBER(I476),Settings!$B$8="APPROVED",Settings!$B$9&lt;&gt;"",Settings!$B$10&lt;&gt;""))),"FX HOLD","VALID")))))))))))))))</x:f>
      </x:c>
      <x:c r="M476" s="57" t="str">
        <x:f>IF(ISNUMBER(C476),IF(AND(ISNUMBER(C476),C476&gt;=2,C476&lt;=2958465,C476=INT(C476)),TEXT(C476,"yyyy-mm"),""),"")</x:f>
      </x:c>
      <x:c r="N476" s="59" t="str">
        <x:f>IF(L476="VALID",IF(G476="USD",H476,I476),"")</x:f>
      </x:c>
      <x:c r="O476" s="57" t="n">
        <x:f>IF(L476="VALID",IF(COUNTIFS($B$2:B476,B476,$M$2:M476,M476,$L$2:L476,"VALID")=1,1,0),0)</x:f>
        <x:v>0</x:v>
      </x:c>
    </x:row>
    <x:row r="477">
      <x:c r="A477" s="47"/>
      <x:c r="B477" s="47"/>
      <x:c r="C477" s="58"/>
      <x:c r="D477" s="47"/>
      <x:c r="E477" s="47"/>
      <x:c r="F477" s="47"/>
      <x:c r="G477" s="47"/>
      <x:c r="H477" s="48"/>
      <x:c r="I477" s="48"/>
      <x:c r="J477" s="47"/>
      <x:c r="K477" s="47"/>
      <x:c r="L477" s="57" t="str">
        <x:f>IF(COUNTA(A477:K477)=0,"",IF(K477="CANCELLED","CANCELLED",IF(A477="","INVOICE ID REQUIRED",IF(B477="","PROJECT ID REQUIRED",IF(NOT(ISNUMBER(C477)),"INVALID INVOICE DATE",IF(NOT(AND(ISNUMBER(C477),C477&gt;=2,C477&lt;=2958465,C477=INT(C477))),"INVALID INVOICE DATE",IF(NOT(OR(D477="MX",D477="US")),"ENTITY REQUIRED",IF(NOT(OR(E477="Strategic Services",E477="Brands")),"UNIT REQUIRED",IF(F477="","BRAND / N/A REQUIRED",IF(NOT(OR(G477="USD",G477="MXN")),"CURRENCY REQUIRED",IF(NOT(ISNUMBER(H477)),"AMOUNT REQUIRED",IF(J477="","ERP SOURCE REQUIRED",IF(NOT(OR(K477="ISSUED",K477="CANCELLED")),"INVOICE STATUS REQUIRED",IF(COUNTIFS($A$2:$A$501,A477,$B$2:$B$501,B477,$D$2:$D$501,D477)&gt;1,"DUPLICATE INVOICE / PROJECT",IF(AND(G477="MXN",NOT(AND(ISNUMBER(I477),Settings!$B$8="APPROVED",Settings!$B$9&lt;&gt;"",Settings!$B$10&lt;&gt;""))),"FX HOLD","VALID")))))))))))))))</x:f>
      </x:c>
      <x:c r="M477" s="57" t="str">
        <x:f>IF(ISNUMBER(C477),IF(AND(ISNUMBER(C477),C477&gt;=2,C477&lt;=2958465,C477=INT(C477)),TEXT(C477,"yyyy-mm"),""),"")</x:f>
      </x:c>
      <x:c r="N477" s="59" t="str">
        <x:f>IF(L477="VALID",IF(G477="USD",H477,I477),"")</x:f>
      </x:c>
      <x:c r="O477" s="57" t="n">
        <x:f>IF(L477="VALID",IF(COUNTIFS($B$2:B477,B477,$M$2:M477,M477,$L$2:L477,"VALID")=1,1,0),0)</x:f>
        <x:v>0</x:v>
      </x:c>
    </x:row>
    <x:row r="478">
      <x:c r="A478" s="47"/>
      <x:c r="B478" s="47"/>
      <x:c r="C478" s="58"/>
      <x:c r="D478" s="47"/>
      <x:c r="E478" s="47"/>
      <x:c r="F478" s="47"/>
      <x:c r="G478" s="47"/>
      <x:c r="H478" s="48"/>
      <x:c r="I478" s="48"/>
      <x:c r="J478" s="47"/>
      <x:c r="K478" s="47"/>
      <x:c r="L478" s="57" t="str">
        <x:f>IF(COUNTA(A478:K478)=0,"",IF(K478="CANCELLED","CANCELLED",IF(A478="","INVOICE ID REQUIRED",IF(B478="","PROJECT ID REQUIRED",IF(NOT(ISNUMBER(C478)),"INVALID INVOICE DATE",IF(NOT(AND(ISNUMBER(C478),C478&gt;=2,C478&lt;=2958465,C478=INT(C478))),"INVALID INVOICE DATE",IF(NOT(OR(D478="MX",D478="US")),"ENTITY REQUIRED",IF(NOT(OR(E478="Strategic Services",E478="Brands")),"UNIT REQUIRED",IF(F478="","BRAND / N/A REQUIRED",IF(NOT(OR(G478="USD",G478="MXN")),"CURRENCY REQUIRED",IF(NOT(ISNUMBER(H478)),"AMOUNT REQUIRED",IF(J478="","ERP SOURCE REQUIRED",IF(NOT(OR(K478="ISSUED",K478="CANCELLED")),"INVOICE STATUS REQUIRED",IF(COUNTIFS($A$2:$A$501,A478,$B$2:$B$501,B478,$D$2:$D$501,D478)&gt;1,"DUPLICATE INVOICE / PROJECT",IF(AND(G478="MXN",NOT(AND(ISNUMBER(I478),Settings!$B$8="APPROVED",Settings!$B$9&lt;&gt;"",Settings!$B$10&lt;&gt;""))),"FX HOLD","VALID")))))))))))))))</x:f>
      </x:c>
      <x:c r="M478" s="57" t="str">
        <x:f>IF(ISNUMBER(C478),IF(AND(ISNUMBER(C478),C478&gt;=2,C478&lt;=2958465,C478=INT(C478)),TEXT(C478,"yyyy-mm"),""),"")</x:f>
      </x:c>
      <x:c r="N478" s="59" t="str">
        <x:f>IF(L478="VALID",IF(G478="USD",H478,I478),"")</x:f>
      </x:c>
      <x:c r="O478" s="57" t="n">
        <x:f>IF(L478="VALID",IF(COUNTIFS($B$2:B478,B478,$M$2:M478,M478,$L$2:L478,"VALID")=1,1,0),0)</x:f>
        <x:v>0</x:v>
      </x:c>
    </x:row>
    <x:row r="479">
      <x:c r="A479" s="47"/>
      <x:c r="B479" s="47"/>
      <x:c r="C479" s="58"/>
      <x:c r="D479" s="47"/>
      <x:c r="E479" s="47"/>
      <x:c r="F479" s="47"/>
      <x:c r="G479" s="47"/>
      <x:c r="H479" s="48"/>
      <x:c r="I479" s="48"/>
      <x:c r="J479" s="47"/>
      <x:c r="K479" s="47"/>
      <x:c r="L479" s="57" t="str">
        <x:f>IF(COUNTA(A479:K479)=0,"",IF(K479="CANCELLED","CANCELLED",IF(A479="","INVOICE ID REQUIRED",IF(B479="","PROJECT ID REQUIRED",IF(NOT(ISNUMBER(C479)),"INVALID INVOICE DATE",IF(NOT(AND(ISNUMBER(C479),C479&gt;=2,C479&lt;=2958465,C479=INT(C479))),"INVALID INVOICE DATE",IF(NOT(OR(D479="MX",D479="US")),"ENTITY REQUIRED",IF(NOT(OR(E479="Strategic Services",E479="Brands")),"UNIT REQUIRED",IF(F479="","BRAND / N/A REQUIRED",IF(NOT(OR(G479="USD",G479="MXN")),"CURRENCY REQUIRED",IF(NOT(ISNUMBER(H479)),"AMOUNT REQUIRED",IF(J479="","ERP SOURCE REQUIRED",IF(NOT(OR(K479="ISSUED",K479="CANCELLED")),"INVOICE STATUS REQUIRED",IF(COUNTIFS($A$2:$A$501,A479,$B$2:$B$501,B479,$D$2:$D$501,D479)&gt;1,"DUPLICATE INVOICE / PROJECT",IF(AND(G479="MXN",NOT(AND(ISNUMBER(I479),Settings!$B$8="APPROVED",Settings!$B$9&lt;&gt;"",Settings!$B$10&lt;&gt;""))),"FX HOLD","VALID")))))))))))))))</x:f>
      </x:c>
      <x:c r="M479" s="57" t="str">
        <x:f>IF(ISNUMBER(C479),IF(AND(ISNUMBER(C479),C479&gt;=2,C479&lt;=2958465,C479=INT(C479)),TEXT(C479,"yyyy-mm"),""),"")</x:f>
      </x:c>
      <x:c r="N479" s="59" t="str">
        <x:f>IF(L479="VALID",IF(G479="USD",H479,I479),"")</x:f>
      </x:c>
      <x:c r="O479" s="57" t="n">
        <x:f>IF(L479="VALID",IF(COUNTIFS($B$2:B479,B479,$M$2:M479,M479,$L$2:L479,"VALID")=1,1,0),0)</x:f>
        <x:v>0</x:v>
      </x:c>
    </x:row>
    <x:row r="480">
      <x:c r="A480" s="47"/>
      <x:c r="B480" s="47"/>
      <x:c r="C480" s="58"/>
      <x:c r="D480" s="47"/>
      <x:c r="E480" s="47"/>
      <x:c r="F480" s="47"/>
      <x:c r="G480" s="47"/>
      <x:c r="H480" s="48"/>
      <x:c r="I480" s="48"/>
      <x:c r="J480" s="47"/>
      <x:c r="K480" s="47"/>
      <x:c r="L480" s="57" t="str">
        <x:f>IF(COUNTA(A480:K480)=0,"",IF(K480="CANCELLED","CANCELLED",IF(A480="","INVOICE ID REQUIRED",IF(B480="","PROJECT ID REQUIRED",IF(NOT(ISNUMBER(C480)),"INVALID INVOICE DATE",IF(NOT(AND(ISNUMBER(C480),C480&gt;=2,C480&lt;=2958465,C480=INT(C480))),"INVALID INVOICE DATE",IF(NOT(OR(D480="MX",D480="US")),"ENTITY REQUIRED",IF(NOT(OR(E480="Strategic Services",E480="Brands")),"UNIT REQUIRED",IF(F480="","BRAND / N/A REQUIRED",IF(NOT(OR(G480="USD",G480="MXN")),"CURRENCY REQUIRED",IF(NOT(ISNUMBER(H480)),"AMOUNT REQUIRED",IF(J480="","ERP SOURCE REQUIRED",IF(NOT(OR(K480="ISSUED",K480="CANCELLED")),"INVOICE STATUS REQUIRED",IF(COUNTIFS($A$2:$A$501,A480,$B$2:$B$501,B480,$D$2:$D$501,D480)&gt;1,"DUPLICATE INVOICE / PROJECT",IF(AND(G480="MXN",NOT(AND(ISNUMBER(I480),Settings!$B$8="APPROVED",Settings!$B$9&lt;&gt;"",Settings!$B$10&lt;&gt;""))),"FX HOLD","VALID")))))))))))))))</x:f>
      </x:c>
      <x:c r="M480" s="57" t="str">
        <x:f>IF(ISNUMBER(C480),IF(AND(ISNUMBER(C480),C480&gt;=2,C480&lt;=2958465,C480=INT(C480)),TEXT(C480,"yyyy-mm"),""),"")</x:f>
      </x:c>
      <x:c r="N480" s="59" t="str">
        <x:f>IF(L480="VALID",IF(G480="USD",H480,I480),"")</x:f>
      </x:c>
      <x:c r="O480" s="57" t="n">
        <x:f>IF(L480="VALID",IF(COUNTIFS($B$2:B480,B480,$M$2:M480,M480,$L$2:L480,"VALID")=1,1,0),0)</x:f>
        <x:v>0</x:v>
      </x:c>
    </x:row>
    <x:row r="481">
      <x:c r="A481" s="47"/>
      <x:c r="B481" s="47"/>
      <x:c r="C481" s="58"/>
      <x:c r="D481" s="47"/>
      <x:c r="E481" s="47"/>
      <x:c r="F481" s="47"/>
      <x:c r="G481" s="47"/>
      <x:c r="H481" s="48"/>
      <x:c r="I481" s="48"/>
      <x:c r="J481" s="47"/>
      <x:c r="K481" s="47"/>
      <x:c r="L481" s="57" t="str">
        <x:f>IF(COUNTA(A481:K481)=0,"",IF(K481="CANCELLED","CANCELLED",IF(A481="","INVOICE ID REQUIRED",IF(B481="","PROJECT ID REQUIRED",IF(NOT(ISNUMBER(C481)),"INVALID INVOICE DATE",IF(NOT(AND(ISNUMBER(C481),C481&gt;=2,C481&lt;=2958465,C481=INT(C481))),"INVALID INVOICE DATE",IF(NOT(OR(D481="MX",D481="US")),"ENTITY REQUIRED",IF(NOT(OR(E481="Strategic Services",E481="Brands")),"UNIT REQUIRED",IF(F481="","BRAND / N/A REQUIRED",IF(NOT(OR(G481="USD",G481="MXN")),"CURRENCY REQUIRED",IF(NOT(ISNUMBER(H481)),"AMOUNT REQUIRED",IF(J481="","ERP SOURCE REQUIRED",IF(NOT(OR(K481="ISSUED",K481="CANCELLED")),"INVOICE STATUS REQUIRED",IF(COUNTIFS($A$2:$A$501,A481,$B$2:$B$501,B481,$D$2:$D$501,D481)&gt;1,"DUPLICATE INVOICE / PROJECT",IF(AND(G481="MXN",NOT(AND(ISNUMBER(I481),Settings!$B$8="APPROVED",Settings!$B$9&lt;&gt;"",Settings!$B$10&lt;&gt;""))),"FX HOLD","VALID")))))))))))))))</x:f>
      </x:c>
      <x:c r="M481" s="57" t="str">
        <x:f>IF(ISNUMBER(C481),IF(AND(ISNUMBER(C481),C481&gt;=2,C481&lt;=2958465,C481=INT(C481)),TEXT(C481,"yyyy-mm"),""),"")</x:f>
      </x:c>
      <x:c r="N481" s="59" t="str">
        <x:f>IF(L481="VALID",IF(G481="USD",H481,I481),"")</x:f>
      </x:c>
      <x:c r="O481" s="57" t="n">
        <x:f>IF(L481="VALID",IF(COUNTIFS($B$2:B481,B481,$M$2:M481,M481,$L$2:L481,"VALID")=1,1,0),0)</x:f>
        <x:v>0</x:v>
      </x:c>
    </x:row>
    <x:row r="482">
      <x:c r="A482" s="47"/>
      <x:c r="B482" s="47"/>
      <x:c r="C482" s="58"/>
      <x:c r="D482" s="47"/>
      <x:c r="E482" s="47"/>
      <x:c r="F482" s="47"/>
      <x:c r="G482" s="47"/>
      <x:c r="H482" s="48"/>
      <x:c r="I482" s="48"/>
      <x:c r="J482" s="47"/>
      <x:c r="K482" s="47"/>
      <x:c r="L482" s="57" t="str">
        <x:f>IF(COUNTA(A482:K482)=0,"",IF(K482="CANCELLED","CANCELLED",IF(A482="","INVOICE ID REQUIRED",IF(B482="","PROJECT ID REQUIRED",IF(NOT(ISNUMBER(C482)),"INVALID INVOICE DATE",IF(NOT(AND(ISNUMBER(C482),C482&gt;=2,C482&lt;=2958465,C482=INT(C482))),"INVALID INVOICE DATE",IF(NOT(OR(D482="MX",D482="US")),"ENTITY REQUIRED",IF(NOT(OR(E482="Strategic Services",E482="Brands")),"UNIT REQUIRED",IF(F482="","BRAND / N/A REQUIRED",IF(NOT(OR(G482="USD",G482="MXN")),"CURRENCY REQUIRED",IF(NOT(ISNUMBER(H482)),"AMOUNT REQUIRED",IF(J482="","ERP SOURCE REQUIRED",IF(NOT(OR(K482="ISSUED",K482="CANCELLED")),"INVOICE STATUS REQUIRED",IF(COUNTIFS($A$2:$A$501,A482,$B$2:$B$501,B482,$D$2:$D$501,D482)&gt;1,"DUPLICATE INVOICE / PROJECT",IF(AND(G482="MXN",NOT(AND(ISNUMBER(I482),Settings!$B$8="APPROVED",Settings!$B$9&lt;&gt;"",Settings!$B$10&lt;&gt;""))),"FX HOLD","VALID")))))))))))))))</x:f>
      </x:c>
      <x:c r="M482" s="57" t="str">
        <x:f>IF(ISNUMBER(C482),IF(AND(ISNUMBER(C482),C482&gt;=2,C482&lt;=2958465,C482=INT(C482)),TEXT(C482,"yyyy-mm"),""),"")</x:f>
      </x:c>
      <x:c r="N482" s="59" t="str">
        <x:f>IF(L482="VALID",IF(G482="USD",H482,I482),"")</x:f>
      </x:c>
      <x:c r="O482" s="57" t="n">
        <x:f>IF(L482="VALID",IF(COUNTIFS($B$2:B482,B482,$M$2:M482,M482,$L$2:L482,"VALID")=1,1,0),0)</x:f>
        <x:v>0</x:v>
      </x:c>
    </x:row>
    <x:row r="483">
      <x:c r="A483" s="47"/>
      <x:c r="B483" s="47"/>
      <x:c r="C483" s="58"/>
      <x:c r="D483" s="47"/>
      <x:c r="E483" s="47"/>
      <x:c r="F483" s="47"/>
      <x:c r="G483" s="47"/>
      <x:c r="H483" s="48"/>
      <x:c r="I483" s="48"/>
      <x:c r="J483" s="47"/>
      <x:c r="K483" s="47"/>
      <x:c r="L483" s="57" t="str">
        <x:f>IF(COUNTA(A483:K483)=0,"",IF(K483="CANCELLED","CANCELLED",IF(A483="","INVOICE ID REQUIRED",IF(B483="","PROJECT ID REQUIRED",IF(NOT(ISNUMBER(C483)),"INVALID INVOICE DATE",IF(NOT(AND(ISNUMBER(C483),C483&gt;=2,C483&lt;=2958465,C483=INT(C483))),"INVALID INVOICE DATE",IF(NOT(OR(D483="MX",D483="US")),"ENTITY REQUIRED",IF(NOT(OR(E483="Strategic Services",E483="Brands")),"UNIT REQUIRED",IF(F483="","BRAND / N/A REQUIRED",IF(NOT(OR(G483="USD",G483="MXN")),"CURRENCY REQUIRED",IF(NOT(ISNUMBER(H483)),"AMOUNT REQUIRED",IF(J483="","ERP SOURCE REQUIRED",IF(NOT(OR(K483="ISSUED",K483="CANCELLED")),"INVOICE STATUS REQUIRED",IF(COUNTIFS($A$2:$A$501,A483,$B$2:$B$501,B483,$D$2:$D$501,D483)&gt;1,"DUPLICATE INVOICE / PROJECT",IF(AND(G483="MXN",NOT(AND(ISNUMBER(I483),Settings!$B$8="APPROVED",Settings!$B$9&lt;&gt;"",Settings!$B$10&lt;&gt;""))),"FX HOLD","VALID")))))))))))))))</x:f>
      </x:c>
      <x:c r="M483" s="57" t="str">
        <x:f>IF(ISNUMBER(C483),IF(AND(ISNUMBER(C483),C483&gt;=2,C483&lt;=2958465,C483=INT(C483)),TEXT(C483,"yyyy-mm"),""),"")</x:f>
      </x:c>
      <x:c r="N483" s="59" t="str">
        <x:f>IF(L483="VALID",IF(G483="USD",H483,I483),"")</x:f>
      </x:c>
      <x:c r="O483" s="57" t="n">
        <x:f>IF(L483="VALID",IF(COUNTIFS($B$2:B483,B483,$M$2:M483,M483,$L$2:L483,"VALID")=1,1,0),0)</x:f>
        <x:v>0</x:v>
      </x:c>
    </x:row>
    <x:row r="484">
      <x:c r="A484" s="47"/>
      <x:c r="B484" s="47"/>
      <x:c r="C484" s="58"/>
      <x:c r="D484" s="47"/>
      <x:c r="E484" s="47"/>
      <x:c r="F484" s="47"/>
      <x:c r="G484" s="47"/>
      <x:c r="H484" s="48"/>
      <x:c r="I484" s="48"/>
      <x:c r="J484" s="47"/>
      <x:c r="K484" s="47"/>
      <x:c r="L484" s="57" t="str">
        <x:f>IF(COUNTA(A484:K484)=0,"",IF(K484="CANCELLED","CANCELLED",IF(A484="","INVOICE ID REQUIRED",IF(B484="","PROJECT ID REQUIRED",IF(NOT(ISNUMBER(C484)),"INVALID INVOICE DATE",IF(NOT(AND(ISNUMBER(C484),C484&gt;=2,C484&lt;=2958465,C484=INT(C484))),"INVALID INVOICE DATE",IF(NOT(OR(D484="MX",D484="US")),"ENTITY REQUIRED",IF(NOT(OR(E484="Strategic Services",E484="Brands")),"UNIT REQUIRED",IF(F484="","BRAND / N/A REQUIRED",IF(NOT(OR(G484="USD",G484="MXN")),"CURRENCY REQUIRED",IF(NOT(ISNUMBER(H484)),"AMOUNT REQUIRED",IF(J484="","ERP SOURCE REQUIRED",IF(NOT(OR(K484="ISSUED",K484="CANCELLED")),"INVOICE STATUS REQUIRED",IF(COUNTIFS($A$2:$A$501,A484,$B$2:$B$501,B484,$D$2:$D$501,D484)&gt;1,"DUPLICATE INVOICE / PROJECT",IF(AND(G484="MXN",NOT(AND(ISNUMBER(I484),Settings!$B$8="APPROVED",Settings!$B$9&lt;&gt;"",Settings!$B$10&lt;&gt;""))),"FX HOLD","VALID")))))))))))))))</x:f>
      </x:c>
      <x:c r="M484" s="57" t="str">
        <x:f>IF(ISNUMBER(C484),IF(AND(ISNUMBER(C484),C484&gt;=2,C484&lt;=2958465,C484=INT(C484)),TEXT(C484,"yyyy-mm"),""),"")</x:f>
      </x:c>
      <x:c r="N484" s="59" t="str">
        <x:f>IF(L484="VALID",IF(G484="USD",H484,I484),"")</x:f>
      </x:c>
      <x:c r="O484" s="57" t="n">
        <x:f>IF(L484="VALID",IF(COUNTIFS($B$2:B484,B484,$M$2:M484,M484,$L$2:L484,"VALID")=1,1,0),0)</x:f>
        <x:v>0</x:v>
      </x:c>
    </x:row>
    <x:row r="485">
      <x:c r="A485" s="47"/>
      <x:c r="B485" s="47"/>
      <x:c r="C485" s="58"/>
      <x:c r="D485" s="47"/>
      <x:c r="E485" s="47"/>
      <x:c r="F485" s="47"/>
      <x:c r="G485" s="47"/>
      <x:c r="H485" s="48"/>
      <x:c r="I485" s="48"/>
      <x:c r="J485" s="47"/>
      <x:c r="K485" s="47"/>
      <x:c r="L485" s="57" t="str">
        <x:f>IF(COUNTA(A485:K485)=0,"",IF(K485="CANCELLED","CANCELLED",IF(A485="","INVOICE ID REQUIRED",IF(B485="","PROJECT ID REQUIRED",IF(NOT(ISNUMBER(C485)),"INVALID INVOICE DATE",IF(NOT(AND(ISNUMBER(C485),C485&gt;=2,C485&lt;=2958465,C485=INT(C485))),"INVALID INVOICE DATE",IF(NOT(OR(D485="MX",D485="US")),"ENTITY REQUIRED",IF(NOT(OR(E485="Strategic Services",E485="Brands")),"UNIT REQUIRED",IF(F485="","BRAND / N/A REQUIRED",IF(NOT(OR(G485="USD",G485="MXN")),"CURRENCY REQUIRED",IF(NOT(ISNUMBER(H485)),"AMOUNT REQUIRED",IF(J485="","ERP SOURCE REQUIRED",IF(NOT(OR(K485="ISSUED",K485="CANCELLED")),"INVOICE STATUS REQUIRED",IF(COUNTIFS($A$2:$A$501,A485,$B$2:$B$501,B485,$D$2:$D$501,D485)&gt;1,"DUPLICATE INVOICE / PROJECT",IF(AND(G485="MXN",NOT(AND(ISNUMBER(I485),Settings!$B$8="APPROVED",Settings!$B$9&lt;&gt;"",Settings!$B$10&lt;&gt;""))),"FX HOLD","VALID")))))))))))))))</x:f>
      </x:c>
      <x:c r="M485" s="57" t="str">
        <x:f>IF(ISNUMBER(C485),IF(AND(ISNUMBER(C485),C485&gt;=2,C485&lt;=2958465,C485=INT(C485)),TEXT(C485,"yyyy-mm"),""),"")</x:f>
      </x:c>
      <x:c r="N485" s="59" t="str">
        <x:f>IF(L485="VALID",IF(G485="USD",H485,I485),"")</x:f>
      </x:c>
      <x:c r="O485" s="57" t="n">
        <x:f>IF(L485="VALID",IF(COUNTIFS($B$2:B485,B485,$M$2:M485,M485,$L$2:L485,"VALID")=1,1,0),0)</x:f>
        <x:v>0</x:v>
      </x:c>
    </x:row>
    <x:row r="486">
      <x:c r="A486" s="47"/>
      <x:c r="B486" s="47"/>
      <x:c r="C486" s="58"/>
      <x:c r="D486" s="47"/>
      <x:c r="E486" s="47"/>
      <x:c r="F486" s="47"/>
      <x:c r="G486" s="47"/>
      <x:c r="H486" s="48"/>
      <x:c r="I486" s="48"/>
      <x:c r="J486" s="47"/>
      <x:c r="K486" s="47"/>
      <x:c r="L486" s="57" t="str">
        <x:f>IF(COUNTA(A486:K486)=0,"",IF(K486="CANCELLED","CANCELLED",IF(A486="","INVOICE ID REQUIRED",IF(B486="","PROJECT ID REQUIRED",IF(NOT(ISNUMBER(C486)),"INVALID INVOICE DATE",IF(NOT(AND(ISNUMBER(C486),C486&gt;=2,C486&lt;=2958465,C486=INT(C486))),"INVALID INVOICE DATE",IF(NOT(OR(D486="MX",D486="US")),"ENTITY REQUIRED",IF(NOT(OR(E486="Strategic Services",E486="Brands")),"UNIT REQUIRED",IF(F486="","BRAND / N/A REQUIRED",IF(NOT(OR(G486="USD",G486="MXN")),"CURRENCY REQUIRED",IF(NOT(ISNUMBER(H486)),"AMOUNT REQUIRED",IF(J486="","ERP SOURCE REQUIRED",IF(NOT(OR(K486="ISSUED",K486="CANCELLED")),"INVOICE STATUS REQUIRED",IF(COUNTIFS($A$2:$A$501,A486,$B$2:$B$501,B486,$D$2:$D$501,D486)&gt;1,"DUPLICATE INVOICE / PROJECT",IF(AND(G486="MXN",NOT(AND(ISNUMBER(I486),Settings!$B$8="APPROVED",Settings!$B$9&lt;&gt;"",Settings!$B$10&lt;&gt;""))),"FX HOLD","VALID")))))))))))))))</x:f>
      </x:c>
      <x:c r="M486" s="57" t="str">
        <x:f>IF(ISNUMBER(C486),IF(AND(ISNUMBER(C486),C486&gt;=2,C486&lt;=2958465,C486=INT(C486)),TEXT(C486,"yyyy-mm"),""),"")</x:f>
      </x:c>
      <x:c r="N486" s="59" t="str">
        <x:f>IF(L486="VALID",IF(G486="USD",H486,I486),"")</x:f>
      </x:c>
      <x:c r="O486" s="57" t="n">
        <x:f>IF(L486="VALID",IF(COUNTIFS($B$2:B486,B486,$M$2:M486,M486,$L$2:L486,"VALID")=1,1,0),0)</x:f>
        <x:v>0</x:v>
      </x:c>
    </x:row>
    <x:row r="487">
      <x:c r="A487" s="47"/>
      <x:c r="B487" s="47"/>
      <x:c r="C487" s="58"/>
      <x:c r="D487" s="47"/>
      <x:c r="E487" s="47"/>
      <x:c r="F487" s="47"/>
      <x:c r="G487" s="47"/>
      <x:c r="H487" s="48"/>
      <x:c r="I487" s="48"/>
      <x:c r="J487" s="47"/>
      <x:c r="K487" s="47"/>
      <x:c r="L487" s="57" t="str">
        <x:f>IF(COUNTA(A487:K487)=0,"",IF(K487="CANCELLED","CANCELLED",IF(A487="","INVOICE ID REQUIRED",IF(B487="","PROJECT ID REQUIRED",IF(NOT(ISNUMBER(C487)),"INVALID INVOICE DATE",IF(NOT(AND(ISNUMBER(C487),C487&gt;=2,C487&lt;=2958465,C487=INT(C487))),"INVALID INVOICE DATE",IF(NOT(OR(D487="MX",D487="US")),"ENTITY REQUIRED",IF(NOT(OR(E487="Strategic Services",E487="Brands")),"UNIT REQUIRED",IF(F487="","BRAND / N/A REQUIRED",IF(NOT(OR(G487="USD",G487="MXN")),"CURRENCY REQUIRED",IF(NOT(ISNUMBER(H487)),"AMOUNT REQUIRED",IF(J487="","ERP SOURCE REQUIRED",IF(NOT(OR(K487="ISSUED",K487="CANCELLED")),"INVOICE STATUS REQUIRED",IF(COUNTIFS($A$2:$A$501,A487,$B$2:$B$501,B487,$D$2:$D$501,D487)&gt;1,"DUPLICATE INVOICE / PROJECT",IF(AND(G487="MXN",NOT(AND(ISNUMBER(I487),Settings!$B$8="APPROVED",Settings!$B$9&lt;&gt;"",Settings!$B$10&lt;&gt;""))),"FX HOLD","VALID")))))))))))))))</x:f>
      </x:c>
      <x:c r="M487" s="57" t="str">
        <x:f>IF(ISNUMBER(C487),IF(AND(ISNUMBER(C487),C487&gt;=2,C487&lt;=2958465,C487=INT(C487)),TEXT(C487,"yyyy-mm"),""),"")</x:f>
      </x:c>
      <x:c r="N487" s="59" t="str">
        <x:f>IF(L487="VALID",IF(G487="USD",H487,I487),"")</x:f>
      </x:c>
      <x:c r="O487" s="57" t="n">
        <x:f>IF(L487="VALID",IF(COUNTIFS($B$2:B487,B487,$M$2:M487,M487,$L$2:L487,"VALID")=1,1,0),0)</x:f>
        <x:v>0</x:v>
      </x:c>
    </x:row>
    <x:row r="488">
      <x:c r="A488" s="47"/>
      <x:c r="B488" s="47"/>
      <x:c r="C488" s="58"/>
      <x:c r="D488" s="47"/>
      <x:c r="E488" s="47"/>
      <x:c r="F488" s="47"/>
      <x:c r="G488" s="47"/>
      <x:c r="H488" s="48"/>
      <x:c r="I488" s="48"/>
      <x:c r="J488" s="47"/>
      <x:c r="K488" s="47"/>
      <x:c r="L488" s="57" t="str">
        <x:f>IF(COUNTA(A488:K488)=0,"",IF(K488="CANCELLED","CANCELLED",IF(A488="","INVOICE ID REQUIRED",IF(B488="","PROJECT ID REQUIRED",IF(NOT(ISNUMBER(C488)),"INVALID INVOICE DATE",IF(NOT(AND(ISNUMBER(C488),C488&gt;=2,C488&lt;=2958465,C488=INT(C488))),"INVALID INVOICE DATE",IF(NOT(OR(D488="MX",D488="US")),"ENTITY REQUIRED",IF(NOT(OR(E488="Strategic Services",E488="Brands")),"UNIT REQUIRED",IF(F488="","BRAND / N/A REQUIRED",IF(NOT(OR(G488="USD",G488="MXN")),"CURRENCY REQUIRED",IF(NOT(ISNUMBER(H488)),"AMOUNT REQUIRED",IF(J488="","ERP SOURCE REQUIRED",IF(NOT(OR(K488="ISSUED",K488="CANCELLED")),"INVOICE STATUS REQUIRED",IF(COUNTIFS($A$2:$A$501,A488,$B$2:$B$501,B488,$D$2:$D$501,D488)&gt;1,"DUPLICATE INVOICE / PROJECT",IF(AND(G488="MXN",NOT(AND(ISNUMBER(I488),Settings!$B$8="APPROVED",Settings!$B$9&lt;&gt;"",Settings!$B$10&lt;&gt;""))),"FX HOLD","VALID")))))))))))))))</x:f>
      </x:c>
      <x:c r="M488" s="57" t="str">
        <x:f>IF(ISNUMBER(C488),IF(AND(ISNUMBER(C488),C488&gt;=2,C488&lt;=2958465,C488=INT(C488)),TEXT(C488,"yyyy-mm"),""),"")</x:f>
      </x:c>
      <x:c r="N488" s="59" t="str">
        <x:f>IF(L488="VALID",IF(G488="USD",H488,I488),"")</x:f>
      </x:c>
      <x:c r="O488" s="57" t="n">
        <x:f>IF(L488="VALID",IF(COUNTIFS($B$2:B488,B488,$M$2:M488,M488,$L$2:L488,"VALID")=1,1,0),0)</x:f>
        <x:v>0</x:v>
      </x:c>
    </x:row>
    <x:row r="489">
      <x:c r="A489" s="47"/>
      <x:c r="B489" s="47"/>
      <x:c r="C489" s="58"/>
      <x:c r="D489" s="47"/>
      <x:c r="E489" s="47"/>
      <x:c r="F489" s="47"/>
      <x:c r="G489" s="47"/>
      <x:c r="H489" s="48"/>
      <x:c r="I489" s="48"/>
      <x:c r="J489" s="47"/>
      <x:c r="K489" s="47"/>
      <x:c r="L489" s="57" t="str">
        <x:f>IF(COUNTA(A489:K489)=0,"",IF(K489="CANCELLED","CANCELLED",IF(A489="","INVOICE ID REQUIRED",IF(B489="","PROJECT ID REQUIRED",IF(NOT(ISNUMBER(C489)),"INVALID INVOICE DATE",IF(NOT(AND(ISNUMBER(C489),C489&gt;=2,C489&lt;=2958465,C489=INT(C489))),"INVALID INVOICE DATE",IF(NOT(OR(D489="MX",D489="US")),"ENTITY REQUIRED",IF(NOT(OR(E489="Strategic Services",E489="Brands")),"UNIT REQUIRED",IF(F489="","BRAND / N/A REQUIRED",IF(NOT(OR(G489="USD",G489="MXN")),"CURRENCY REQUIRED",IF(NOT(ISNUMBER(H489)),"AMOUNT REQUIRED",IF(J489="","ERP SOURCE REQUIRED",IF(NOT(OR(K489="ISSUED",K489="CANCELLED")),"INVOICE STATUS REQUIRED",IF(COUNTIFS($A$2:$A$501,A489,$B$2:$B$501,B489,$D$2:$D$501,D489)&gt;1,"DUPLICATE INVOICE / PROJECT",IF(AND(G489="MXN",NOT(AND(ISNUMBER(I489),Settings!$B$8="APPROVED",Settings!$B$9&lt;&gt;"",Settings!$B$10&lt;&gt;""))),"FX HOLD","VALID")))))))))))))))</x:f>
      </x:c>
      <x:c r="M489" s="57" t="str">
        <x:f>IF(ISNUMBER(C489),IF(AND(ISNUMBER(C489),C489&gt;=2,C489&lt;=2958465,C489=INT(C489)),TEXT(C489,"yyyy-mm"),""),"")</x:f>
      </x:c>
      <x:c r="N489" s="59" t="str">
        <x:f>IF(L489="VALID",IF(G489="USD",H489,I489),"")</x:f>
      </x:c>
      <x:c r="O489" s="57" t="n">
        <x:f>IF(L489="VALID",IF(COUNTIFS($B$2:B489,B489,$M$2:M489,M489,$L$2:L489,"VALID")=1,1,0),0)</x:f>
        <x:v>0</x:v>
      </x:c>
    </x:row>
    <x:row r="490">
      <x:c r="A490" s="47"/>
      <x:c r="B490" s="47"/>
      <x:c r="C490" s="58"/>
      <x:c r="D490" s="47"/>
      <x:c r="E490" s="47"/>
      <x:c r="F490" s="47"/>
      <x:c r="G490" s="47"/>
      <x:c r="H490" s="48"/>
      <x:c r="I490" s="48"/>
      <x:c r="J490" s="47"/>
      <x:c r="K490" s="47"/>
      <x:c r="L490" s="57" t="str">
        <x:f>IF(COUNTA(A490:K490)=0,"",IF(K490="CANCELLED","CANCELLED",IF(A490="","INVOICE ID REQUIRED",IF(B490="","PROJECT ID REQUIRED",IF(NOT(ISNUMBER(C490)),"INVALID INVOICE DATE",IF(NOT(AND(ISNUMBER(C490),C490&gt;=2,C490&lt;=2958465,C490=INT(C490))),"INVALID INVOICE DATE",IF(NOT(OR(D490="MX",D490="US")),"ENTITY REQUIRED",IF(NOT(OR(E490="Strategic Services",E490="Brands")),"UNIT REQUIRED",IF(F490="","BRAND / N/A REQUIRED",IF(NOT(OR(G490="USD",G490="MXN")),"CURRENCY REQUIRED",IF(NOT(ISNUMBER(H490)),"AMOUNT REQUIRED",IF(J490="","ERP SOURCE REQUIRED",IF(NOT(OR(K490="ISSUED",K490="CANCELLED")),"INVOICE STATUS REQUIRED",IF(COUNTIFS($A$2:$A$501,A490,$B$2:$B$501,B490,$D$2:$D$501,D490)&gt;1,"DUPLICATE INVOICE / PROJECT",IF(AND(G490="MXN",NOT(AND(ISNUMBER(I490),Settings!$B$8="APPROVED",Settings!$B$9&lt;&gt;"",Settings!$B$10&lt;&gt;""))),"FX HOLD","VALID")))))))))))))))</x:f>
      </x:c>
      <x:c r="M490" s="57" t="str">
        <x:f>IF(ISNUMBER(C490),IF(AND(ISNUMBER(C490),C490&gt;=2,C490&lt;=2958465,C490=INT(C490)),TEXT(C490,"yyyy-mm"),""),"")</x:f>
      </x:c>
      <x:c r="N490" s="59" t="str">
        <x:f>IF(L490="VALID",IF(G490="USD",H490,I490),"")</x:f>
      </x:c>
      <x:c r="O490" s="57" t="n">
        <x:f>IF(L490="VALID",IF(COUNTIFS($B$2:B490,B490,$M$2:M490,M490,$L$2:L490,"VALID")=1,1,0),0)</x:f>
        <x:v>0</x:v>
      </x:c>
    </x:row>
    <x:row r="491">
      <x:c r="A491" s="47"/>
      <x:c r="B491" s="47"/>
      <x:c r="C491" s="58"/>
      <x:c r="D491" s="47"/>
      <x:c r="E491" s="47"/>
      <x:c r="F491" s="47"/>
      <x:c r="G491" s="47"/>
      <x:c r="H491" s="48"/>
      <x:c r="I491" s="48"/>
      <x:c r="J491" s="47"/>
      <x:c r="K491" s="47"/>
      <x:c r="L491" s="57" t="str">
        <x:f>IF(COUNTA(A491:K491)=0,"",IF(K491="CANCELLED","CANCELLED",IF(A491="","INVOICE ID REQUIRED",IF(B491="","PROJECT ID REQUIRED",IF(NOT(ISNUMBER(C491)),"INVALID INVOICE DATE",IF(NOT(AND(ISNUMBER(C491),C491&gt;=2,C491&lt;=2958465,C491=INT(C491))),"INVALID INVOICE DATE",IF(NOT(OR(D491="MX",D491="US")),"ENTITY REQUIRED",IF(NOT(OR(E491="Strategic Services",E491="Brands")),"UNIT REQUIRED",IF(F491="","BRAND / N/A REQUIRED",IF(NOT(OR(G491="USD",G491="MXN")),"CURRENCY REQUIRED",IF(NOT(ISNUMBER(H491)),"AMOUNT REQUIRED",IF(J491="","ERP SOURCE REQUIRED",IF(NOT(OR(K491="ISSUED",K491="CANCELLED")),"INVOICE STATUS REQUIRED",IF(COUNTIFS($A$2:$A$501,A491,$B$2:$B$501,B491,$D$2:$D$501,D491)&gt;1,"DUPLICATE INVOICE / PROJECT",IF(AND(G491="MXN",NOT(AND(ISNUMBER(I491),Settings!$B$8="APPROVED",Settings!$B$9&lt;&gt;"",Settings!$B$10&lt;&gt;""))),"FX HOLD","VALID")))))))))))))))</x:f>
      </x:c>
      <x:c r="M491" s="57" t="str">
        <x:f>IF(ISNUMBER(C491),IF(AND(ISNUMBER(C491),C491&gt;=2,C491&lt;=2958465,C491=INT(C491)),TEXT(C491,"yyyy-mm"),""),"")</x:f>
      </x:c>
      <x:c r="N491" s="59" t="str">
        <x:f>IF(L491="VALID",IF(G491="USD",H491,I491),"")</x:f>
      </x:c>
      <x:c r="O491" s="57" t="n">
        <x:f>IF(L491="VALID",IF(COUNTIFS($B$2:B491,B491,$M$2:M491,M491,$L$2:L491,"VALID")=1,1,0),0)</x:f>
        <x:v>0</x:v>
      </x:c>
    </x:row>
    <x:row r="492">
      <x:c r="A492" s="47"/>
      <x:c r="B492" s="47"/>
      <x:c r="C492" s="58"/>
      <x:c r="D492" s="47"/>
      <x:c r="E492" s="47"/>
      <x:c r="F492" s="47"/>
      <x:c r="G492" s="47"/>
      <x:c r="H492" s="48"/>
      <x:c r="I492" s="48"/>
      <x:c r="J492" s="47"/>
      <x:c r="K492" s="47"/>
      <x:c r="L492" s="57" t="str">
        <x:f>IF(COUNTA(A492:K492)=0,"",IF(K492="CANCELLED","CANCELLED",IF(A492="","INVOICE ID REQUIRED",IF(B492="","PROJECT ID REQUIRED",IF(NOT(ISNUMBER(C492)),"INVALID INVOICE DATE",IF(NOT(AND(ISNUMBER(C492),C492&gt;=2,C492&lt;=2958465,C492=INT(C492))),"INVALID INVOICE DATE",IF(NOT(OR(D492="MX",D492="US")),"ENTITY REQUIRED",IF(NOT(OR(E492="Strategic Services",E492="Brands")),"UNIT REQUIRED",IF(F492="","BRAND / N/A REQUIRED",IF(NOT(OR(G492="USD",G492="MXN")),"CURRENCY REQUIRED",IF(NOT(ISNUMBER(H492)),"AMOUNT REQUIRED",IF(J492="","ERP SOURCE REQUIRED",IF(NOT(OR(K492="ISSUED",K492="CANCELLED")),"INVOICE STATUS REQUIRED",IF(COUNTIFS($A$2:$A$501,A492,$B$2:$B$501,B492,$D$2:$D$501,D492)&gt;1,"DUPLICATE INVOICE / PROJECT",IF(AND(G492="MXN",NOT(AND(ISNUMBER(I492),Settings!$B$8="APPROVED",Settings!$B$9&lt;&gt;"",Settings!$B$10&lt;&gt;""))),"FX HOLD","VALID")))))))))))))))</x:f>
      </x:c>
      <x:c r="M492" s="57" t="str">
        <x:f>IF(ISNUMBER(C492),IF(AND(ISNUMBER(C492),C492&gt;=2,C492&lt;=2958465,C492=INT(C492)),TEXT(C492,"yyyy-mm"),""),"")</x:f>
      </x:c>
      <x:c r="N492" s="59" t="str">
        <x:f>IF(L492="VALID",IF(G492="USD",H492,I492),"")</x:f>
      </x:c>
      <x:c r="O492" s="57" t="n">
        <x:f>IF(L492="VALID",IF(COUNTIFS($B$2:B492,B492,$M$2:M492,M492,$L$2:L492,"VALID")=1,1,0),0)</x:f>
        <x:v>0</x:v>
      </x:c>
    </x:row>
    <x:row r="493">
      <x:c r="A493" s="47"/>
      <x:c r="B493" s="47"/>
      <x:c r="C493" s="58"/>
      <x:c r="D493" s="47"/>
      <x:c r="E493" s="47"/>
      <x:c r="F493" s="47"/>
      <x:c r="G493" s="47"/>
      <x:c r="H493" s="48"/>
      <x:c r="I493" s="48"/>
      <x:c r="J493" s="47"/>
      <x:c r="K493" s="47"/>
      <x:c r="L493" s="57" t="str">
        <x:f>IF(COUNTA(A493:K493)=0,"",IF(K493="CANCELLED","CANCELLED",IF(A493="","INVOICE ID REQUIRED",IF(B493="","PROJECT ID REQUIRED",IF(NOT(ISNUMBER(C493)),"INVALID INVOICE DATE",IF(NOT(AND(ISNUMBER(C493),C493&gt;=2,C493&lt;=2958465,C493=INT(C493))),"INVALID INVOICE DATE",IF(NOT(OR(D493="MX",D493="US")),"ENTITY REQUIRED",IF(NOT(OR(E493="Strategic Services",E493="Brands")),"UNIT REQUIRED",IF(F493="","BRAND / N/A REQUIRED",IF(NOT(OR(G493="USD",G493="MXN")),"CURRENCY REQUIRED",IF(NOT(ISNUMBER(H493)),"AMOUNT REQUIRED",IF(J493="","ERP SOURCE REQUIRED",IF(NOT(OR(K493="ISSUED",K493="CANCELLED")),"INVOICE STATUS REQUIRED",IF(COUNTIFS($A$2:$A$501,A493,$B$2:$B$501,B493,$D$2:$D$501,D493)&gt;1,"DUPLICATE INVOICE / PROJECT",IF(AND(G493="MXN",NOT(AND(ISNUMBER(I493),Settings!$B$8="APPROVED",Settings!$B$9&lt;&gt;"",Settings!$B$10&lt;&gt;""))),"FX HOLD","VALID")))))))))))))))</x:f>
      </x:c>
      <x:c r="M493" s="57" t="str">
        <x:f>IF(ISNUMBER(C493),IF(AND(ISNUMBER(C493),C493&gt;=2,C493&lt;=2958465,C493=INT(C493)),TEXT(C493,"yyyy-mm"),""),"")</x:f>
      </x:c>
      <x:c r="N493" s="59" t="str">
        <x:f>IF(L493="VALID",IF(G493="USD",H493,I493),"")</x:f>
      </x:c>
      <x:c r="O493" s="57" t="n">
        <x:f>IF(L493="VALID",IF(COUNTIFS($B$2:B493,B493,$M$2:M493,M493,$L$2:L493,"VALID")=1,1,0),0)</x:f>
        <x:v>0</x:v>
      </x:c>
    </x:row>
    <x:row r="494">
      <x:c r="A494" s="47"/>
      <x:c r="B494" s="47"/>
      <x:c r="C494" s="58"/>
      <x:c r="D494" s="47"/>
      <x:c r="E494" s="47"/>
      <x:c r="F494" s="47"/>
      <x:c r="G494" s="47"/>
      <x:c r="H494" s="48"/>
      <x:c r="I494" s="48"/>
      <x:c r="J494" s="47"/>
      <x:c r="K494" s="47"/>
      <x:c r="L494" s="57" t="str">
        <x:f>IF(COUNTA(A494:K494)=0,"",IF(K494="CANCELLED","CANCELLED",IF(A494="","INVOICE ID REQUIRED",IF(B494="","PROJECT ID REQUIRED",IF(NOT(ISNUMBER(C494)),"INVALID INVOICE DATE",IF(NOT(AND(ISNUMBER(C494),C494&gt;=2,C494&lt;=2958465,C494=INT(C494))),"INVALID INVOICE DATE",IF(NOT(OR(D494="MX",D494="US")),"ENTITY REQUIRED",IF(NOT(OR(E494="Strategic Services",E494="Brands")),"UNIT REQUIRED",IF(F494="","BRAND / N/A REQUIRED",IF(NOT(OR(G494="USD",G494="MXN")),"CURRENCY REQUIRED",IF(NOT(ISNUMBER(H494)),"AMOUNT REQUIRED",IF(J494="","ERP SOURCE REQUIRED",IF(NOT(OR(K494="ISSUED",K494="CANCELLED")),"INVOICE STATUS REQUIRED",IF(COUNTIFS($A$2:$A$501,A494,$B$2:$B$501,B494,$D$2:$D$501,D494)&gt;1,"DUPLICATE INVOICE / PROJECT",IF(AND(G494="MXN",NOT(AND(ISNUMBER(I494),Settings!$B$8="APPROVED",Settings!$B$9&lt;&gt;"",Settings!$B$10&lt;&gt;""))),"FX HOLD","VALID")))))))))))))))</x:f>
      </x:c>
      <x:c r="M494" s="57" t="str">
        <x:f>IF(ISNUMBER(C494),IF(AND(ISNUMBER(C494),C494&gt;=2,C494&lt;=2958465,C494=INT(C494)),TEXT(C494,"yyyy-mm"),""),"")</x:f>
      </x:c>
      <x:c r="N494" s="59" t="str">
        <x:f>IF(L494="VALID",IF(G494="USD",H494,I494),"")</x:f>
      </x:c>
      <x:c r="O494" s="57" t="n">
        <x:f>IF(L494="VALID",IF(COUNTIFS($B$2:B494,B494,$M$2:M494,M494,$L$2:L494,"VALID")=1,1,0),0)</x:f>
        <x:v>0</x:v>
      </x:c>
    </x:row>
    <x:row r="495">
      <x:c r="A495" s="47"/>
      <x:c r="B495" s="47"/>
      <x:c r="C495" s="58"/>
      <x:c r="D495" s="47"/>
      <x:c r="E495" s="47"/>
      <x:c r="F495" s="47"/>
      <x:c r="G495" s="47"/>
      <x:c r="H495" s="48"/>
      <x:c r="I495" s="48"/>
      <x:c r="J495" s="47"/>
      <x:c r="K495" s="47"/>
      <x:c r="L495" s="57" t="str">
        <x:f>IF(COUNTA(A495:K495)=0,"",IF(K495="CANCELLED","CANCELLED",IF(A495="","INVOICE ID REQUIRED",IF(B495="","PROJECT ID REQUIRED",IF(NOT(ISNUMBER(C495)),"INVALID INVOICE DATE",IF(NOT(AND(ISNUMBER(C495),C495&gt;=2,C495&lt;=2958465,C495=INT(C495))),"INVALID INVOICE DATE",IF(NOT(OR(D495="MX",D495="US")),"ENTITY REQUIRED",IF(NOT(OR(E495="Strategic Services",E495="Brands")),"UNIT REQUIRED",IF(F495="","BRAND / N/A REQUIRED",IF(NOT(OR(G495="USD",G495="MXN")),"CURRENCY REQUIRED",IF(NOT(ISNUMBER(H495)),"AMOUNT REQUIRED",IF(J495="","ERP SOURCE REQUIRED",IF(NOT(OR(K495="ISSUED",K495="CANCELLED")),"INVOICE STATUS REQUIRED",IF(COUNTIFS($A$2:$A$501,A495,$B$2:$B$501,B495,$D$2:$D$501,D495)&gt;1,"DUPLICATE INVOICE / PROJECT",IF(AND(G495="MXN",NOT(AND(ISNUMBER(I495),Settings!$B$8="APPROVED",Settings!$B$9&lt;&gt;"",Settings!$B$10&lt;&gt;""))),"FX HOLD","VALID")))))))))))))))</x:f>
      </x:c>
      <x:c r="M495" s="57" t="str">
        <x:f>IF(ISNUMBER(C495),IF(AND(ISNUMBER(C495),C495&gt;=2,C495&lt;=2958465,C495=INT(C495)),TEXT(C495,"yyyy-mm"),""),"")</x:f>
      </x:c>
      <x:c r="N495" s="59" t="str">
        <x:f>IF(L495="VALID",IF(G495="USD",H495,I495),"")</x:f>
      </x:c>
      <x:c r="O495" s="57" t="n">
        <x:f>IF(L495="VALID",IF(COUNTIFS($B$2:B495,B495,$M$2:M495,M495,$L$2:L495,"VALID")=1,1,0),0)</x:f>
        <x:v>0</x:v>
      </x:c>
    </x:row>
    <x:row r="496">
      <x:c r="A496" s="47"/>
      <x:c r="B496" s="47"/>
      <x:c r="C496" s="58"/>
      <x:c r="D496" s="47"/>
      <x:c r="E496" s="47"/>
      <x:c r="F496" s="47"/>
      <x:c r="G496" s="47"/>
      <x:c r="H496" s="48"/>
      <x:c r="I496" s="48"/>
      <x:c r="J496" s="47"/>
      <x:c r="K496" s="47"/>
      <x:c r="L496" s="57" t="str">
        <x:f>IF(COUNTA(A496:K496)=0,"",IF(K496="CANCELLED","CANCELLED",IF(A496="","INVOICE ID REQUIRED",IF(B496="","PROJECT ID REQUIRED",IF(NOT(ISNUMBER(C496)),"INVALID INVOICE DATE",IF(NOT(AND(ISNUMBER(C496),C496&gt;=2,C496&lt;=2958465,C496=INT(C496))),"INVALID INVOICE DATE",IF(NOT(OR(D496="MX",D496="US")),"ENTITY REQUIRED",IF(NOT(OR(E496="Strategic Services",E496="Brands")),"UNIT REQUIRED",IF(F496="","BRAND / N/A REQUIRED",IF(NOT(OR(G496="USD",G496="MXN")),"CURRENCY REQUIRED",IF(NOT(ISNUMBER(H496)),"AMOUNT REQUIRED",IF(J496="","ERP SOURCE REQUIRED",IF(NOT(OR(K496="ISSUED",K496="CANCELLED")),"INVOICE STATUS REQUIRED",IF(COUNTIFS($A$2:$A$501,A496,$B$2:$B$501,B496,$D$2:$D$501,D496)&gt;1,"DUPLICATE INVOICE / PROJECT",IF(AND(G496="MXN",NOT(AND(ISNUMBER(I496),Settings!$B$8="APPROVED",Settings!$B$9&lt;&gt;"",Settings!$B$10&lt;&gt;""))),"FX HOLD","VALID")))))))))))))))</x:f>
      </x:c>
      <x:c r="M496" s="57" t="str">
        <x:f>IF(ISNUMBER(C496),IF(AND(ISNUMBER(C496),C496&gt;=2,C496&lt;=2958465,C496=INT(C496)),TEXT(C496,"yyyy-mm"),""),"")</x:f>
      </x:c>
      <x:c r="N496" s="59" t="str">
        <x:f>IF(L496="VALID",IF(G496="USD",H496,I496),"")</x:f>
      </x:c>
      <x:c r="O496" s="57" t="n">
        <x:f>IF(L496="VALID",IF(COUNTIFS($B$2:B496,B496,$M$2:M496,M496,$L$2:L496,"VALID")=1,1,0),0)</x:f>
        <x:v>0</x:v>
      </x:c>
    </x:row>
    <x:row r="497">
      <x:c r="A497" s="47"/>
      <x:c r="B497" s="47"/>
      <x:c r="C497" s="58"/>
      <x:c r="D497" s="47"/>
      <x:c r="E497" s="47"/>
      <x:c r="F497" s="47"/>
      <x:c r="G497" s="47"/>
      <x:c r="H497" s="48"/>
      <x:c r="I497" s="48"/>
      <x:c r="J497" s="47"/>
      <x:c r="K497" s="47"/>
      <x:c r="L497" s="57" t="str">
        <x:f>IF(COUNTA(A497:K497)=0,"",IF(K497="CANCELLED","CANCELLED",IF(A497="","INVOICE ID REQUIRED",IF(B497="","PROJECT ID REQUIRED",IF(NOT(ISNUMBER(C497)),"INVALID INVOICE DATE",IF(NOT(AND(ISNUMBER(C497),C497&gt;=2,C497&lt;=2958465,C497=INT(C497))),"INVALID INVOICE DATE",IF(NOT(OR(D497="MX",D497="US")),"ENTITY REQUIRED",IF(NOT(OR(E497="Strategic Services",E497="Brands")),"UNIT REQUIRED",IF(F497="","BRAND / N/A REQUIRED",IF(NOT(OR(G497="USD",G497="MXN")),"CURRENCY REQUIRED",IF(NOT(ISNUMBER(H497)),"AMOUNT REQUIRED",IF(J497="","ERP SOURCE REQUIRED",IF(NOT(OR(K497="ISSUED",K497="CANCELLED")),"INVOICE STATUS REQUIRED",IF(COUNTIFS($A$2:$A$501,A497,$B$2:$B$501,B497,$D$2:$D$501,D497)&gt;1,"DUPLICATE INVOICE / PROJECT",IF(AND(G497="MXN",NOT(AND(ISNUMBER(I497),Settings!$B$8="APPROVED",Settings!$B$9&lt;&gt;"",Settings!$B$10&lt;&gt;""))),"FX HOLD","VALID")))))))))))))))</x:f>
      </x:c>
      <x:c r="M497" s="57" t="str">
        <x:f>IF(ISNUMBER(C497),IF(AND(ISNUMBER(C497),C497&gt;=2,C497&lt;=2958465,C497=INT(C497)),TEXT(C497,"yyyy-mm"),""),"")</x:f>
      </x:c>
      <x:c r="N497" s="59" t="str">
        <x:f>IF(L497="VALID",IF(G497="USD",H497,I497),"")</x:f>
      </x:c>
      <x:c r="O497" s="57" t="n">
        <x:f>IF(L497="VALID",IF(COUNTIFS($B$2:B497,B497,$M$2:M497,M497,$L$2:L497,"VALID")=1,1,0),0)</x:f>
        <x:v>0</x:v>
      </x:c>
    </x:row>
    <x:row r="498">
      <x:c r="A498" s="47"/>
      <x:c r="B498" s="47"/>
      <x:c r="C498" s="58"/>
      <x:c r="D498" s="47"/>
      <x:c r="E498" s="47"/>
      <x:c r="F498" s="47"/>
      <x:c r="G498" s="47"/>
      <x:c r="H498" s="48"/>
      <x:c r="I498" s="48"/>
      <x:c r="J498" s="47"/>
      <x:c r="K498" s="47"/>
      <x:c r="L498" s="57" t="str">
        <x:f>IF(COUNTA(A498:K498)=0,"",IF(K498="CANCELLED","CANCELLED",IF(A498="","INVOICE ID REQUIRED",IF(B498="","PROJECT ID REQUIRED",IF(NOT(ISNUMBER(C498)),"INVALID INVOICE DATE",IF(NOT(AND(ISNUMBER(C498),C498&gt;=2,C498&lt;=2958465,C498=INT(C498))),"INVALID INVOICE DATE",IF(NOT(OR(D498="MX",D498="US")),"ENTITY REQUIRED",IF(NOT(OR(E498="Strategic Services",E498="Brands")),"UNIT REQUIRED",IF(F498="","BRAND / N/A REQUIRED",IF(NOT(OR(G498="USD",G498="MXN")),"CURRENCY REQUIRED",IF(NOT(ISNUMBER(H498)),"AMOUNT REQUIRED",IF(J498="","ERP SOURCE REQUIRED",IF(NOT(OR(K498="ISSUED",K498="CANCELLED")),"INVOICE STATUS REQUIRED",IF(COUNTIFS($A$2:$A$501,A498,$B$2:$B$501,B498,$D$2:$D$501,D498)&gt;1,"DUPLICATE INVOICE / PROJECT",IF(AND(G498="MXN",NOT(AND(ISNUMBER(I498),Settings!$B$8="APPROVED",Settings!$B$9&lt;&gt;"",Settings!$B$10&lt;&gt;""))),"FX HOLD","VALID")))))))))))))))</x:f>
      </x:c>
      <x:c r="M498" s="57" t="str">
        <x:f>IF(ISNUMBER(C498),IF(AND(ISNUMBER(C498),C498&gt;=2,C498&lt;=2958465,C498=INT(C498)),TEXT(C498,"yyyy-mm"),""),"")</x:f>
      </x:c>
      <x:c r="N498" s="59" t="str">
        <x:f>IF(L498="VALID",IF(G498="USD",H498,I498),"")</x:f>
      </x:c>
      <x:c r="O498" s="57" t="n">
        <x:f>IF(L498="VALID",IF(COUNTIFS($B$2:B498,B498,$M$2:M498,M498,$L$2:L498,"VALID")=1,1,0),0)</x:f>
        <x:v>0</x:v>
      </x:c>
    </x:row>
    <x:row r="499">
      <x:c r="A499" s="47"/>
      <x:c r="B499" s="47"/>
      <x:c r="C499" s="58"/>
      <x:c r="D499" s="47"/>
      <x:c r="E499" s="47"/>
      <x:c r="F499" s="47"/>
      <x:c r="G499" s="47"/>
      <x:c r="H499" s="48"/>
      <x:c r="I499" s="48"/>
      <x:c r="J499" s="47"/>
      <x:c r="K499" s="47"/>
      <x:c r="L499" s="57" t="str">
        <x:f>IF(COUNTA(A499:K499)=0,"",IF(K499="CANCELLED","CANCELLED",IF(A499="","INVOICE ID REQUIRED",IF(B499="","PROJECT ID REQUIRED",IF(NOT(ISNUMBER(C499)),"INVALID INVOICE DATE",IF(NOT(AND(ISNUMBER(C499),C499&gt;=2,C499&lt;=2958465,C499=INT(C499))),"INVALID INVOICE DATE",IF(NOT(OR(D499="MX",D499="US")),"ENTITY REQUIRED",IF(NOT(OR(E499="Strategic Services",E499="Brands")),"UNIT REQUIRED",IF(F499="","BRAND / N/A REQUIRED",IF(NOT(OR(G499="USD",G499="MXN")),"CURRENCY REQUIRED",IF(NOT(ISNUMBER(H499)),"AMOUNT REQUIRED",IF(J499="","ERP SOURCE REQUIRED",IF(NOT(OR(K499="ISSUED",K499="CANCELLED")),"INVOICE STATUS REQUIRED",IF(COUNTIFS($A$2:$A$501,A499,$B$2:$B$501,B499,$D$2:$D$501,D499)&gt;1,"DUPLICATE INVOICE / PROJECT",IF(AND(G499="MXN",NOT(AND(ISNUMBER(I499),Settings!$B$8="APPROVED",Settings!$B$9&lt;&gt;"",Settings!$B$10&lt;&gt;""))),"FX HOLD","VALID")))))))))))))))</x:f>
      </x:c>
      <x:c r="M499" s="57" t="str">
        <x:f>IF(ISNUMBER(C499),IF(AND(ISNUMBER(C499),C499&gt;=2,C499&lt;=2958465,C499=INT(C499)),TEXT(C499,"yyyy-mm"),""),"")</x:f>
      </x:c>
      <x:c r="N499" s="59" t="str">
        <x:f>IF(L499="VALID",IF(G499="USD",H499,I499),"")</x:f>
      </x:c>
      <x:c r="O499" s="57" t="n">
        <x:f>IF(L499="VALID",IF(COUNTIFS($B$2:B499,B499,$M$2:M499,M499,$L$2:L499,"VALID")=1,1,0),0)</x:f>
        <x:v>0</x:v>
      </x:c>
    </x:row>
    <x:row r="500">
      <x:c r="A500" s="47"/>
      <x:c r="B500" s="47"/>
      <x:c r="C500" s="58"/>
      <x:c r="D500" s="47"/>
      <x:c r="E500" s="47"/>
      <x:c r="F500" s="47"/>
      <x:c r="G500" s="47"/>
      <x:c r="H500" s="48"/>
      <x:c r="I500" s="48"/>
      <x:c r="J500" s="47"/>
      <x:c r="K500" s="47"/>
      <x:c r="L500" s="57" t="str">
        <x:f>IF(COUNTA(A500:K500)=0,"",IF(K500="CANCELLED","CANCELLED",IF(A500="","INVOICE ID REQUIRED",IF(B500="","PROJECT ID REQUIRED",IF(NOT(ISNUMBER(C500)),"INVALID INVOICE DATE",IF(NOT(AND(ISNUMBER(C500),C500&gt;=2,C500&lt;=2958465,C500=INT(C500))),"INVALID INVOICE DATE",IF(NOT(OR(D500="MX",D500="US")),"ENTITY REQUIRED",IF(NOT(OR(E500="Strategic Services",E500="Brands")),"UNIT REQUIRED",IF(F500="","BRAND / N/A REQUIRED",IF(NOT(OR(G500="USD",G500="MXN")),"CURRENCY REQUIRED",IF(NOT(ISNUMBER(H500)),"AMOUNT REQUIRED",IF(J500="","ERP SOURCE REQUIRED",IF(NOT(OR(K500="ISSUED",K500="CANCELLED")),"INVOICE STATUS REQUIRED",IF(COUNTIFS($A$2:$A$501,A500,$B$2:$B$501,B500,$D$2:$D$501,D500)&gt;1,"DUPLICATE INVOICE / PROJECT",IF(AND(G500="MXN",NOT(AND(ISNUMBER(I500),Settings!$B$8="APPROVED",Settings!$B$9&lt;&gt;"",Settings!$B$10&lt;&gt;""))),"FX HOLD","VALID")))))))))))))))</x:f>
      </x:c>
      <x:c r="M500" s="57" t="str">
        <x:f>IF(ISNUMBER(C500),IF(AND(ISNUMBER(C500),C500&gt;=2,C500&lt;=2958465,C500=INT(C500)),TEXT(C500,"yyyy-mm"),""),"")</x:f>
      </x:c>
      <x:c r="N500" s="59" t="str">
        <x:f>IF(L500="VALID",IF(G500="USD",H500,I500),"")</x:f>
      </x:c>
      <x:c r="O500" s="57" t="n">
        <x:f>IF(L500="VALID",IF(COUNTIFS($B$2:B500,B500,$M$2:M500,M500,$L$2:L500,"VALID")=1,1,0),0)</x:f>
        <x:v>0</x:v>
      </x:c>
    </x:row>
    <x:row r="501">
      <x:c r="A501" s="47"/>
      <x:c r="B501" s="47"/>
      <x:c r="C501" s="58"/>
      <x:c r="D501" s="47"/>
      <x:c r="E501" s="47"/>
      <x:c r="F501" s="47"/>
      <x:c r="G501" s="47"/>
      <x:c r="H501" s="48"/>
      <x:c r="I501" s="48"/>
      <x:c r="J501" s="47"/>
      <x:c r="K501" s="47"/>
      <x:c r="L501" s="57" t="str">
        <x:f>IF(COUNTA(A501:K501)=0,"",IF(K501="CANCELLED","CANCELLED",IF(A501="","INVOICE ID REQUIRED",IF(B501="","PROJECT ID REQUIRED",IF(NOT(ISNUMBER(C501)),"INVALID INVOICE DATE",IF(NOT(AND(ISNUMBER(C501),C501&gt;=2,C501&lt;=2958465,C501=INT(C501))),"INVALID INVOICE DATE",IF(NOT(OR(D501="MX",D501="US")),"ENTITY REQUIRED",IF(NOT(OR(E501="Strategic Services",E501="Brands")),"UNIT REQUIRED",IF(F501="","BRAND / N/A REQUIRED",IF(NOT(OR(G501="USD",G501="MXN")),"CURRENCY REQUIRED",IF(NOT(ISNUMBER(H501)),"AMOUNT REQUIRED",IF(J501="","ERP SOURCE REQUIRED",IF(NOT(OR(K501="ISSUED",K501="CANCELLED")),"INVOICE STATUS REQUIRED",IF(COUNTIFS($A$2:$A$501,A501,$B$2:$B$501,B501,$D$2:$D$501,D501)&gt;1,"DUPLICATE INVOICE / PROJECT",IF(AND(G501="MXN",NOT(AND(ISNUMBER(I501),Settings!$B$8="APPROVED",Settings!$B$9&lt;&gt;"",Settings!$B$10&lt;&gt;""))),"FX HOLD","VALID")))))))))))))))</x:f>
      </x:c>
      <x:c r="M501" s="57" t="str">
        <x:f>IF(ISNUMBER(C501),IF(AND(ISNUMBER(C501),C501&gt;=2,C501&lt;=2958465,C501=INT(C501)),TEXT(C501,"yyyy-mm"),""),"")</x:f>
      </x:c>
      <x:c r="N501" s="59" t="str">
        <x:f>IF(L501="VALID",IF(G501="USD",H501,I501),"")</x:f>
      </x:c>
      <x:c r="O501" s="57" t="n">
        <x:f>IF(L501="VALID",IF(COUNTIFS($B$2:B501,B501,$M$2:M501,M501,$L$2:L501,"VALID")=1,1,0),0)</x:f>
        <x:v>0</x:v>
      </x:c>
    </x:row>
  </x:sheetData>
  <x:mergeCells>
    <x:mergeCell ref="P1:U1"/>
    <x:mergeCell ref="P2:U2"/>
    <x:mergeCell ref="P3:U3"/>
    <x:mergeCell ref="P4:U4"/>
    <x:mergeCell ref="P5:U5"/>
    <x:mergeCell ref="P6:U6"/>
    <x:mergeCell ref="P7:U7"/>
    <x:mergeCell ref="P8:U8"/>
  </x:mergeCells>
  <x:dataValidations count="5">
    <x:dataValidation type="list" sqref="D2:D501">
      <x:formula1>"MX,US"</x:formula1>
    </x:dataValidation>
    <x:dataValidation type="list" sqref="E2:E501">
      <x:formula1>"Strategic Services,Brands"</x:formula1>
    </x:dataValidation>
    <x:dataValidation type="list" sqref="G2:G501">
      <x:formula1>"USD,MXN"</x:formula1>
    </x:dataValidation>
    <x:dataValidation type="list" sqref="K2:K501">
      <x:formula1>"ISSUED,CANCELLED"</x:formula1>
    </x:dataValidation>
    <x:dataValidation type="whole" operator="between" sqref="C2:C501">
      <x:formula1>2</x:formula1>
      <x:formula2>2958465</x:formula2>
    </x:dataValidation>
  </x:dataValidations>
  <x:pageMargins left="0.7" right="0.7" top="0.75" bottom="0.75" header="0.3" footer="0.3"/>
</x:worksheet>
</file>