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97d932dedc418a" /></Relationships>
</file>

<file path=xl/workbook.xml><?xml version="1.0" encoding="utf-8"?>
<workbook xmlns="http://schemas.openxmlformats.org/spreadsheetml/2006/main" xmlns:r="http://schemas.openxmlformats.org/officeDocument/2006/relationships">
  <sheets>
    <sheet name="v0.7.1 Test Results" sheetId="24" r:id="R4e3853a79194415f"/>
    <sheet name="v0.7.1 Change Log" sheetId="23" r:id="Ra56e935062b3492e"/>
    <sheet name="Decisions &amp; Parking Lot" sheetId="9" r:id="R3aaa00327b3e4929"/>
    <sheet name="v0.6 Scope &amp; Rules" sheetId="17" r:id="R39578b214a0d46a2"/>
    <sheet name="Reporting Methodology" sheetId="21" r:id="R821c7f3a7c274cf5"/>
    <sheet name="Guide" sheetId="1" r:id="R5d032ef3a5e148b7"/>
    <sheet name="Commercial Catalogs" sheetId="10" r:id="R5f32b03eb15d455c"/>
    <sheet name="Selling Entities" sheetId="11" r:id="R1b46474f74ad4aeb"/>
    <sheet name="Settings" sheetId="2" r:id="Ra2df471260cd46e5"/>
    <sheet name="ERP Snapshot" sheetId="3" r:id="Rc9708e54786c4f27"/>
    <sheet name="PO Authorization" sheetId="22" r:id="R3bddda86624a4398"/>
    <sheet name="Invoice Register" sheetId="25" r:id="R79316d389d294938"/>
    <sheet name="Exceptions" sheetId="4" r:id="R099c6c0e1226405b"/>
    <sheet name="Update Log" sheetId="8" r:id="Rb6d7a151de1e4b71"/>
    <sheet name="Project History" sheetId="12" r:id="Rb43202afaed849c4"/>
    <sheet name="Project Control" sheetId="5" r:id="R75a97a94aacd4477"/>
    <sheet name="PO Value &amp; Cost Control" sheetId="6" r:id="Rf85cf9800a88458d"/>
    <sheet name="Monthly Project Activity" sheetId="13" r:id="R7a0a4b1642aa4b05"/>
    <sheet name="Monthly BU Close" sheetId="14" r:id="Rffbfcf316542463b"/>
    <sheet name="Monthly Brand Detail" sheetId="15" r:id="R882f8b3d8d09436b"/>
    <sheet name="BU Entity Matrix" sheetId="20" r:id="Re9b72fa611924bba"/>
    <sheet name="Monthly Trend" sheetId="19" r:id="R380659c78f914c3a"/>
    <sheet name="Dashboard" sheetId="7" r:id="R8446a90dbd854b49"/>
    <sheet name="Management Report" sheetId="18" r:id="R8323fa1ce0bb4595"/>
  </sheets>
</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Red](#,##0.00)"/>
    <x:numFmt numFmtId="202" formatCode="#,##0.00;[Red](#,##0.00);0.00"/>
    <x:numFmt numFmtId="203" formatCode="0"/>
    <x:numFmt numFmtId="204" formatCode="yyyy-mm-dd"/>
    <x:numFmt numFmtId="205" formatCode="@"/>
  </x:numFmts>
  <x:fonts count="9">
    <x:font>
      <x:sz val="11"/>
      <x:name val="Carlito"/>
    </x:font>
    <x:font>
      <x:b/>
      <x:sz val="11"/>
      <x:color rgb="FFFFFFFF"/>
      <x:name val="Carlito"/>
    </x:font>
    <x:font>
      <x:b/>
      <x:sz val="11"/>
      <x:color rgb="FFFFFFFF"/>
      <x:name val="Aptos"/>
    </x:font>
    <x:font>
      <x:sz val="10"/>
      <x:color rgb="FF172B3A"/>
      <x:name val="Aptos"/>
    </x:font>
    <x:font>
      <x:b/>
      <x:sz val="10"/>
      <x:color rgb="FFFFFFFF"/>
      <x:name val="Aptos"/>
    </x:font>
    <x:font>
      <x:b/>
      <x:sz val="10"/>
      <x:color rgb="FF173047"/>
      <x:name val="Aptos"/>
    </x:font>
    <x:font>
      <x:sz val="10"/>
      <x:color rgb="FF40576A"/>
      <x:name val="Aptos"/>
    </x:font>
    <x:font>
      <x:sz val="11"/>
      <x:color rgb="FF173047"/>
      <x:name val="Aptos"/>
    </x:font>
    <x:font>
      <x:b/>
      <x:sz val="10"/>
      <x:color rgb="FF536575"/>
      <x:name val="Aptos"/>
    </x:font>
  </x:fonts>
  <x:fills count="22">
    <x:fill>
      <x:patternFill patternType="none"/>
    </x:fill>
    <x:fill>
      <x:patternFill patternType="gray125"/>
    </x:fill>
    <x:fill>
      <x:patternFill patternType="solid">
        <x:fgColor rgb="FF17324F"/>
      </x:patternFill>
    </x:fill>
    <x:fill>
      <x:patternFill patternType="solid">
        <x:fgColor rgb="FF17324F"/>
      </x:patternFill>
    </x:fill>
    <x:fill>
      <x:patternFill patternType="solid">
        <x:fgColor rgb="FF17324F"/>
      </x:patternFill>
    </x:fill>
    <x:fill>
      <x:patternFill patternType="solid">
        <x:fgColor rgb="FF116A76"/>
      </x:patternFill>
    </x:fill>
    <x:fill>
      <x:patternFill patternType="solid">
        <x:fgColor rgb="FF17324F"/>
      </x:patternFill>
    </x:fill>
    <x:fill>
      <x:patternFill patternType="solid">
        <x:fgColor rgb="FF15334A"/>
      </x:patternFill>
    </x:fill>
    <x:fill>
      <x:patternFill patternType="solid">
        <x:fgColor rgb="FFD9F3E8"/>
      </x:patternFill>
    </x:fill>
    <x:fill>
      <x:patternFill patternType="solid">
        <x:fgColor rgb="FFFFF0D0"/>
      </x:patternFill>
    </x:fill>
    <x:fill>
      <x:patternFill patternType="solid">
        <x:fgColor rgb="FF15334A"/>
      </x:patternFill>
    </x:fill>
    <x:fill>
      <x:patternFill patternType="solid">
        <x:fgColor rgb="FFD9F3E8"/>
      </x:patternFill>
    </x:fill>
    <x:fill>
      <x:patternFill patternType="solid">
        <x:fgColor rgb="FF173047"/>
      </x:patternFill>
    </x:fill>
    <x:fill>
      <x:patternFill patternType="solid">
        <x:fgColor rgb="FF087F87"/>
      </x:patternFill>
    </x:fill>
    <x:fill>
      <x:patternFill patternType="solid">
        <x:fgColor rgb="FFFFF2CC"/>
      </x:patternFill>
    </x:fill>
    <x:fill>
      <x:patternFill patternType="solid">
        <x:fgColor rgb="FFE6EFF4"/>
      </x:patternFill>
    </x:fill>
    <x:fill>
      <x:patternFill patternType="solid">
        <x:fgColor rgb="FFFFF2CC"/>
      </x:patternFill>
    </x:fill>
    <x:fill>
      <x:patternFill patternType="solid">
        <x:fgColor rgb="FFE5E7EB"/>
      </x:patternFill>
    </x:fill>
    <x:fill>
      <x:patternFill patternType="solid">
        <x:fgColor rgb="FFF2F4F5"/>
      </x:patternFill>
    </x:fill>
    <x:fill>
      <x:patternFill patternType="solid">
        <x:fgColor rgb="FF173047"/>
      </x:patternFill>
    </x:fill>
    <x:fill>
      <x:patternFill patternType="solid">
        <x:fgColor rgb="FFE6EFF4"/>
      </x:patternFill>
    </x:fill>
    <x:fill>
      <x:patternFill patternType="solid">
        <x:fgColor rgb="FF087F87"/>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xf numFmtId="201" fontId="0" fillId="0" borderId="0" xfId="0" applyNumberFormat="1" applyFont="1" applyFill="1" applyBorder="1"/>
    <x:xf numFmtId="201" fontId="1" fillId="4" borderId="0" xfId="0" applyNumberFormat="1" applyFont="1" applyFill="1" applyBorder="1"/>
    <x:xf numFmtId="201" fontId="1" fillId="2"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13" borderId="0" xfId="0" applyNumberFormat="1" applyFont="1" applyFill="1" applyBorder="1" applyAlignment="1">
      <x:alignment vertical="center" wrapText="1"/>
    </x:xf>
    <x:xf numFmtId="0" fontId="4" fillId="13" borderId="0" xfId="0" applyNumberFormat="1" applyFont="1" applyFill="1" applyBorder="1" applyAlignment="1">
      <x:alignment vertical="center" wrapText="1"/>
    </x:xf>
    <x:xf numFmtId="0" fontId="3" fillId="14" borderId="0" xfId="0" applyNumberFormat="1" applyFont="1" applyFill="1" applyBorder="1" applyAlignment="1">
      <x:alignment vertical="center" wrapText="1"/>
    </x:xf>
    <x:xf numFmtId="202" fontId="3" fillId="0" borderId="0" xfId="0" applyNumberFormat="1" applyFont="1" applyFill="1" applyBorder="1"/>
    <x:xf numFmtId="202" fontId="3" fillId="0" borderId="0" xfId="0" applyNumberFormat="1" applyFont="1" applyFill="1" applyBorder="1" applyAlignment="1">
      <x:alignment horizontal="right"/>
    </x:xf>
    <x:xf numFmtId="203" fontId="3" fillId="0" borderId="0" xfId="0" applyNumberFormat="1" applyFont="1" applyFill="1" applyBorder="1" applyAlignment="1">
      <x:alignment horizontal="right"/>
    </x:xf>
    <x:xf numFmtId="0" fontId="3" fillId="15" borderId="0" xfId="0" applyNumberFormat="1" applyFont="1" applyFill="1" applyBorder="1"/>
    <x:xf numFmtId="202" fontId="3" fillId="15" borderId="0" xfId="0" applyNumberFormat="1" applyFont="1" applyFill="1" applyBorder="1" applyAlignment="1">
      <x:alignment horizontal="right"/>
    </x:xf>
    <x:xf numFmtId="202" fontId="5" fillId="0" borderId="0" xfId="0" applyNumberFormat="1" applyFont="1" applyFill="1" applyBorder="1" applyAlignment="1">
      <x:alignment horizontal="right"/>
    </x:xf>
    <x:xf numFmtId="0" fontId="6" fillId="0" borderId="0" xfId="0" applyNumberFormat="1" applyFont="1" applyFill="1" applyBorder="1"/>
    <x:xf numFmtId="0" fontId="6" fillId="0" borderId="0" xfId="0" applyNumberFormat="1" applyFont="1" applyFill="1" applyBorder="1" applyAlignment="1">
      <x:alignment wrapText="1"/>
    </x:xf>
    <x:xf numFmtId="0" fontId="0" fillId="16" borderId="0" xfId="0" applyNumberFormat="1" applyFont="1" applyFill="1" applyBorder="1"/>
    <x:xf numFmtId="202" fontId="0" fillId="16" borderId="0" xfId="0" applyNumberFormat="1" applyFont="1" applyFill="1" applyBorder="1"/>
    <x:xf numFmtId="202" fontId="0" fillId="0" borderId="0" xfId="0" applyNumberFormat="1" applyFont="1" applyFill="1" applyBorder="1"/>
    <x:xf numFmtId="202" fontId="0" fillId="17" borderId="0" xfId="0" applyNumberFormat="1" applyFont="1" applyFill="1" applyBorder="1"/>
    <x:xf numFmtId="0" fontId="1" fillId="18" borderId="0" xfId="0" applyNumberFormat="1" applyFont="1" applyFill="1" applyBorder="1" applyAlignment="1">
      <x:alignment wrapText="1"/>
    </x:xf>
    <x:xf numFmtId="0" fontId="0" fillId="18" borderId="0" xfId="0" applyNumberFormat="1" applyFont="1" applyFill="1" applyBorder="1"/>
    <x:xf numFmtId="201" fontId="0" fillId="18" borderId="0" xfId="0" applyNumberFormat="1" applyFont="1" applyFill="1" applyBorder="1"/>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0" fillId="20" borderId="0" xfId="0" applyNumberFormat="1" applyFont="1" applyFill="1" applyBorder="1"/>
    <x:xf numFmtId="204" fontId="0" fillId="16" borderId="0" xfId="0" applyNumberFormat="1" applyFont="1" applyFill="1" applyBorder="1"/>
    <x:xf numFmtId="202" fontId="0" fillId="20"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202" fontId="0" fillId="0" borderId="0" xfId="0" applyNumberFormat="1" applyFont="1" applyFill="1" applyBorder="1" applyAlignment="1">
      <x:alignment wrapText="1"/>
    </x:xf>
    <x:xf numFmtId="0" fontId="8" fillId="18" borderId="0" xfId="0" applyNumberFormat="1" applyFont="1" applyFill="1" applyBorder="1" applyAlignment="1">
      <x:alignment wrapText="1"/>
    </x:xf>
    <x:xf numFmtId="200" fontId="0" fillId="0" borderId="0" xfId="0" applyNumberFormat="1" applyFont="1" applyFill="1" applyBorder="1" applyAlignment="1">
      <x:alignment wrapText="1"/>
    </x:xf>
    <x:xf numFmtId="204" fontId="0" fillId="0" borderId="0" xfId="0" applyNumberFormat="1" applyFont="1" applyFill="1" applyBorder="1"/>
    <x:xf numFmtId="204" fontId="0" fillId="14" borderId="0" xfId="0" applyNumberFormat="1" applyFont="1" applyFill="1" applyBorder="1"/>
    <x:xf numFmtId="205"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acc7179ffc45aa" /><Relationship Type="http://schemas.openxmlformats.org/officeDocument/2006/relationships/theme" Target="/xl/theme/theme1.xml" Id="R8572b6ee2a7340fe" /><Relationship Type="http://schemas.openxmlformats.org/officeDocument/2006/relationships/sharedStrings" Target="/xl/sharedStrings.xml" Id="R2edaad3fc0504a3e" /><Relationship Type="http://schemas.openxmlformats.org/officeDocument/2006/relationships/worksheet" Target="/xl/worksheets/sheet1.xml" Id="R5d032ef3a5e148b7" /><Relationship Type="http://schemas.openxmlformats.org/officeDocument/2006/relationships/worksheet" Target="/xl/worksheets/sheet2.xml" Id="Ra2df471260cd46e5" /><Relationship Type="http://schemas.openxmlformats.org/officeDocument/2006/relationships/worksheet" Target="/xl/worksheets/sheet3.xml" Id="Rc9708e54786c4f27" /><Relationship Type="http://schemas.openxmlformats.org/officeDocument/2006/relationships/worksheet" Target="/xl/worksheets/sheet4.xml" Id="R099c6c0e1226405b" /><Relationship Type="http://schemas.openxmlformats.org/officeDocument/2006/relationships/worksheet" Target="/xl/worksheets/sheet5.xml" Id="R75a97a94aacd4477" /><Relationship Type="http://schemas.openxmlformats.org/officeDocument/2006/relationships/worksheet" Target="/xl/worksheets/sheet6.xml" Id="Rf85cf9800a88458d" /><Relationship Type="http://schemas.openxmlformats.org/officeDocument/2006/relationships/worksheet" Target="/xl/worksheets/sheet7.xml" Id="R8446a90dbd854b49" /><Relationship Type="http://schemas.openxmlformats.org/officeDocument/2006/relationships/worksheet" Target="/xl/worksheets/sheet8.xml" Id="Rb6d7a151de1e4b71" /><Relationship Type="http://schemas.openxmlformats.org/officeDocument/2006/relationships/worksheet" Target="/xl/worksheets/sheet9.xml" Id="R3aaa00327b3e4929" /><Relationship Type="http://schemas.openxmlformats.org/officeDocument/2006/relationships/worksheet" Target="/xl/worksheets/sheet10.xml" Id="R5f32b03eb15d455c" /><Relationship Type="http://schemas.openxmlformats.org/officeDocument/2006/relationships/worksheet" Target="/xl/worksheets/sheet11.xml" Id="R1b46474f74ad4aeb" /><Relationship Type="http://schemas.openxmlformats.org/officeDocument/2006/relationships/worksheet" Target="/xl/worksheets/sheet12.xml" Id="Rb43202afaed849c4" /><Relationship Type="http://schemas.openxmlformats.org/officeDocument/2006/relationships/worksheet" Target="/xl/worksheets/sheet13.xml" Id="R7a0a4b1642aa4b05" /><Relationship Type="http://schemas.openxmlformats.org/officeDocument/2006/relationships/worksheet" Target="/xl/worksheets/sheet14.xml" Id="Rffbfcf316542463b" /><Relationship Type="http://schemas.openxmlformats.org/officeDocument/2006/relationships/worksheet" Target="/xl/worksheets/sheet15.xml" Id="R882f8b3d8d09436b" /><Relationship Type="http://schemas.openxmlformats.org/officeDocument/2006/relationships/worksheet" Target="/xl/worksheets/sheet16.xml" Id="R39578b214a0d46a2" /><Relationship Type="http://schemas.openxmlformats.org/officeDocument/2006/relationships/worksheet" Target="/xl/worksheets/sheet17.xml" Id="R8323fa1ce0bb4595" /><Relationship Type="http://schemas.openxmlformats.org/officeDocument/2006/relationships/worksheet" Target="/xl/worksheets/sheet18.xml" Id="R380659c78f914c3a" /><Relationship Type="http://schemas.openxmlformats.org/officeDocument/2006/relationships/worksheet" Target="/xl/worksheets/sheet19.xml" Id="Re9b72fa611924bba" /><Relationship Type="http://schemas.openxmlformats.org/officeDocument/2006/relationships/worksheet" Target="/xl/worksheets/sheet20.xml" Id="R821c7f3a7c274cf5" /><Relationship Type="http://schemas.openxmlformats.org/officeDocument/2006/relationships/worksheet" Target="/xl/worksheets/sheet21.xml" Id="R3bddda86624a4398" /><Relationship Type="http://schemas.openxmlformats.org/officeDocument/2006/relationships/worksheet" Target="/xl/worksheets/sheet22.xml" Id="Ra56e935062b3492e" /><Relationship Type="http://schemas.openxmlformats.org/officeDocument/2006/relationships/worksheet" Target="/xl/worksheets/sheet23.xml" Id="R4e3853a79194415f" /><Relationship Type="http://schemas.openxmlformats.org/officeDocument/2006/relationships/worksheet" Target="/xl/worksheets/sheet24.xml" Id="R79316d389d294938" /></Relationships>
</file>

<file path=xl/drawings/_rels/drawing1.xml.rels>&#65279;<?xml version="1.0" encoding="utf-8"?><Relationships xmlns="http://schemas.openxmlformats.org/package/2006/relationships"><Relationship Type="http://schemas.openxmlformats.org/officeDocument/2006/relationships/chart" Target="/xl/drawings/charts/chart1.xml" Id="R9e196cb1142c4513"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PO intake</c:v>
          </c:tx>
          <c:cat>
            <c:strRef>
              <c:f>'Monthly Trend'!$A$2:$A$3</c:f>
              <c:strCache>
                <c:ptCount val="0"/>
              </c:strCache>
            </c:strRef>
          </c:cat>
          <c:val>
            <c:numRef>
              <c:f>'Monthly Trend'!$B$2:$B$3</c:f>
              <c:numCache>
                <c:formatCode>General</c:formatCode>
                <c:ptCount val="0"/>
              </c:numCache>
            </c:numRef>
          </c:val>
        </c:ser>
        <c:ser>
          <c:idx val="1"/>
          <c:order val="1"/>
          <c:tx>
            <c:v>Invoiced</c:v>
          </c:tx>
          <c:cat>
            <c:strRef>
              <c:f>'Monthly Trend'!$A$2:$A$3</c:f>
              <c:strCache>
                <c:ptCount val="0"/>
              </c:strCache>
            </c:strRef>
          </c:cat>
          <c:val>
            <c:numRef>
              <c:f>'Monthly Trend'!$C$2:$C$3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196cb1142c451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drawing" Target="/xl/drawings/drawing1.xml" Id="R825f5acc3b264aff"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88" hidden="0" customWidth="1"/>
  </x:cols>
  <x:sheetData>
    <x:row r="1" ht="15" hidden="0" customHeight="1">
      <x:c r="A1" s="4" t="str">
        <x:v>Section</x:v>
      </x:c>
      <x:c r="B1" s="4" t="str">
        <x:v>Operating instruction</x:v>
      </x:c>
    </x:row>
    <x:row r="2" ht="26.399999618530273" hidden="0" customHeight="1">
      <x:c r="A2" s="25" t="str">
        <x:v>Purpose</x:v>
      </x:c>
      <x:c r="B2" s="25" t="str">
        <x:v>BUD is an ERP-sourced operational project-control and management-reporting tool. Not accounting, treasury or accounts payable.</x:v>
      </x:c>
    </x:row>
    <x:row r="3" ht="15" hidden="0" customHeight="1">
      <x:c r="A3" s="25" t="str">
        <x:v>Official identifiers</x:v>
      </x:c>
      <x:c r="B3" s="25" t="str">
        <x:v>Project ID is the consecutive number assigned by ERP; Excel does not generate it.</x:v>
      </x:c>
    </x:row>
    <x:row r="4" ht="15" hidden="0" customHeight="1">
      <x:c r="A4" s="25" t="str">
        <x:v>Cadence</x:v>
      </x:c>
      <x:c r="B4" s="25" t="str">
        <x:v>Weekly snapshot plus exceptional refresh when a critical incident affects project decisions.</x:v>
      </x:c>
    </x:row>
    <x:row r="5" ht="26.399999618530273" hidden="0" customHeight="1">
      <x:c r="A5" s="25" t="str">
        <x:v>ERP Snapshot</x:v>
      </x:c>
      <x:c r="B5" s="25" t="str">
        <x:v>One row per ERP Project ID. Paste summarized official values only, NOT individual customer PO, supplier PO or material lines.</x:v>
      </x:c>
    </x:row>
    <x:row r="6" ht="15" hidden="0" customHeight="1">
      <x:c r="A6" s="25" t="str">
        <x:v>Exceptions</x:v>
      </x:c>
      <x:c r="B6" s="25" t="str">
        <x:v>Manually track only actionable deviations: owner, next action, deadline and resolution.</x:v>
      </x:c>
    </x:row>
    <x:row r="7" ht="15" hidden="0" customHeight="1">
      <x:c r="A7" s="25" t="str">
        <x:v>Project Control</x:v>
      </x:c>
      <x:c r="B7" s="25" t="str">
        <x:v>Project-level operational controls from latest ERP snapshot: budget, authorized supplier POs, billing and exceptions.</x:v>
      </x:c>
    </x:row>
    <x:row r="8" ht="15" hidden="0" customHeight="1">
      <x:c r="A8" s="25" t="str">
        <x:v>USD</x:v>
      </x:c>
      <x:c r="B8" s="25" t="str">
        <x:v>USD is reporting currency. Currency translation is an illustrative assumption pending PL-001 policy.</x:v>
      </x:c>
    </x:row>
    <x:row r="9" ht="15" hidden="0" customHeight="1">
      <x:c r="A9" s="25" t="str">
        <x:v>Pricing</x:v>
      </x:c>
      <x:c r="B9" s="25" t="str">
        <x:v>Quotation decision support only. Authorized customer PO, not target markup, controls project revenue.</x:v>
      </x:c>
    </x:row>
    <x:row r="10" ht="15" hidden="0" customHeight="1">
      <x:c r="A10" s="25" t="str">
        <x:v>Audit</x:v>
      </x:c>
      <x:c r="B10" s="25" t="str">
        <x:v>Maintain each update in Update Log and preserve dated ERP export separately outside this workbook.</x:v>
      </x:c>
    </x:row>
    <x:row r="11" ht="15" hidden="0" customHeight="1">
      <x:c r="A11" s="25" t="str">
        <x:v>Scope boundary</x:v>
      </x:c>
      <x:c r="B11" s="25" t="str">
        <x:v>Purchasing, Warehouse, Invoicing and Finance continue to own transactions and ERP records.</x:v>
      </x:c>
    </x:row>
    <x:row r="12" ht="15" hidden="0" customHeight="1">
      <x:c r="A12" s="25" t="str">
        <x:v>Data quality</x:v>
      </x:c>
      <x:c r="B12" s="25" t="str">
        <x:v>Snapshot must contain unique Project IDs; do not mix different ERP extraction dates in a single weekly refresh.</x:v>
      </x:c>
    </x:row>
    <x:row r="13" ht="15" hidden="0" customHeight="1">
      <x:c r="A13" s="25" t="str">
        <x:v>Validation</x:v>
      </x:c>
      <x:c r="B13" s="25" t="str">
        <x:v>This is a simulated demonstration, not a validated ERP integration or audited accounting model.</x:v>
      </x:c>
    </x:row>
    <x:row r="14" ht="15" hidden="0" customHeight="1">
      <x:c r="A14" s="25" t="str">
        <x:v>v0.6 Scope</x:v>
      </x:c>
      <x:c r="B14" s="25" t="str">
        <x:v>Operational project coordination and monthly management reporting only.</x:v>
      </x:c>
    </x:row>
    <x:row r="15" ht="15" hidden="0" customHeight="1">
      <x:c r="A15" s="25" t="str">
        <x:v>Monthly close</x:v>
      </x:c>
      <x:c r="B15" s="25" t="str">
        <x:v>Monthly Project Activity feeds Monthly BU Close and Monthly Brand Detail. Month-level historical values are preserved.</x:v>
      </x:c>
    </x:row>
    <x:row r="16" ht="15" hidden="0" customHeight="1">
      <x:c r="A16" s="25" t="str">
        <x:v>Brand rule</x:v>
      </x:c>
      <x:c r="B16" s="25" t="str">
        <x:v>Quote by brand before award; customer may consolidate PO, requiring cross-reference rather than duplicated PO intake.</x:v>
      </x:c>
    </x:row>
    <x:row r="17" ht="26.399999618530273" hidden="0" customHeight="1">
      <x:c r="A17" s="25" t="str">
        <x:v>Selling entity</x:v>
      </x:c>
      <x:c r="B17" s="25" t="str">
        <x:v>MX or US selling company is a distinct reporting dimension. Intercompany US supplier purchases are not double-counted in MX project costs.</x:v>
      </x:c>
    </x:row>
    <x:row r="18" ht="26.399999618530273" hidden="0" customHeight="1">
      <x:c r="A18" s="25" t="str">
        <x:v>Operational purchasing control</x:v>
      </x:c>
      <x:c r="B18" s="25" t="str">
        <x:v>Authorized supplier PO value is the current approved total issued in ERP, including completed POs and net amendments/cancellations. Not received material or liabilities.</x:v>
      </x:c>
    </x:row>
    <x:row r="19" ht="15" hidden="0" customHeight="1">
      <x:c r="A19" s="25" t="str">
        <x:v>Reporting caution</x:v>
      </x:c>
      <x:c r="B19" s="25" t="str">
        <x:v>Invoices, recognized ERP costs and authorized supplier POs are distinct measures; no payment or profit inference.</x:v>
      </x:c>
    </x:row>
    <x:row r="20" ht="15" hidden="0" customHeight="1">
      <x:c r="A20" s="25" t="str">
        <x:v>Simulation</x:v>
      </x:c>
      <x:c r="B20" s="25" t="str">
        <x:v>All customers, projects, orders and monetary amounts are fictional. FX policy and ERP export mapping remain open.</x:v>
      </x:c>
    </x:row>
    <x:row r="21" ht="26.399999618530273" hidden="0" customHeight="1">
      <x:c r="A21" s="25" t="str">
        <x:v>PO-based control</x:v>
      </x:c>
      <x:c r="B21" s="25" t="str">
        <x:v>The customer PO authorized value and approved revisions govern management indicators; quotation figures do not drive KPIs.</x:v>
      </x:c>
    </x:row>
    <x:row r="22" ht="15" hidden="0" customHeight="1">
      <x:c r="A22" s="25" t="str">
        <x:v>PO vs invoice</x:v>
      </x:c>
      <x:c r="B22" s="25" t="str">
        <x:v>Authorized PO is not invoiced revenue. Monitor invoiced-to-date and remaining unbilled value separately.</x:v>
      </x:c>
    </x:row>
    <x:row r="23" ht="39.599998474121094" hidden="0" customHeight="1">
      <x:c r="A23" s="25" t="str">
        <x:v>Budget basis</x:v>
      </x:c>
      <x:c r="B23" s="25" t="str">
        <x:v>Authorized budget covers all operating expenses attributable to the project. Budget less authorized supplier POs measures the PO-controlled perimeter. Full availability requires confirmed coverage of every budgeted concept; exceptions remain outside this completeness claim.</x:v>
      </x:c>
    </x:row>
    <x:row r="24" ht="15" hidden="0" customHeight="1">
      <x:c r="A24" s="25"/>
      <x:c r="B24" s="25"/>
    </x:row>
    <x:row r="25" ht="26.399999618530273" hidden="0" customHeight="1">
      <x:c r="A25" s="25" t="str">
        <x:v>ADMINISTRATIVE ENTRY</x:v>
      </x:c>
      <x:c r="B25" s="25" t="str">
        <x:v>BUD begins when an approved customer PO is received. Sales pre-award activities are outside this management model.</x:v>
      </x:c>
    </x:row>
    <x:row r="26" ht="15" hidden="0" customHeight="1">
      <x:c r="A26" s="25" t="str">
        <x:v>COMMERCIAL BASELINE</x:v>
      </x:c>
      <x:c r="B26" s="25" t="str">
        <x:v>Authorized customer PO plus approved amendments; not quoted or proposed selling price.</x:v>
      </x:c>
    </x:row>
    <x:row r="27" ht="15" hidden="0" customHeight="1">
      <x:c r="A27" s="25" t="str">
        <x:v>CONTROL METRICS</x:v>
      </x:c>
      <x:c r="B27" s="25" t="str">
        <x:v>Authorized customer PO, invoiced/unbilled, authorized budget, supplier PO value, remaining budget and exceptions.</x:v>
      </x:c>
    </x:row>
    <x:row r="28" ht="15" hidden="0" customHeight="1">
      <x:c r="A28" s="25" t="str">
        <x:v>PROTOTYPE LIMITS</x:v>
      </x:c>
      <x:c r="B28" s="25" t="str">
        <x:v>Fictional data; no live ERP integration, reconciliation, or validated FX policy.</x:v>
      </x:c>
    </x:row>
    <x:row r="29" ht="26.399999618530273" hidden="0" customHeight="1">
      <x:c r="A29" s="25" t="str">
        <x:v>Invoice source</x:v>
      </x:c>
      <x:c r="B29" s="25" t="str">
        <x:v>Invoice Register A:K is ERP import data. C is Invoice date. L:N derive validation, month and reportable USD. Monthly Project Activity H is calculated; prior amounts are retained in T.</x:v>
      </x:c>
    </x:row>
    <x:row r="30" ht="26.399999618530273" hidden="0" customHeight="1">
      <x:c r="A30" s="25" t="str">
        <x:v>Guide status</x:v>
      </x:c>
      <x:c r="B30" s="25" t="str">
        <x:v>Current PDF manual: BUD_Guia_Usuario_Captura_y_Reportes.pdf, updated for this 2026-10-23 working snapshot. Prior manual content is superseded for this snapshot.</x:v>
      </x:c>
    </x:row>
    <x:row r="31" ht="52.79999923706055" hidden="0" customHeight="1">
      <x:c r="A31" s="25" t="str">
        <x:v>Conditional acceptance</x:v>
      </x:c>
      <x:c r="B31"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row>
    <x:row r="32" ht="26.399999618530273" hidden="0" customHeight="1">
      <x:c r="A32" s="25" t="str">
        <x:v>Working publication</x:v>
      </x:c>
      <x:c r="B32" s="25" t="str">
        <x:v>SPRINT TEST COPY. Invoice outputs are valid-record subtotals. Excluded invoice allocations remain in Invoice Register with their status in L. Management Report rows 23/34 and C32:C33 disclose exclusions, unknown date/currency and normalization FX holds. No claim of complete ERP extraction.</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66" hidden="0" customWidth="1"/>
  </x:cols>
  <x:sheetData>
    <x:row r="1" ht="40" customHeight="1">
      <x:c r="A1" s="4" t="str">
        <x:v>Parameter</x:v>
      </x:c>
      <x:c r="B1" s="4" t="str">
        <x:v>Value</x:v>
      </x:c>
      <x:c r="C1" s="4" t="str">
        <x:v>Notes</x:v>
      </x:c>
    </x:row>
    <x:row r="2">
      <x:c r="A2" t="str">
        <x:v>USD/MXN illustrative FX</x:v>
      </x:c>
      <x:c r="B2" t="n">
        <x:v>20</x:v>
      </x:c>
      <x:c r="C2" t="str">
        <x:v>PL-001: ERP/finance exchange-rate policy not approved; for demonstration only</x:v>
      </x:c>
    </x:row>
    <x:row r="3">
      <x:c r="A3" t="str">
        <x:v>Preventive budget threshold</x:v>
      </x:c>
      <x:c r="B3" t="n">
        <x:v>0.9</x:v>
      </x:c>
      <x:c r="C3" t="str">
        <x:v>Escalate when cost exposure reaches this percentage of approved cost budget</x:v>
      </x:c>
    </x:row>
    <x:row r="4">
      <x:c r="A4" t="str">
        <x:v>Processing days</x:v>
      </x:c>
      <x:c r="B4" t="n">
        <x:v>7</x:v>
      </x:c>
      <x:c r="C4" t="str">
        <x:v>Delivery buffer phase 1</x:v>
      </x:c>
    </x:row>
    <x:row r="5">
      <x:c r="A5" t="str">
        <x:v>Intermediary days</x:v>
      </x:c>
      <x:c r="B5" t="n">
        <x:v>7</x:v>
      </x:c>
      <x:c r="C5" t="str">
        <x:v>Delivery buffer phase 2</x:v>
      </x:c>
    </x:row>
    <x:row r="6">
      <x:c r="A6" t="str">
        <x:v>Final customer days</x:v>
      </x:c>
      <x:c r="B6" t="n">
        <x:v>7</x:v>
      </x:c>
      <x:c r="C6" t="str">
        <x:v>Delivery buffer phase 3</x:v>
      </x:c>
    </x:row>
    <x:row r="7">
      <x:c r="A7" t="str">
        <x:v>Weekly reporting day</x:v>
      </x:c>
      <x:c r="B7" t="str">
        <x:v>Friday</x:v>
      </x:c>
      <x:c r="C7" t="str">
        <x:v>Extraordinary update for critical exceptions</x:v>
      </x:c>
    </x:row>
    <x:row r="8">
      <x:c r="A8" t="str">
        <x:v>FX approval status</x:v>
      </x:c>
      <x:c r="B8" t="str">
        <x:v>APPROVED</x:v>
      </x:c>
      <x:c r="C8" t="str">
        <x:v>APPROVED only after Finance signs off rate, source and effective date</x:v>
      </x:c>
    </x:row>
    <x:row r="9">
      <x:c r="A9" t="str">
        <x:v>FX approval reference</x:v>
      </x:c>
      <x:c r="B9" t="str">
        <x:v>TEST-NOT-REAL-APPROVAL</x:v>
      </x:c>
      <x:c r="C9" t="str">
        <x:v>Required to activate USD normalization for MXN</x:v>
      </x:c>
    </x:row>
    <x:row r="10">
      <x:c r="A10" t="str">
        <x:v>FX effective date</x:v>
      </x:c>
      <x:c r="B10" s="68" t="str">
        <x:v>TEST-HISTORICAL-SOURCE</x:v>
      </x:c>
      <x:c r="C10" t="str">
        <x:v>Required to activate USD normalization for MXN</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6" hidden="0" customWidth="1"/>
    <x:col min="17" max="17" width="23" hidden="0" customWidth="1"/>
    <x:col min="18" max="18" width="23" hidden="0" customWidth="1"/>
    <x:col min="19" max="19" width="28" hidden="0" customWidth="1"/>
  </x:cols>
  <x:sheetData>
    <x:row r="1" ht="64" customHeight="1">
      <x:c r="A1" s="4" t="str">
        <x:v>Project ID (ERP)</x:v>
      </x:c>
      <x:c r="B1" s="4" t="str">
        <x:v>Customer</x:v>
      </x:c>
      <x:c r="C1" s="4" t="str">
        <x:v>Selling entity</x:v>
      </x:c>
      <x:c r="D1" s="4" t="str">
        <x:v>Sale currency</x:v>
      </x:c>
      <x:c r="E1" s="4" t="str">
        <x:v>Customer PO authorized (original)</x:v>
      </x:c>
      <x:c r="F1" s="4" t="str">
        <x:v>Authorized operating budget USD</x:v>
      </x:c>
      <x:c r="G1" s="4" t="str">
        <x:v>ERP recognized costs USD</x:v>
      </x:c>
      <x:c r="H1" s="4" t="str">
        <x:v>ARCHIVED - former unrecognized commitments USD</x:v>
      </x:c>
      <x:c r="I1" s="4" t="str">
        <x:v>Invoiced total (original)</x:v>
      </x:c>
      <x:c r="J1" s="4" t="str">
        <x:v>Supplier PO count</x:v>
      </x:c>
      <x:c r="K1" s="4" t="str">
        <x:v>POs with pending receipts</x:v>
      </x:c>
      <x:c r="L1" s="4" t="str">
        <x:v>Critical material / delivery flag</x:v>
      </x:c>
      <x:c r="M1" s="4" t="str">
        <x:v>ERP status</x:v>
      </x:c>
      <x:c r="N1" s="4" t="str">
        <x:v>Snapshot date</x:v>
      </x:c>
      <x:c r="O1" s="4" t="str">
        <x:v>Source export reference</x:v>
      </x:c>
      <x:c r="P1" s="4" t="str">
        <x:v>Operational notes</x:v>
      </x:c>
      <x:c r="Q1" s="13" t="str">
        <x:v>Business Unit</x:v>
      </x:c>
      <x:c r="R1" s="13" t="str">
        <x:v>Brand / Commercial Line</x:v>
      </x:c>
      <x:c r="S1" s="4" t="str">
        <x:v>Supplier PO authorized value USD</x:v>
      </x:c>
    </x:row>
    <x:row r="2">
      <x:c r="A2" t="str">
        <x:v>100245</x:v>
      </x:c>
      <x:c r="B2" t="str">
        <x:v>Customer A</x:v>
      </x:c>
      <x:c r="C2" t="str">
        <x:v>MX</x:v>
      </x:c>
      <x:c r="D2" t="str">
        <x:v>USD</x:v>
      </x:c>
      <x:c r="E2" t="n">
        <x:v>50000</x:v>
      </x:c>
      <x:c r="F2" t="n">
        <x:v>38000</x:v>
      </x:c>
      <x:c r="G2" t="n">
        <x:v>24000</x:v>
      </x:c>
      <x:c r="H2" t="n">
        <x:v>11000</x:v>
      </x:c>
      <x:c r="I2" t="n">
        <x:v>28000</x:v>
      </x:c>
      <x:c r="J2" t="n">
        <x:v>3</x:v>
      </x:c>
      <x:c r="K2" t="n">
        <x:v>1</x:v>
      </x:c>
      <x:c r="L2" t="str">
        <x:v>YES</x:v>
      </x:c>
      <x:c r="M2" t="str">
        <x:v>Partial Invoice</x:v>
      </x:c>
      <x:c r="N2" s="68" t="str">
        <x:v>2026-10-16</x:v>
      </x:c>
      <x:c r="O2" t="str">
        <x:v>ERP-W42-001</x:v>
      </x:c>
      <x:c r="P2" t="str">
        <x:v>Supplier delay under review</x:v>
      </x:c>
      <x:c r="Q2" t="str">
        <x:v>Strategic Services</x:v>
      </x:c>
      <x:c r="R2" t="str">
        <x:v>N/A</x:v>
      </x:c>
      <x:c r="S2" s="48" t="n">
        <x:v>24000</x:v>
      </x:c>
    </x:row>
    <x:row r="3">
      <x:c r="A3" t="str">
        <x:v>100246</x:v>
      </x:c>
      <x:c r="B3" t="str">
        <x:v>Customer B</x:v>
      </x:c>
      <x:c r="C3" t="str">
        <x:v>MX</x:v>
      </x:c>
      <x:c r="D3" t="str">
        <x:v>MXN</x:v>
      </x:c>
      <x:c r="E3" t="n">
        <x:v>820000</x:v>
      </x:c>
      <x:c r="F3" t="n">
        <x:v>32000</x:v>
      </x:c>
      <x:c r="G3" t="n">
        <x:v>29000</x:v>
      </x:c>
      <x:c r="H3" t="n">
        <x:v>2000</x:v>
      </x:c>
      <x:c r="I3" t="n">
        <x:v>820000</x:v>
      </x:c>
      <x:c r="J3" t="n">
        <x:v>2</x:v>
      </x:c>
      <x:c r="K3" t="n">
        <x:v>0</x:v>
      </x:c>
      <x:c r="L3" t="str">
        <x:v>NO</x:v>
      </x:c>
      <x:c r="M3" t="str">
        <x:v>Invoiced</x:v>
      </x:c>
      <x:c r="N3" s="68" t="str">
        <x:v>2026-10-16</x:v>
      </x:c>
      <x:c r="O3" t="str">
        <x:v>ERP-W42-001</x:v>
      </x:c>
      <x:c r="P3" t="str">
        <x:v>Pending financial review</x:v>
      </x:c>
      <x:c r="Q3" t="str">
        <x:v>Brands</x:v>
      </x:c>
      <x:c r="R3" t="str">
        <x:v>Desoutter</x:v>
      </x:c>
      <x:c r="S3" s="48" t="n">
        <x:v>18000</x:v>
      </x:c>
    </x:row>
    <x:row r="4">
      <x:c r="A4" t="str">
        <x:v>100247</x:v>
      </x:c>
      <x:c r="B4" t="str">
        <x:v>Customer C</x:v>
      </x:c>
      <x:c r="C4" t="str">
        <x:v>US</x:v>
      </x:c>
      <x:c r="D4" t="str">
        <x:v>USD</x:v>
      </x:c>
      <x:c r="E4" t="n">
        <x:v>34000</x:v>
      </x:c>
      <x:c r="F4" t="n">
        <x:v>26000</x:v>
      </x:c>
      <x:c r="G4" t="n">
        <x:v>21000</x:v>
      </x:c>
      <x:c r="H4" t="n">
        <x:v>7000</x:v>
      </x:c>
      <x:c r="I4" t="n">
        <x:v>12000</x:v>
      </x:c>
      <x:c r="J4" t="n">
        <x:v>4</x:v>
      </x:c>
      <x:c r="K4" t="n">
        <x:v>2</x:v>
      </x:c>
      <x:c r="L4" t="str">
        <x:v>YES</x:v>
      </x:c>
      <x:c r="M4" t="str">
        <x:v>Partial Invoice</x:v>
      </x:c>
      <x:c r="N4" s="68" t="str">
        <x:v>2026-10-16</x:v>
      </x:c>
      <x:c r="O4" t="str">
        <x:v>ERP-W42-001</x:v>
      </x:c>
      <x:c r="P4" t="str">
        <x:v>Material pending</x:v>
      </x:c>
      <x:c r="Q4" t="str">
        <x:v>Brands</x:v>
      </x:c>
      <x:c r="R4" t="str">
        <x:v>Datalogic</x:v>
      </x:c>
      <x:c r="S4" s="48" t="n">
        <x:v>26000</x:v>
      </x:c>
    </x:row>
    <x:row r="5">
      <x:c r="A5" t="str">
        <x:v>100248</x:v>
      </x:c>
      <x:c r="B5" t="str">
        <x:v>Customer D</x:v>
      </x:c>
      <x:c r="C5" t="str">
        <x:v>MX</x:v>
      </x:c>
      <x:c r="D5" t="str">
        <x:v>USD</x:v>
      </x:c>
      <x:c r="E5" t="n">
        <x:v>24000</x:v>
      </x:c>
      <x:c r="F5" t="n">
        <x:v>18000</x:v>
      </x:c>
      <x:c r="G5" t="n">
        <x:v>12000</x:v>
      </x:c>
      <x:c r="H5" t="n">
        <x:v>0</x:v>
      </x:c>
      <x:c r="I5" t="n">
        <x:v>0</x:v>
      </x:c>
      <x:c r="J5" t="n">
        <x:v>1</x:v>
      </x:c>
      <x:c r="K5" t="n">
        <x:v>0</x:v>
      </x:c>
      <x:c r="L5" t="str">
        <x:v>NO</x:v>
      </x:c>
      <x:c r="M5" t="str">
        <x:v>Open</x:v>
      </x:c>
      <x:c r="N5" s="68" t="str">
        <x:v>2026-10-16</x:v>
      </x:c>
      <x:c r="O5" t="str">
        <x:v>ERP-W42-001</x:v>
      </x:c>
      <x:c r="P5" t="str">
        <x:v>Awaiting delivery</x:v>
      </x:c>
      <x:c r="Q5" t="str">
        <x:v>Strategic Services</x:v>
      </x:c>
      <x:c r="R5" t="str">
        <x:v>N/A</x:v>
      </x:c>
      <x:c r="S5" s="48" t="n">
        <x:v>0</x:v>
      </x:c>
    </x:row>
    <x:row r="6">
      <x:c r="A6"/>
      <x:c r="N6" s="68"/>
      <x:c r="S6" s="48"/>
    </x:row>
    <x:row r="7">
      <x:c r="N7" s="68"/>
      <x:c r="S7" s="48"/>
    </x:row>
    <x:row r="8">
      <x:c r="N8" s="68"/>
      <x:c r="S8" s="48"/>
    </x:row>
    <x:row r="9">
      <x:c r="N9" s="68"/>
      <x:c r="S9" s="48"/>
    </x:row>
    <x:row r="10">
      <x:c r="N10" s="68"/>
      <x:c r="S10" s="48"/>
    </x:row>
    <x:row r="11">
      <x:c r="N11" s="68"/>
      <x:c r="S11" s="48"/>
    </x:row>
    <x:row r="12">
      <x:c r="N12" s="68"/>
      <x:c r="S12" s="48"/>
    </x:row>
    <x:row r="13">
      <x:c r="N13" s="68"/>
      <x:c r="S13" s="48"/>
    </x:row>
    <x:row r="14">
      <x:c r="N14" s="68"/>
      <x:c r="S14" s="48"/>
    </x:row>
    <x:row r="15">
      <x:c r="N15" s="68"/>
      <x:c r="S15" s="48"/>
    </x:row>
    <x:row r="16">
      <x:c r="N16" s="68"/>
      <x:c r="S16" s="48"/>
    </x:row>
    <x:row r="17">
      <x:c r="N17" s="68"/>
      <x:c r="S17" s="48"/>
    </x:row>
    <x:row r="18">
      <x:c r="N18" s="68"/>
      <x:c r="S18" s="48"/>
    </x:row>
    <x:row r="19">
      <x:c r="N19" s="68"/>
      <x:c r="S19" s="48"/>
    </x:row>
    <x:row r="20">
      <x:c r="N20" s="68"/>
      <x:c r="S20" s="48"/>
    </x:row>
    <x:row r="21">
      <x:c r="N21" s="68"/>
      <x:c r="S21" s="48"/>
    </x:row>
    <x:row r="22">
      <x:c r="N22" s="68"/>
      <x:c r="S22" s="48"/>
    </x:row>
    <x:row r="23">
      <x:c r="N23" s="68"/>
      <x:c r="S23" s="48"/>
    </x:row>
    <x:row r="24">
      <x:c r="N24" s="68"/>
      <x:c r="S24" s="48"/>
    </x:row>
    <x:row r="25">
      <x:c r="N25" s="68"/>
      <x:c r="S25" s="48"/>
    </x:row>
    <x:row r="26">
      <x:c r="N26" s="68"/>
      <x:c r="S26" s="48"/>
    </x:row>
    <x:row r="27">
      <x:c r="N27" s="68"/>
      <x:c r="S27" s="48"/>
    </x:row>
    <x:row r="28">
      <x:c r="N28" s="68"/>
      <x:c r="S28" s="48"/>
    </x:row>
    <x:row r="29">
      <x:c r="N29" s="68"/>
      <x:c r="S29" s="48"/>
    </x:row>
    <x:row r="30">
      <x:c r="N30" s="68"/>
      <x:c r="S30" s="48"/>
    </x:row>
    <x:row r="31">
      <x:c r="N31" s="68"/>
      <x:c r="S31" s="48"/>
    </x:row>
    <x:row r="32">
      <x:c r="N32" s="68"/>
      <x:c r="S32" s="48"/>
    </x:row>
    <x:row r="33">
      <x:c r="N33" s="68"/>
      <x:c r="S33" s="48"/>
    </x:row>
    <x:row r="34">
      <x:c r="N34" s="68"/>
      <x:c r="S34" s="48"/>
    </x:row>
    <x:row r="35">
      <x:c r="N35" s="68"/>
      <x:c r="S35" s="48"/>
    </x:row>
    <x:row r="36">
      <x:c r="N36" s="68"/>
      <x:c r="S36" s="48"/>
    </x:row>
    <x:row r="37">
      <x:c r="N37" s="68"/>
      <x:c r="S37" s="48"/>
    </x:row>
    <x:row r="38">
      <x:c r="N38" s="68"/>
      <x:c r="S38" s="48"/>
    </x:row>
    <x:row r="39">
      <x:c r="N39" s="68"/>
      <x:c r="S39" s="48"/>
    </x:row>
    <x:row r="40">
      <x:c r="N40" s="68"/>
      <x:c r="S40" s="48"/>
    </x:row>
    <x:row r="41">
      <x:c r="N41" s="68"/>
      <x:c r="S41" s="48"/>
    </x:row>
    <x:row r="42">
      <x:c r="N42" s="68"/>
      <x:c r="S42" s="48"/>
    </x:row>
    <x:row r="43">
      <x:c r="N43" s="68"/>
      <x:c r="S43" s="48"/>
    </x:row>
    <x:row r="44">
      <x:c r="N44" s="68"/>
      <x:c r="S44" s="48"/>
    </x:row>
    <x:row r="45">
      <x:c r="N45" s="68"/>
      <x:c r="S45" s="48"/>
    </x:row>
    <x:row r="46">
      <x:c r="N46" s="68"/>
      <x:c r="S46" s="48"/>
    </x:row>
    <x:row r="47">
      <x:c r="N47" s="68"/>
      <x:c r="S47" s="48"/>
    </x:row>
    <x:row r="48">
      <x:c r="N48" s="68"/>
      <x:c r="S48" s="48"/>
    </x:row>
    <x:row r="49">
      <x:c r="N49" s="68"/>
      <x:c r="S49" s="48"/>
    </x:row>
    <x:row r="50">
      <x:c r="N50" s="68"/>
      <x:c r="S50" s="48"/>
    </x:row>
    <x:row r="51">
      <x:c r="N51" s="68"/>
      <x:c r="S51" s="48"/>
    </x:row>
    <x:row r="52">
      <x:c r="N52" s="68"/>
      <x:c r="S52" s="48"/>
    </x:row>
    <x:row r="53">
      <x:c r="N53" s="68"/>
      <x:c r="S53" s="48"/>
    </x:row>
    <x:row r="54">
      <x:c r="N54" s="68"/>
      <x:c r="S54" s="48"/>
    </x:row>
    <x:row r="55">
      <x:c r="N55" s="68"/>
      <x:c r="S55" s="48"/>
    </x:row>
    <x:row r="56">
      <x:c r="N56" s="68"/>
      <x:c r="S56" s="48"/>
    </x:row>
    <x:row r="57">
      <x:c r="N57" s="68"/>
      <x:c r="S57" s="48"/>
    </x:row>
    <x:row r="58">
      <x:c r="N58" s="68"/>
      <x:c r="S58" s="48"/>
    </x:row>
    <x:row r="59">
      <x:c r="N59" s="68"/>
      <x:c r="S59" s="48"/>
    </x:row>
    <x:row r="60">
      <x:c r="N60" s="68"/>
      <x:c r="S60" s="48"/>
    </x:row>
    <x:row r="61">
      <x:c r="N61" s="68"/>
      <x:c r="S61" s="48"/>
    </x:row>
    <x:row r="62">
      <x:c r="N62" s="68"/>
      <x:c r="S62" s="48"/>
    </x:row>
    <x:row r="63">
      <x:c r="N63" s="68"/>
      <x:c r="S63" s="48"/>
    </x:row>
    <x:row r="64">
      <x:c r="N64" s="68"/>
      <x:c r="S64" s="48"/>
    </x:row>
    <x:row r="65">
      <x:c r="N65" s="68"/>
      <x:c r="S65" s="48"/>
    </x:row>
    <x:row r="66">
      <x:c r="N66" s="68"/>
      <x:c r="S66" s="48"/>
    </x:row>
    <x:row r="67">
      <x:c r="N67" s="68"/>
      <x:c r="S67" s="48"/>
    </x:row>
    <x:row r="68">
      <x:c r="N68" s="68"/>
      <x:c r="S68" s="48"/>
    </x:row>
    <x:row r="69">
      <x:c r="N69" s="68"/>
      <x:c r="S69" s="48"/>
    </x:row>
    <x:row r="70">
      <x:c r="N70" s="68"/>
      <x:c r="S70" s="48"/>
    </x:row>
    <x:row r="71">
      <x:c r="N71" s="68"/>
      <x:c r="S71" s="48"/>
    </x:row>
    <x:row r="72">
      <x:c r="N72" s="68"/>
      <x:c r="S72" s="48"/>
    </x:row>
    <x:row r="73">
      <x:c r="N73" s="68"/>
      <x:c r="S73" s="48"/>
    </x:row>
    <x:row r="74">
      <x:c r="N74" s="68"/>
      <x:c r="S74" s="48"/>
    </x:row>
    <x:row r="75">
      <x:c r="N75" s="68"/>
      <x:c r="S75" s="48"/>
    </x:row>
    <x:row r="76">
      <x:c r="N76" s="68"/>
      <x:c r="S76" s="48"/>
    </x:row>
    <x:row r="77">
      <x:c r="N77" s="68"/>
      <x:c r="S77" s="48"/>
    </x:row>
    <x:row r="78">
      <x:c r="N78" s="68"/>
      <x:c r="S78" s="48"/>
    </x:row>
    <x:row r="79">
      <x:c r="N79" s="68"/>
      <x:c r="S79" s="48"/>
    </x:row>
    <x:row r="80">
      <x:c r="N80" s="68"/>
      <x:c r="S80" s="48"/>
    </x:row>
    <x:row r="81">
      <x:c r="N81" s="68"/>
      <x:c r="S81" s="48"/>
    </x:row>
    <x:row r="82">
      <x:c r="N82" s="68"/>
      <x:c r="S82" s="48"/>
    </x:row>
    <x:row r="83">
      <x:c r="N83" s="68"/>
      <x:c r="S83" s="48"/>
    </x:row>
    <x:row r="84">
      <x:c r="N84" s="68"/>
      <x:c r="S84" s="48"/>
    </x:row>
    <x:row r="85">
      <x:c r="N85" s="68"/>
      <x:c r="S85" s="48"/>
    </x:row>
    <x:row r="86">
      <x:c r="N86" s="68"/>
      <x:c r="S86" s="48"/>
    </x:row>
    <x:row r="87">
      <x:c r="N87" s="68"/>
      <x:c r="S87" s="48"/>
    </x:row>
    <x:row r="88">
      <x:c r="N88" s="68"/>
      <x:c r="S88" s="48"/>
    </x:row>
    <x:row r="89">
      <x:c r="N89" s="68"/>
      <x:c r="S89" s="48"/>
    </x:row>
    <x:row r="90">
      <x:c r="N90" s="68"/>
      <x:c r="S90" s="48"/>
    </x:row>
    <x:row r="91">
      <x:c r="N91" s="68"/>
      <x:c r="S91" s="48"/>
    </x:row>
    <x:row r="92">
      <x:c r="N92" s="68"/>
      <x:c r="S92" s="48"/>
    </x:row>
    <x:row r="93">
      <x:c r="N93" s="68"/>
      <x:c r="S93" s="48"/>
    </x:row>
    <x:row r="94">
      <x:c r="N94" s="68"/>
      <x:c r="S94" s="48"/>
    </x:row>
    <x:row r="95">
      <x:c r="N95" s="68"/>
      <x:c r="S95" s="48"/>
    </x:row>
    <x:row r="96">
      <x:c r="N96" s="68"/>
      <x:c r="S96" s="48"/>
    </x:row>
    <x:row r="97">
      <x:c r="N97" s="68"/>
      <x:c r="S97" s="48"/>
    </x:row>
    <x:row r="98">
      <x:c r="N98" s="68"/>
      <x:c r="S98" s="48"/>
    </x:row>
    <x:row r="99">
      <x:c r="N99" s="68"/>
      <x:c r="S99" s="48"/>
    </x:row>
    <x:row r="100">
      <x:c r="N100" s="68"/>
      <x:c r="S100" s="48"/>
    </x:row>
    <x:row r="101">
      <x:c r="N101" s="68"/>
      <x:c r="S101" s="48"/>
    </x:row>
  </x:sheetData>
  <x:dataValidations count="1">
    <x:dataValidation type="decimal" operator="greaterThanOrEqual" sqref="S2:S101">
      <x:formula1>0</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40" hidden="0" customWidth="1"/>
    <x:col min="9" max="9" width="22" hidden="0" customWidth="1"/>
    <x:col min="10" max="10" width="22" hidden="0" customWidth="1"/>
    <x:col min="11" max="11" width="22" hidden="0" customWidth="1"/>
  </x:cols>
  <x:sheetData>
    <x:row r="1" ht="40" customHeight="1">
      <x:c r="A1" s="4" t="str">
        <x:v>Project ID (ERP)</x:v>
      </x:c>
      <x:c r="B1" s="4" t="str">
        <x:v>Exception ID</x:v>
      </x:c>
      <x:c r="C1" s="4" t="str">
        <x:v>Category</x:v>
      </x:c>
      <x:c r="D1" s="4" t="str">
        <x:v>Priority</x:v>
      </x:c>
      <x:c r="E1" s="4" t="str">
        <x:v>Status</x:v>
      </x:c>
      <x:c r="F1" s="4" t="str">
        <x:v>Responsible area</x:v>
      </x:c>
      <x:c r="G1" s="4" t="str">
        <x:v>Raised date</x:v>
      </x:c>
      <x:c r="H1" s="4" t="str">
        <x:v>Next action</x:v>
      </x:c>
      <x:c r="I1" s="4" t="str">
        <x:v>Due date</x:v>
      </x:c>
      <x:c r="J1" s="4" t="str">
        <x:v>Evidence / ERP reference</x:v>
      </x:c>
      <x:c r="K1" s="4" t="str">
        <x:v>Last updated</x:v>
      </x:c>
    </x:row>
    <x:row r="2">
      <x:c r="A2" t="str">
        <x:v>100245</x:v>
      </x:c>
      <x:c r="B2" t="str">
        <x:v>EX-001</x:v>
      </x:c>
      <x:c r="C2" t="str">
        <x:v>Supplier delay</x:v>
      </x:c>
      <x:c r="D2" t="str">
        <x:v>Critical</x:v>
      </x:c>
      <x:c r="E2" t="str">
        <x:v>Open</x:v>
      </x:c>
      <x:c r="F2" t="str">
        <x:v>Purchasing</x:v>
      </x:c>
      <x:c r="G2" s="68" t="str">
        <x:v>2026-10-16</x:v>
      </x:c>
      <x:c r="H2" t="str">
        <x:v>Confirm revised ETA</x:v>
      </x:c>
      <x:c r="I2" s="68" t="str">
        <x:v>2026-10-19</x:v>
      </x:c>
      <x:c r="J2" t="str">
        <x:v>SPO reference in ERP</x:v>
      </x:c>
      <x:c r="K2" s="68" t="str">
        <x:v>2026-10-16</x:v>
      </x:c>
    </x:row>
    <x:row r="3">
      <x:c r="A3" t="str">
        <x:v>100246</x:v>
      </x:c>
      <x:c r="B3" t="str">
        <x:v>EX-002</x:v>
      </x:c>
      <x:c r="C3" t="str">
        <x:v>Cost reconciliation</x:v>
      </x:c>
      <x:c r="D3" t="str">
        <x:v>High</x:v>
      </x:c>
      <x:c r="E3" t="str">
        <x:v>Open</x:v>
      </x:c>
      <x:c r="F3" t="str">
        <x:v>Finance</x:v>
      </x:c>
      <x:c r="G3" s="68" t="str">
        <x:v>2026-10-16</x:v>
      </x:c>
      <x:c r="H3" t="str">
        <x:v>Verify recognized cost difference</x:v>
      </x:c>
      <x:c r="I3" s="68" t="str">
        <x:v>2026-10-20</x:v>
      </x:c>
      <x:c r="J3" t="str">
        <x:v>ERP cost report</x:v>
      </x:c>
      <x:c r="K3" s="68" t="str">
        <x:v>2026-10-16</x:v>
      </x:c>
    </x:row>
    <x:row r="4">
      <x:c r="A4" t="str">
        <x:v>100247</x:v>
      </x:c>
      <x:c r="B4" t="str">
        <x:v>EX-003</x:v>
      </x:c>
      <x:c r="C4" t="str">
        <x:v>Partial delivery</x:v>
      </x:c>
      <x:c r="D4" t="str">
        <x:v>High</x:v>
      </x:c>
      <x:c r="E4" t="str">
        <x:v>Open</x:v>
      </x:c>
      <x:c r="F4" t="str">
        <x:v>Warehouse</x:v>
      </x:c>
      <x:c r="G4" s="68" t="str">
        <x:v>2026-10-16</x:v>
      </x:c>
      <x:c r="H4" t="str">
        <x:v>Confirm outstanding receipt</x:v>
      </x:c>
      <x:c r="I4" s="68" t="str">
        <x:v>2026-10-19</x:v>
      </x:c>
      <x:c r="J4" t="str">
        <x:v>ERP receiving status</x:v>
      </x:c>
      <x:c r="K4" s="68" t="str">
        <x:v>2026-10-16</x:v>
      </x:c>
    </x:row>
    <x:row r="5">
      <x:c r="G5" s="68"/>
      <x:c r="I5" s="68"/>
      <x:c r="K5" s="68"/>
    </x:row>
    <x:row r="6">
      <x:c r="G6" s="68"/>
      <x:c r="I6" s="68"/>
      <x:c r="K6" s="68"/>
    </x:row>
    <x:row r="7">
      <x:c r="G7" s="68"/>
      <x:c r="I7" s="68"/>
      <x:c r="K7" s="68"/>
    </x:row>
    <x:row r="8">
      <x:c r="G8" s="68"/>
      <x:c r="I8" s="68"/>
      <x:c r="K8" s="68"/>
    </x:row>
    <x:row r="9">
      <x:c r="G9" s="68"/>
      <x:c r="I9" s="68"/>
      <x:c r="K9" s="68"/>
    </x:row>
    <x:row r="10">
      <x:c r="G10" s="68"/>
      <x:c r="I10" s="68"/>
      <x:c r="K10" s="68"/>
    </x:row>
    <x:row r="11">
      <x:c r="G11" s="68"/>
      <x:c r="I11" s="68"/>
      <x:c r="K11" s="68"/>
    </x:row>
    <x:row r="12">
      <x:c r="G12" s="68"/>
      <x:c r="I12" s="68"/>
      <x:c r="K12" s="68"/>
    </x:row>
    <x:row r="13">
      <x:c r="G13" s="68"/>
      <x:c r="I13" s="68"/>
      <x:c r="K13" s="68"/>
    </x:row>
    <x:row r="14">
      <x:c r="G14" s="68"/>
      <x:c r="I14" s="68"/>
      <x:c r="K14" s="68"/>
    </x:row>
    <x:row r="15">
      <x:c r="G15" s="68"/>
      <x:c r="I15" s="68"/>
      <x:c r="K15" s="68"/>
    </x:row>
    <x:row r="16">
      <x:c r="G16" s="68"/>
      <x:c r="I16" s="68"/>
      <x:c r="K16" s="68"/>
    </x:row>
    <x:row r="17">
      <x:c r="G17" s="68"/>
      <x:c r="I17" s="68"/>
      <x:c r="K17" s="68"/>
    </x:row>
    <x:row r="18">
      <x:c r="G18" s="68"/>
      <x:c r="I18" s="68"/>
      <x:c r="K18" s="68"/>
    </x:row>
    <x:row r="19">
      <x:c r="G19" s="68"/>
      <x:c r="I19" s="68"/>
      <x:c r="K19" s="68"/>
    </x:row>
    <x:row r="20">
      <x:c r="G20" s="68"/>
      <x:c r="I20" s="68"/>
      <x:c r="K20" s="68"/>
    </x:row>
    <x:row r="21">
      <x:c r="G21" s="68"/>
      <x:c r="I21" s="68"/>
      <x:c r="K21" s="68"/>
    </x:row>
    <x:row r="22">
      <x:c r="G22" s="68"/>
      <x:c r="I22" s="68"/>
      <x:c r="K22" s="68"/>
    </x:row>
    <x:row r="23">
      <x:c r="G23" s="68"/>
      <x:c r="I23" s="68"/>
      <x:c r="K23" s="68"/>
    </x:row>
    <x:row r="24">
      <x:c r="G24" s="68"/>
      <x:c r="I24" s="68"/>
      <x:c r="K24" s="68"/>
    </x:row>
    <x:row r="25">
      <x:c r="G25" s="68"/>
      <x:c r="I25" s="68"/>
      <x:c r="K25" s="68"/>
    </x:row>
    <x:row r="26">
      <x:c r="G26" s="68"/>
      <x:c r="I26" s="68"/>
      <x:c r="K26" s="68"/>
    </x:row>
    <x:row r="27">
      <x:c r="G27" s="68"/>
      <x:c r="I27" s="68"/>
      <x:c r="K27" s="68"/>
    </x:row>
    <x:row r="28">
      <x:c r="G28" s="68"/>
      <x:c r="I28" s="68"/>
      <x:c r="K28" s="68"/>
    </x:row>
    <x:row r="29">
      <x:c r="G29" s="68"/>
      <x:c r="I29" s="68"/>
      <x:c r="K29" s="68"/>
    </x:row>
    <x:row r="30">
      <x:c r="G30" s="68"/>
      <x:c r="I30" s="68"/>
      <x:c r="K30" s="68"/>
    </x:row>
    <x:row r="31">
      <x:c r="G31" s="68"/>
      <x:c r="I31" s="68"/>
      <x:c r="K31" s="68"/>
    </x:row>
    <x:row r="32">
      <x:c r="G32" s="68"/>
      <x:c r="I32" s="68"/>
      <x:c r="K32" s="68"/>
    </x:row>
    <x:row r="33">
      <x:c r="G33" s="68"/>
      <x:c r="I33" s="68"/>
      <x:c r="K33" s="68"/>
    </x:row>
    <x:row r="34">
      <x:c r="G34" s="68"/>
      <x:c r="I34" s="68"/>
      <x:c r="K34" s="68"/>
    </x:row>
    <x:row r="35">
      <x:c r="G35" s="68"/>
      <x:c r="I35" s="68"/>
      <x:c r="K35" s="68"/>
    </x:row>
    <x:row r="36">
      <x:c r="G36" s="68"/>
      <x:c r="I36" s="68"/>
      <x:c r="K36" s="68"/>
    </x:row>
    <x:row r="37">
      <x:c r="G37" s="68"/>
      <x:c r="I37" s="68"/>
      <x:c r="K37" s="68"/>
    </x:row>
    <x:row r="38">
      <x:c r="G38" s="68"/>
      <x:c r="I38" s="68"/>
      <x:c r="K38" s="68"/>
    </x:row>
    <x:row r="39">
      <x:c r="G39" s="68"/>
      <x:c r="I39" s="68"/>
      <x:c r="K39" s="68"/>
    </x:row>
    <x:row r="40">
      <x:c r="G40" s="68"/>
      <x:c r="I40" s="68"/>
      <x:c r="K40" s="68"/>
    </x:row>
    <x:row r="41">
      <x:c r="G41" s="68"/>
      <x:c r="I41" s="68"/>
      <x:c r="K41" s="68"/>
    </x:row>
    <x:row r="42">
      <x:c r="G42" s="68"/>
      <x:c r="I42" s="68"/>
      <x:c r="K42" s="68"/>
    </x:row>
    <x:row r="43">
      <x:c r="G43" s="68"/>
      <x:c r="I43" s="68"/>
      <x:c r="K43" s="68"/>
    </x:row>
    <x:row r="44">
      <x:c r="G44" s="68"/>
      <x:c r="I44" s="68"/>
      <x:c r="K44" s="68"/>
    </x:row>
    <x:row r="45">
      <x:c r="G45" s="68"/>
      <x:c r="I45" s="68"/>
      <x:c r="K45" s="68"/>
    </x:row>
    <x:row r="46">
      <x:c r="G46" s="68"/>
      <x:c r="I46" s="68"/>
      <x:c r="K46" s="68"/>
    </x:row>
    <x:row r="47">
      <x:c r="G47" s="68"/>
      <x:c r="I47" s="68"/>
      <x:c r="K47" s="68"/>
    </x:row>
    <x:row r="48">
      <x:c r="G48" s="68"/>
      <x:c r="I48" s="68"/>
      <x:c r="K48" s="68"/>
    </x:row>
    <x:row r="49">
      <x:c r="G49" s="68"/>
      <x:c r="I49" s="68"/>
      <x:c r="K49" s="68"/>
    </x:row>
    <x:row r="50">
      <x:c r="G50" s="68"/>
      <x:c r="I50" s="68"/>
      <x:c r="K50" s="68"/>
    </x:row>
    <x:row r="51">
      <x:c r="G51" s="68"/>
      <x:c r="I51" s="68"/>
      <x:c r="K51" s="68"/>
    </x:row>
    <x:row r="52">
      <x:c r="G52" s="68"/>
      <x:c r="I52" s="68"/>
      <x:c r="K52" s="68"/>
    </x:row>
    <x:row r="53">
      <x:c r="G53" s="68"/>
      <x:c r="I53" s="68"/>
      <x:c r="K53" s="68"/>
    </x:row>
    <x:row r="54">
      <x:c r="G54" s="68"/>
      <x:c r="I54" s="68"/>
      <x:c r="K54" s="68"/>
    </x:row>
    <x:row r="55">
      <x:c r="G55" s="68"/>
      <x:c r="I55" s="68"/>
      <x:c r="K55" s="68"/>
    </x:row>
    <x:row r="56">
      <x:c r="G56" s="68"/>
      <x:c r="I56" s="68"/>
      <x:c r="K56" s="68"/>
    </x:row>
    <x:row r="57">
      <x:c r="G57" s="68"/>
      <x:c r="I57" s="68"/>
      <x:c r="K57" s="68"/>
    </x:row>
    <x:row r="58">
      <x:c r="G58" s="68"/>
      <x:c r="I58" s="68"/>
      <x:c r="K58" s="68"/>
    </x:row>
    <x:row r="59">
      <x:c r="G59" s="68"/>
      <x:c r="I59" s="68"/>
      <x:c r="K59" s="68"/>
    </x:row>
    <x:row r="60">
      <x:c r="G60" s="68"/>
      <x:c r="I60" s="68"/>
      <x:c r="K60" s="68"/>
    </x:row>
    <x:row r="61">
      <x:c r="G61" s="68"/>
      <x:c r="I61" s="68"/>
      <x:c r="K61" s="68"/>
    </x:row>
    <x:row r="62">
      <x:c r="G62" s="68"/>
      <x:c r="I62" s="68"/>
      <x:c r="K62" s="68"/>
    </x:row>
    <x:row r="63">
      <x:c r="G63" s="68"/>
      <x:c r="I63" s="68"/>
      <x:c r="K63" s="68"/>
    </x:row>
    <x:row r="64">
      <x:c r="G64" s="68"/>
      <x:c r="I64" s="68"/>
      <x:c r="K64" s="68"/>
    </x:row>
    <x:row r="65">
      <x:c r="G65" s="68"/>
      <x:c r="I65" s="68"/>
      <x:c r="K65" s="68"/>
    </x:row>
    <x:row r="66">
      <x:c r="G66" s="68"/>
      <x:c r="I66" s="68"/>
      <x:c r="K66" s="68"/>
    </x:row>
    <x:row r="67">
      <x:c r="G67" s="68"/>
      <x:c r="I67" s="68"/>
      <x:c r="K67" s="68"/>
    </x:row>
    <x:row r="68">
      <x:c r="G68" s="68"/>
      <x:c r="I68" s="68"/>
      <x:c r="K68" s="68"/>
    </x:row>
    <x:row r="69">
      <x:c r="G69" s="68"/>
      <x:c r="I69" s="68"/>
      <x:c r="K69" s="68"/>
    </x:row>
    <x:row r="70">
      <x:c r="G70" s="68"/>
      <x:c r="I70" s="68"/>
      <x:c r="K70" s="68"/>
    </x:row>
    <x:row r="71">
      <x:c r="G71" s="68"/>
      <x:c r="I71" s="68"/>
      <x:c r="K71" s="68"/>
    </x:row>
    <x:row r="72">
      <x:c r="G72" s="68"/>
      <x:c r="I72" s="68"/>
      <x:c r="K72" s="68"/>
    </x:row>
    <x:row r="73">
      <x:c r="G73" s="68"/>
      <x:c r="I73" s="68"/>
      <x:c r="K73" s="68"/>
    </x:row>
    <x:row r="74">
      <x:c r="G74" s="68"/>
      <x:c r="I74" s="68"/>
      <x:c r="K74" s="68"/>
    </x:row>
    <x:row r="75">
      <x:c r="G75" s="68"/>
      <x:c r="I75" s="68"/>
      <x:c r="K75" s="68"/>
    </x:row>
    <x:row r="76">
      <x:c r="G76" s="68"/>
      <x:c r="I76" s="68"/>
      <x:c r="K76" s="68"/>
    </x:row>
    <x:row r="77">
      <x:c r="G77" s="68"/>
      <x:c r="I77" s="68"/>
      <x:c r="K77" s="68"/>
    </x:row>
    <x:row r="78">
      <x:c r="G78" s="68"/>
      <x:c r="I78" s="68"/>
      <x:c r="K78" s="68"/>
    </x:row>
    <x:row r="79">
      <x:c r="G79" s="68"/>
      <x:c r="I79" s="68"/>
      <x:c r="K79" s="68"/>
    </x:row>
    <x:row r="80">
      <x:c r="G80" s="68"/>
      <x:c r="I80" s="68"/>
      <x:c r="K80" s="68"/>
    </x:row>
    <x:row r="81">
      <x:c r="G81" s="68"/>
      <x:c r="I81" s="68"/>
      <x:c r="K81" s="68"/>
    </x:row>
    <x:row r="82">
      <x:c r="G82" s="68"/>
      <x:c r="I82" s="68"/>
      <x:c r="K82" s="68"/>
    </x:row>
    <x:row r="83">
      <x:c r="G83" s="68"/>
      <x:c r="I83" s="68"/>
      <x:c r="K83" s="68"/>
    </x:row>
    <x:row r="84">
      <x:c r="G84" s="68"/>
      <x:c r="I84" s="68"/>
      <x:c r="K84" s="68"/>
    </x:row>
    <x:row r="85">
      <x:c r="G85" s="68"/>
      <x:c r="I85" s="68"/>
      <x:c r="K85" s="68"/>
    </x:row>
    <x:row r="86">
      <x:c r="G86" s="68"/>
      <x:c r="I86" s="68"/>
      <x:c r="K86" s="68"/>
    </x:row>
    <x:row r="87">
      <x:c r="G87" s="68"/>
      <x:c r="I87" s="68"/>
      <x:c r="K87" s="68"/>
    </x:row>
    <x:row r="88">
      <x:c r="G88" s="68"/>
      <x:c r="I88" s="68"/>
      <x:c r="K88" s="68"/>
    </x:row>
    <x:row r="89">
      <x:c r="G89" s="68"/>
      <x:c r="I89" s="68"/>
      <x:c r="K89" s="68"/>
    </x:row>
    <x:row r="90">
      <x:c r="G90" s="68"/>
      <x:c r="I90" s="68"/>
      <x:c r="K90" s="68"/>
    </x:row>
    <x:row r="91">
      <x:c r="G91" s="68"/>
      <x:c r="I91" s="68"/>
      <x:c r="K91" s="68"/>
    </x:row>
    <x:row r="92">
      <x:c r="G92" s="68"/>
      <x:c r="I92" s="68"/>
      <x:c r="K92" s="68"/>
    </x:row>
    <x:row r="93">
      <x:c r="G93" s="68"/>
      <x:c r="I93" s="68"/>
      <x:c r="K93" s="68"/>
    </x:row>
    <x:row r="94">
      <x:c r="G94" s="68"/>
      <x:c r="I94" s="68"/>
      <x:c r="K94" s="68"/>
    </x:row>
    <x:row r="95">
      <x:c r="G95" s="68"/>
      <x:c r="I95" s="68"/>
      <x:c r="K95" s="68"/>
    </x:row>
    <x:row r="96">
      <x:c r="G96" s="68"/>
      <x:c r="I96" s="68"/>
      <x:c r="K96" s="68"/>
    </x:row>
    <x:row r="97">
      <x:c r="G97" s="68"/>
      <x:c r="I97" s="68"/>
      <x:c r="K97" s="68"/>
    </x:row>
    <x:row r="98">
      <x:c r="G98" s="68"/>
      <x:c r="I98" s="68"/>
      <x:c r="K98" s="68"/>
    </x:row>
    <x:row r="99">
      <x:c r="G99" s="68"/>
      <x:c r="I99" s="68"/>
      <x:c r="K99" s="68"/>
    </x:row>
    <x:row r="100">
      <x:c r="G100" s="68"/>
      <x:c r="I100" s="68"/>
      <x:c r="K100" s="68"/>
    </x:row>
    <x:row r="101">
      <x:c r="G101" s="68"/>
      <x:c r="I101" s="68"/>
      <x:c r="K101" s="68"/>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4" hidden="0" customWidth="1"/>
    <x:col min="19" max="19" width="24" hidden="0" customWidth="1"/>
    <x:col min="20" max="20" width="24" hidden="0" customWidth="1"/>
  </x:cols>
  <x:sheetData>
    <x:row r="1" ht="42" customHeight="1">
      <x:c r="A1" s="4" t="str">
        <x:v>Project ID (ERP)</x:v>
      </x:c>
      <x:c r="B1" s="4" t="str">
        <x:v>Customer</x:v>
      </x:c>
      <x:c r="C1" s="4" t="str">
        <x:v>Sale currency</x:v>
      </x:c>
      <x:c r="D1" s="4" t="str">
        <x:v>Authorized Customer PO USD</x:v>
      </x:c>
      <x:c r="E1" s="4" t="str">
        <x:v>Invoiced USD</x:v>
      </x:c>
      <x:c r="F1" s="4" t="str">
        <x:v>Uninvoiced USD</x:v>
      </x:c>
      <x:c r="G1" s="4" t="str">
        <x:v>Authorized operating budget USD</x:v>
      </x:c>
      <x:c r="H1" s="4" t="str">
        <x:v>ERP recognized cost USD</x:v>
      </x:c>
      <x:c r="I1" s="4" t="str">
        <x:v>Supplier PO authorized value USD</x:v>
      </x:c>
      <x:c r="J1" s="4" t="str">
        <x:v>Budget not committed via POs USD</x:v>
      </x:c>
      <x:c r="K1" s="4" t="str">
        <x:v>Budget committed via POs %</x:v>
      </x:c>
      <x:c r="L1" s="4" t="str">
        <x:v>Budget alert</x:v>
      </x:c>
      <x:c r="M1" s="4" t="str">
        <x:v>Pending supplier POs</x:v>
      </x:c>
      <x:c r="N1" s="4" t="str">
        <x:v>Open exceptions</x:v>
      </x:c>
      <x:c r="O1" s="4" t="str">
        <x:v>Invoice status</x:v>
      </x:c>
      <x:c r="P1" s="4" t="str">
        <x:v>Follow-up priority</x:v>
      </x:c>
      <x:c r="Q1" s="4" t="str">
        <x:v>Snapshot date</x:v>
      </x:c>
      <x:c r="R1" s="13" t="str">
        <x:v>Business Unit</x:v>
      </x:c>
      <x:c r="S1" s="13" t="str">
        <x:v>Brand / Commercial Line</x:v>
      </x:c>
      <x:c r="T1" s="13" t="str">
        <x:v>Selling Entity</x:v>
      </x:c>
    </x:row>
    <x:row r="2">
      <x:c r="A2" t="str">
        <x:f>IF('ERP Snapshot'!A2="","",'ERP Snapshot'!A2)</x:f>
        <x:v>100245</x:v>
      </x:c>
      <x:c r="B2" t="str">
        <x:f>IF(A2="","",'ERP Snapshot'!B2)</x:f>
        <x:v>Customer A</x:v>
      </x:c>
      <x:c r="C2" t="str">
        <x:f>IF(A2="","",'ERP Snapshot'!D2)</x:f>
        <x:v>USD</x:v>
      </x:c>
      <x:c r="D2" t="n">
        <x:f>IF(A2="","",IF(C2="MXN",IF(AND(Settings!$B$8="APPROVED",Settings!$B$9&lt;&gt;"",Settings!$B$10&lt;&gt;"",Settings!$B$2&gt;0),'PO Authorization'!F2/Settings!$B$2,""),'PO Authorization'!F2))</x:f>
        <x:v>50000</x:v>
      </x:c>
      <x:c r="E2" t="n">
        <x:f>IF(A2="","",IF(C2="MXN",IF(AND(Settings!$B$8="APPROVED",Settings!$B$9&lt;&gt;"",Settings!$B$10&lt;&gt;"",Settings!$B$2&gt;0),'ERP Snapshot'!I2/Settings!$B$2,""),'ERP Snapshot'!I2))</x:f>
        <x:v>28000</x:v>
      </x:c>
      <x:c r="F2" t="n">
        <x:f>IF(A2="","",IF(AND(ISNUMBER(D2),ISNUMBER(E2)),D2-E2,""))</x:f>
        <x:v>22000</x:v>
      </x:c>
      <x:c r="G2" t="n">
        <x:f>IF(A2="","",IF(ISNUMBER('ERP Snapshot'!F2),'ERP Snapshot'!F2,""))</x:f>
        <x:v>38000</x:v>
      </x:c>
      <x:c r="H2" t="n">
        <x:f>IF(A2="","",'ERP Snapshot'!G2)</x:f>
        <x:v>24000</x:v>
      </x:c>
      <x:c r="I2" t="n">
        <x:f>IF(A2="","",IF(ISNUMBER('ERP Snapshot'!S2),'ERP Snapshot'!S2,""))</x:f>
        <x:v>24000</x:v>
      </x:c>
      <x:c r="J2" t="n">
        <x:f>IF(A2="","",IF(AND(ISNUMBER(G2),ISNUMBER(I2)),G2-I2,""))</x:f>
        <x:v>14000</x:v>
      </x:c>
      <x:c r="K2" s="8" t="n">
        <x:f>IF(A2="","",IF(AND(ISNUMBER(G2),G2&gt;0,ISNUMBER(I2)),I2/G2,""))</x:f>
        <x:v>0.631578947368421</x:v>
      </x:c>
      <x:c r="L2" t="str">
        <x:f>IF(A2="","",IF(NOT(ISNUMBER(G2)),"BUDGET DATA REQUIRED",IF(G2&lt;=0,"REVIEW: NO BUDGET",IF(NOT(ISNUMBER(I2)),"PO DATA REQUIRED",IF(I2&lt;0,"REVIEW: PO AMOUNT",IF(K2&gt;1,"OVER BUDGET",IF(K2=1,"BUDGET EXHAUSTED",IF(K2&gt;=Settings!$B$3,"PREVENTIVE ALERT","OK"))))))))</x:f>
        <x:v>OK</x:v>
      </x:c>
      <x:c r="M2" t="n">
        <x:f>IF(A2="","",'ERP Snapshot'!K2)</x:f>
        <x:v>1</x:v>
      </x:c>
      <x:c r="N2" t="n">
        <x:f>IF(A2="","",COUNTIFS(Exceptions!$A$2:$A$101,A2,Exceptions!$E$2:$E$101,"Open"))</x:f>
        <x:v>1</x:v>
      </x:c>
      <x:c r="O2" t="str">
        <x:f>IF(A2="","",IF(AND(C2="MXN",OR(D2="",E2="")),"FX HOLD",IF(E2&gt;D2,"REVIEW: ABOVE CUSTOMER PO",IF('PO Authorization'!H2="REVIEW: SNAPSHOT DIFFERS","REVIEW: PO SNAPSHOT",IF(E2=D2,"FULLY INVOICED",IF(E2&gt;0,"PARTIAL INVOICE","NOT INVOICED"))))))</x:f>
        <x:v>PARTIAL INVOICE</x:v>
      </x:c>
      <x:c r="P2" t="str">
        <x:f>IF(A2="","",IF(OR(O2="FX HOLD",O2="REVIEW: PO SNAPSHOT",L2="OVER BUDGET",L2="BUDGET EXHAUSTED",O2="REVIEW: ABOVE CUSTOMER PO",'ERP Snapshot'!L2="YES"),"CRITICAL / REVIEW",IF(OR(L2="PO DATA REQUIRED",L2="BUDGET DATA REQUIRED",L2="REVIEW: NO BUDGET",L2="REVIEW: PO AMOUNT",N2&gt;0,M2&gt;0,F2&gt;0),"FOLLOW UP","NORMAL")))</x:f>
        <x:v>CRITICAL / REVIEW</x:v>
      </x:c>
      <x:c r="Q2" s="68" t="str">
        <x:f>IF(A2="","",'ERP Snapshot'!N2)</x:f>
        <x:v>2026-10-16</x:v>
      </x:c>
      <x:c r="R2" t="str">
        <x:f>IF(A2="","",'ERP Snapshot'!Q2)</x:f>
        <x:v>Strategic Services</x:v>
      </x:c>
      <x:c r="S2" t="str">
        <x:f>IF(A2="","",'ERP Snapshot'!R2)</x:f>
        <x:v>N/A</x:v>
      </x:c>
      <x:c r="T2" t="str">
        <x:f>IF(A2="","",'ERP Snapshot'!C2)</x:f>
        <x:v>MX</x:v>
      </x:c>
    </x:row>
    <x:row r="3">
      <x:c r="A3" t="str">
        <x:f>IF('ERP Snapshot'!A3="","",'ERP Snapshot'!A3)</x:f>
        <x:v>100246</x:v>
      </x:c>
      <x:c r="B3" t="str">
        <x:f>IF(A3="","",'ERP Snapshot'!B3)</x:f>
        <x:v>Customer B</x:v>
      </x:c>
      <x:c r="C3" t="str">
        <x:f>IF(A3="","",'ERP Snapshot'!D3)</x:f>
        <x:v>MXN</x:v>
      </x:c>
      <x:c r="D3" t="n">
        <x:f>IF(A3="","",IF(C3="MXN",IF(AND(Settings!$B$8="APPROVED",Settings!$B$9&lt;&gt;"",Settings!$B$10&lt;&gt;"",Settings!$B$2&gt;0),'PO Authorization'!F3/Settings!$B$2,""),'PO Authorization'!F3))</x:f>
        <x:v>41000</x:v>
      </x:c>
      <x:c r="E3" t="n">
        <x:f>IF(A3="","",IF(C3="MXN",IF(AND(Settings!$B$8="APPROVED",Settings!$B$9&lt;&gt;"",Settings!$B$10&lt;&gt;"",Settings!$B$2&gt;0),'ERP Snapshot'!I3/Settings!$B$2,""),'ERP Snapshot'!I3))</x:f>
        <x:v>41000</x:v>
      </x:c>
      <x:c r="F3" t="n">
        <x:f>IF(A3="","",IF(AND(ISNUMBER(D3),ISNUMBER(E3)),D3-E3,""))</x:f>
        <x:v>0</x:v>
      </x:c>
      <x:c r="G3" t="n">
        <x:f>IF(A3="","",IF(ISNUMBER('ERP Snapshot'!F3),'ERP Snapshot'!F3,""))</x:f>
        <x:v>32000</x:v>
      </x:c>
      <x:c r="H3" t="n">
        <x:f>IF(A3="","",'ERP Snapshot'!G3)</x:f>
        <x:v>29000</x:v>
      </x:c>
      <x:c r="I3" t="n">
        <x:f>IF(A3="","",IF(ISNUMBER('ERP Snapshot'!S3),'ERP Snapshot'!S3,""))</x:f>
        <x:v>18000</x:v>
      </x:c>
      <x:c r="J3" t="n">
        <x:f>IF(A3="","",IF(AND(ISNUMBER(G3),ISNUMBER(I3)),G3-I3,""))</x:f>
        <x:v>14000</x:v>
      </x:c>
      <x:c r="K3" s="8" t="n">
        <x:f>IF(A3="","",IF(AND(ISNUMBER(G3),G3&gt;0,ISNUMBER(I3)),I3/G3,""))</x:f>
        <x:v>0.5625</x:v>
      </x:c>
      <x:c r="L3" t="str">
        <x:f>IF(A3="","",IF(NOT(ISNUMBER(G3)),"BUDGET DATA REQUIRED",IF(G3&lt;=0,"REVIEW: NO BUDGET",IF(NOT(ISNUMBER(I3)),"PO DATA REQUIRED",IF(I3&lt;0,"REVIEW: PO AMOUNT",IF(K3&gt;1,"OVER BUDGET",IF(K3=1,"BUDGET EXHAUSTED",IF(K3&gt;=Settings!$B$3,"PREVENTIVE ALERT","OK"))))))))</x:f>
        <x:v>OK</x:v>
      </x:c>
      <x:c r="M3" t="n">
        <x:f>IF(A3="","",'ERP Snapshot'!K3)</x:f>
        <x:v>0</x:v>
      </x:c>
      <x:c r="N3" t="n">
        <x:f>IF(A3="","",COUNTIFS(Exceptions!$A$2:$A$101,A3,Exceptions!$E$2:$E$101,"Open"))</x:f>
        <x:v>1</x:v>
      </x:c>
      <x:c r="O3" t="str">
        <x:f>IF(A3="","",IF(AND(C3="MXN",OR(D3="",E3="")),"FX HOLD",IF(E3&gt;D3,"REVIEW: ABOVE CUSTOMER PO",IF('PO Authorization'!H3="REVIEW: SNAPSHOT DIFFERS","REVIEW: PO SNAPSHOT",IF(E3=D3,"FULLY INVOICED",IF(E3&gt;0,"PARTIAL INVOICE","NOT INVOICED"))))))</x:f>
        <x:v>FULLY INVOICED</x:v>
      </x:c>
      <x:c r="P3" t="str">
        <x:f>IF(A3="","",IF(OR(O3="FX HOLD",O3="REVIEW: PO SNAPSHOT",L3="OVER BUDGET",L3="BUDGET EXHAUSTED",O3="REVIEW: ABOVE CUSTOMER PO",'ERP Snapshot'!L3="YES"),"CRITICAL / REVIEW",IF(OR(L3="PO DATA REQUIRED",L3="BUDGET DATA REQUIRED",L3="REVIEW: NO BUDGET",L3="REVIEW: PO AMOUNT",N3&gt;0,M3&gt;0,F3&gt;0),"FOLLOW UP","NORMAL")))</x:f>
        <x:v>FOLLOW UP</x:v>
      </x:c>
      <x:c r="Q3" s="68" t="str">
        <x:f>IF(A3="","",'ERP Snapshot'!N3)</x:f>
        <x:v>2026-10-16</x:v>
      </x:c>
      <x:c r="R3" t="str">
        <x:f>IF(A3="","",'ERP Snapshot'!Q3)</x:f>
        <x:v>Brands</x:v>
      </x:c>
      <x:c r="S3" t="str">
        <x:f>IF(A3="","",'ERP Snapshot'!R3)</x:f>
        <x:v>Desoutter</x:v>
      </x:c>
      <x:c r="T3" t="str">
        <x:f>IF(A3="","",'ERP Snapshot'!C3)</x:f>
        <x:v>MX</x:v>
      </x:c>
    </x:row>
    <x:row r="4">
      <x:c r="A4" t="str">
        <x:f>IF('ERP Snapshot'!A4="","",'ERP Snapshot'!A4)</x:f>
        <x:v>100247</x:v>
      </x:c>
      <x:c r="B4" t="str">
        <x:f>IF(A4="","",'ERP Snapshot'!B4)</x:f>
        <x:v>Customer C</x:v>
      </x:c>
      <x:c r="C4" t="str">
        <x:f>IF(A4="","",'ERP Snapshot'!D4)</x:f>
        <x:v>USD</x:v>
      </x:c>
      <x:c r="D4" t="n">
        <x:f>IF(A4="","",IF(C4="MXN",IF(AND(Settings!$B$8="APPROVED",Settings!$B$9&lt;&gt;"",Settings!$B$10&lt;&gt;"",Settings!$B$2&gt;0),'PO Authorization'!F4/Settings!$B$2,""),'PO Authorization'!F4))</x:f>
        <x:v>34000</x:v>
      </x:c>
      <x:c r="E4" t="n">
        <x:f>IF(A4="","",IF(C4="MXN",IF(AND(Settings!$B$8="APPROVED",Settings!$B$9&lt;&gt;"",Settings!$B$10&lt;&gt;"",Settings!$B$2&gt;0),'ERP Snapshot'!I4/Settings!$B$2,""),'ERP Snapshot'!I4))</x:f>
        <x:v>12000</x:v>
      </x:c>
      <x:c r="F4" t="n">
        <x:f>IF(A4="","",IF(AND(ISNUMBER(D4),ISNUMBER(E4)),D4-E4,""))</x:f>
        <x:v>22000</x:v>
      </x:c>
      <x:c r="G4" t="n">
        <x:f>IF(A4="","",IF(ISNUMBER('ERP Snapshot'!F4),'ERP Snapshot'!F4,""))</x:f>
        <x:v>26000</x:v>
      </x:c>
      <x:c r="H4" t="n">
        <x:f>IF(A4="","",'ERP Snapshot'!G4)</x:f>
        <x:v>21000</x:v>
      </x:c>
      <x:c r="I4" t="n">
        <x:f>IF(A4="","",IF(ISNUMBER('ERP Snapshot'!S4),'ERP Snapshot'!S4,""))</x:f>
        <x:v>26000</x:v>
      </x:c>
      <x:c r="J4" t="n">
        <x:f>IF(A4="","",IF(AND(ISNUMBER(G4),ISNUMBER(I4)),G4-I4,""))</x:f>
        <x:v>0</x:v>
      </x:c>
      <x:c r="K4" s="8" t="n">
        <x:f>IF(A4="","",IF(AND(ISNUMBER(G4),G4&gt;0,ISNUMBER(I4)),I4/G4,""))</x:f>
        <x:v>1</x:v>
      </x:c>
      <x:c r="L4" t="str">
        <x:f>IF(A4="","",IF(NOT(ISNUMBER(G4)),"BUDGET DATA REQUIRED",IF(G4&lt;=0,"REVIEW: NO BUDGET",IF(NOT(ISNUMBER(I4)),"PO DATA REQUIRED",IF(I4&lt;0,"REVIEW: PO AMOUNT",IF(K4&gt;1,"OVER BUDGET",IF(K4=1,"BUDGET EXHAUSTED",IF(K4&gt;=Settings!$B$3,"PREVENTIVE ALERT","OK"))))))))</x:f>
        <x:v>BUDGET EXHAUSTED</x:v>
      </x:c>
      <x:c r="M4" t="n">
        <x:f>IF(A4="","",'ERP Snapshot'!K4)</x:f>
        <x:v>2</x:v>
      </x:c>
      <x:c r="N4" t="n">
        <x:f>IF(A4="","",COUNTIFS(Exceptions!$A$2:$A$101,A4,Exceptions!$E$2:$E$101,"Open"))</x:f>
        <x:v>1</x:v>
      </x:c>
      <x:c r="O4" t="str">
        <x:f>IF(A4="","",IF(AND(C4="MXN",OR(D4="",E4="")),"FX HOLD",IF(E4&gt;D4,"REVIEW: ABOVE CUSTOMER PO",IF('PO Authorization'!H4="REVIEW: SNAPSHOT DIFFERS","REVIEW: PO SNAPSHOT",IF(E4=D4,"FULLY INVOICED",IF(E4&gt;0,"PARTIAL INVOICE","NOT INVOICED"))))))</x:f>
        <x:v>PARTIAL INVOICE</x:v>
      </x:c>
      <x:c r="P4" t="str">
        <x:f>IF(A4="","",IF(OR(O4="FX HOLD",O4="REVIEW: PO SNAPSHOT",L4="OVER BUDGET",L4="BUDGET EXHAUSTED",O4="REVIEW: ABOVE CUSTOMER PO",'ERP Snapshot'!L4="YES"),"CRITICAL / REVIEW",IF(OR(L4="PO DATA REQUIRED",L4="BUDGET DATA REQUIRED",L4="REVIEW: NO BUDGET",L4="REVIEW: PO AMOUNT",N4&gt;0,M4&gt;0,F4&gt;0),"FOLLOW UP","NORMAL")))</x:f>
        <x:v>CRITICAL / REVIEW</x:v>
      </x:c>
      <x:c r="Q4" s="68" t="str">
        <x:f>IF(A4="","",'ERP Snapshot'!N4)</x:f>
        <x:v>2026-10-16</x:v>
      </x:c>
      <x:c r="R4" t="str">
        <x:f>IF(A4="","",'ERP Snapshot'!Q4)</x:f>
        <x:v>Brands</x:v>
      </x:c>
      <x:c r="S4" t="str">
        <x:f>IF(A4="","",'ERP Snapshot'!R4)</x:f>
        <x:v>Datalogic</x:v>
      </x:c>
      <x:c r="T4" t="str">
        <x:f>IF(A4="","",'ERP Snapshot'!C4)</x:f>
        <x:v>US</x:v>
      </x:c>
    </x:row>
    <x:row r="5">
      <x:c r="A5" t="str">
        <x:f>IF('ERP Snapshot'!A5="","",'ERP Snapshot'!A5)</x:f>
        <x:v>100248</x:v>
      </x:c>
      <x:c r="B5" t="str">
        <x:f>IF(A5="","",'ERP Snapshot'!B5)</x:f>
        <x:v>Customer D</x:v>
      </x:c>
      <x:c r="C5" t="str">
        <x:f>IF(A5="","",'ERP Snapshot'!D5)</x:f>
        <x:v>USD</x:v>
      </x:c>
      <x:c r="D5" t="n">
        <x:f>IF(A5="","",IF(C5="MXN",IF(AND(Settings!$B$8="APPROVED",Settings!$B$9&lt;&gt;"",Settings!$B$10&lt;&gt;"",Settings!$B$2&gt;0),'PO Authorization'!F5/Settings!$B$2,""),'PO Authorization'!F5))</x:f>
        <x:v>24000</x:v>
      </x:c>
      <x:c r="E5" t="n">
        <x:f>IF(A5="","",IF(C5="MXN",IF(AND(Settings!$B$8="APPROVED",Settings!$B$9&lt;&gt;"",Settings!$B$10&lt;&gt;"",Settings!$B$2&gt;0),'ERP Snapshot'!I5/Settings!$B$2,""),'ERP Snapshot'!I5))</x:f>
        <x:v>0</x:v>
      </x:c>
      <x:c r="F5" t="n">
        <x:f>IF(A5="","",IF(AND(ISNUMBER(D5),ISNUMBER(E5)),D5-E5,""))</x:f>
        <x:v>24000</x:v>
      </x:c>
      <x:c r="G5" t="n">
        <x:f>IF(A5="","",IF(ISNUMBER('ERP Snapshot'!F5),'ERP Snapshot'!F5,""))</x:f>
        <x:v>18000</x:v>
      </x:c>
      <x:c r="H5" t="n">
        <x:f>IF(A5="","",'ERP Snapshot'!G5)</x:f>
        <x:v>12000</x:v>
      </x:c>
      <x:c r="I5" t="n">
        <x:f>IF(A5="","",IF(ISNUMBER('ERP Snapshot'!S5),'ERP Snapshot'!S5,""))</x:f>
        <x:v>0</x:v>
      </x:c>
      <x:c r="J5" t="n">
        <x:f>IF(A5="","",IF(AND(ISNUMBER(G5),ISNUMBER(I5)),G5-I5,""))</x:f>
        <x:v>18000</x:v>
      </x:c>
      <x:c r="K5" s="8" t="n">
        <x:f>IF(A5="","",IF(AND(ISNUMBER(G5),G5&gt;0,ISNUMBER(I5)),I5/G5,""))</x:f>
        <x:v>0</x:v>
      </x:c>
      <x:c r="L5" t="str">
        <x:f>IF(A5="","",IF(NOT(ISNUMBER(G5)),"BUDGET DATA REQUIRED",IF(G5&lt;=0,"REVIEW: NO BUDGET",IF(NOT(ISNUMBER(I5)),"PO DATA REQUIRED",IF(I5&lt;0,"REVIEW: PO AMOUNT",IF(K5&gt;1,"OVER BUDGET",IF(K5=1,"BUDGET EXHAUSTED",IF(K5&gt;=Settings!$B$3,"PREVENTIVE ALERT","OK"))))))))</x:f>
        <x:v>OK</x:v>
      </x:c>
      <x:c r="M5" t="n">
        <x:f>IF(A5="","",'ERP Snapshot'!K5)</x:f>
        <x:v>0</x:v>
      </x:c>
      <x:c r="N5" t="n">
        <x:f>IF(A5="","",COUNTIFS(Exceptions!$A$2:$A$101,A5,Exceptions!$E$2:$E$101,"Open"))</x:f>
        <x:v>0</x:v>
      </x:c>
      <x:c r="O5" t="str">
        <x:f>IF(A5="","",IF(AND(C5="MXN",OR(D5="",E5="")),"FX HOLD",IF(E5&gt;D5,"REVIEW: ABOVE CUSTOMER PO",IF('PO Authorization'!H5="REVIEW: SNAPSHOT DIFFERS","REVIEW: PO SNAPSHOT",IF(E5=D5,"FULLY INVOICED",IF(E5&gt;0,"PARTIAL INVOICE","NOT INVOICED"))))))</x:f>
        <x:v>NOT INVOICED</x:v>
      </x:c>
      <x:c r="P5" t="str">
        <x:f>IF(A5="","",IF(OR(O5="FX HOLD",O5="REVIEW: PO SNAPSHOT",L5="OVER BUDGET",L5="BUDGET EXHAUSTED",O5="REVIEW: ABOVE CUSTOMER PO",'ERP Snapshot'!L5="YES"),"CRITICAL / REVIEW",IF(OR(L5="PO DATA REQUIRED",L5="BUDGET DATA REQUIRED",L5="REVIEW: NO BUDGET",L5="REVIEW: PO AMOUNT",N5&gt;0,M5&gt;0,F5&gt;0),"FOLLOW UP","NORMAL")))</x:f>
        <x:v>FOLLOW UP</x:v>
      </x:c>
      <x:c r="Q5" s="68" t="str">
        <x:f>IF(A5="","",'ERP Snapshot'!N5)</x:f>
        <x:v>2026-10-16</x:v>
      </x:c>
      <x:c r="R5" t="str">
        <x:f>IF(A5="","",'ERP Snapshot'!Q5)</x:f>
        <x:v>Strategic Services</x:v>
      </x:c>
      <x:c r="S5" t="str">
        <x:f>IF(A5="","",'ERP Snapshot'!R5)</x:f>
        <x:v>N/A</x:v>
      </x:c>
      <x:c r="T5" t="str">
        <x:f>IF(A5="","",'ERP Snapshot'!C5)</x:f>
        <x:v>MX</x:v>
      </x:c>
    </x:row>
    <x:row r="6">
      <x:c r="A6" t="str">
        <x:f>IF('ERP Snapshot'!A6="","",'ERP Snapshot'!A6)</x:f>
      </x:c>
      <x:c r="B6" t="str">
        <x:f>IF(A6="","",'ERP Snapshot'!B6)</x:f>
      </x:c>
      <x:c r="C6" t="str">
        <x:f>IF(A6="","",'ERP Snapshot'!D6)</x:f>
      </x:c>
      <x:c r="D6" t="str">
        <x:f>IF(A6="","",IF(C6="MXN",IF(AND(Settings!$B$8="APPROVED",Settings!$B$9&lt;&gt;"",Settings!$B$10&lt;&gt;"",Settings!$B$2&gt;0),'PO Authorization'!F6/Settings!$B$2,""),'PO Authorization'!F6))</x:f>
      </x:c>
      <x:c r="E6" t="str">
        <x:f>IF(A6="","",IF(C6="MXN",IF(AND(Settings!$B$8="APPROVED",Settings!$B$9&lt;&gt;"",Settings!$B$10&lt;&gt;"",Settings!$B$2&gt;0),'ERP Snapshot'!I6/Settings!$B$2,""),'ERP Snapshot'!I6))</x:f>
      </x:c>
      <x:c r="F6" t="str">
        <x:f>IF(A6="","",IF(AND(ISNUMBER(D6),ISNUMBER(E6)),D6-E6,""))</x:f>
      </x:c>
      <x:c r="G6" t="str">
        <x:f>IF(A6="","",IF(ISNUMBER('ERP Snapshot'!F6),'ERP Snapshot'!F6,""))</x:f>
      </x:c>
      <x:c r="H6" t="str">
        <x:f>IF(A6="","",'ERP Snapshot'!G6)</x:f>
      </x:c>
      <x:c r="I6" t="str">
        <x:f>IF(A6="","",IF(ISNUMBER('ERP Snapshot'!S6),'ERP Snapshot'!S6,""))</x:f>
      </x:c>
      <x:c r="J6" t="str">
        <x:f>IF(A6="","",IF(AND(ISNUMBER(G6),ISNUMBER(I6)),G6-I6,""))</x:f>
      </x:c>
      <x:c r="K6" s="8" t="str">
        <x:f>IF(A6="","",IF(AND(ISNUMBER(G6),G6&gt;0,ISNUMBER(I6)),I6/G6,""))</x:f>
      </x:c>
      <x:c r="L6" t="str">
        <x:f>IF(A6="","",IF(NOT(ISNUMBER(G6)),"BUDGET DATA REQUIRED",IF(G6&lt;=0,"REVIEW: NO BUDGET",IF(NOT(ISNUMBER(I6)),"PO DATA REQUIRED",IF(I6&lt;0,"REVIEW: PO AMOUNT",IF(K6&gt;1,"OVER BUDGET",IF(K6=1,"BUDGET EXHAUSTED",IF(K6&gt;=Settings!$B$3,"PREVENTIVE ALERT","OK"))))))))</x:f>
      </x:c>
      <x:c r="M6" t="str">
        <x:f>IF(A6="","",'ERP Snapshot'!K6)</x:f>
      </x:c>
      <x:c r="N6" t="str">
        <x:f>IF(A6="","",COUNTIFS(Exceptions!$A$2:$A$101,A6,Exceptions!$E$2:$E$101,"Open"))</x:f>
      </x:c>
      <x:c r="O6" t="str">
        <x:f>IF(A6="","",IF(AND(C6="MXN",OR(D6="",E6="")),"FX HOLD",IF(E6&gt;D6,"REVIEW: ABOVE CUSTOMER PO",IF('PO Authorization'!H6="REVIEW: SNAPSHOT DIFFERS","REVIEW: PO SNAPSHOT",IF(E6=D6,"FULLY INVOICED",IF(E6&gt;0,"PARTIAL INVOICE","NOT INVOICED"))))))</x:f>
      </x:c>
      <x:c r="P6" t="str">
        <x:f>IF(A6="","",IF(OR(O6="FX HOLD",O6="REVIEW: PO SNAPSHOT",L6="OVER BUDGET",L6="BUDGET EXHAUSTED",O6="REVIEW: ABOVE CUSTOMER PO",'ERP Snapshot'!L6="YES"),"CRITICAL / REVIEW",IF(OR(L6="PO DATA REQUIRED",L6="BUDGET DATA REQUIRED",L6="REVIEW: NO BUDGET",L6="REVIEW: PO AMOUNT",N6&gt;0,M6&gt;0,F6&gt;0),"FOLLOW UP","NORMAL")))</x:f>
      </x:c>
      <x:c r="Q6" s="68" t="str">
        <x:f>IF(A6="","",'ERP Snapshot'!N6)</x:f>
      </x:c>
      <x:c r="R6" t="str">
        <x:f>IF(A6="","",'ERP Snapshot'!Q6)</x:f>
      </x:c>
      <x:c r="S6" t="str">
        <x:f>IF(A6="","",'ERP Snapshot'!R6)</x:f>
      </x:c>
      <x:c r="T6" t="str">
        <x:f>IF(A6="","",'ERP Snapshot'!C6)</x:f>
      </x:c>
    </x:row>
    <x:row r="7">
      <x:c r="A7" t="str">
        <x:f>IF('ERP Snapshot'!A7="","",'ERP Snapshot'!A7)</x:f>
      </x:c>
      <x:c r="B7" t="str">
        <x:f>IF(A7="","",'ERP Snapshot'!B7)</x:f>
      </x:c>
      <x:c r="C7" t="str">
        <x:f>IF(A7="","",'ERP Snapshot'!D7)</x:f>
      </x:c>
      <x:c r="D7" t="str">
        <x:f>IF(A7="","",IF(C7="MXN",IF(AND(Settings!$B$8="APPROVED",Settings!$B$9&lt;&gt;"",Settings!$B$10&lt;&gt;"",Settings!$B$2&gt;0),'PO Authorization'!F7/Settings!$B$2,""),'PO Authorization'!F7))</x:f>
      </x:c>
      <x:c r="E7" t="str">
        <x:f>IF(A7="","",IF(C7="MXN",IF(AND(Settings!$B$8="APPROVED",Settings!$B$9&lt;&gt;"",Settings!$B$10&lt;&gt;"",Settings!$B$2&gt;0),'ERP Snapshot'!I7/Settings!$B$2,""),'ERP Snapshot'!I7))</x:f>
      </x:c>
      <x:c r="F7" t="str">
        <x:f>IF(A7="","",IF(AND(ISNUMBER(D7),ISNUMBER(E7)),D7-E7,""))</x:f>
      </x:c>
      <x:c r="G7" t="str">
        <x:f>IF(A7="","",IF(ISNUMBER('ERP Snapshot'!F7),'ERP Snapshot'!F7,""))</x:f>
      </x:c>
      <x:c r="H7" t="str">
        <x:f>IF(A7="","",'ERP Snapshot'!G7)</x:f>
      </x:c>
      <x:c r="I7" t="str">
        <x:f>IF(A7="","",IF(ISNUMBER('ERP Snapshot'!S7),'ERP Snapshot'!S7,""))</x:f>
      </x:c>
      <x:c r="J7" t="str">
        <x:f>IF(A7="","",IF(AND(ISNUMBER(G7),ISNUMBER(I7)),G7-I7,""))</x:f>
      </x:c>
      <x:c r="K7" s="8" t="str">
        <x:f>IF(A7="","",IF(AND(ISNUMBER(G7),G7&gt;0,ISNUMBER(I7)),I7/G7,""))</x:f>
      </x:c>
      <x:c r="L7" t="str">
        <x:f>IF(A7="","",IF(NOT(ISNUMBER(G7)),"BUDGET DATA REQUIRED",IF(G7&lt;=0,"REVIEW: NO BUDGET",IF(NOT(ISNUMBER(I7)),"PO DATA REQUIRED",IF(I7&lt;0,"REVIEW: PO AMOUNT",IF(K7&gt;1,"OVER BUDGET",IF(K7=1,"BUDGET EXHAUSTED",IF(K7&gt;=Settings!$B$3,"PREVENTIVE ALERT","OK"))))))))</x:f>
      </x:c>
      <x:c r="M7" t="str">
        <x:f>IF(A7="","",'ERP Snapshot'!K7)</x:f>
      </x:c>
      <x:c r="N7" t="str">
        <x:f>IF(A7="","",COUNTIFS(Exceptions!$A$2:$A$101,A7,Exceptions!$E$2:$E$101,"Open"))</x:f>
      </x:c>
      <x:c r="O7" t="str">
        <x:f>IF(A7="","",IF(AND(C7="MXN",OR(D7="",E7="")),"FX HOLD",IF(E7&gt;D7,"REVIEW: ABOVE CUSTOMER PO",IF('PO Authorization'!H7="REVIEW: SNAPSHOT DIFFERS","REVIEW: PO SNAPSHOT",IF(E7=D7,"FULLY INVOICED",IF(E7&gt;0,"PARTIAL INVOICE","NOT INVOICED"))))))</x:f>
      </x:c>
      <x:c r="P7" t="str">
        <x:f>IF(A7="","",IF(OR(O7="FX HOLD",O7="REVIEW: PO SNAPSHOT",L7="OVER BUDGET",L7="BUDGET EXHAUSTED",O7="REVIEW: ABOVE CUSTOMER PO",'ERP Snapshot'!L7="YES"),"CRITICAL / REVIEW",IF(OR(L7="PO DATA REQUIRED",L7="BUDGET DATA REQUIRED",L7="REVIEW: NO BUDGET",L7="REVIEW: PO AMOUNT",N7&gt;0,M7&gt;0,F7&gt;0),"FOLLOW UP","NORMAL")))</x:f>
      </x:c>
      <x:c r="Q7" s="68" t="str">
        <x:f>IF(A7="","",'ERP Snapshot'!N7)</x:f>
      </x:c>
      <x:c r="R7" t="str">
        <x:f>IF(A7="","",'ERP Snapshot'!Q7)</x:f>
      </x:c>
      <x:c r="S7" t="str">
        <x:f>IF(A7="","",'ERP Snapshot'!R7)</x:f>
      </x:c>
      <x:c r="T7" t="str">
        <x:f>IF(A7="","",'ERP Snapshot'!C7)</x:f>
      </x:c>
    </x:row>
    <x:row r="8">
      <x:c r="A8" t="str">
        <x:f>IF('ERP Snapshot'!A8="","",'ERP Snapshot'!A8)</x:f>
      </x:c>
      <x:c r="B8" t="str">
        <x:f>IF(A8="","",'ERP Snapshot'!B8)</x:f>
      </x:c>
      <x:c r="C8" t="str">
        <x:f>IF(A8="","",'ERP Snapshot'!D8)</x:f>
      </x:c>
      <x:c r="D8" t="str">
        <x:f>IF(A8="","",IF(C8="MXN",IF(AND(Settings!$B$8="APPROVED",Settings!$B$9&lt;&gt;"",Settings!$B$10&lt;&gt;"",Settings!$B$2&gt;0),'PO Authorization'!F8/Settings!$B$2,""),'PO Authorization'!F8))</x:f>
      </x:c>
      <x:c r="E8" t="str">
        <x:f>IF(A8="","",IF(C8="MXN",IF(AND(Settings!$B$8="APPROVED",Settings!$B$9&lt;&gt;"",Settings!$B$10&lt;&gt;"",Settings!$B$2&gt;0),'ERP Snapshot'!I8/Settings!$B$2,""),'ERP Snapshot'!I8))</x:f>
      </x:c>
      <x:c r="F8" t="str">
        <x:f>IF(A8="","",IF(AND(ISNUMBER(D8),ISNUMBER(E8)),D8-E8,""))</x:f>
      </x:c>
      <x:c r="G8" t="str">
        <x:f>IF(A8="","",IF(ISNUMBER('ERP Snapshot'!F8),'ERP Snapshot'!F8,""))</x:f>
      </x:c>
      <x:c r="H8" t="str">
        <x:f>IF(A8="","",'ERP Snapshot'!G8)</x:f>
      </x:c>
      <x:c r="I8" t="str">
        <x:f>IF(A8="","",IF(ISNUMBER('ERP Snapshot'!S8),'ERP Snapshot'!S8,""))</x:f>
      </x:c>
      <x:c r="J8" t="str">
        <x:f>IF(A8="","",IF(AND(ISNUMBER(G8),ISNUMBER(I8)),G8-I8,""))</x:f>
      </x:c>
      <x:c r="K8" s="8" t="str">
        <x:f>IF(A8="","",IF(AND(ISNUMBER(G8),G8&gt;0,ISNUMBER(I8)),I8/G8,""))</x:f>
      </x:c>
      <x:c r="L8" t="str">
        <x:f>IF(A8="","",IF(NOT(ISNUMBER(G8)),"BUDGET DATA REQUIRED",IF(G8&lt;=0,"REVIEW: NO BUDGET",IF(NOT(ISNUMBER(I8)),"PO DATA REQUIRED",IF(I8&lt;0,"REVIEW: PO AMOUNT",IF(K8&gt;1,"OVER BUDGET",IF(K8=1,"BUDGET EXHAUSTED",IF(K8&gt;=Settings!$B$3,"PREVENTIVE ALERT","OK"))))))))</x:f>
      </x:c>
      <x:c r="M8" t="str">
        <x:f>IF(A8="","",'ERP Snapshot'!K8)</x:f>
      </x:c>
      <x:c r="N8" t="str">
        <x:f>IF(A8="","",COUNTIFS(Exceptions!$A$2:$A$101,A8,Exceptions!$E$2:$E$101,"Open"))</x:f>
      </x:c>
      <x:c r="O8" t="str">
        <x:f>IF(A8="","",IF(AND(C8="MXN",OR(D8="",E8="")),"FX HOLD",IF(E8&gt;D8,"REVIEW: ABOVE CUSTOMER PO",IF('PO Authorization'!H8="REVIEW: SNAPSHOT DIFFERS","REVIEW: PO SNAPSHOT",IF(E8=D8,"FULLY INVOICED",IF(E8&gt;0,"PARTIAL INVOICE","NOT INVOICED"))))))</x:f>
      </x:c>
      <x:c r="P8" t="str">
        <x:f>IF(A8="","",IF(OR(O8="FX HOLD",O8="REVIEW: PO SNAPSHOT",L8="OVER BUDGET",L8="BUDGET EXHAUSTED",O8="REVIEW: ABOVE CUSTOMER PO",'ERP Snapshot'!L8="YES"),"CRITICAL / REVIEW",IF(OR(L8="PO DATA REQUIRED",L8="BUDGET DATA REQUIRED",L8="REVIEW: NO BUDGET",L8="REVIEW: PO AMOUNT",N8&gt;0,M8&gt;0,F8&gt;0),"FOLLOW UP","NORMAL")))</x:f>
      </x:c>
      <x:c r="Q8" s="68" t="str">
        <x:f>IF(A8="","",'ERP Snapshot'!N8)</x:f>
      </x:c>
      <x:c r="R8" t="str">
        <x:f>IF(A8="","",'ERP Snapshot'!Q8)</x:f>
      </x:c>
      <x:c r="S8" t="str">
        <x:f>IF(A8="","",'ERP Snapshot'!R8)</x:f>
      </x:c>
      <x:c r="T8" t="str">
        <x:f>IF(A8="","",'ERP Snapshot'!C8)</x:f>
      </x:c>
    </x:row>
    <x:row r="9">
      <x:c r="A9" t="str">
        <x:f>IF('ERP Snapshot'!A9="","",'ERP Snapshot'!A9)</x:f>
      </x:c>
      <x:c r="B9" t="str">
        <x:f>IF(A9="","",'ERP Snapshot'!B9)</x:f>
      </x:c>
      <x:c r="C9" t="str">
        <x:f>IF(A9="","",'ERP Snapshot'!D9)</x:f>
      </x:c>
      <x:c r="D9" t="str">
        <x:f>IF(A9="","",IF(C9="MXN",IF(AND(Settings!$B$8="APPROVED",Settings!$B$9&lt;&gt;"",Settings!$B$10&lt;&gt;"",Settings!$B$2&gt;0),'PO Authorization'!F9/Settings!$B$2,""),'PO Authorization'!F9))</x:f>
      </x:c>
      <x:c r="E9" t="str">
        <x:f>IF(A9="","",IF(C9="MXN",IF(AND(Settings!$B$8="APPROVED",Settings!$B$9&lt;&gt;"",Settings!$B$10&lt;&gt;"",Settings!$B$2&gt;0),'ERP Snapshot'!I9/Settings!$B$2,""),'ERP Snapshot'!I9))</x:f>
      </x:c>
      <x:c r="F9" t="str">
        <x:f>IF(A9="","",IF(AND(ISNUMBER(D9),ISNUMBER(E9)),D9-E9,""))</x:f>
      </x:c>
      <x:c r="G9" t="str">
        <x:f>IF(A9="","",IF(ISNUMBER('ERP Snapshot'!F9),'ERP Snapshot'!F9,""))</x:f>
      </x:c>
      <x:c r="H9" t="str">
        <x:f>IF(A9="","",'ERP Snapshot'!G9)</x:f>
      </x:c>
      <x:c r="I9" t="str">
        <x:f>IF(A9="","",IF(ISNUMBER('ERP Snapshot'!S9),'ERP Snapshot'!S9,""))</x:f>
      </x:c>
      <x:c r="J9" t="str">
        <x:f>IF(A9="","",IF(AND(ISNUMBER(G9),ISNUMBER(I9)),G9-I9,""))</x:f>
      </x:c>
      <x:c r="K9" s="8" t="str">
        <x:f>IF(A9="","",IF(AND(ISNUMBER(G9),G9&gt;0,ISNUMBER(I9)),I9/G9,""))</x:f>
      </x:c>
      <x:c r="L9" t="str">
        <x:f>IF(A9="","",IF(NOT(ISNUMBER(G9)),"BUDGET DATA REQUIRED",IF(G9&lt;=0,"REVIEW: NO BUDGET",IF(NOT(ISNUMBER(I9)),"PO DATA REQUIRED",IF(I9&lt;0,"REVIEW: PO AMOUNT",IF(K9&gt;1,"OVER BUDGET",IF(K9=1,"BUDGET EXHAUSTED",IF(K9&gt;=Settings!$B$3,"PREVENTIVE ALERT","OK"))))))))</x:f>
      </x:c>
      <x:c r="M9" t="str">
        <x:f>IF(A9="","",'ERP Snapshot'!K9)</x:f>
      </x:c>
      <x:c r="N9" t="str">
        <x:f>IF(A9="","",COUNTIFS(Exceptions!$A$2:$A$101,A9,Exceptions!$E$2:$E$101,"Open"))</x:f>
      </x:c>
      <x:c r="O9" t="str">
        <x:f>IF(A9="","",IF(AND(C9="MXN",OR(D9="",E9="")),"FX HOLD",IF(E9&gt;D9,"REVIEW: ABOVE CUSTOMER PO",IF('PO Authorization'!H9="REVIEW: SNAPSHOT DIFFERS","REVIEW: PO SNAPSHOT",IF(E9=D9,"FULLY INVOICED",IF(E9&gt;0,"PARTIAL INVOICE","NOT INVOICED"))))))</x:f>
      </x:c>
      <x:c r="P9" t="str">
        <x:f>IF(A9="","",IF(OR(O9="FX HOLD",O9="REVIEW: PO SNAPSHOT",L9="OVER BUDGET",L9="BUDGET EXHAUSTED",O9="REVIEW: ABOVE CUSTOMER PO",'ERP Snapshot'!L9="YES"),"CRITICAL / REVIEW",IF(OR(L9="PO DATA REQUIRED",L9="BUDGET DATA REQUIRED",L9="REVIEW: NO BUDGET",L9="REVIEW: PO AMOUNT",N9&gt;0,M9&gt;0,F9&gt;0),"FOLLOW UP","NORMAL")))</x:f>
      </x:c>
      <x:c r="Q9" s="68" t="str">
        <x:f>IF(A9="","",'ERP Snapshot'!N9)</x:f>
      </x:c>
      <x:c r="R9" t="str">
        <x:f>IF(A9="","",'ERP Snapshot'!Q9)</x:f>
      </x:c>
      <x:c r="S9" t="str">
        <x:f>IF(A9="","",'ERP Snapshot'!R9)</x:f>
      </x:c>
      <x:c r="T9" t="str">
        <x:f>IF(A9="","",'ERP Snapshot'!C9)</x:f>
      </x:c>
    </x:row>
    <x:row r="10">
      <x:c r="A10" t="str">
        <x:f>IF('ERP Snapshot'!A10="","",'ERP Snapshot'!A10)</x:f>
      </x:c>
      <x:c r="B10" t="str">
        <x:f>IF(A10="","",'ERP Snapshot'!B10)</x:f>
      </x:c>
      <x:c r="C10" t="str">
        <x:f>IF(A10="","",'ERP Snapshot'!D10)</x:f>
      </x:c>
      <x:c r="D10" t="str">
        <x:f>IF(A10="","",IF(C10="MXN",IF(AND(Settings!$B$8="APPROVED",Settings!$B$9&lt;&gt;"",Settings!$B$10&lt;&gt;"",Settings!$B$2&gt;0),'PO Authorization'!F10/Settings!$B$2,""),'PO Authorization'!F10))</x:f>
      </x:c>
      <x:c r="E10" t="str">
        <x:f>IF(A10="","",IF(C10="MXN",IF(AND(Settings!$B$8="APPROVED",Settings!$B$9&lt;&gt;"",Settings!$B$10&lt;&gt;"",Settings!$B$2&gt;0),'ERP Snapshot'!I10/Settings!$B$2,""),'ERP Snapshot'!I10))</x:f>
      </x:c>
      <x:c r="F10" t="str">
        <x:f>IF(A10="","",IF(AND(ISNUMBER(D10),ISNUMBER(E10)),D10-E10,""))</x:f>
      </x:c>
      <x:c r="G10" t="str">
        <x:f>IF(A10="","",IF(ISNUMBER('ERP Snapshot'!F10),'ERP Snapshot'!F10,""))</x:f>
      </x:c>
      <x:c r="H10" t="str">
        <x:f>IF(A10="","",'ERP Snapshot'!G10)</x:f>
      </x:c>
      <x:c r="I10" t="str">
        <x:f>IF(A10="","",IF(ISNUMBER('ERP Snapshot'!S10),'ERP Snapshot'!S10,""))</x:f>
      </x:c>
      <x:c r="J10" t="str">
        <x:f>IF(A10="","",IF(AND(ISNUMBER(G10),ISNUMBER(I10)),G10-I10,""))</x:f>
      </x:c>
      <x:c r="K10" s="8" t="str">
        <x:f>IF(A10="","",IF(AND(ISNUMBER(G10),G10&gt;0,ISNUMBER(I10)),I10/G10,""))</x:f>
      </x:c>
      <x:c r="L10" t="str">
        <x:f>IF(A10="","",IF(NOT(ISNUMBER(G10)),"BUDGET DATA REQUIRED",IF(G10&lt;=0,"REVIEW: NO BUDGET",IF(NOT(ISNUMBER(I10)),"PO DATA REQUIRED",IF(I10&lt;0,"REVIEW: PO AMOUNT",IF(K10&gt;1,"OVER BUDGET",IF(K10=1,"BUDGET EXHAUSTED",IF(K10&gt;=Settings!$B$3,"PREVENTIVE ALERT","OK"))))))))</x:f>
      </x:c>
      <x:c r="M10" t="str">
        <x:f>IF(A10="","",'ERP Snapshot'!K10)</x:f>
      </x:c>
      <x:c r="N10" t="str">
        <x:f>IF(A10="","",COUNTIFS(Exceptions!$A$2:$A$101,A10,Exceptions!$E$2:$E$101,"Open"))</x:f>
      </x:c>
      <x:c r="O10" t="str">
        <x:f>IF(A10="","",IF(AND(C10="MXN",OR(D10="",E10="")),"FX HOLD",IF(E10&gt;D10,"REVIEW: ABOVE CUSTOMER PO",IF('PO Authorization'!H10="REVIEW: SNAPSHOT DIFFERS","REVIEW: PO SNAPSHOT",IF(E10=D10,"FULLY INVOICED",IF(E10&gt;0,"PARTIAL INVOICE","NOT INVOICED"))))))</x:f>
      </x:c>
      <x:c r="P10" t="str">
        <x:f>IF(A10="","",IF(OR(O10="FX HOLD",O10="REVIEW: PO SNAPSHOT",L10="OVER BUDGET",L10="BUDGET EXHAUSTED",O10="REVIEW: ABOVE CUSTOMER PO",'ERP Snapshot'!L10="YES"),"CRITICAL / REVIEW",IF(OR(L10="PO DATA REQUIRED",L10="BUDGET DATA REQUIRED",L10="REVIEW: NO BUDGET",L10="REVIEW: PO AMOUNT",N10&gt;0,M10&gt;0,F10&gt;0),"FOLLOW UP","NORMAL")))</x:f>
      </x:c>
      <x:c r="Q10" s="68" t="str">
        <x:f>IF(A10="","",'ERP Snapshot'!N10)</x:f>
      </x:c>
      <x:c r="R10" t="str">
        <x:f>IF(A10="","",'ERP Snapshot'!Q10)</x:f>
      </x:c>
      <x:c r="S10" t="str">
        <x:f>IF(A10="","",'ERP Snapshot'!R10)</x:f>
      </x:c>
      <x:c r="T10" t="str">
        <x:f>IF(A10="","",'ERP Snapshot'!C10)</x:f>
      </x:c>
    </x:row>
    <x:row r="11">
      <x:c r="A11" t="str">
        <x:f>IF('ERP Snapshot'!A11="","",'ERP Snapshot'!A11)</x:f>
      </x:c>
      <x:c r="B11" t="str">
        <x:f>IF(A11="","",'ERP Snapshot'!B11)</x:f>
      </x:c>
      <x:c r="C11" t="str">
        <x:f>IF(A11="","",'ERP Snapshot'!D11)</x:f>
      </x:c>
      <x:c r="D11" t="str">
        <x:f>IF(A11="","",IF(C11="MXN",IF(AND(Settings!$B$8="APPROVED",Settings!$B$9&lt;&gt;"",Settings!$B$10&lt;&gt;"",Settings!$B$2&gt;0),'PO Authorization'!F11/Settings!$B$2,""),'PO Authorization'!F11))</x:f>
      </x:c>
      <x:c r="E11" t="str">
        <x:f>IF(A11="","",IF(C11="MXN",IF(AND(Settings!$B$8="APPROVED",Settings!$B$9&lt;&gt;"",Settings!$B$10&lt;&gt;"",Settings!$B$2&gt;0),'ERP Snapshot'!I11/Settings!$B$2,""),'ERP Snapshot'!I11))</x:f>
      </x:c>
      <x:c r="F11" t="str">
        <x:f>IF(A11="","",IF(AND(ISNUMBER(D11),ISNUMBER(E11)),D11-E11,""))</x:f>
      </x:c>
      <x:c r="G11" t="str">
        <x:f>IF(A11="","",IF(ISNUMBER('ERP Snapshot'!F11),'ERP Snapshot'!F11,""))</x:f>
      </x:c>
      <x:c r="H11" t="str">
        <x:f>IF(A11="","",'ERP Snapshot'!G11)</x:f>
      </x:c>
      <x:c r="I11" t="str">
        <x:f>IF(A11="","",IF(ISNUMBER('ERP Snapshot'!S11),'ERP Snapshot'!S11,""))</x:f>
      </x:c>
      <x:c r="J11" t="str">
        <x:f>IF(A11="","",IF(AND(ISNUMBER(G11),ISNUMBER(I11)),G11-I11,""))</x:f>
      </x:c>
      <x:c r="K11" s="8" t="str">
        <x:f>IF(A11="","",IF(AND(ISNUMBER(G11),G11&gt;0,ISNUMBER(I11)),I11/G11,""))</x:f>
      </x:c>
      <x:c r="L11" t="str">
        <x:f>IF(A11="","",IF(NOT(ISNUMBER(G11)),"BUDGET DATA REQUIRED",IF(G11&lt;=0,"REVIEW: NO BUDGET",IF(NOT(ISNUMBER(I11)),"PO DATA REQUIRED",IF(I11&lt;0,"REVIEW: PO AMOUNT",IF(K11&gt;1,"OVER BUDGET",IF(K11=1,"BUDGET EXHAUSTED",IF(K11&gt;=Settings!$B$3,"PREVENTIVE ALERT","OK"))))))))</x:f>
      </x:c>
      <x:c r="M11" t="str">
        <x:f>IF(A11="","",'ERP Snapshot'!K11)</x:f>
      </x:c>
      <x:c r="N11" t="str">
        <x:f>IF(A11="","",COUNTIFS(Exceptions!$A$2:$A$101,A11,Exceptions!$E$2:$E$101,"Open"))</x:f>
      </x:c>
      <x:c r="O11" t="str">
        <x:f>IF(A11="","",IF(AND(C11="MXN",OR(D11="",E11="")),"FX HOLD",IF(E11&gt;D11,"REVIEW: ABOVE CUSTOMER PO",IF('PO Authorization'!H11="REVIEW: SNAPSHOT DIFFERS","REVIEW: PO SNAPSHOT",IF(E11=D11,"FULLY INVOICED",IF(E11&gt;0,"PARTIAL INVOICE","NOT INVOICED"))))))</x:f>
      </x:c>
      <x:c r="P11" t="str">
        <x:f>IF(A11="","",IF(OR(O11="FX HOLD",O11="REVIEW: PO SNAPSHOT",L11="OVER BUDGET",L11="BUDGET EXHAUSTED",O11="REVIEW: ABOVE CUSTOMER PO",'ERP Snapshot'!L11="YES"),"CRITICAL / REVIEW",IF(OR(L11="PO DATA REQUIRED",L11="BUDGET DATA REQUIRED",L11="REVIEW: NO BUDGET",L11="REVIEW: PO AMOUNT",N11&gt;0,M11&gt;0,F11&gt;0),"FOLLOW UP","NORMAL")))</x:f>
      </x:c>
      <x:c r="Q11" s="68" t="str">
        <x:f>IF(A11="","",'ERP Snapshot'!N11)</x:f>
      </x:c>
      <x:c r="R11" t="str">
        <x:f>IF(A11="","",'ERP Snapshot'!Q11)</x:f>
      </x:c>
      <x:c r="S11" t="str">
        <x:f>IF(A11="","",'ERP Snapshot'!R11)</x:f>
      </x:c>
      <x:c r="T11" t="str">
        <x:f>IF(A11="","",'ERP Snapshot'!C11)</x:f>
      </x:c>
    </x:row>
    <x:row r="12">
      <x:c r="A12" t="str">
        <x:f>IF('ERP Snapshot'!A12="","",'ERP Snapshot'!A12)</x:f>
      </x:c>
      <x:c r="B12" t="str">
        <x:f>IF(A12="","",'ERP Snapshot'!B12)</x:f>
      </x:c>
      <x:c r="C12" t="str">
        <x:f>IF(A12="","",'ERP Snapshot'!D12)</x:f>
      </x:c>
      <x:c r="D12" t="str">
        <x:f>IF(A12="","",IF(C12="MXN",IF(AND(Settings!$B$8="APPROVED",Settings!$B$9&lt;&gt;"",Settings!$B$10&lt;&gt;"",Settings!$B$2&gt;0),'PO Authorization'!F12/Settings!$B$2,""),'PO Authorization'!F12))</x:f>
      </x:c>
      <x:c r="E12" t="str">
        <x:f>IF(A12="","",IF(C12="MXN",IF(AND(Settings!$B$8="APPROVED",Settings!$B$9&lt;&gt;"",Settings!$B$10&lt;&gt;"",Settings!$B$2&gt;0),'ERP Snapshot'!I12/Settings!$B$2,""),'ERP Snapshot'!I12))</x:f>
      </x:c>
      <x:c r="F12" t="str">
        <x:f>IF(A12="","",IF(AND(ISNUMBER(D12),ISNUMBER(E12)),D12-E12,""))</x:f>
      </x:c>
      <x:c r="G12" t="str">
        <x:f>IF(A12="","",IF(ISNUMBER('ERP Snapshot'!F12),'ERP Snapshot'!F12,""))</x:f>
      </x:c>
      <x:c r="H12" t="str">
        <x:f>IF(A12="","",'ERP Snapshot'!G12)</x:f>
      </x:c>
      <x:c r="I12" t="str">
        <x:f>IF(A12="","",IF(ISNUMBER('ERP Snapshot'!S12),'ERP Snapshot'!S12,""))</x:f>
      </x:c>
      <x:c r="J12" t="str">
        <x:f>IF(A12="","",IF(AND(ISNUMBER(G12),ISNUMBER(I12)),G12-I12,""))</x:f>
      </x:c>
      <x:c r="K12" s="8" t="str">
        <x:f>IF(A12="","",IF(AND(ISNUMBER(G12),G12&gt;0,ISNUMBER(I12)),I12/G12,""))</x:f>
      </x:c>
      <x:c r="L12" t="str">
        <x:f>IF(A12="","",IF(NOT(ISNUMBER(G12)),"BUDGET DATA REQUIRED",IF(G12&lt;=0,"REVIEW: NO BUDGET",IF(NOT(ISNUMBER(I12)),"PO DATA REQUIRED",IF(I12&lt;0,"REVIEW: PO AMOUNT",IF(K12&gt;1,"OVER BUDGET",IF(K12=1,"BUDGET EXHAUSTED",IF(K12&gt;=Settings!$B$3,"PREVENTIVE ALERT","OK"))))))))</x:f>
      </x:c>
      <x:c r="M12" t="str">
        <x:f>IF(A12="","",'ERP Snapshot'!K12)</x:f>
      </x:c>
      <x:c r="N12" t="str">
        <x:f>IF(A12="","",COUNTIFS(Exceptions!$A$2:$A$101,A12,Exceptions!$E$2:$E$101,"Open"))</x:f>
      </x:c>
      <x:c r="O12" t="str">
        <x:f>IF(A12="","",IF(AND(C12="MXN",OR(D12="",E12="")),"FX HOLD",IF(E12&gt;D12,"REVIEW: ABOVE CUSTOMER PO",IF('PO Authorization'!H12="REVIEW: SNAPSHOT DIFFERS","REVIEW: PO SNAPSHOT",IF(E12=D12,"FULLY INVOICED",IF(E12&gt;0,"PARTIAL INVOICE","NOT INVOICED"))))))</x:f>
      </x:c>
      <x:c r="P12" t="str">
        <x:f>IF(A12="","",IF(OR(O12="FX HOLD",O12="REVIEW: PO SNAPSHOT",L12="OVER BUDGET",L12="BUDGET EXHAUSTED",O12="REVIEW: ABOVE CUSTOMER PO",'ERP Snapshot'!L12="YES"),"CRITICAL / REVIEW",IF(OR(L12="PO DATA REQUIRED",L12="BUDGET DATA REQUIRED",L12="REVIEW: NO BUDGET",L12="REVIEW: PO AMOUNT",N12&gt;0,M12&gt;0,F12&gt;0),"FOLLOW UP","NORMAL")))</x:f>
      </x:c>
      <x:c r="Q12" s="68" t="str">
        <x:f>IF(A12="","",'ERP Snapshot'!N12)</x:f>
      </x:c>
      <x:c r="R12" t="str">
        <x:f>IF(A12="","",'ERP Snapshot'!Q12)</x:f>
      </x:c>
      <x:c r="S12" t="str">
        <x:f>IF(A12="","",'ERP Snapshot'!R12)</x:f>
      </x:c>
      <x:c r="T12" t="str">
        <x:f>IF(A12="","",'ERP Snapshot'!C12)</x:f>
      </x:c>
    </x:row>
    <x:row r="13">
      <x:c r="A13" t="str">
        <x:f>IF('ERP Snapshot'!A13="","",'ERP Snapshot'!A13)</x:f>
      </x:c>
      <x:c r="B13" t="str">
        <x:f>IF(A13="","",'ERP Snapshot'!B13)</x:f>
      </x:c>
      <x:c r="C13" t="str">
        <x:f>IF(A13="","",'ERP Snapshot'!D13)</x:f>
      </x:c>
      <x:c r="D13" t="str">
        <x:f>IF(A13="","",IF(C13="MXN",IF(AND(Settings!$B$8="APPROVED",Settings!$B$9&lt;&gt;"",Settings!$B$10&lt;&gt;"",Settings!$B$2&gt;0),'PO Authorization'!F13/Settings!$B$2,""),'PO Authorization'!F13))</x:f>
      </x:c>
      <x:c r="E13" t="str">
        <x:f>IF(A13="","",IF(C13="MXN",IF(AND(Settings!$B$8="APPROVED",Settings!$B$9&lt;&gt;"",Settings!$B$10&lt;&gt;"",Settings!$B$2&gt;0),'ERP Snapshot'!I13/Settings!$B$2,""),'ERP Snapshot'!I13))</x:f>
      </x:c>
      <x:c r="F13" t="str">
        <x:f>IF(A13="","",IF(AND(ISNUMBER(D13),ISNUMBER(E13)),D13-E13,""))</x:f>
      </x:c>
      <x:c r="G13" t="str">
        <x:f>IF(A13="","",IF(ISNUMBER('ERP Snapshot'!F13),'ERP Snapshot'!F13,""))</x:f>
      </x:c>
      <x:c r="H13" t="str">
        <x:f>IF(A13="","",'ERP Snapshot'!G13)</x:f>
      </x:c>
      <x:c r="I13" t="str">
        <x:f>IF(A13="","",IF(ISNUMBER('ERP Snapshot'!S13),'ERP Snapshot'!S13,""))</x:f>
      </x:c>
      <x:c r="J13" t="str">
        <x:f>IF(A13="","",IF(AND(ISNUMBER(G13),ISNUMBER(I13)),G13-I13,""))</x:f>
      </x:c>
      <x:c r="K13" s="8" t="str">
        <x:f>IF(A13="","",IF(AND(ISNUMBER(G13),G13&gt;0,ISNUMBER(I13)),I13/G13,""))</x:f>
      </x:c>
      <x:c r="L13" t="str">
        <x:f>IF(A13="","",IF(NOT(ISNUMBER(G13)),"BUDGET DATA REQUIRED",IF(G13&lt;=0,"REVIEW: NO BUDGET",IF(NOT(ISNUMBER(I13)),"PO DATA REQUIRED",IF(I13&lt;0,"REVIEW: PO AMOUNT",IF(K13&gt;1,"OVER BUDGET",IF(K13=1,"BUDGET EXHAUSTED",IF(K13&gt;=Settings!$B$3,"PREVENTIVE ALERT","OK"))))))))</x:f>
      </x:c>
      <x:c r="M13" t="str">
        <x:f>IF(A13="","",'ERP Snapshot'!K13)</x:f>
      </x:c>
      <x:c r="N13" t="str">
        <x:f>IF(A13="","",COUNTIFS(Exceptions!$A$2:$A$101,A13,Exceptions!$E$2:$E$101,"Open"))</x:f>
      </x:c>
      <x:c r="O13" t="str">
        <x:f>IF(A13="","",IF(AND(C13="MXN",OR(D13="",E13="")),"FX HOLD",IF(E13&gt;D13,"REVIEW: ABOVE CUSTOMER PO",IF('PO Authorization'!H13="REVIEW: SNAPSHOT DIFFERS","REVIEW: PO SNAPSHOT",IF(E13=D13,"FULLY INVOICED",IF(E13&gt;0,"PARTIAL INVOICE","NOT INVOICED"))))))</x:f>
      </x:c>
      <x:c r="P13" t="str">
        <x:f>IF(A13="","",IF(OR(O13="FX HOLD",O13="REVIEW: PO SNAPSHOT",L13="OVER BUDGET",L13="BUDGET EXHAUSTED",O13="REVIEW: ABOVE CUSTOMER PO",'ERP Snapshot'!L13="YES"),"CRITICAL / REVIEW",IF(OR(L13="PO DATA REQUIRED",L13="BUDGET DATA REQUIRED",L13="REVIEW: NO BUDGET",L13="REVIEW: PO AMOUNT",N13&gt;0,M13&gt;0,F13&gt;0),"FOLLOW UP","NORMAL")))</x:f>
      </x:c>
      <x:c r="Q13" s="68" t="str">
        <x:f>IF(A13="","",'ERP Snapshot'!N13)</x:f>
      </x:c>
      <x:c r="R13" t="str">
        <x:f>IF(A13="","",'ERP Snapshot'!Q13)</x:f>
      </x:c>
      <x:c r="S13" t="str">
        <x:f>IF(A13="","",'ERP Snapshot'!R13)</x:f>
      </x:c>
      <x:c r="T13" t="str">
        <x:f>IF(A13="","",'ERP Snapshot'!C13)</x:f>
      </x:c>
    </x:row>
    <x:row r="14">
      <x:c r="A14" t="str">
        <x:f>IF('ERP Snapshot'!A14="","",'ERP Snapshot'!A14)</x:f>
      </x:c>
      <x:c r="B14" t="str">
        <x:f>IF(A14="","",'ERP Snapshot'!B14)</x:f>
      </x:c>
      <x:c r="C14" t="str">
        <x:f>IF(A14="","",'ERP Snapshot'!D14)</x:f>
      </x:c>
      <x:c r="D14" t="str">
        <x:f>IF(A14="","",IF(C14="MXN",IF(AND(Settings!$B$8="APPROVED",Settings!$B$9&lt;&gt;"",Settings!$B$10&lt;&gt;"",Settings!$B$2&gt;0),'PO Authorization'!F14/Settings!$B$2,""),'PO Authorization'!F14))</x:f>
      </x:c>
      <x:c r="E14" t="str">
        <x:f>IF(A14="","",IF(C14="MXN",IF(AND(Settings!$B$8="APPROVED",Settings!$B$9&lt;&gt;"",Settings!$B$10&lt;&gt;"",Settings!$B$2&gt;0),'ERP Snapshot'!I14/Settings!$B$2,""),'ERP Snapshot'!I14))</x:f>
      </x:c>
      <x:c r="F14" t="str">
        <x:f>IF(A14="","",IF(AND(ISNUMBER(D14),ISNUMBER(E14)),D14-E14,""))</x:f>
      </x:c>
      <x:c r="G14" t="str">
        <x:f>IF(A14="","",IF(ISNUMBER('ERP Snapshot'!F14),'ERP Snapshot'!F14,""))</x:f>
      </x:c>
      <x:c r="H14" t="str">
        <x:f>IF(A14="","",'ERP Snapshot'!G14)</x:f>
      </x:c>
      <x:c r="I14" t="str">
        <x:f>IF(A14="","",IF(ISNUMBER('ERP Snapshot'!S14),'ERP Snapshot'!S14,""))</x:f>
      </x:c>
      <x:c r="J14" t="str">
        <x:f>IF(A14="","",IF(AND(ISNUMBER(G14),ISNUMBER(I14)),G14-I14,""))</x:f>
      </x:c>
      <x:c r="K14" s="8" t="str">
        <x:f>IF(A14="","",IF(AND(ISNUMBER(G14),G14&gt;0,ISNUMBER(I14)),I14/G14,""))</x:f>
      </x:c>
      <x:c r="L14" t="str">
        <x:f>IF(A14="","",IF(NOT(ISNUMBER(G14)),"BUDGET DATA REQUIRED",IF(G14&lt;=0,"REVIEW: NO BUDGET",IF(NOT(ISNUMBER(I14)),"PO DATA REQUIRED",IF(I14&lt;0,"REVIEW: PO AMOUNT",IF(K14&gt;1,"OVER BUDGET",IF(K14=1,"BUDGET EXHAUSTED",IF(K14&gt;=Settings!$B$3,"PREVENTIVE ALERT","OK"))))))))</x:f>
      </x:c>
      <x:c r="M14" t="str">
        <x:f>IF(A14="","",'ERP Snapshot'!K14)</x:f>
      </x:c>
      <x:c r="N14" t="str">
        <x:f>IF(A14="","",COUNTIFS(Exceptions!$A$2:$A$101,A14,Exceptions!$E$2:$E$101,"Open"))</x:f>
      </x:c>
      <x:c r="O14" t="str">
        <x:f>IF(A14="","",IF(AND(C14="MXN",OR(D14="",E14="")),"FX HOLD",IF(E14&gt;D14,"REVIEW: ABOVE CUSTOMER PO",IF('PO Authorization'!H14="REVIEW: SNAPSHOT DIFFERS","REVIEW: PO SNAPSHOT",IF(E14=D14,"FULLY INVOICED",IF(E14&gt;0,"PARTIAL INVOICE","NOT INVOICED"))))))</x:f>
      </x:c>
      <x:c r="P14" t="str">
        <x:f>IF(A14="","",IF(OR(O14="FX HOLD",O14="REVIEW: PO SNAPSHOT",L14="OVER BUDGET",L14="BUDGET EXHAUSTED",O14="REVIEW: ABOVE CUSTOMER PO",'ERP Snapshot'!L14="YES"),"CRITICAL / REVIEW",IF(OR(L14="PO DATA REQUIRED",L14="BUDGET DATA REQUIRED",L14="REVIEW: NO BUDGET",L14="REVIEW: PO AMOUNT",N14&gt;0,M14&gt;0,F14&gt;0),"FOLLOW UP","NORMAL")))</x:f>
      </x:c>
      <x:c r="Q14" s="68" t="str">
        <x:f>IF(A14="","",'ERP Snapshot'!N14)</x:f>
      </x:c>
      <x:c r="R14" t="str">
        <x:f>IF(A14="","",'ERP Snapshot'!Q14)</x:f>
      </x:c>
      <x:c r="S14" t="str">
        <x:f>IF(A14="","",'ERP Snapshot'!R14)</x:f>
      </x:c>
      <x:c r="T14" t="str">
        <x:f>IF(A14="","",'ERP Snapshot'!C14)</x:f>
      </x:c>
    </x:row>
    <x:row r="15">
      <x:c r="A15" t="str">
        <x:f>IF('ERP Snapshot'!A15="","",'ERP Snapshot'!A15)</x:f>
      </x:c>
      <x:c r="B15" t="str">
        <x:f>IF(A15="","",'ERP Snapshot'!B15)</x:f>
      </x:c>
      <x:c r="C15" t="str">
        <x:f>IF(A15="","",'ERP Snapshot'!D15)</x:f>
      </x:c>
      <x:c r="D15" t="str">
        <x:f>IF(A15="","",IF(C15="MXN",IF(AND(Settings!$B$8="APPROVED",Settings!$B$9&lt;&gt;"",Settings!$B$10&lt;&gt;"",Settings!$B$2&gt;0),'PO Authorization'!F15/Settings!$B$2,""),'PO Authorization'!F15))</x:f>
      </x:c>
      <x:c r="E15" t="str">
        <x:f>IF(A15="","",IF(C15="MXN",IF(AND(Settings!$B$8="APPROVED",Settings!$B$9&lt;&gt;"",Settings!$B$10&lt;&gt;"",Settings!$B$2&gt;0),'ERP Snapshot'!I15/Settings!$B$2,""),'ERP Snapshot'!I15))</x:f>
      </x:c>
      <x:c r="F15" t="str">
        <x:f>IF(A15="","",IF(AND(ISNUMBER(D15),ISNUMBER(E15)),D15-E15,""))</x:f>
      </x:c>
      <x:c r="G15" t="str">
        <x:f>IF(A15="","",IF(ISNUMBER('ERP Snapshot'!F15),'ERP Snapshot'!F15,""))</x:f>
      </x:c>
      <x:c r="H15" t="str">
        <x:f>IF(A15="","",'ERP Snapshot'!G15)</x:f>
      </x:c>
      <x:c r="I15" t="str">
        <x:f>IF(A15="","",IF(ISNUMBER('ERP Snapshot'!S15),'ERP Snapshot'!S15,""))</x:f>
      </x:c>
      <x:c r="J15" t="str">
        <x:f>IF(A15="","",IF(AND(ISNUMBER(G15),ISNUMBER(I15)),G15-I15,""))</x:f>
      </x:c>
      <x:c r="K15" s="8" t="str">
        <x:f>IF(A15="","",IF(AND(ISNUMBER(G15),G15&gt;0,ISNUMBER(I15)),I15/G15,""))</x:f>
      </x:c>
      <x:c r="L15" t="str">
        <x:f>IF(A15="","",IF(NOT(ISNUMBER(G15)),"BUDGET DATA REQUIRED",IF(G15&lt;=0,"REVIEW: NO BUDGET",IF(NOT(ISNUMBER(I15)),"PO DATA REQUIRED",IF(I15&lt;0,"REVIEW: PO AMOUNT",IF(K15&gt;1,"OVER BUDGET",IF(K15=1,"BUDGET EXHAUSTED",IF(K15&gt;=Settings!$B$3,"PREVENTIVE ALERT","OK"))))))))</x:f>
      </x:c>
      <x:c r="M15" t="str">
        <x:f>IF(A15="","",'ERP Snapshot'!K15)</x:f>
      </x:c>
      <x:c r="N15" t="str">
        <x:f>IF(A15="","",COUNTIFS(Exceptions!$A$2:$A$101,A15,Exceptions!$E$2:$E$101,"Open"))</x:f>
      </x:c>
      <x:c r="O15" t="str">
        <x:f>IF(A15="","",IF(AND(C15="MXN",OR(D15="",E15="")),"FX HOLD",IF(E15&gt;D15,"REVIEW: ABOVE CUSTOMER PO",IF('PO Authorization'!H15="REVIEW: SNAPSHOT DIFFERS","REVIEW: PO SNAPSHOT",IF(E15=D15,"FULLY INVOICED",IF(E15&gt;0,"PARTIAL INVOICE","NOT INVOICED"))))))</x:f>
      </x:c>
      <x:c r="P15" t="str">
        <x:f>IF(A15="","",IF(OR(O15="FX HOLD",O15="REVIEW: PO SNAPSHOT",L15="OVER BUDGET",L15="BUDGET EXHAUSTED",O15="REVIEW: ABOVE CUSTOMER PO",'ERP Snapshot'!L15="YES"),"CRITICAL / REVIEW",IF(OR(L15="PO DATA REQUIRED",L15="BUDGET DATA REQUIRED",L15="REVIEW: NO BUDGET",L15="REVIEW: PO AMOUNT",N15&gt;0,M15&gt;0,F15&gt;0),"FOLLOW UP","NORMAL")))</x:f>
      </x:c>
      <x:c r="Q15" s="68" t="str">
        <x:f>IF(A15="","",'ERP Snapshot'!N15)</x:f>
      </x:c>
      <x:c r="R15" t="str">
        <x:f>IF(A15="","",'ERP Snapshot'!Q15)</x:f>
      </x:c>
      <x:c r="S15" t="str">
        <x:f>IF(A15="","",'ERP Snapshot'!R15)</x:f>
      </x:c>
      <x:c r="T15" t="str">
        <x:f>IF(A15="","",'ERP Snapshot'!C15)</x:f>
      </x:c>
    </x:row>
    <x:row r="16">
      <x:c r="A16" t="str">
        <x:f>IF('ERP Snapshot'!A16="","",'ERP Snapshot'!A16)</x:f>
      </x:c>
      <x:c r="B16" t="str">
        <x:f>IF(A16="","",'ERP Snapshot'!B16)</x:f>
      </x:c>
      <x:c r="C16" t="str">
        <x:f>IF(A16="","",'ERP Snapshot'!D16)</x:f>
      </x:c>
      <x:c r="D16" t="str">
        <x:f>IF(A16="","",IF(C16="MXN",IF(AND(Settings!$B$8="APPROVED",Settings!$B$9&lt;&gt;"",Settings!$B$10&lt;&gt;"",Settings!$B$2&gt;0),'PO Authorization'!F16/Settings!$B$2,""),'PO Authorization'!F16))</x:f>
      </x:c>
      <x:c r="E16" t="str">
        <x:f>IF(A16="","",IF(C16="MXN",IF(AND(Settings!$B$8="APPROVED",Settings!$B$9&lt;&gt;"",Settings!$B$10&lt;&gt;"",Settings!$B$2&gt;0),'ERP Snapshot'!I16/Settings!$B$2,""),'ERP Snapshot'!I16))</x:f>
      </x:c>
      <x:c r="F16" t="str">
        <x:f>IF(A16="","",IF(AND(ISNUMBER(D16),ISNUMBER(E16)),D16-E16,""))</x:f>
      </x:c>
      <x:c r="G16" t="str">
        <x:f>IF(A16="","",IF(ISNUMBER('ERP Snapshot'!F16),'ERP Snapshot'!F16,""))</x:f>
      </x:c>
      <x:c r="H16" t="str">
        <x:f>IF(A16="","",'ERP Snapshot'!G16)</x:f>
      </x:c>
      <x:c r="I16" t="str">
        <x:f>IF(A16="","",IF(ISNUMBER('ERP Snapshot'!S16),'ERP Snapshot'!S16,""))</x:f>
      </x:c>
      <x:c r="J16" t="str">
        <x:f>IF(A16="","",IF(AND(ISNUMBER(G16),ISNUMBER(I16)),G16-I16,""))</x:f>
      </x:c>
      <x:c r="K16" s="8" t="str">
        <x:f>IF(A16="","",IF(AND(ISNUMBER(G16),G16&gt;0,ISNUMBER(I16)),I16/G16,""))</x:f>
      </x:c>
      <x:c r="L16" t="str">
        <x:f>IF(A16="","",IF(NOT(ISNUMBER(G16)),"BUDGET DATA REQUIRED",IF(G16&lt;=0,"REVIEW: NO BUDGET",IF(NOT(ISNUMBER(I16)),"PO DATA REQUIRED",IF(I16&lt;0,"REVIEW: PO AMOUNT",IF(K16&gt;1,"OVER BUDGET",IF(K16=1,"BUDGET EXHAUSTED",IF(K16&gt;=Settings!$B$3,"PREVENTIVE ALERT","OK"))))))))</x:f>
      </x:c>
      <x:c r="M16" t="str">
        <x:f>IF(A16="","",'ERP Snapshot'!K16)</x:f>
      </x:c>
      <x:c r="N16" t="str">
        <x:f>IF(A16="","",COUNTIFS(Exceptions!$A$2:$A$101,A16,Exceptions!$E$2:$E$101,"Open"))</x:f>
      </x:c>
      <x:c r="O16" t="str">
        <x:f>IF(A16="","",IF(AND(C16="MXN",OR(D16="",E16="")),"FX HOLD",IF(E16&gt;D16,"REVIEW: ABOVE CUSTOMER PO",IF('PO Authorization'!H16="REVIEW: SNAPSHOT DIFFERS","REVIEW: PO SNAPSHOT",IF(E16=D16,"FULLY INVOICED",IF(E16&gt;0,"PARTIAL INVOICE","NOT INVOICED"))))))</x:f>
      </x:c>
      <x:c r="P16" t="str">
        <x:f>IF(A16="","",IF(OR(O16="FX HOLD",O16="REVIEW: PO SNAPSHOT",L16="OVER BUDGET",L16="BUDGET EXHAUSTED",O16="REVIEW: ABOVE CUSTOMER PO",'ERP Snapshot'!L16="YES"),"CRITICAL / REVIEW",IF(OR(L16="PO DATA REQUIRED",L16="BUDGET DATA REQUIRED",L16="REVIEW: NO BUDGET",L16="REVIEW: PO AMOUNT",N16&gt;0,M16&gt;0,F16&gt;0),"FOLLOW UP","NORMAL")))</x:f>
      </x:c>
      <x:c r="Q16" s="68" t="str">
        <x:f>IF(A16="","",'ERP Snapshot'!N16)</x:f>
      </x:c>
      <x:c r="R16" t="str">
        <x:f>IF(A16="","",'ERP Snapshot'!Q16)</x:f>
      </x:c>
      <x:c r="S16" t="str">
        <x:f>IF(A16="","",'ERP Snapshot'!R16)</x:f>
      </x:c>
      <x:c r="T16" t="str">
        <x:f>IF(A16="","",'ERP Snapshot'!C16)</x:f>
      </x:c>
    </x:row>
    <x:row r="17">
      <x:c r="A17" t="str">
        <x:f>IF('ERP Snapshot'!A17="","",'ERP Snapshot'!A17)</x:f>
      </x:c>
      <x:c r="B17" t="str">
        <x:f>IF(A17="","",'ERP Snapshot'!B17)</x:f>
      </x:c>
      <x:c r="C17" t="str">
        <x:f>IF(A17="","",'ERP Snapshot'!D17)</x:f>
      </x:c>
      <x:c r="D17" t="str">
        <x:f>IF(A17="","",IF(C17="MXN",IF(AND(Settings!$B$8="APPROVED",Settings!$B$9&lt;&gt;"",Settings!$B$10&lt;&gt;"",Settings!$B$2&gt;0),'PO Authorization'!F17/Settings!$B$2,""),'PO Authorization'!F17))</x:f>
      </x:c>
      <x:c r="E17" t="str">
        <x:f>IF(A17="","",IF(C17="MXN",IF(AND(Settings!$B$8="APPROVED",Settings!$B$9&lt;&gt;"",Settings!$B$10&lt;&gt;"",Settings!$B$2&gt;0),'ERP Snapshot'!I17/Settings!$B$2,""),'ERP Snapshot'!I17))</x:f>
      </x:c>
      <x:c r="F17" t="str">
        <x:f>IF(A17="","",IF(AND(ISNUMBER(D17),ISNUMBER(E17)),D17-E17,""))</x:f>
      </x:c>
      <x:c r="G17" t="str">
        <x:f>IF(A17="","",IF(ISNUMBER('ERP Snapshot'!F17),'ERP Snapshot'!F17,""))</x:f>
      </x:c>
      <x:c r="H17" t="str">
        <x:f>IF(A17="","",'ERP Snapshot'!G17)</x:f>
      </x:c>
      <x:c r="I17" t="str">
        <x:f>IF(A17="","",IF(ISNUMBER('ERP Snapshot'!S17),'ERP Snapshot'!S17,""))</x:f>
      </x:c>
      <x:c r="J17" t="str">
        <x:f>IF(A17="","",IF(AND(ISNUMBER(G17),ISNUMBER(I17)),G17-I17,""))</x:f>
      </x:c>
      <x:c r="K17" s="8" t="str">
        <x:f>IF(A17="","",IF(AND(ISNUMBER(G17),G17&gt;0,ISNUMBER(I17)),I17/G17,""))</x:f>
      </x:c>
      <x:c r="L17" t="str">
        <x:f>IF(A17="","",IF(NOT(ISNUMBER(G17)),"BUDGET DATA REQUIRED",IF(G17&lt;=0,"REVIEW: NO BUDGET",IF(NOT(ISNUMBER(I17)),"PO DATA REQUIRED",IF(I17&lt;0,"REVIEW: PO AMOUNT",IF(K17&gt;1,"OVER BUDGET",IF(K17=1,"BUDGET EXHAUSTED",IF(K17&gt;=Settings!$B$3,"PREVENTIVE ALERT","OK"))))))))</x:f>
      </x:c>
      <x:c r="M17" t="str">
        <x:f>IF(A17="","",'ERP Snapshot'!K17)</x:f>
      </x:c>
      <x:c r="N17" t="str">
        <x:f>IF(A17="","",COUNTIFS(Exceptions!$A$2:$A$101,A17,Exceptions!$E$2:$E$101,"Open"))</x:f>
      </x:c>
      <x:c r="O17" t="str">
        <x:f>IF(A17="","",IF(AND(C17="MXN",OR(D17="",E17="")),"FX HOLD",IF(E17&gt;D17,"REVIEW: ABOVE CUSTOMER PO",IF('PO Authorization'!H17="REVIEW: SNAPSHOT DIFFERS","REVIEW: PO SNAPSHOT",IF(E17=D17,"FULLY INVOICED",IF(E17&gt;0,"PARTIAL INVOICE","NOT INVOICED"))))))</x:f>
      </x:c>
      <x:c r="P17" t="str">
        <x:f>IF(A17="","",IF(OR(O17="FX HOLD",O17="REVIEW: PO SNAPSHOT",L17="OVER BUDGET",L17="BUDGET EXHAUSTED",O17="REVIEW: ABOVE CUSTOMER PO",'ERP Snapshot'!L17="YES"),"CRITICAL / REVIEW",IF(OR(L17="PO DATA REQUIRED",L17="BUDGET DATA REQUIRED",L17="REVIEW: NO BUDGET",L17="REVIEW: PO AMOUNT",N17&gt;0,M17&gt;0,F17&gt;0),"FOLLOW UP","NORMAL")))</x:f>
      </x:c>
      <x:c r="Q17" s="68" t="str">
        <x:f>IF(A17="","",'ERP Snapshot'!N17)</x:f>
      </x:c>
      <x:c r="R17" t="str">
        <x:f>IF(A17="","",'ERP Snapshot'!Q17)</x:f>
      </x:c>
      <x:c r="S17" t="str">
        <x:f>IF(A17="","",'ERP Snapshot'!R17)</x:f>
      </x:c>
      <x:c r="T17" t="str">
        <x:f>IF(A17="","",'ERP Snapshot'!C17)</x:f>
      </x:c>
    </x:row>
    <x:row r="18">
      <x:c r="A18" t="str">
        <x:f>IF('ERP Snapshot'!A18="","",'ERP Snapshot'!A18)</x:f>
      </x:c>
      <x:c r="B18" t="str">
        <x:f>IF(A18="","",'ERP Snapshot'!B18)</x:f>
      </x:c>
      <x:c r="C18" t="str">
        <x:f>IF(A18="","",'ERP Snapshot'!D18)</x:f>
      </x:c>
      <x:c r="D18" t="str">
        <x:f>IF(A18="","",IF(C18="MXN",IF(AND(Settings!$B$8="APPROVED",Settings!$B$9&lt;&gt;"",Settings!$B$10&lt;&gt;"",Settings!$B$2&gt;0),'PO Authorization'!F18/Settings!$B$2,""),'PO Authorization'!F18))</x:f>
      </x:c>
      <x:c r="E18" t="str">
        <x:f>IF(A18="","",IF(C18="MXN",IF(AND(Settings!$B$8="APPROVED",Settings!$B$9&lt;&gt;"",Settings!$B$10&lt;&gt;"",Settings!$B$2&gt;0),'ERP Snapshot'!I18/Settings!$B$2,""),'ERP Snapshot'!I18))</x:f>
      </x:c>
      <x:c r="F18" t="str">
        <x:f>IF(A18="","",IF(AND(ISNUMBER(D18),ISNUMBER(E18)),D18-E18,""))</x:f>
      </x:c>
      <x:c r="G18" t="str">
        <x:f>IF(A18="","",IF(ISNUMBER('ERP Snapshot'!F18),'ERP Snapshot'!F18,""))</x:f>
      </x:c>
      <x:c r="H18" t="str">
        <x:f>IF(A18="","",'ERP Snapshot'!G18)</x:f>
      </x:c>
      <x:c r="I18" t="str">
        <x:f>IF(A18="","",IF(ISNUMBER('ERP Snapshot'!S18),'ERP Snapshot'!S18,""))</x:f>
      </x:c>
      <x:c r="J18" t="str">
        <x:f>IF(A18="","",IF(AND(ISNUMBER(G18),ISNUMBER(I18)),G18-I18,""))</x:f>
      </x:c>
      <x:c r="K18" s="8" t="str">
        <x:f>IF(A18="","",IF(AND(ISNUMBER(G18),G18&gt;0,ISNUMBER(I18)),I18/G18,""))</x:f>
      </x:c>
      <x:c r="L18" t="str">
        <x:f>IF(A18="","",IF(NOT(ISNUMBER(G18)),"BUDGET DATA REQUIRED",IF(G18&lt;=0,"REVIEW: NO BUDGET",IF(NOT(ISNUMBER(I18)),"PO DATA REQUIRED",IF(I18&lt;0,"REVIEW: PO AMOUNT",IF(K18&gt;1,"OVER BUDGET",IF(K18=1,"BUDGET EXHAUSTED",IF(K18&gt;=Settings!$B$3,"PREVENTIVE ALERT","OK"))))))))</x:f>
      </x:c>
      <x:c r="M18" t="str">
        <x:f>IF(A18="","",'ERP Snapshot'!K18)</x:f>
      </x:c>
      <x:c r="N18" t="str">
        <x:f>IF(A18="","",COUNTIFS(Exceptions!$A$2:$A$101,A18,Exceptions!$E$2:$E$101,"Open"))</x:f>
      </x:c>
      <x:c r="O18" t="str">
        <x:f>IF(A18="","",IF(AND(C18="MXN",OR(D18="",E18="")),"FX HOLD",IF(E18&gt;D18,"REVIEW: ABOVE CUSTOMER PO",IF('PO Authorization'!H18="REVIEW: SNAPSHOT DIFFERS","REVIEW: PO SNAPSHOT",IF(E18=D18,"FULLY INVOICED",IF(E18&gt;0,"PARTIAL INVOICE","NOT INVOICED"))))))</x:f>
      </x:c>
      <x:c r="P18" t="str">
        <x:f>IF(A18="","",IF(OR(O18="FX HOLD",O18="REVIEW: PO SNAPSHOT",L18="OVER BUDGET",L18="BUDGET EXHAUSTED",O18="REVIEW: ABOVE CUSTOMER PO",'ERP Snapshot'!L18="YES"),"CRITICAL / REVIEW",IF(OR(L18="PO DATA REQUIRED",L18="BUDGET DATA REQUIRED",L18="REVIEW: NO BUDGET",L18="REVIEW: PO AMOUNT",N18&gt;0,M18&gt;0,F18&gt;0),"FOLLOW UP","NORMAL")))</x:f>
      </x:c>
      <x:c r="Q18" s="68" t="str">
        <x:f>IF(A18="","",'ERP Snapshot'!N18)</x:f>
      </x:c>
      <x:c r="R18" t="str">
        <x:f>IF(A18="","",'ERP Snapshot'!Q18)</x:f>
      </x:c>
      <x:c r="S18" t="str">
        <x:f>IF(A18="","",'ERP Snapshot'!R18)</x:f>
      </x:c>
      <x:c r="T18" t="str">
        <x:f>IF(A18="","",'ERP Snapshot'!C18)</x:f>
      </x:c>
    </x:row>
    <x:row r="19">
      <x:c r="A19" t="str">
        <x:f>IF('ERP Snapshot'!A19="","",'ERP Snapshot'!A19)</x:f>
      </x:c>
      <x:c r="B19" t="str">
        <x:f>IF(A19="","",'ERP Snapshot'!B19)</x:f>
      </x:c>
      <x:c r="C19" t="str">
        <x:f>IF(A19="","",'ERP Snapshot'!D19)</x:f>
      </x:c>
      <x:c r="D19" t="str">
        <x:f>IF(A19="","",IF(C19="MXN",IF(AND(Settings!$B$8="APPROVED",Settings!$B$9&lt;&gt;"",Settings!$B$10&lt;&gt;"",Settings!$B$2&gt;0),'PO Authorization'!F19/Settings!$B$2,""),'PO Authorization'!F19))</x:f>
      </x:c>
      <x:c r="E19" t="str">
        <x:f>IF(A19="","",IF(C19="MXN",IF(AND(Settings!$B$8="APPROVED",Settings!$B$9&lt;&gt;"",Settings!$B$10&lt;&gt;"",Settings!$B$2&gt;0),'ERP Snapshot'!I19/Settings!$B$2,""),'ERP Snapshot'!I19))</x:f>
      </x:c>
      <x:c r="F19" t="str">
        <x:f>IF(A19="","",IF(AND(ISNUMBER(D19),ISNUMBER(E19)),D19-E19,""))</x:f>
      </x:c>
      <x:c r="G19" t="str">
        <x:f>IF(A19="","",IF(ISNUMBER('ERP Snapshot'!F19),'ERP Snapshot'!F19,""))</x:f>
      </x:c>
      <x:c r="H19" t="str">
        <x:f>IF(A19="","",'ERP Snapshot'!G19)</x:f>
      </x:c>
      <x:c r="I19" t="str">
        <x:f>IF(A19="","",IF(ISNUMBER('ERP Snapshot'!S19),'ERP Snapshot'!S19,""))</x:f>
      </x:c>
      <x:c r="J19" t="str">
        <x:f>IF(A19="","",IF(AND(ISNUMBER(G19),ISNUMBER(I19)),G19-I19,""))</x:f>
      </x:c>
      <x:c r="K19" s="8" t="str">
        <x:f>IF(A19="","",IF(AND(ISNUMBER(G19),G19&gt;0,ISNUMBER(I19)),I19/G19,""))</x:f>
      </x:c>
      <x:c r="L19" t="str">
        <x:f>IF(A19="","",IF(NOT(ISNUMBER(G19)),"BUDGET DATA REQUIRED",IF(G19&lt;=0,"REVIEW: NO BUDGET",IF(NOT(ISNUMBER(I19)),"PO DATA REQUIRED",IF(I19&lt;0,"REVIEW: PO AMOUNT",IF(K19&gt;1,"OVER BUDGET",IF(K19=1,"BUDGET EXHAUSTED",IF(K19&gt;=Settings!$B$3,"PREVENTIVE ALERT","OK"))))))))</x:f>
      </x:c>
      <x:c r="M19" t="str">
        <x:f>IF(A19="","",'ERP Snapshot'!K19)</x:f>
      </x:c>
      <x:c r="N19" t="str">
        <x:f>IF(A19="","",COUNTIFS(Exceptions!$A$2:$A$101,A19,Exceptions!$E$2:$E$101,"Open"))</x:f>
      </x:c>
      <x:c r="O19" t="str">
        <x:f>IF(A19="","",IF(AND(C19="MXN",OR(D19="",E19="")),"FX HOLD",IF(E19&gt;D19,"REVIEW: ABOVE CUSTOMER PO",IF('PO Authorization'!H19="REVIEW: SNAPSHOT DIFFERS","REVIEW: PO SNAPSHOT",IF(E19=D19,"FULLY INVOICED",IF(E19&gt;0,"PARTIAL INVOICE","NOT INVOICED"))))))</x:f>
      </x:c>
      <x:c r="P19" t="str">
        <x:f>IF(A19="","",IF(OR(O19="FX HOLD",O19="REVIEW: PO SNAPSHOT",L19="OVER BUDGET",L19="BUDGET EXHAUSTED",O19="REVIEW: ABOVE CUSTOMER PO",'ERP Snapshot'!L19="YES"),"CRITICAL / REVIEW",IF(OR(L19="PO DATA REQUIRED",L19="BUDGET DATA REQUIRED",L19="REVIEW: NO BUDGET",L19="REVIEW: PO AMOUNT",N19&gt;0,M19&gt;0,F19&gt;0),"FOLLOW UP","NORMAL")))</x:f>
      </x:c>
      <x:c r="Q19" s="68" t="str">
        <x:f>IF(A19="","",'ERP Snapshot'!N19)</x:f>
      </x:c>
      <x:c r="R19" t="str">
        <x:f>IF(A19="","",'ERP Snapshot'!Q19)</x:f>
      </x:c>
      <x:c r="S19" t="str">
        <x:f>IF(A19="","",'ERP Snapshot'!R19)</x:f>
      </x:c>
      <x:c r="T19" t="str">
        <x:f>IF(A19="","",'ERP Snapshot'!C19)</x:f>
      </x:c>
    </x:row>
    <x:row r="20">
      <x:c r="A20" t="str">
        <x:f>IF('ERP Snapshot'!A20="","",'ERP Snapshot'!A20)</x:f>
      </x:c>
      <x:c r="B20" t="str">
        <x:f>IF(A20="","",'ERP Snapshot'!B20)</x:f>
      </x:c>
      <x:c r="C20" t="str">
        <x:f>IF(A20="","",'ERP Snapshot'!D20)</x:f>
      </x:c>
      <x:c r="D20" t="str">
        <x:f>IF(A20="","",IF(C20="MXN",IF(AND(Settings!$B$8="APPROVED",Settings!$B$9&lt;&gt;"",Settings!$B$10&lt;&gt;"",Settings!$B$2&gt;0),'PO Authorization'!F20/Settings!$B$2,""),'PO Authorization'!F20))</x:f>
      </x:c>
      <x:c r="E20" t="str">
        <x:f>IF(A20="","",IF(C20="MXN",IF(AND(Settings!$B$8="APPROVED",Settings!$B$9&lt;&gt;"",Settings!$B$10&lt;&gt;"",Settings!$B$2&gt;0),'ERP Snapshot'!I20/Settings!$B$2,""),'ERP Snapshot'!I20))</x:f>
      </x:c>
      <x:c r="F20" t="str">
        <x:f>IF(A20="","",IF(AND(ISNUMBER(D20),ISNUMBER(E20)),D20-E20,""))</x:f>
      </x:c>
      <x:c r="G20" t="str">
        <x:f>IF(A20="","",IF(ISNUMBER('ERP Snapshot'!F20),'ERP Snapshot'!F20,""))</x:f>
      </x:c>
      <x:c r="H20" t="str">
        <x:f>IF(A20="","",'ERP Snapshot'!G20)</x:f>
      </x:c>
      <x:c r="I20" t="str">
        <x:f>IF(A20="","",IF(ISNUMBER('ERP Snapshot'!S20),'ERP Snapshot'!S20,""))</x:f>
      </x:c>
      <x:c r="J20" t="str">
        <x:f>IF(A20="","",IF(AND(ISNUMBER(G20),ISNUMBER(I20)),G20-I20,""))</x:f>
      </x:c>
      <x:c r="K20" s="8" t="str">
        <x:f>IF(A20="","",IF(AND(ISNUMBER(G20),G20&gt;0,ISNUMBER(I20)),I20/G20,""))</x:f>
      </x:c>
      <x:c r="L20" t="str">
        <x:f>IF(A20="","",IF(NOT(ISNUMBER(G20)),"BUDGET DATA REQUIRED",IF(G20&lt;=0,"REVIEW: NO BUDGET",IF(NOT(ISNUMBER(I20)),"PO DATA REQUIRED",IF(I20&lt;0,"REVIEW: PO AMOUNT",IF(K20&gt;1,"OVER BUDGET",IF(K20=1,"BUDGET EXHAUSTED",IF(K20&gt;=Settings!$B$3,"PREVENTIVE ALERT","OK"))))))))</x:f>
      </x:c>
      <x:c r="M20" t="str">
        <x:f>IF(A20="","",'ERP Snapshot'!K20)</x:f>
      </x:c>
      <x:c r="N20" t="str">
        <x:f>IF(A20="","",COUNTIFS(Exceptions!$A$2:$A$101,A20,Exceptions!$E$2:$E$101,"Open"))</x:f>
      </x:c>
      <x:c r="O20" t="str">
        <x:f>IF(A20="","",IF(AND(C20="MXN",OR(D20="",E20="")),"FX HOLD",IF(E20&gt;D20,"REVIEW: ABOVE CUSTOMER PO",IF('PO Authorization'!H20="REVIEW: SNAPSHOT DIFFERS","REVIEW: PO SNAPSHOT",IF(E20=D20,"FULLY INVOICED",IF(E20&gt;0,"PARTIAL INVOICE","NOT INVOICED"))))))</x:f>
      </x:c>
      <x:c r="P20" t="str">
        <x:f>IF(A20="","",IF(OR(O20="FX HOLD",O20="REVIEW: PO SNAPSHOT",L20="OVER BUDGET",L20="BUDGET EXHAUSTED",O20="REVIEW: ABOVE CUSTOMER PO",'ERP Snapshot'!L20="YES"),"CRITICAL / REVIEW",IF(OR(L20="PO DATA REQUIRED",L20="BUDGET DATA REQUIRED",L20="REVIEW: NO BUDGET",L20="REVIEW: PO AMOUNT",N20&gt;0,M20&gt;0,F20&gt;0),"FOLLOW UP","NORMAL")))</x:f>
      </x:c>
      <x:c r="Q20" s="68" t="str">
        <x:f>IF(A20="","",'ERP Snapshot'!N20)</x:f>
      </x:c>
      <x:c r="R20" t="str">
        <x:f>IF(A20="","",'ERP Snapshot'!Q20)</x:f>
      </x:c>
      <x:c r="S20" t="str">
        <x:f>IF(A20="","",'ERP Snapshot'!R20)</x:f>
      </x:c>
      <x:c r="T20" t="str">
        <x:f>IF(A20="","",'ERP Snapshot'!C20)</x:f>
      </x:c>
    </x:row>
    <x:row r="21">
      <x:c r="A21" t="str">
        <x:f>IF('ERP Snapshot'!A21="","",'ERP Snapshot'!A21)</x:f>
      </x:c>
      <x:c r="B21" t="str">
        <x:f>IF(A21="","",'ERP Snapshot'!B21)</x:f>
      </x:c>
      <x:c r="C21" t="str">
        <x:f>IF(A21="","",'ERP Snapshot'!D21)</x:f>
      </x:c>
      <x:c r="D21" t="str">
        <x:f>IF(A21="","",IF(C21="MXN",IF(AND(Settings!$B$8="APPROVED",Settings!$B$9&lt;&gt;"",Settings!$B$10&lt;&gt;"",Settings!$B$2&gt;0),'PO Authorization'!F21/Settings!$B$2,""),'PO Authorization'!F21))</x:f>
      </x:c>
      <x:c r="E21" t="str">
        <x:f>IF(A21="","",IF(C21="MXN",IF(AND(Settings!$B$8="APPROVED",Settings!$B$9&lt;&gt;"",Settings!$B$10&lt;&gt;"",Settings!$B$2&gt;0),'ERP Snapshot'!I21/Settings!$B$2,""),'ERP Snapshot'!I21))</x:f>
      </x:c>
      <x:c r="F21" t="str">
        <x:f>IF(A21="","",IF(AND(ISNUMBER(D21),ISNUMBER(E21)),D21-E21,""))</x:f>
      </x:c>
      <x:c r="G21" t="str">
        <x:f>IF(A21="","",IF(ISNUMBER('ERP Snapshot'!F21),'ERP Snapshot'!F21,""))</x:f>
      </x:c>
      <x:c r="H21" t="str">
        <x:f>IF(A21="","",'ERP Snapshot'!G21)</x:f>
      </x:c>
      <x:c r="I21" t="str">
        <x:f>IF(A21="","",IF(ISNUMBER('ERP Snapshot'!S21),'ERP Snapshot'!S21,""))</x:f>
      </x:c>
      <x:c r="J21" t="str">
        <x:f>IF(A21="","",IF(AND(ISNUMBER(G21),ISNUMBER(I21)),G21-I21,""))</x:f>
      </x:c>
      <x:c r="K21" s="8" t="str">
        <x:f>IF(A21="","",IF(AND(ISNUMBER(G21),G21&gt;0,ISNUMBER(I21)),I21/G21,""))</x:f>
      </x:c>
      <x:c r="L21" t="str">
        <x:f>IF(A21="","",IF(NOT(ISNUMBER(G21)),"BUDGET DATA REQUIRED",IF(G21&lt;=0,"REVIEW: NO BUDGET",IF(NOT(ISNUMBER(I21)),"PO DATA REQUIRED",IF(I21&lt;0,"REVIEW: PO AMOUNT",IF(K21&gt;1,"OVER BUDGET",IF(K21=1,"BUDGET EXHAUSTED",IF(K21&gt;=Settings!$B$3,"PREVENTIVE ALERT","OK"))))))))</x:f>
      </x:c>
      <x:c r="M21" t="str">
        <x:f>IF(A21="","",'ERP Snapshot'!K21)</x:f>
      </x:c>
      <x:c r="N21" t="str">
        <x:f>IF(A21="","",COUNTIFS(Exceptions!$A$2:$A$101,A21,Exceptions!$E$2:$E$101,"Open"))</x:f>
      </x:c>
      <x:c r="O21" t="str">
        <x:f>IF(A21="","",IF(AND(C21="MXN",OR(D21="",E21="")),"FX HOLD",IF(E21&gt;D21,"REVIEW: ABOVE CUSTOMER PO",IF('PO Authorization'!H21="REVIEW: SNAPSHOT DIFFERS","REVIEW: PO SNAPSHOT",IF(E21=D21,"FULLY INVOICED",IF(E21&gt;0,"PARTIAL INVOICE","NOT INVOICED"))))))</x:f>
      </x:c>
      <x:c r="P21" t="str">
        <x:f>IF(A21="","",IF(OR(O21="FX HOLD",O21="REVIEW: PO SNAPSHOT",L21="OVER BUDGET",L21="BUDGET EXHAUSTED",O21="REVIEW: ABOVE CUSTOMER PO",'ERP Snapshot'!L21="YES"),"CRITICAL / REVIEW",IF(OR(L21="PO DATA REQUIRED",L21="BUDGET DATA REQUIRED",L21="REVIEW: NO BUDGET",L21="REVIEW: PO AMOUNT",N21&gt;0,M21&gt;0,F21&gt;0),"FOLLOW UP","NORMAL")))</x:f>
      </x:c>
      <x:c r="Q21" s="68" t="str">
        <x:f>IF(A21="","",'ERP Snapshot'!N21)</x:f>
      </x:c>
      <x:c r="R21" t="str">
        <x:f>IF(A21="","",'ERP Snapshot'!Q21)</x:f>
      </x:c>
      <x:c r="S21" t="str">
        <x:f>IF(A21="","",'ERP Snapshot'!R21)</x:f>
      </x:c>
      <x:c r="T21" t="str">
        <x:f>IF(A21="","",'ERP Snapshot'!C21)</x:f>
      </x:c>
    </x:row>
    <x:row r="22">
      <x:c r="A22" t="str">
        <x:f>IF('ERP Snapshot'!A22="","",'ERP Snapshot'!A22)</x:f>
      </x:c>
      <x:c r="B22" t="str">
        <x:f>IF(A22="","",'ERP Snapshot'!B22)</x:f>
      </x:c>
      <x:c r="C22" t="str">
        <x:f>IF(A22="","",'ERP Snapshot'!D22)</x:f>
      </x:c>
      <x:c r="D22" t="str">
        <x:f>IF(A22="","",IF(C22="MXN",IF(AND(Settings!$B$8="APPROVED",Settings!$B$9&lt;&gt;"",Settings!$B$10&lt;&gt;"",Settings!$B$2&gt;0),'PO Authorization'!F22/Settings!$B$2,""),'PO Authorization'!F22))</x:f>
      </x:c>
      <x:c r="E22" t="str">
        <x:f>IF(A22="","",IF(C22="MXN",IF(AND(Settings!$B$8="APPROVED",Settings!$B$9&lt;&gt;"",Settings!$B$10&lt;&gt;"",Settings!$B$2&gt;0),'ERP Snapshot'!I22/Settings!$B$2,""),'ERP Snapshot'!I22))</x:f>
      </x:c>
      <x:c r="F22" t="str">
        <x:f>IF(A22="","",IF(AND(ISNUMBER(D22),ISNUMBER(E22)),D22-E22,""))</x:f>
      </x:c>
      <x:c r="G22" t="str">
        <x:f>IF(A22="","",IF(ISNUMBER('ERP Snapshot'!F22),'ERP Snapshot'!F22,""))</x:f>
      </x:c>
      <x:c r="H22" t="str">
        <x:f>IF(A22="","",'ERP Snapshot'!G22)</x:f>
      </x:c>
      <x:c r="I22" t="str">
        <x:f>IF(A22="","",IF(ISNUMBER('ERP Snapshot'!S22),'ERP Snapshot'!S22,""))</x:f>
      </x:c>
      <x:c r="J22" t="str">
        <x:f>IF(A22="","",IF(AND(ISNUMBER(G22),ISNUMBER(I22)),G22-I22,""))</x:f>
      </x:c>
      <x:c r="K22" s="8" t="str">
        <x:f>IF(A22="","",IF(AND(ISNUMBER(G22),G22&gt;0,ISNUMBER(I22)),I22/G22,""))</x:f>
      </x:c>
      <x:c r="L22" t="str">
        <x:f>IF(A22="","",IF(NOT(ISNUMBER(G22)),"BUDGET DATA REQUIRED",IF(G22&lt;=0,"REVIEW: NO BUDGET",IF(NOT(ISNUMBER(I22)),"PO DATA REQUIRED",IF(I22&lt;0,"REVIEW: PO AMOUNT",IF(K22&gt;1,"OVER BUDGET",IF(K22=1,"BUDGET EXHAUSTED",IF(K22&gt;=Settings!$B$3,"PREVENTIVE ALERT","OK"))))))))</x:f>
      </x:c>
      <x:c r="M22" t="str">
        <x:f>IF(A22="","",'ERP Snapshot'!K22)</x:f>
      </x:c>
      <x:c r="N22" t="str">
        <x:f>IF(A22="","",COUNTIFS(Exceptions!$A$2:$A$101,A22,Exceptions!$E$2:$E$101,"Open"))</x:f>
      </x:c>
      <x:c r="O22" t="str">
        <x:f>IF(A22="","",IF(AND(C22="MXN",OR(D22="",E22="")),"FX HOLD",IF(E22&gt;D22,"REVIEW: ABOVE CUSTOMER PO",IF('PO Authorization'!H22="REVIEW: SNAPSHOT DIFFERS","REVIEW: PO SNAPSHOT",IF(E22=D22,"FULLY INVOICED",IF(E22&gt;0,"PARTIAL INVOICE","NOT INVOICED"))))))</x:f>
      </x:c>
      <x:c r="P22" t="str">
        <x:f>IF(A22="","",IF(OR(O22="FX HOLD",O22="REVIEW: PO SNAPSHOT",L22="OVER BUDGET",L22="BUDGET EXHAUSTED",O22="REVIEW: ABOVE CUSTOMER PO",'ERP Snapshot'!L22="YES"),"CRITICAL / REVIEW",IF(OR(L22="PO DATA REQUIRED",L22="BUDGET DATA REQUIRED",L22="REVIEW: NO BUDGET",L22="REVIEW: PO AMOUNT",N22&gt;0,M22&gt;0,F22&gt;0),"FOLLOW UP","NORMAL")))</x:f>
      </x:c>
      <x:c r="Q22" s="68" t="str">
        <x:f>IF(A22="","",'ERP Snapshot'!N22)</x:f>
      </x:c>
      <x:c r="R22" t="str">
        <x:f>IF(A22="","",'ERP Snapshot'!Q22)</x:f>
      </x:c>
      <x:c r="S22" t="str">
        <x:f>IF(A22="","",'ERP Snapshot'!R22)</x:f>
      </x:c>
      <x:c r="T22" t="str">
        <x:f>IF(A22="","",'ERP Snapshot'!C22)</x:f>
      </x:c>
    </x:row>
    <x:row r="23">
      <x:c r="A23" t="str">
        <x:f>IF('ERP Snapshot'!A23="","",'ERP Snapshot'!A23)</x:f>
      </x:c>
      <x:c r="B23" t="str">
        <x:f>IF(A23="","",'ERP Snapshot'!B23)</x:f>
      </x:c>
      <x:c r="C23" t="str">
        <x:f>IF(A23="","",'ERP Snapshot'!D23)</x:f>
      </x:c>
      <x:c r="D23" t="str">
        <x:f>IF(A23="","",IF(C23="MXN",IF(AND(Settings!$B$8="APPROVED",Settings!$B$9&lt;&gt;"",Settings!$B$10&lt;&gt;"",Settings!$B$2&gt;0),'PO Authorization'!F23/Settings!$B$2,""),'PO Authorization'!F23))</x:f>
      </x:c>
      <x:c r="E23" t="str">
        <x:f>IF(A23="","",IF(C23="MXN",IF(AND(Settings!$B$8="APPROVED",Settings!$B$9&lt;&gt;"",Settings!$B$10&lt;&gt;"",Settings!$B$2&gt;0),'ERP Snapshot'!I23/Settings!$B$2,""),'ERP Snapshot'!I23))</x:f>
      </x:c>
      <x:c r="F23" t="str">
        <x:f>IF(A23="","",IF(AND(ISNUMBER(D23),ISNUMBER(E23)),D23-E23,""))</x:f>
      </x:c>
      <x:c r="G23" t="str">
        <x:f>IF(A23="","",IF(ISNUMBER('ERP Snapshot'!F23),'ERP Snapshot'!F23,""))</x:f>
      </x:c>
      <x:c r="H23" t="str">
        <x:f>IF(A23="","",'ERP Snapshot'!G23)</x:f>
      </x:c>
      <x:c r="I23" t="str">
        <x:f>IF(A23="","",IF(ISNUMBER('ERP Snapshot'!S23),'ERP Snapshot'!S23,""))</x:f>
      </x:c>
      <x:c r="J23" t="str">
        <x:f>IF(A23="","",IF(AND(ISNUMBER(G23),ISNUMBER(I23)),G23-I23,""))</x:f>
      </x:c>
      <x:c r="K23" s="8" t="str">
        <x:f>IF(A23="","",IF(AND(ISNUMBER(G23),G23&gt;0,ISNUMBER(I23)),I23/G23,""))</x:f>
      </x:c>
      <x:c r="L23" t="str">
        <x:f>IF(A23="","",IF(NOT(ISNUMBER(G23)),"BUDGET DATA REQUIRED",IF(G23&lt;=0,"REVIEW: NO BUDGET",IF(NOT(ISNUMBER(I23)),"PO DATA REQUIRED",IF(I23&lt;0,"REVIEW: PO AMOUNT",IF(K23&gt;1,"OVER BUDGET",IF(K23=1,"BUDGET EXHAUSTED",IF(K23&gt;=Settings!$B$3,"PREVENTIVE ALERT","OK"))))))))</x:f>
      </x:c>
      <x:c r="M23" t="str">
        <x:f>IF(A23="","",'ERP Snapshot'!K23)</x:f>
      </x:c>
      <x:c r="N23" t="str">
        <x:f>IF(A23="","",COUNTIFS(Exceptions!$A$2:$A$101,A23,Exceptions!$E$2:$E$101,"Open"))</x:f>
      </x:c>
      <x:c r="O23" t="str">
        <x:f>IF(A23="","",IF(AND(C23="MXN",OR(D23="",E23="")),"FX HOLD",IF(E23&gt;D23,"REVIEW: ABOVE CUSTOMER PO",IF('PO Authorization'!H23="REVIEW: SNAPSHOT DIFFERS","REVIEW: PO SNAPSHOT",IF(E23=D23,"FULLY INVOICED",IF(E23&gt;0,"PARTIAL INVOICE","NOT INVOICED"))))))</x:f>
      </x:c>
      <x:c r="P23" t="str">
        <x:f>IF(A23="","",IF(OR(O23="FX HOLD",O23="REVIEW: PO SNAPSHOT",L23="OVER BUDGET",L23="BUDGET EXHAUSTED",O23="REVIEW: ABOVE CUSTOMER PO",'ERP Snapshot'!L23="YES"),"CRITICAL / REVIEW",IF(OR(L23="PO DATA REQUIRED",L23="BUDGET DATA REQUIRED",L23="REVIEW: NO BUDGET",L23="REVIEW: PO AMOUNT",N23&gt;0,M23&gt;0,F23&gt;0),"FOLLOW UP","NORMAL")))</x:f>
      </x:c>
      <x:c r="Q23" s="68" t="str">
        <x:f>IF(A23="","",'ERP Snapshot'!N23)</x:f>
      </x:c>
      <x:c r="R23" t="str">
        <x:f>IF(A23="","",'ERP Snapshot'!Q23)</x:f>
      </x:c>
      <x:c r="S23" t="str">
        <x:f>IF(A23="","",'ERP Snapshot'!R23)</x:f>
      </x:c>
      <x:c r="T23" t="str">
        <x:f>IF(A23="","",'ERP Snapshot'!C23)</x:f>
      </x:c>
    </x:row>
    <x:row r="24">
      <x:c r="A24" t="str">
        <x:f>IF('ERP Snapshot'!A24="","",'ERP Snapshot'!A24)</x:f>
      </x:c>
      <x:c r="B24" t="str">
        <x:f>IF(A24="","",'ERP Snapshot'!B24)</x:f>
      </x:c>
      <x:c r="C24" t="str">
        <x:f>IF(A24="","",'ERP Snapshot'!D24)</x:f>
      </x:c>
      <x:c r="D24" t="str">
        <x:f>IF(A24="","",IF(C24="MXN",IF(AND(Settings!$B$8="APPROVED",Settings!$B$9&lt;&gt;"",Settings!$B$10&lt;&gt;"",Settings!$B$2&gt;0),'PO Authorization'!F24/Settings!$B$2,""),'PO Authorization'!F24))</x:f>
      </x:c>
      <x:c r="E24" t="str">
        <x:f>IF(A24="","",IF(C24="MXN",IF(AND(Settings!$B$8="APPROVED",Settings!$B$9&lt;&gt;"",Settings!$B$10&lt;&gt;"",Settings!$B$2&gt;0),'ERP Snapshot'!I24/Settings!$B$2,""),'ERP Snapshot'!I24))</x:f>
      </x:c>
      <x:c r="F24" t="str">
        <x:f>IF(A24="","",IF(AND(ISNUMBER(D24),ISNUMBER(E24)),D24-E24,""))</x:f>
      </x:c>
      <x:c r="G24" t="str">
        <x:f>IF(A24="","",IF(ISNUMBER('ERP Snapshot'!F24),'ERP Snapshot'!F24,""))</x:f>
      </x:c>
      <x:c r="H24" t="str">
        <x:f>IF(A24="","",'ERP Snapshot'!G24)</x:f>
      </x:c>
      <x:c r="I24" t="str">
        <x:f>IF(A24="","",IF(ISNUMBER('ERP Snapshot'!S24),'ERP Snapshot'!S24,""))</x:f>
      </x:c>
      <x:c r="J24" t="str">
        <x:f>IF(A24="","",IF(AND(ISNUMBER(G24),ISNUMBER(I24)),G24-I24,""))</x:f>
      </x:c>
      <x:c r="K24" s="8" t="str">
        <x:f>IF(A24="","",IF(AND(ISNUMBER(G24),G24&gt;0,ISNUMBER(I24)),I24/G24,""))</x:f>
      </x:c>
      <x:c r="L24" t="str">
        <x:f>IF(A24="","",IF(NOT(ISNUMBER(G24)),"BUDGET DATA REQUIRED",IF(G24&lt;=0,"REVIEW: NO BUDGET",IF(NOT(ISNUMBER(I24)),"PO DATA REQUIRED",IF(I24&lt;0,"REVIEW: PO AMOUNT",IF(K24&gt;1,"OVER BUDGET",IF(K24=1,"BUDGET EXHAUSTED",IF(K24&gt;=Settings!$B$3,"PREVENTIVE ALERT","OK"))))))))</x:f>
      </x:c>
      <x:c r="M24" t="str">
        <x:f>IF(A24="","",'ERP Snapshot'!K24)</x:f>
      </x:c>
      <x:c r="N24" t="str">
        <x:f>IF(A24="","",COUNTIFS(Exceptions!$A$2:$A$101,A24,Exceptions!$E$2:$E$101,"Open"))</x:f>
      </x:c>
      <x:c r="O24" t="str">
        <x:f>IF(A24="","",IF(AND(C24="MXN",OR(D24="",E24="")),"FX HOLD",IF(E24&gt;D24,"REVIEW: ABOVE CUSTOMER PO",IF('PO Authorization'!H24="REVIEW: SNAPSHOT DIFFERS","REVIEW: PO SNAPSHOT",IF(E24=D24,"FULLY INVOICED",IF(E24&gt;0,"PARTIAL INVOICE","NOT INVOICED"))))))</x:f>
      </x:c>
      <x:c r="P24" t="str">
        <x:f>IF(A24="","",IF(OR(O24="FX HOLD",O24="REVIEW: PO SNAPSHOT",L24="OVER BUDGET",L24="BUDGET EXHAUSTED",O24="REVIEW: ABOVE CUSTOMER PO",'ERP Snapshot'!L24="YES"),"CRITICAL / REVIEW",IF(OR(L24="PO DATA REQUIRED",L24="BUDGET DATA REQUIRED",L24="REVIEW: NO BUDGET",L24="REVIEW: PO AMOUNT",N24&gt;0,M24&gt;0,F24&gt;0),"FOLLOW UP","NORMAL")))</x:f>
      </x:c>
      <x:c r="Q24" s="68" t="str">
        <x:f>IF(A24="","",'ERP Snapshot'!N24)</x:f>
      </x:c>
      <x:c r="R24" t="str">
        <x:f>IF(A24="","",'ERP Snapshot'!Q24)</x:f>
      </x:c>
      <x:c r="S24" t="str">
        <x:f>IF(A24="","",'ERP Snapshot'!R24)</x:f>
      </x:c>
      <x:c r="T24" t="str">
        <x:f>IF(A24="","",'ERP Snapshot'!C24)</x:f>
      </x:c>
    </x:row>
    <x:row r="25">
      <x:c r="A25" t="str">
        <x:f>IF('ERP Snapshot'!A25="","",'ERP Snapshot'!A25)</x:f>
      </x:c>
      <x:c r="B25" t="str">
        <x:f>IF(A25="","",'ERP Snapshot'!B25)</x:f>
      </x:c>
      <x:c r="C25" t="str">
        <x:f>IF(A25="","",'ERP Snapshot'!D25)</x:f>
      </x:c>
      <x:c r="D25" t="str">
        <x:f>IF(A25="","",IF(C25="MXN",IF(AND(Settings!$B$8="APPROVED",Settings!$B$9&lt;&gt;"",Settings!$B$10&lt;&gt;"",Settings!$B$2&gt;0),'PO Authorization'!F25/Settings!$B$2,""),'PO Authorization'!F25))</x:f>
      </x:c>
      <x:c r="E25" t="str">
        <x:f>IF(A25="","",IF(C25="MXN",IF(AND(Settings!$B$8="APPROVED",Settings!$B$9&lt;&gt;"",Settings!$B$10&lt;&gt;"",Settings!$B$2&gt;0),'ERP Snapshot'!I25/Settings!$B$2,""),'ERP Snapshot'!I25))</x:f>
      </x:c>
      <x:c r="F25" t="str">
        <x:f>IF(A25="","",IF(AND(ISNUMBER(D25),ISNUMBER(E25)),D25-E25,""))</x:f>
      </x:c>
      <x:c r="G25" t="str">
        <x:f>IF(A25="","",IF(ISNUMBER('ERP Snapshot'!F25),'ERP Snapshot'!F25,""))</x:f>
      </x:c>
      <x:c r="H25" t="str">
        <x:f>IF(A25="","",'ERP Snapshot'!G25)</x:f>
      </x:c>
      <x:c r="I25" t="str">
        <x:f>IF(A25="","",IF(ISNUMBER('ERP Snapshot'!S25),'ERP Snapshot'!S25,""))</x:f>
      </x:c>
      <x:c r="J25" t="str">
        <x:f>IF(A25="","",IF(AND(ISNUMBER(G25),ISNUMBER(I25)),G25-I25,""))</x:f>
      </x:c>
      <x:c r="K25" s="8" t="str">
        <x:f>IF(A25="","",IF(AND(ISNUMBER(G25),G25&gt;0,ISNUMBER(I25)),I25/G25,""))</x:f>
      </x:c>
      <x:c r="L25" t="str">
        <x:f>IF(A25="","",IF(NOT(ISNUMBER(G25)),"BUDGET DATA REQUIRED",IF(G25&lt;=0,"REVIEW: NO BUDGET",IF(NOT(ISNUMBER(I25)),"PO DATA REQUIRED",IF(I25&lt;0,"REVIEW: PO AMOUNT",IF(K25&gt;1,"OVER BUDGET",IF(K25=1,"BUDGET EXHAUSTED",IF(K25&gt;=Settings!$B$3,"PREVENTIVE ALERT","OK"))))))))</x:f>
      </x:c>
      <x:c r="M25" t="str">
        <x:f>IF(A25="","",'ERP Snapshot'!K25)</x:f>
      </x:c>
      <x:c r="N25" t="str">
        <x:f>IF(A25="","",COUNTIFS(Exceptions!$A$2:$A$101,A25,Exceptions!$E$2:$E$101,"Open"))</x:f>
      </x:c>
      <x:c r="O25" t="str">
        <x:f>IF(A25="","",IF(AND(C25="MXN",OR(D25="",E25="")),"FX HOLD",IF(E25&gt;D25,"REVIEW: ABOVE CUSTOMER PO",IF('PO Authorization'!H25="REVIEW: SNAPSHOT DIFFERS","REVIEW: PO SNAPSHOT",IF(E25=D25,"FULLY INVOICED",IF(E25&gt;0,"PARTIAL INVOICE","NOT INVOICED"))))))</x:f>
      </x:c>
      <x:c r="P25" t="str">
        <x:f>IF(A25="","",IF(OR(O25="FX HOLD",O25="REVIEW: PO SNAPSHOT",L25="OVER BUDGET",L25="BUDGET EXHAUSTED",O25="REVIEW: ABOVE CUSTOMER PO",'ERP Snapshot'!L25="YES"),"CRITICAL / REVIEW",IF(OR(L25="PO DATA REQUIRED",L25="BUDGET DATA REQUIRED",L25="REVIEW: NO BUDGET",L25="REVIEW: PO AMOUNT",N25&gt;0,M25&gt;0,F25&gt;0),"FOLLOW UP","NORMAL")))</x:f>
      </x:c>
      <x:c r="Q25" s="68" t="str">
        <x:f>IF(A25="","",'ERP Snapshot'!N25)</x:f>
      </x:c>
      <x:c r="R25" t="str">
        <x:f>IF(A25="","",'ERP Snapshot'!Q25)</x:f>
      </x:c>
      <x:c r="S25" t="str">
        <x:f>IF(A25="","",'ERP Snapshot'!R25)</x:f>
      </x:c>
      <x:c r="T25" t="str">
        <x:f>IF(A25="","",'ERP Snapshot'!C25)</x:f>
      </x:c>
    </x:row>
    <x:row r="26">
      <x:c r="A26" t="str">
        <x:f>IF('ERP Snapshot'!A26="","",'ERP Snapshot'!A26)</x:f>
      </x:c>
      <x:c r="B26" t="str">
        <x:f>IF(A26="","",'ERP Snapshot'!B26)</x:f>
      </x:c>
      <x:c r="C26" t="str">
        <x:f>IF(A26="","",'ERP Snapshot'!D26)</x:f>
      </x:c>
      <x:c r="D26" t="str">
        <x:f>IF(A26="","",IF(C26="MXN",IF(AND(Settings!$B$8="APPROVED",Settings!$B$9&lt;&gt;"",Settings!$B$10&lt;&gt;"",Settings!$B$2&gt;0),'PO Authorization'!F26/Settings!$B$2,""),'PO Authorization'!F26))</x:f>
      </x:c>
      <x:c r="E26" t="str">
        <x:f>IF(A26="","",IF(C26="MXN",IF(AND(Settings!$B$8="APPROVED",Settings!$B$9&lt;&gt;"",Settings!$B$10&lt;&gt;"",Settings!$B$2&gt;0),'ERP Snapshot'!I26/Settings!$B$2,""),'ERP Snapshot'!I26))</x:f>
      </x:c>
      <x:c r="F26" t="str">
        <x:f>IF(A26="","",IF(AND(ISNUMBER(D26),ISNUMBER(E26)),D26-E26,""))</x:f>
      </x:c>
      <x:c r="G26" t="str">
        <x:f>IF(A26="","",IF(ISNUMBER('ERP Snapshot'!F26),'ERP Snapshot'!F26,""))</x:f>
      </x:c>
      <x:c r="H26" t="str">
        <x:f>IF(A26="","",'ERP Snapshot'!G26)</x:f>
      </x:c>
      <x:c r="I26" t="str">
        <x:f>IF(A26="","",IF(ISNUMBER('ERP Snapshot'!S26),'ERP Snapshot'!S26,""))</x:f>
      </x:c>
      <x:c r="J26" t="str">
        <x:f>IF(A26="","",IF(AND(ISNUMBER(G26),ISNUMBER(I26)),G26-I26,""))</x:f>
      </x:c>
      <x:c r="K26" s="8" t="str">
        <x:f>IF(A26="","",IF(AND(ISNUMBER(G26),G26&gt;0,ISNUMBER(I26)),I26/G26,""))</x:f>
      </x:c>
      <x:c r="L26" t="str">
        <x:f>IF(A26="","",IF(NOT(ISNUMBER(G26)),"BUDGET DATA REQUIRED",IF(G26&lt;=0,"REVIEW: NO BUDGET",IF(NOT(ISNUMBER(I26)),"PO DATA REQUIRED",IF(I26&lt;0,"REVIEW: PO AMOUNT",IF(K26&gt;1,"OVER BUDGET",IF(K26=1,"BUDGET EXHAUSTED",IF(K26&gt;=Settings!$B$3,"PREVENTIVE ALERT","OK"))))))))</x:f>
      </x:c>
      <x:c r="M26" t="str">
        <x:f>IF(A26="","",'ERP Snapshot'!K26)</x:f>
      </x:c>
      <x:c r="N26" t="str">
        <x:f>IF(A26="","",COUNTIFS(Exceptions!$A$2:$A$101,A26,Exceptions!$E$2:$E$101,"Open"))</x:f>
      </x:c>
      <x:c r="O26" t="str">
        <x:f>IF(A26="","",IF(AND(C26="MXN",OR(D26="",E26="")),"FX HOLD",IF(E26&gt;D26,"REVIEW: ABOVE CUSTOMER PO",IF('PO Authorization'!H26="REVIEW: SNAPSHOT DIFFERS","REVIEW: PO SNAPSHOT",IF(E26=D26,"FULLY INVOICED",IF(E26&gt;0,"PARTIAL INVOICE","NOT INVOICED"))))))</x:f>
      </x:c>
      <x:c r="P26" t="str">
        <x:f>IF(A26="","",IF(OR(O26="FX HOLD",O26="REVIEW: PO SNAPSHOT",L26="OVER BUDGET",L26="BUDGET EXHAUSTED",O26="REVIEW: ABOVE CUSTOMER PO",'ERP Snapshot'!L26="YES"),"CRITICAL / REVIEW",IF(OR(L26="PO DATA REQUIRED",L26="BUDGET DATA REQUIRED",L26="REVIEW: NO BUDGET",L26="REVIEW: PO AMOUNT",N26&gt;0,M26&gt;0,F26&gt;0),"FOLLOW UP","NORMAL")))</x:f>
      </x:c>
      <x:c r="Q26" s="68" t="str">
        <x:f>IF(A26="","",'ERP Snapshot'!N26)</x:f>
      </x:c>
      <x:c r="R26" t="str">
        <x:f>IF(A26="","",'ERP Snapshot'!Q26)</x:f>
      </x:c>
      <x:c r="S26" t="str">
        <x:f>IF(A26="","",'ERP Snapshot'!R26)</x:f>
      </x:c>
      <x:c r="T26" t="str">
        <x:f>IF(A26="","",'ERP Snapshot'!C26)</x:f>
      </x:c>
    </x:row>
    <x:row r="27">
      <x:c r="A27" t="str">
        <x:f>IF('ERP Snapshot'!A27="","",'ERP Snapshot'!A27)</x:f>
      </x:c>
      <x:c r="B27" t="str">
        <x:f>IF(A27="","",'ERP Snapshot'!B27)</x:f>
      </x:c>
      <x:c r="C27" t="str">
        <x:f>IF(A27="","",'ERP Snapshot'!D27)</x:f>
      </x:c>
      <x:c r="D27" t="str">
        <x:f>IF(A27="","",IF(C27="MXN",IF(AND(Settings!$B$8="APPROVED",Settings!$B$9&lt;&gt;"",Settings!$B$10&lt;&gt;"",Settings!$B$2&gt;0),'PO Authorization'!F27/Settings!$B$2,""),'PO Authorization'!F27))</x:f>
      </x:c>
      <x:c r="E27" t="str">
        <x:f>IF(A27="","",IF(C27="MXN",IF(AND(Settings!$B$8="APPROVED",Settings!$B$9&lt;&gt;"",Settings!$B$10&lt;&gt;"",Settings!$B$2&gt;0),'ERP Snapshot'!I27/Settings!$B$2,""),'ERP Snapshot'!I27))</x:f>
      </x:c>
      <x:c r="F27" t="str">
        <x:f>IF(A27="","",IF(AND(ISNUMBER(D27),ISNUMBER(E27)),D27-E27,""))</x:f>
      </x:c>
      <x:c r="G27" t="str">
        <x:f>IF(A27="","",IF(ISNUMBER('ERP Snapshot'!F27),'ERP Snapshot'!F27,""))</x:f>
      </x:c>
      <x:c r="H27" t="str">
        <x:f>IF(A27="","",'ERP Snapshot'!G27)</x:f>
      </x:c>
      <x:c r="I27" t="str">
        <x:f>IF(A27="","",IF(ISNUMBER('ERP Snapshot'!S27),'ERP Snapshot'!S27,""))</x:f>
      </x:c>
      <x:c r="J27" t="str">
        <x:f>IF(A27="","",IF(AND(ISNUMBER(G27),ISNUMBER(I27)),G27-I27,""))</x:f>
      </x:c>
      <x:c r="K27" s="8" t="str">
        <x:f>IF(A27="","",IF(AND(ISNUMBER(G27),G27&gt;0,ISNUMBER(I27)),I27/G27,""))</x:f>
      </x:c>
      <x:c r="L27" t="str">
        <x:f>IF(A27="","",IF(NOT(ISNUMBER(G27)),"BUDGET DATA REQUIRED",IF(G27&lt;=0,"REVIEW: NO BUDGET",IF(NOT(ISNUMBER(I27)),"PO DATA REQUIRED",IF(I27&lt;0,"REVIEW: PO AMOUNT",IF(K27&gt;1,"OVER BUDGET",IF(K27=1,"BUDGET EXHAUSTED",IF(K27&gt;=Settings!$B$3,"PREVENTIVE ALERT","OK"))))))))</x:f>
      </x:c>
      <x:c r="M27" t="str">
        <x:f>IF(A27="","",'ERP Snapshot'!K27)</x:f>
      </x:c>
      <x:c r="N27" t="str">
        <x:f>IF(A27="","",COUNTIFS(Exceptions!$A$2:$A$101,A27,Exceptions!$E$2:$E$101,"Open"))</x:f>
      </x:c>
      <x:c r="O27" t="str">
        <x:f>IF(A27="","",IF(AND(C27="MXN",OR(D27="",E27="")),"FX HOLD",IF(E27&gt;D27,"REVIEW: ABOVE CUSTOMER PO",IF('PO Authorization'!H27="REVIEW: SNAPSHOT DIFFERS","REVIEW: PO SNAPSHOT",IF(E27=D27,"FULLY INVOICED",IF(E27&gt;0,"PARTIAL INVOICE","NOT INVOICED"))))))</x:f>
      </x:c>
      <x:c r="P27" t="str">
        <x:f>IF(A27="","",IF(OR(O27="FX HOLD",O27="REVIEW: PO SNAPSHOT",L27="OVER BUDGET",L27="BUDGET EXHAUSTED",O27="REVIEW: ABOVE CUSTOMER PO",'ERP Snapshot'!L27="YES"),"CRITICAL / REVIEW",IF(OR(L27="PO DATA REQUIRED",L27="BUDGET DATA REQUIRED",L27="REVIEW: NO BUDGET",L27="REVIEW: PO AMOUNT",N27&gt;0,M27&gt;0,F27&gt;0),"FOLLOW UP","NORMAL")))</x:f>
      </x:c>
      <x:c r="Q27" s="68" t="str">
        <x:f>IF(A27="","",'ERP Snapshot'!N27)</x:f>
      </x:c>
      <x:c r="R27" t="str">
        <x:f>IF(A27="","",'ERP Snapshot'!Q27)</x:f>
      </x:c>
      <x:c r="S27" t="str">
        <x:f>IF(A27="","",'ERP Snapshot'!R27)</x:f>
      </x:c>
      <x:c r="T27" t="str">
        <x:f>IF(A27="","",'ERP Snapshot'!C27)</x:f>
      </x:c>
    </x:row>
    <x:row r="28">
      <x:c r="A28" t="str">
        <x:f>IF('ERP Snapshot'!A28="","",'ERP Snapshot'!A28)</x:f>
      </x:c>
      <x:c r="B28" t="str">
        <x:f>IF(A28="","",'ERP Snapshot'!B28)</x:f>
      </x:c>
      <x:c r="C28" t="str">
        <x:f>IF(A28="","",'ERP Snapshot'!D28)</x:f>
      </x:c>
      <x:c r="D28" t="str">
        <x:f>IF(A28="","",IF(C28="MXN",IF(AND(Settings!$B$8="APPROVED",Settings!$B$9&lt;&gt;"",Settings!$B$10&lt;&gt;"",Settings!$B$2&gt;0),'PO Authorization'!F28/Settings!$B$2,""),'PO Authorization'!F28))</x:f>
      </x:c>
      <x:c r="E28" t="str">
        <x:f>IF(A28="","",IF(C28="MXN",IF(AND(Settings!$B$8="APPROVED",Settings!$B$9&lt;&gt;"",Settings!$B$10&lt;&gt;"",Settings!$B$2&gt;0),'ERP Snapshot'!I28/Settings!$B$2,""),'ERP Snapshot'!I28))</x:f>
      </x:c>
      <x:c r="F28" t="str">
        <x:f>IF(A28="","",IF(AND(ISNUMBER(D28),ISNUMBER(E28)),D28-E28,""))</x:f>
      </x:c>
      <x:c r="G28" t="str">
        <x:f>IF(A28="","",IF(ISNUMBER('ERP Snapshot'!F28),'ERP Snapshot'!F28,""))</x:f>
      </x:c>
      <x:c r="H28" t="str">
        <x:f>IF(A28="","",'ERP Snapshot'!G28)</x:f>
      </x:c>
      <x:c r="I28" t="str">
        <x:f>IF(A28="","",IF(ISNUMBER('ERP Snapshot'!S28),'ERP Snapshot'!S28,""))</x:f>
      </x:c>
      <x:c r="J28" t="str">
        <x:f>IF(A28="","",IF(AND(ISNUMBER(G28),ISNUMBER(I28)),G28-I28,""))</x:f>
      </x:c>
      <x:c r="K28" s="8" t="str">
        <x:f>IF(A28="","",IF(AND(ISNUMBER(G28),G28&gt;0,ISNUMBER(I28)),I28/G28,""))</x:f>
      </x:c>
      <x:c r="L28" t="str">
        <x:f>IF(A28="","",IF(NOT(ISNUMBER(G28)),"BUDGET DATA REQUIRED",IF(G28&lt;=0,"REVIEW: NO BUDGET",IF(NOT(ISNUMBER(I28)),"PO DATA REQUIRED",IF(I28&lt;0,"REVIEW: PO AMOUNT",IF(K28&gt;1,"OVER BUDGET",IF(K28=1,"BUDGET EXHAUSTED",IF(K28&gt;=Settings!$B$3,"PREVENTIVE ALERT","OK"))))))))</x:f>
      </x:c>
      <x:c r="M28" t="str">
        <x:f>IF(A28="","",'ERP Snapshot'!K28)</x:f>
      </x:c>
      <x:c r="N28" t="str">
        <x:f>IF(A28="","",COUNTIFS(Exceptions!$A$2:$A$101,A28,Exceptions!$E$2:$E$101,"Open"))</x:f>
      </x:c>
      <x:c r="O28" t="str">
        <x:f>IF(A28="","",IF(AND(C28="MXN",OR(D28="",E28="")),"FX HOLD",IF(E28&gt;D28,"REVIEW: ABOVE CUSTOMER PO",IF('PO Authorization'!H28="REVIEW: SNAPSHOT DIFFERS","REVIEW: PO SNAPSHOT",IF(E28=D28,"FULLY INVOICED",IF(E28&gt;0,"PARTIAL INVOICE","NOT INVOICED"))))))</x:f>
      </x:c>
      <x:c r="P28" t="str">
        <x:f>IF(A28="","",IF(OR(O28="FX HOLD",O28="REVIEW: PO SNAPSHOT",L28="OVER BUDGET",L28="BUDGET EXHAUSTED",O28="REVIEW: ABOVE CUSTOMER PO",'ERP Snapshot'!L28="YES"),"CRITICAL / REVIEW",IF(OR(L28="PO DATA REQUIRED",L28="BUDGET DATA REQUIRED",L28="REVIEW: NO BUDGET",L28="REVIEW: PO AMOUNT",N28&gt;0,M28&gt;0,F28&gt;0),"FOLLOW UP","NORMAL")))</x:f>
      </x:c>
      <x:c r="Q28" s="68" t="str">
        <x:f>IF(A28="","",'ERP Snapshot'!N28)</x:f>
      </x:c>
      <x:c r="R28" t="str">
        <x:f>IF(A28="","",'ERP Snapshot'!Q28)</x:f>
      </x:c>
      <x:c r="S28" t="str">
        <x:f>IF(A28="","",'ERP Snapshot'!R28)</x:f>
      </x:c>
      <x:c r="T28" t="str">
        <x:f>IF(A28="","",'ERP Snapshot'!C28)</x:f>
      </x:c>
    </x:row>
    <x:row r="29">
      <x:c r="A29" t="str">
        <x:f>IF('ERP Snapshot'!A29="","",'ERP Snapshot'!A29)</x:f>
      </x:c>
      <x:c r="B29" t="str">
        <x:f>IF(A29="","",'ERP Snapshot'!B29)</x:f>
      </x:c>
      <x:c r="C29" t="str">
        <x:f>IF(A29="","",'ERP Snapshot'!D29)</x:f>
      </x:c>
      <x:c r="D29" t="str">
        <x:f>IF(A29="","",IF(C29="MXN",IF(AND(Settings!$B$8="APPROVED",Settings!$B$9&lt;&gt;"",Settings!$B$10&lt;&gt;"",Settings!$B$2&gt;0),'PO Authorization'!F29/Settings!$B$2,""),'PO Authorization'!F29))</x:f>
      </x:c>
      <x:c r="E29" t="str">
        <x:f>IF(A29="","",IF(C29="MXN",IF(AND(Settings!$B$8="APPROVED",Settings!$B$9&lt;&gt;"",Settings!$B$10&lt;&gt;"",Settings!$B$2&gt;0),'ERP Snapshot'!I29/Settings!$B$2,""),'ERP Snapshot'!I29))</x:f>
      </x:c>
      <x:c r="F29" t="str">
        <x:f>IF(A29="","",IF(AND(ISNUMBER(D29),ISNUMBER(E29)),D29-E29,""))</x:f>
      </x:c>
      <x:c r="G29" t="str">
        <x:f>IF(A29="","",IF(ISNUMBER('ERP Snapshot'!F29),'ERP Snapshot'!F29,""))</x:f>
      </x:c>
      <x:c r="H29" t="str">
        <x:f>IF(A29="","",'ERP Snapshot'!G29)</x:f>
      </x:c>
      <x:c r="I29" t="str">
        <x:f>IF(A29="","",IF(ISNUMBER('ERP Snapshot'!S29),'ERP Snapshot'!S29,""))</x:f>
      </x:c>
      <x:c r="J29" t="str">
        <x:f>IF(A29="","",IF(AND(ISNUMBER(G29),ISNUMBER(I29)),G29-I29,""))</x:f>
      </x:c>
      <x:c r="K29" s="8" t="str">
        <x:f>IF(A29="","",IF(AND(ISNUMBER(G29),G29&gt;0,ISNUMBER(I29)),I29/G29,""))</x:f>
      </x:c>
      <x:c r="L29" t="str">
        <x:f>IF(A29="","",IF(NOT(ISNUMBER(G29)),"BUDGET DATA REQUIRED",IF(G29&lt;=0,"REVIEW: NO BUDGET",IF(NOT(ISNUMBER(I29)),"PO DATA REQUIRED",IF(I29&lt;0,"REVIEW: PO AMOUNT",IF(K29&gt;1,"OVER BUDGET",IF(K29=1,"BUDGET EXHAUSTED",IF(K29&gt;=Settings!$B$3,"PREVENTIVE ALERT","OK"))))))))</x:f>
      </x:c>
      <x:c r="M29" t="str">
        <x:f>IF(A29="","",'ERP Snapshot'!K29)</x:f>
      </x:c>
      <x:c r="N29" t="str">
        <x:f>IF(A29="","",COUNTIFS(Exceptions!$A$2:$A$101,A29,Exceptions!$E$2:$E$101,"Open"))</x:f>
      </x:c>
      <x:c r="O29" t="str">
        <x:f>IF(A29="","",IF(AND(C29="MXN",OR(D29="",E29="")),"FX HOLD",IF(E29&gt;D29,"REVIEW: ABOVE CUSTOMER PO",IF('PO Authorization'!H29="REVIEW: SNAPSHOT DIFFERS","REVIEW: PO SNAPSHOT",IF(E29=D29,"FULLY INVOICED",IF(E29&gt;0,"PARTIAL INVOICE","NOT INVOICED"))))))</x:f>
      </x:c>
      <x:c r="P29" t="str">
        <x:f>IF(A29="","",IF(OR(O29="FX HOLD",O29="REVIEW: PO SNAPSHOT",L29="OVER BUDGET",L29="BUDGET EXHAUSTED",O29="REVIEW: ABOVE CUSTOMER PO",'ERP Snapshot'!L29="YES"),"CRITICAL / REVIEW",IF(OR(L29="PO DATA REQUIRED",L29="BUDGET DATA REQUIRED",L29="REVIEW: NO BUDGET",L29="REVIEW: PO AMOUNT",N29&gt;0,M29&gt;0,F29&gt;0),"FOLLOW UP","NORMAL")))</x:f>
      </x:c>
      <x:c r="Q29" s="68" t="str">
        <x:f>IF(A29="","",'ERP Snapshot'!N29)</x:f>
      </x:c>
      <x:c r="R29" t="str">
        <x:f>IF(A29="","",'ERP Snapshot'!Q29)</x:f>
      </x:c>
      <x:c r="S29" t="str">
        <x:f>IF(A29="","",'ERP Snapshot'!R29)</x:f>
      </x:c>
      <x:c r="T29" t="str">
        <x:f>IF(A29="","",'ERP Snapshot'!C29)</x:f>
      </x:c>
    </x:row>
    <x:row r="30">
      <x:c r="A30" t="str">
        <x:f>IF('ERP Snapshot'!A30="","",'ERP Snapshot'!A30)</x:f>
      </x:c>
      <x:c r="B30" t="str">
        <x:f>IF(A30="","",'ERP Snapshot'!B30)</x:f>
      </x:c>
      <x:c r="C30" t="str">
        <x:f>IF(A30="","",'ERP Snapshot'!D30)</x:f>
      </x:c>
      <x:c r="D30" t="str">
        <x:f>IF(A30="","",IF(C30="MXN",IF(AND(Settings!$B$8="APPROVED",Settings!$B$9&lt;&gt;"",Settings!$B$10&lt;&gt;"",Settings!$B$2&gt;0),'PO Authorization'!F30/Settings!$B$2,""),'PO Authorization'!F30))</x:f>
      </x:c>
      <x:c r="E30" t="str">
        <x:f>IF(A30="","",IF(C30="MXN",IF(AND(Settings!$B$8="APPROVED",Settings!$B$9&lt;&gt;"",Settings!$B$10&lt;&gt;"",Settings!$B$2&gt;0),'ERP Snapshot'!I30/Settings!$B$2,""),'ERP Snapshot'!I30))</x:f>
      </x:c>
      <x:c r="F30" t="str">
        <x:f>IF(A30="","",IF(AND(ISNUMBER(D30),ISNUMBER(E30)),D30-E30,""))</x:f>
      </x:c>
      <x:c r="G30" t="str">
        <x:f>IF(A30="","",IF(ISNUMBER('ERP Snapshot'!F30),'ERP Snapshot'!F30,""))</x:f>
      </x:c>
      <x:c r="H30" t="str">
        <x:f>IF(A30="","",'ERP Snapshot'!G30)</x:f>
      </x:c>
      <x:c r="I30" t="str">
        <x:f>IF(A30="","",IF(ISNUMBER('ERP Snapshot'!S30),'ERP Snapshot'!S30,""))</x:f>
      </x:c>
      <x:c r="J30" t="str">
        <x:f>IF(A30="","",IF(AND(ISNUMBER(G30),ISNUMBER(I30)),G30-I30,""))</x:f>
      </x:c>
      <x:c r="K30" s="8" t="str">
        <x:f>IF(A30="","",IF(AND(ISNUMBER(G30),G30&gt;0,ISNUMBER(I30)),I30/G30,""))</x:f>
      </x:c>
      <x:c r="L30" t="str">
        <x:f>IF(A30="","",IF(NOT(ISNUMBER(G30)),"BUDGET DATA REQUIRED",IF(G30&lt;=0,"REVIEW: NO BUDGET",IF(NOT(ISNUMBER(I30)),"PO DATA REQUIRED",IF(I30&lt;0,"REVIEW: PO AMOUNT",IF(K30&gt;1,"OVER BUDGET",IF(K30=1,"BUDGET EXHAUSTED",IF(K30&gt;=Settings!$B$3,"PREVENTIVE ALERT","OK"))))))))</x:f>
      </x:c>
      <x:c r="M30" t="str">
        <x:f>IF(A30="","",'ERP Snapshot'!K30)</x:f>
      </x:c>
      <x:c r="N30" t="str">
        <x:f>IF(A30="","",COUNTIFS(Exceptions!$A$2:$A$101,A30,Exceptions!$E$2:$E$101,"Open"))</x:f>
      </x:c>
      <x:c r="O30" t="str">
        <x:f>IF(A30="","",IF(AND(C30="MXN",OR(D30="",E30="")),"FX HOLD",IF(E30&gt;D30,"REVIEW: ABOVE CUSTOMER PO",IF('PO Authorization'!H30="REVIEW: SNAPSHOT DIFFERS","REVIEW: PO SNAPSHOT",IF(E30=D30,"FULLY INVOICED",IF(E30&gt;0,"PARTIAL INVOICE","NOT INVOICED"))))))</x:f>
      </x:c>
      <x:c r="P30" t="str">
        <x:f>IF(A30="","",IF(OR(O30="FX HOLD",O30="REVIEW: PO SNAPSHOT",L30="OVER BUDGET",L30="BUDGET EXHAUSTED",O30="REVIEW: ABOVE CUSTOMER PO",'ERP Snapshot'!L30="YES"),"CRITICAL / REVIEW",IF(OR(L30="PO DATA REQUIRED",L30="BUDGET DATA REQUIRED",L30="REVIEW: NO BUDGET",L30="REVIEW: PO AMOUNT",N30&gt;0,M30&gt;0,F30&gt;0),"FOLLOW UP","NORMAL")))</x:f>
      </x:c>
      <x:c r="Q30" s="68" t="str">
        <x:f>IF(A30="","",'ERP Snapshot'!N30)</x:f>
      </x:c>
      <x:c r="R30" t="str">
        <x:f>IF(A30="","",'ERP Snapshot'!Q30)</x:f>
      </x:c>
      <x:c r="S30" t="str">
        <x:f>IF(A30="","",'ERP Snapshot'!R30)</x:f>
      </x:c>
      <x:c r="T30" t="str">
        <x:f>IF(A30="","",'ERP Snapshot'!C30)</x:f>
      </x:c>
    </x:row>
    <x:row r="31">
      <x:c r="A31" t="str">
        <x:f>IF('ERP Snapshot'!A31="","",'ERP Snapshot'!A31)</x:f>
      </x:c>
      <x:c r="B31" t="str">
        <x:f>IF(A31="","",'ERP Snapshot'!B31)</x:f>
      </x:c>
      <x:c r="C31" t="str">
        <x:f>IF(A31="","",'ERP Snapshot'!D31)</x:f>
      </x:c>
      <x:c r="D31" t="str">
        <x:f>IF(A31="","",IF(C31="MXN",IF(AND(Settings!$B$8="APPROVED",Settings!$B$9&lt;&gt;"",Settings!$B$10&lt;&gt;"",Settings!$B$2&gt;0),'PO Authorization'!F31/Settings!$B$2,""),'PO Authorization'!F31))</x:f>
      </x:c>
      <x:c r="E31" t="str">
        <x:f>IF(A31="","",IF(C31="MXN",IF(AND(Settings!$B$8="APPROVED",Settings!$B$9&lt;&gt;"",Settings!$B$10&lt;&gt;"",Settings!$B$2&gt;0),'ERP Snapshot'!I31/Settings!$B$2,""),'ERP Snapshot'!I31))</x:f>
      </x:c>
      <x:c r="F31" t="str">
        <x:f>IF(A31="","",IF(AND(ISNUMBER(D31),ISNUMBER(E31)),D31-E31,""))</x:f>
      </x:c>
      <x:c r="G31" t="str">
        <x:f>IF(A31="","",IF(ISNUMBER('ERP Snapshot'!F31),'ERP Snapshot'!F31,""))</x:f>
      </x:c>
      <x:c r="H31" t="str">
        <x:f>IF(A31="","",'ERP Snapshot'!G31)</x:f>
      </x:c>
      <x:c r="I31" t="str">
        <x:f>IF(A31="","",IF(ISNUMBER('ERP Snapshot'!S31),'ERP Snapshot'!S31,""))</x:f>
      </x:c>
      <x:c r="J31" t="str">
        <x:f>IF(A31="","",IF(AND(ISNUMBER(G31),ISNUMBER(I31)),G31-I31,""))</x:f>
      </x:c>
      <x:c r="K31" s="8" t="str">
        <x:f>IF(A31="","",IF(AND(ISNUMBER(G31),G31&gt;0,ISNUMBER(I31)),I31/G31,""))</x:f>
      </x:c>
      <x:c r="L31" t="str">
        <x:f>IF(A31="","",IF(NOT(ISNUMBER(G31)),"BUDGET DATA REQUIRED",IF(G31&lt;=0,"REVIEW: NO BUDGET",IF(NOT(ISNUMBER(I31)),"PO DATA REQUIRED",IF(I31&lt;0,"REVIEW: PO AMOUNT",IF(K31&gt;1,"OVER BUDGET",IF(K31=1,"BUDGET EXHAUSTED",IF(K31&gt;=Settings!$B$3,"PREVENTIVE ALERT","OK"))))))))</x:f>
      </x:c>
      <x:c r="M31" t="str">
        <x:f>IF(A31="","",'ERP Snapshot'!K31)</x:f>
      </x:c>
      <x:c r="N31" t="str">
        <x:f>IF(A31="","",COUNTIFS(Exceptions!$A$2:$A$101,A31,Exceptions!$E$2:$E$101,"Open"))</x:f>
      </x:c>
      <x:c r="O31" t="str">
        <x:f>IF(A31="","",IF(AND(C31="MXN",OR(D31="",E31="")),"FX HOLD",IF(E31&gt;D31,"REVIEW: ABOVE CUSTOMER PO",IF('PO Authorization'!H31="REVIEW: SNAPSHOT DIFFERS","REVIEW: PO SNAPSHOT",IF(E31=D31,"FULLY INVOICED",IF(E31&gt;0,"PARTIAL INVOICE","NOT INVOICED"))))))</x:f>
      </x:c>
      <x:c r="P31" t="str">
        <x:f>IF(A31="","",IF(OR(O31="FX HOLD",O31="REVIEW: PO SNAPSHOT",L31="OVER BUDGET",L31="BUDGET EXHAUSTED",O31="REVIEW: ABOVE CUSTOMER PO",'ERP Snapshot'!L31="YES"),"CRITICAL / REVIEW",IF(OR(L31="PO DATA REQUIRED",L31="BUDGET DATA REQUIRED",L31="REVIEW: NO BUDGET",L31="REVIEW: PO AMOUNT",N31&gt;0,M31&gt;0,F31&gt;0),"FOLLOW UP","NORMAL")))</x:f>
      </x:c>
      <x:c r="Q31" s="68" t="str">
        <x:f>IF(A31="","",'ERP Snapshot'!N31)</x:f>
      </x:c>
      <x:c r="R31" t="str">
        <x:f>IF(A31="","",'ERP Snapshot'!Q31)</x:f>
      </x:c>
      <x:c r="S31" t="str">
        <x:f>IF(A31="","",'ERP Snapshot'!R31)</x:f>
      </x:c>
      <x:c r="T31" t="str">
        <x:f>IF(A31="","",'ERP Snapshot'!C31)</x:f>
      </x:c>
    </x:row>
    <x:row r="32">
      <x:c r="A32" t="str">
        <x:f>IF('ERP Snapshot'!A32="","",'ERP Snapshot'!A32)</x:f>
      </x:c>
      <x:c r="B32" t="str">
        <x:f>IF(A32="","",'ERP Snapshot'!B32)</x:f>
      </x:c>
      <x:c r="C32" t="str">
        <x:f>IF(A32="","",'ERP Snapshot'!D32)</x:f>
      </x:c>
      <x:c r="D32" t="str">
        <x:f>IF(A32="","",IF(C32="MXN",IF(AND(Settings!$B$8="APPROVED",Settings!$B$9&lt;&gt;"",Settings!$B$10&lt;&gt;"",Settings!$B$2&gt;0),'PO Authorization'!F32/Settings!$B$2,""),'PO Authorization'!F32))</x:f>
      </x:c>
      <x:c r="E32" t="str">
        <x:f>IF(A32="","",IF(C32="MXN",IF(AND(Settings!$B$8="APPROVED",Settings!$B$9&lt;&gt;"",Settings!$B$10&lt;&gt;"",Settings!$B$2&gt;0),'ERP Snapshot'!I32/Settings!$B$2,""),'ERP Snapshot'!I32))</x:f>
      </x:c>
      <x:c r="F32" t="str">
        <x:f>IF(A32="","",IF(AND(ISNUMBER(D32),ISNUMBER(E32)),D32-E32,""))</x:f>
      </x:c>
      <x:c r="G32" t="str">
        <x:f>IF(A32="","",IF(ISNUMBER('ERP Snapshot'!F32),'ERP Snapshot'!F32,""))</x:f>
      </x:c>
      <x:c r="H32" t="str">
        <x:f>IF(A32="","",'ERP Snapshot'!G32)</x:f>
      </x:c>
      <x:c r="I32" t="str">
        <x:f>IF(A32="","",IF(ISNUMBER('ERP Snapshot'!S32),'ERP Snapshot'!S32,""))</x:f>
      </x:c>
      <x:c r="J32" t="str">
        <x:f>IF(A32="","",IF(AND(ISNUMBER(G32),ISNUMBER(I32)),G32-I32,""))</x:f>
      </x:c>
      <x:c r="K32" s="8" t="str">
        <x:f>IF(A32="","",IF(AND(ISNUMBER(G32),G32&gt;0,ISNUMBER(I32)),I32/G32,""))</x:f>
      </x:c>
      <x:c r="L32" t="str">
        <x:f>IF(A32="","",IF(NOT(ISNUMBER(G32)),"BUDGET DATA REQUIRED",IF(G32&lt;=0,"REVIEW: NO BUDGET",IF(NOT(ISNUMBER(I32)),"PO DATA REQUIRED",IF(I32&lt;0,"REVIEW: PO AMOUNT",IF(K32&gt;1,"OVER BUDGET",IF(K32=1,"BUDGET EXHAUSTED",IF(K32&gt;=Settings!$B$3,"PREVENTIVE ALERT","OK"))))))))</x:f>
      </x:c>
      <x:c r="M32" t="str">
        <x:f>IF(A32="","",'ERP Snapshot'!K32)</x:f>
      </x:c>
      <x:c r="N32" t="str">
        <x:f>IF(A32="","",COUNTIFS(Exceptions!$A$2:$A$101,A32,Exceptions!$E$2:$E$101,"Open"))</x:f>
      </x:c>
      <x:c r="O32" t="str">
        <x:f>IF(A32="","",IF(AND(C32="MXN",OR(D32="",E32="")),"FX HOLD",IF(E32&gt;D32,"REVIEW: ABOVE CUSTOMER PO",IF('PO Authorization'!H32="REVIEW: SNAPSHOT DIFFERS","REVIEW: PO SNAPSHOT",IF(E32=D32,"FULLY INVOICED",IF(E32&gt;0,"PARTIAL INVOICE","NOT INVOICED"))))))</x:f>
      </x:c>
      <x:c r="P32" t="str">
        <x:f>IF(A32="","",IF(OR(O32="FX HOLD",O32="REVIEW: PO SNAPSHOT",L32="OVER BUDGET",L32="BUDGET EXHAUSTED",O32="REVIEW: ABOVE CUSTOMER PO",'ERP Snapshot'!L32="YES"),"CRITICAL / REVIEW",IF(OR(L32="PO DATA REQUIRED",L32="BUDGET DATA REQUIRED",L32="REVIEW: NO BUDGET",L32="REVIEW: PO AMOUNT",N32&gt;0,M32&gt;0,F32&gt;0),"FOLLOW UP","NORMAL")))</x:f>
      </x:c>
      <x:c r="Q32" s="68" t="str">
        <x:f>IF(A32="","",'ERP Snapshot'!N32)</x:f>
      </x:c>
      <x:c r="R32" t="str">
        <x:f>IF(A32="","",'ERP Snapshot'!Q32)</x:f>
      </x:c>
      <x:c r="S32" t="str">
        <x:f>IF(A32="","",'ERP Snapshot'!R32)</x:f>
      </x:c>
      <x:c r="T32" t="str">
        <x:f>IF(A32="","",'ERP Snapshot'!C32)</x:f>
      </x:c>
    </x:row>
    <x:row r="33">
      <x:c r="A33" t="str">
        <x:f>IF('ERP Snapshot'!A33="","",'ERP Snapshot'!A33)</x:f>
      </x:c>
      <x:c r="B33" t="str">
        <x:f>IF(A33="","",'ERP Snapshot'!B33)</x:f>
      </x:c>
      <x:c r="C33" t="str">
        <x:f>IF(A33="","",'ERP Snapshot'!D33)</x:f>
      </x:c>
      <x:c r="D33" t="str">
        <x:f>IF(A33="","",IF(C33="MXN",IF(AND(Settings!$B$8="APPROVED",Settings!$B$9&lt;&gt;"",Settings!$B$10&lt;&gt;"",Settings!$B$2&gt;0),'PO Authorization'!F33/Settings!$B$2,""),'PO Authorization'!F33))</x:f>
      </x:c>
      <x:c r="E33" t="str">
        <x:f>IF(A33="","",IF(C33="MXN",IF(AND(Settings!$B$8="APPROVED",Settings!$B$9&lt;&gt;"",Settings!$B$10&lt;&gt;"",Settings!$B$2&gt;0),'ERP Snapshot'!I33/Settings!$B$2,""),'ERP Snapshot'!I33))</x:f>
      </x:c>
      <x:c r="F33" t="str">
        <x:f>IF(A33="","",IF(AND(ISNUMBER(D33),ISNUMBER(E33)),D33-E33,""))</x:f>
      </x:c>
      <x:c r="G33" t="str">
        <x:f>IF(A33="","",IF(ISNUMBER('ERP Snapshot'!F33),'ERP Snapshot'!F33,""))</x:f>
      </x:c>
      <x:c r="H33" t="str">
        <x:f>IF(A33="","",'ERP Snapshot'!G33)</x:f>
      </x:c>
      <x:c r="I33" t="str">
        <x:f>IF(A33="","",IF(ISNUMBER('ERP Snapshot'!S33),'ERP Snapshot'!S33,""))</x:f>
      </x:c>
      <x:c r="J33" t="str">
        <x:f>IF(A33="","",IF(AND(ISNUMBER(G33),ISNUMBER(I33)),G33-I33,""))</x:f>
      </x:c>
      <x:c r="K33" s="8" t="str">
        <x:f>IF(A33="","",IF(AND(ISNUMBER(G33),G33&gt;0,ISNUMBER(I33)),I33/G33,""))</x:f>
      </x:c>
      <x:c r="L33" t="str">
        <x:f>IF(A33="","",IF(NOT(ISNUMBER(G33)),"BUDGET DATA REQUIRED",IF(G33&lt;=0,"REVIEW: NO BUDGET",IF(NOT(ISNUMBER(I33)),"PO DATA REQUIRED",IF(I33&lt;0,"REVIEW: PO AMOUNT",IF(K33&gt;1,"OVER BUDGET",IF(K33=1,"BUDGET EXHAUSTED",IF(K33&gt;=Settings!$B$3,"PREVENTIVE ALERT","OK"))))))))</x:f>
      </x:c>
      <x:c r="M33" t="str">
        <x:f>IF(A33="","",'ERP Snapshot'!K33)</x:f>
      </x:c>
      <x:c r="N33" t="str">
        <x:f>IF(A33="","",COUNTIFS(Exceptions!$A$2:$A$101,A33,Exceptions!$E$2:$E$101,"Open"))</x:f>
      </x:c>
      <x:c r="O33" t="str">
        <x:f>IF(A33="","",IF(AND(C33="MXN",OR(D33="",E33="")),"FX HOLD",IF(E33&gt;D33,"REVIEW: ABOVE CUSTOMER PO",IF('PO Authorization'!H33="REVIEW: SNAPSHOT DIFFERS","REVIEW: PO SNAPSHOT",IF(E33=D33,"FULLY INVOICED",IF(E33&gt;0,"PARTIAL INVOICE","NOT INVOICED"))))))</x:f>
      </x:c>
      <x:c r="P33" t="str">
        <x:f>IF(A33="","",IF(OR(O33="FX HOLD",O33="REVIEW: PO SNAPSHOT",L33="OVER BUDGET",L33="BUDGET EXHAUSTED",O33="REVIEW: ABOVE CUSTOMER PO",'ERP Snapshot'!L33="YES"),"CRITICAL / REVIEW",IF(OR(L33="PO DATA REQUIRED",L33="BUDGET DATA REQUIRED",L33="REVIEW: NO BUDGET",L33="REVIEW: PO AMOUNT",N33&gt;0,M33&gt;0,F33&gt;0),"FOLLOW UP","NORMAL")))</x:f>
      </x:c>
      <x:c r="Q33" s="68" t="str">
        <x:f>IF(A33="","",'ERP Snapshot'!N33)</x:f>
      </x:c>
      <x:c r="R33" t="str">
        <x:f>IF(A33="","",'ERP Snapshot'!Q33)</x:f>
      </x:c>
      <x:c r="S33" t="str">
        <x:f>IF(A33="","",'ERP Snapshot'!R33)</x:f>
      </x:c>
      <x:c r="T33" t="str">
        <x:f>IF(A33="","",'ERP Snapshot'!C33)</x:f>
      </x:c>
    </x:row>
    <x:row r="34">
      <x:c r="A34" t="str">
        <x:f>IF('ERP Snapshot'!A34="","",'ERP Snapshot'!A34)</x:f>
      </x:c>
      <x:c r="B34" t="str">
        <x:f>IF(A34="","",'ERP Snapshot'!B34)</x:f>
      </x:c>
      <x:c r="C34" t="str">
        <x:f>IF(A34="","",'ERP Snapshot'!D34)</x:f>
      </x:c>
      <x:c r="D34" t="str">
        <x:f>IF(A34="","",IF(C34="MXN",IF(AND(Settings!$B$8="APPROVED",Settings!$B$9&lt;&gt;"",Settings!$B$10&lt;&gt;"",Settings!$B$2&gt;0),'PO Authorization'!F34/Settings!$B$2,""),'PO Authorization'!F34))</x:f>
      </x:c>
      <x:c r="E34" t="str">
        <x:f>IF(A34="","",IF(C34="MXN",IF(AND(Settings!$B$8="APPROVED",Settings!$B$9&lt;&gt;"",Settings!$B$10&lt;&gt;"",Settings!$B$2&gt;0),'ERP Snapshot'!I34/Settings!$B$2,""),'ERP Snapshot'!I34))</x:f>
      </x:c>
      <x:c r="F34" t="str">
        <x:f>IF(A34="","",IF(AND(ISNUMBER(D34),ISNUMBER(E34)),D34-E34,""))</x:f>
      </x:c>
      <x:c r="G34" t="str">
        <x:f>IF(A34="","",IF(ISNUMBER('ERP Snapshot'!F34),'ERP Snapshot'!F34,""))</x:f>
      </x:c>
      <x:c r="H34" t="str">
        <x:f>IF(A34="","",'ERP Snapshot'!G34)</x:f>
      </x:c>
      <x:c r="I34" t="str">
        <x:f>IF(A34="","",IF(ISNUMBER('ERP Snapshot'!S34),'ERP Snapshot'!S34,""))</x:f>
      </x:c>
      <x:c r="J34" t="str">
        <x:f>IF(A34="","",IF(AND(ISNUMBER(G34),ISNUMBER(I34)),G34-I34,""))</x:f>
      </x:c>
      <x:c r="K34" s="8" t="str">
        <x:f>IF(A34="","",IF(AND(ISNUMBER(G34),G34&gt;0,ISNUMBER(I34)),I34/G34,""))</x:f>
      </x:c>
      <x:c r="L34" t="str">
        <x:f>IF(A34="","",IF(NOT(ISNUMBER(G34)),"BUDGET DATA REQUIRED",IF(G34&lt;=0,"REVIEW: NO BUDGET",IF(NOT(ISNUMBER(I34)),"PO DATA REQUIRED",IF(I34&lt;0,"REVIEW: PO AMOUNT",IF(K34&gt;1,"OVER BUDGET",IF(K34=1,"BUDGET EXHAUSTED",IF(K34&gt;=Settings!$B$3,"PREVENTIVE ALERT","OK"))))))))</x:f>
      </x:c>
      <x:c r="M34" t="str">
        <x:f>IF(A34="","",'ERP Snapshot'!K34)</x:f>
      </x:c>
      <x:c r="N34" t="str">
        <x:f>IF(A34="","",COUNTIFS(Exceptions!$A$2:$A$101,A34,Exceptions!$E$2:$E$101,"Open"))</x:f>
      </x:c>
      <x:c r="O34" t="str">
        <x:f>IF(A34="","",IF(AND(C34="MXN",OR(D34="",E34="")),"FX HOLD",IF(E34&gt;D34,"REVIEW: ABOVE CUSTOMER PO",IF('PO Authorization'!H34="REVIEW: SNAPSHOT DIFFERS","REVIEW: PO SNAPSHOT",IF(E34=D34,"FULLY INVOICED",IF(E34&gt;0,"PARTIAL INVOICE","NOT INVOICED"))))))</x:f>
      </x:c>
      <x:c r="P34" t="str">
        <x:f>IF(A34="","",IF(OR(O34="FX HOLD",O34="REVIEW: PO SNAPSHOT",L34="OVER BUDGET",L34="BUDGET EXHAUSTED",O34="REVIEW: ABOVE CUSTOMER PO",'ERP Snapshot'!L34="YES"),"CRITICAL / REVIEW",IF(OR(L34="PO DATA REQUIRED",L34="BUDGET DATA REQUIRED",L34="REVIEW: NO BUDGET",L34="REVIEW: PO AMOUNT",N34&gt;0,M34&gt;0,F34&gt;0),"FOLLOW UP","NORMAL")))</x:f>
      </x:c>
      <x:c r="Q34" s="68" t="str">
        <x:f>IF(A34="","",'ERP Snapshot'!N34)</x:f>
      </x:c>
      <x:c r="R34" t="str">
        <x:f>IF(A34="","",'ERP Snapshot'!Q34)</x:f>
      </x:c>
      <x:c r="S34" t="str">
        <x:f>IF(A34="","",'ERP Snapshot'!R34)</x:f>
      </x:c>
      <x:c r="T34" t="str">
        <x:f>IF(A34="","",'ERP Snapshot'!C34)</x:f>
      </x:c>
    </x:row>
    <x:row r="35">
      <x:c r="A35" t="str">
        <x:f>IF('ERP Snapshot'!A35="","",'ERP Snapshot'!A35)</x:f>
      </x:c>
      <x:c r="B35" t="str">
        <x:f>IF(A35="","",'ERP Snapshot'!B35)</x:f>
      </x:c>
      <x:c r="C35" t="str">
        <x:f>IF(A35="","",'ERP Snapshot'!D35)</x:f>
      </x:c>
      <x:c r="D35" t="str">
        <x:f>IF(A35="","",IF(C35="MXN",IF(AND(Settings!$B$8="APPROVED",Settings!$B$9&lt;&gt;"",Settings!$B$10&lt;&gt;"",Settings!$B$2&gt;0),'PO Authorization'!F35/Settings!$B$2,""),'PO Authorization'!F35))</x:f>
      </x:c>
      <x:c r="E35" t="str">
        <x:f>IF(A35="","",IF(C35="MXN",IF(AND(Settings!$B$8="APPROVED",Settings!$B$9&lt;&gt;"",Settings!$B$10&lt;&gt;"",Settings!$B$2&gt;0),'ERP Snapshot'!I35/Settings!$B$2,""),'ERP Snapshot'!I35))</x:f>
      </x:c>
      <x:c r="F35" t="str">
        <x:f>IF(A35="","",IF(AND(ISNUMBER(D35),ISNUMBER(E35)),D35-E35,""))</x:f>
      </x:c>
      <x:c r="G35" t="str">
        <x:f>IF(A35="","",IF(ISNUMBER('ERP Snapshot'!F35),'ERP Snapshot'!F35,""))</x:f>
      </x:c>
      <x:c r="H35" t="str">
        <x:f>IF(A35="","",'ERP Snapshot'!G35)</x:f>
      </x:c>
      <x:c r="I35" t="str">
        <x:f>IF(A35="","",IF(ISNUMBER('ERP Snapshot'!S35),'ERP Snapshot'!S35,""))</x:f>
      </x:c>
      <x:c r="J35" t="str">
        <x:f>IF(A35="","",IF(AND(ISNUMBER(G35),ISNUMBER(I35)),G35-I35,""))</x:f>
      </x:c>
      <x:c r="K35" s="8" t="str">
        <x:f>IF(A35="","",IF(AND(ISNUMBER(G35),G35&gt;0,ISNUMBER(I35)),I35/G35,""))</x:f>
      </x:c>
      <x:c r="L35" t="str">
        <x:f>IF(A35="","",IF(NOT(ISNUMBER(G35)),"BUDGET DATA REQUIRED",IF(G35&lt;=0,"REVIEW: NO BUDGET",IF(NOT(ISNUMBER(I35)),"PO DATA REQUIRED",IF(I35&lt;0,"REVIEW: PO AMOUNT",IF(K35&gt;1,"OVER BUDGET",IF(K35=1,"BUDGET EXHAUSTED",IF(K35&gt;=Settings!$B$3,"PREVENTIVE ALERT","OK"))))))))</x:f>
      </x:c>
      <x:c r="M35" t="str">
        <x:f>IF(A35="","",'ERP Snapshot'!K35)</x:f>
      </x:c>
      <x:c r="N35" t="str">
        <x:f>IF(A35="","",COUNTIFS(Exceptions!$A$2:$A$101,A35,Exceptions!$E$2:$E$101,"Open"))</x:f>
      </x:c>
      <x:c r="O35" t="str">
        <x:f>IF(A35="","",IF(AND(C35="MXN",OR(D35="",E35="")),"FX HOLD",IF(E35&gt;D35,"REVIEW: ABOVE CUSTOMER PO",IF('PO Authorization'!H35="REVIEW: SNAPSHOT DIFFERS","REVIEW: PO SNAPSHOT",IF(E35=D35,"FULLY INVOICED",IF(E35&gt;0,"PARTIAL INVOICE","NOT INVOICED"))))))</x:f>
      </x:c>
      <x:c r="P35" t="str">
        <x:f>IF(A35="","",IF(OR(O35="FX HOLD",O35="REVIEW: PO SNAPSHOT",L35="OVER BUDGET",L35="BUDGET EXHAUSTED",O35="REVIEW: ABOVE CUSTOMER PO",'ERP Snapshot'!L35="YES"),"CRITICAL / REVIEW",IF(OR(L35="PO DATA REQUIRED",L35="BUDGET DATA REQUIRED",L35="REVIEW: NO BUDGET",L35="REVIEW: PO AMOUNT",N35&gt;0,M35&gt;0,F35&gt;0),"FOLLOW UP","NORMAL")))</x:f>
      </x:c>
      <x:c r="Q35" s="68" t="str">
        <x:f>IF(A35="","",'ERP Snapshot'!N35)</x:f>
      </x:c>
      <x:c r="R35" t="str">
        <x:f>IF(A35="","",'ERP Snapshot'!Q35)</x:f>
      </x:c>
      <x:c r="S35" t="str">
        <x:f>IF(A35="","",'ERP Snapshot'!R35)</x:f>
      </x:c>
      <x:c r="T35" t="str">
        <x:f>IF(A35="","",'ERP Snapshot'!C35)</x:f>
      </x:c>
    </x:row>
    <x:row r="36">
      <x:c r="A36" t="str">
        <x:f>IF('ERP Snapshot'!A36="","",'ERP Snapshot'!A36)</x:f>
      </x:c>
      <x:c r="B36" t="str">
        <x:f>IF(A36="","",'ERP Snapshot'!B36)</x:f>
      </x:c>
      <x:c r="C36" t="str">
        <x:f>IF(A36="","",'ERP Snapshot'!D36)</x:f>
      </x:c>
      <x:c r="D36" t="str">
        <x:f>IF(A36="","",IF(C36="MXN",IF(AND(Settings!$B$8="APPROVED",Settings!$B$9&lt;&gt;"",Settings!$B$10&lt;&gt;"",Settings!$B$2&gt;0),'PO Authorization'!F36/Settings!$B$2,""),'PO Authorization'!F36))</x:f>
      </x:c>
      <x:c r="E36" t="str">
        <x:f>IF(A36="","",IF(C36="MXN",IF(AND(Settings!$B$8="APPROVED",Settings!$B$9&lt;&gt;"",Settings!$B$10&lt;&gt;"",Settings!$B$2&gt;0),'ERP Snapshot'!I36/Settings!$B$2,""),'ERP Snapshot'!I36))</x:f>
      </x:c>
      <x:c r="F36" t="str">
        <x:f>IF(A36="","",IF(AND(ISNUMBER(D36),ISNUMBER(E36)),D36-E36,""))</x:f>
      </x:c>
      <x:c r="G36" t="str">
        <x:f>IF(A36="","",IF(ISNUMBER('ERP Snapshot'!F36),'ERP Snapshot'!F36,""))</x:f>
      </x:c>
      <x:c r="H36" t="str">
        <x:f>IF(A36="","",'ERP Snapshot'!G36)</x:f>
      </x:c>
      <x:c r="I36" t="str">
        <x:f>IF(A36="","",IF(ISNUMBER('ERP Snapshot'!S36),'ERP Snapshot'!S36,""))</x:f>
      </x:c>
      <x:c r="J36" t="str">
        <x:f>IF(A36="","",IF(AND(ISNUMBER(G36),ISNUMBER(I36)),G36-I36,""))</x:f>
      </x:c>
      <x:c r="K36" s="8" t="str">
        <x:f>IF(A36="","",IF(AND(ISNUMBER(G36),G36&gt;0,ISNUMBER(I36)),I36/G36,""))</x:f>
      </x:c>
      <x:c r="L36" t="str">
        <x:f>IF(A36="","",IF(NOT(ISNUMBER(G36)),"BUDGET DATA REQUIRED",IF(G36&lt;=0,"REVIEW: NO BUDGET",IF(NOT(ISNUMBER(I36)),"PO DATA REQUIRED",IF(I36&lt;0,"REVIEW: PO AMOUNT",IF(K36&gt;1,"OVER BUDGET",IF(K36=1,"BUDGET EXHAUSTED",IF(K36&gt;=Settings!$B$3,"PREVENTIVE ALERT","OK"))))))))</x:f>
      </x:c>
      <x:c r="M36" t="str">
        <x:f>IF(A36="","",'ERP Snapshot'!K36)</x:f>
      </x:c>
      <x:c r="N36" t="str">
        <x:f>IF(A36="","",COUNTIFS(Exceptions!$A$2:$A$101,A36,Exceptions!$E$2:$E$101,"Open"))</x:f>
      </x:c>
      <x:c r="O36" t="str">
        <x:f>IF(A36="","",IF(AND(C36="MXN",OR(D36="",E36="")),"FX HOLD",IF(E36&gt;D36,"REVIEW: ABOVE CUSTOMER PO",IF('PO Authorization'!H36="REVIEW: SNAPSHOT DIFFERS","REVIEW: PO SNAPSHOT",IF(E36=D36,"FULLY INVOICED",IF(E36&gt;0,"PARTIAL INVOICE","NOT INVOICED"))))))</x:f>
      </x:c>
      <x:c r="P36" t="str">
        <x:f>IF(A36="","",IF(OR(O36="FX HOLD",O36="REVIEW: PO SNAPSHOT",L36="OVER BUDGET",L36="BUDGET EXHAUSTED",O36="REVIEW: ABOVE CUSTOMER PO",'ERP Snapshot'!L36="YES"),"CRITICAL / REVIEW",IF(OR(L36="PO DATA REQUIRED",L36="BUDGET DATA REQUIRED",L36="REVIEW: NO BUDGET",L36="REVIEW: PO AMOUNT",N36&gt;0,M36&gt;0,F36&gt;0),"FOLLOW UP","NORMAL")))</x:f>
      </x:c>
      <x:c r="Q36" s="68" t="str">
        <x:f>IF(A36="","",'ERP Snapshot'!N36)</x:f>
      </x:c>
      <x:c r="R36" t="str">
        <x:f>IF(A36="","",'ERP Snapshot'!Q36)</x:f>
      </x:c>
      <x:c r="S36" t="str">
        <x:f>IF(A36="","",'ERP Snapshot'!R36)</x:f>
      </x:c>
      <x:c r="T36" t="str">
        <x:f>IF(A36="","",'ERP Snapshot'!C36)</x:f>
      </x:c>
    </x:row>
    <x:row r="37">
      <x:c r="A37" t="str">
        <x:f>IF('ERP Snapshot'!A37="","",'ERP Snapshot'!A37)</x:f>
      </x:c>
      <x:c r="B37" t="str">
        <x:f>IF(A37="","",'ERP Snapshot'!B37)</x:f>
      </x:c>
      <x:c r="C37" t="str">
        <x:f>IF(A37="","",'ERP Snapshot'!D37)</x:f>
      </x:c>
      <x:c r="D37" t="str">
        <x:f>IF(A37="","",IF(C37="MXN",IF(AND(Settings!$B$8="APPROVED",Settings!$B$9&lt;&gt;"",Settings!$B$10&lt;&gt;"",Settings!$B$2&gt;0),'PO Authorization'!F37/Settings!$B$2,""),'PO Authorization'!F37))</x:f>
      </x:c>
      <x:c r="E37" t="str">
        <x:f>IF(A37="","",IF(C37="MXN",IF(AND(Settings!$B$8="APPROVED",Settings!$B$9&lt;&gt;"",Settings!$B$10&lt;&gt;"",Settings!$B$2&gt;0),'ERP Snapshot'!I37/Settings!$B$2,""),'ERP Snapshot'!I37))</x:f>
      </x:c>
      <x:c r="F37" t="str">
        <x:f>IF(A37="","",IF(AND(ISNUMBER(D37),ISNUMBER(E37)),D37-E37,""))</x:f>
      </x:c>
      <x:c r="G37" t="str">
        <x:f>IF(A37="","",IF(ISNUMBER('ERP Snapshot'!F37),'ERP Snapshot'!F37,""))</x:f>
      </x:c>
      <x:c r="H37" t="str">
        <x:f>IF(A37="","",'ERP Snapshot'!G37)</x:f>
      </x:c>
      <x:c r="I37" t="str">
        <x:f>IF(A37="","",IF(ISNUMBER('ERP Snapshot'!S37),'ERP Snapshot'!S37,""))</x:f>
      </x:c>
      <x:c r="J37" t="str">
        <x:f>IF(A37="","",IF(AND(ISNUMBER(G37),ISNUMBER(I37)),G37-I37,""))</x:f>
      </x:c>
      <x:c r="K37" s="8" t="str">
        <x:f>IF(A37="","",IF(AND(ISNUMBER(G37),G37&gt;0,ISNUMBER(I37)),I37/G37,""))</x:f>
      </x:c>
      <x:c r="L37" t="str">
        <x:f>IF(A37="","",IF(NOT(ISNUMBER(G37)),"BUDGET DATA REQUIRED",IF(G37&lt;=0,"REVIEW: NO BUDGET",IF(NOT(ISNUMBER(I37)),"PO DATA REQUIRED",IF(I37&lt;0,"REVIEW: PO AMOUNT",IF(K37&gt;1,"OVER BUDGET",IF(K37=1,"BUDGET EXHAUSTED",IF(K37&gt;=Settings!$B$3,"PREVENTIVE ALERT","OK"))))))))</x:f>
      </x:c>
      <x:c r="M37" t="str">
        <x:f>IF(A37="","",'ERP Snapshot'!K37)</x:f>
      </x:c>
      <x:c r="N37" t="str">
        <x:f>IF(A37="","",COUNTIFS(Exceptions!$A$2:$A$101,A37,Exceptions!$E$2:$E$101,"Open"))</x:f>
      </x:c>
      <x:c r="O37" t="str">
        <x:f>IF(A37="","",IF(AND(C37="MXN",OR(D37="",E37="")),"FX HOLD",IF(E37&gt;D37,"REVIEW: ABOVE CUSTOMER PO",IF('PO Authorization'!H37="REVIEW: SNAPSHOT DIFFERS","REVIEW: PO SNAPSHOT",IF(E37=D37,"FULLY INVOICED",IF(E37&gt;0,"PARTIAL INVOICE","NOT INVOICED"))))))</x:f>
      </x:c>
      <x:c r="P37" t="str">
        <x:f>IF(A37="","",IF(OR(O37="FX HOLD",O37="REVIEW: PO SNAPSHOT",L37="OVER BUDGET",L37="BUDGET EXHAUSTED",O37="REVIEW: ABOVE CUSTOMER PO",'ERP Snapshot'!L37="YES"),"CRITICAL / REVIEW",IF(OR(L37="PO DATA REQUIRED",L37="BUDGET DATA REQUIRED",L37="REVIEW: NO BUDGET",L37="REVIEW: PO AMOUNT",N37&gt;0,M37&gt;0,F37&gt;0),"FOLLOW UP","NORMAL")))</x:f>
      </x:c>
      <x:c r="Q37" s="68" t="str">
        <x:f>IF(A37="","",'ERP Snapshot'!N37)</x:f>
      </x:c>
      <x:c r="R37" t="str">
        <x:f>IF(A37="","",'ERP Snapshot'!Q37)</x:f>
      </x:c>
      <x:c r="S37" t="str">
        <x:f>IF(A37="","",'ERP Snapshot'!R37)</x:f>
      </x:c>
      <x:c r="T37" t="str">
        <x:f>IF(A37="","",'ERP Snapshot'!C37)</x:f>
      </x:c>
    </x:row>
    <x:row r="38">
      <x:c r="A38" t="str">
        <x:f>IF('ERP Snapshot'!A38="","",'ERP Snapshot'!A38)</x:f>
      </x:c>
      <x:c r="B38" t="str">
        <x:f>IF(A38="","",'ERP Snapshot'!B38)</x:f>
      </x:c>
      <x:c r="C38" t="str">
        <x:f>IF(A38="","",'ERP Snapshot'!D38)</x:f>
      </x:c>
      <x:c r="D38" t="str">
        <x:f>IF(A38="","",IF(C38="MXN",IF(AND(Settings!$B$8="APPROVED",Settings!$B$9&lt;&gt;"",Settings!$B$10&lt;&gt;"",Settings!$B$2&gt;0),'PO Authorization'!F38/Settings!$B$2,""),'PO Authorization'!F38))</x:f>
      </x:c>
      <x:c r="E38" t="str">
        <x:f>IF(A38="","",IF(C38="MXN",IF(AND(Settings!$B$8="APPROVED",Settings!$B$9&lt;&gt;"",Settings!$B$10&lt;&gt;"",Settings!$B$2&gt;0),'ERP Snapshot'!I38/Settings!$B$2,""),'ERP Snapshot'!I38))</x:f>
      </x:c>
      <x:c r="F38" t="str">
        <x:f>IF(A38="","",IF(AND(ISNUMBER(D38),ISNUMBER(E38)),D38-E38,""))</x:f>
      </x:c>
      <x:c r="G38" t="str">
        <x:f>IF(A38="","",IF(ISNUMBER('ERP Snapshot'!F38),'ERP Snapshot'!F38,""))</x:f>
      </x:c>
      <x:c r="H38" t="str">
        <x:f>IF(A38="","",'ERP Snapshot'!G38)</x:f>
      </x:c>
      <x:c r="I38" t="str">
        <x:f>IF(A38="","",IF(ISNUMBER('ERP Snapshot'!S38),'ERP Snapshot'!S38,""))</x:f>
      </x:c>
      <x:c r="J38" t="str">
        <x:f>IF(A38="","",IF(AND(ISNUMBER(G38),ISNUMBER(I38)),G38-I38,""))</x:f>
      </x:c>
      <x:c r="K38" s="8" t="str">
        <x:f>IF(A38="","",IF(AND(ISNUMBER(G38),G38&gt;0,ISNUMBER(I38)),I38/G38,""))</x:f>
      </x:c>
      <x:c r="L38" t="str">
        <x:f>IF(A38="","",IF(NOT(ISNUMBER(G38)),"BUDGET DATA REQUIRED",IF(G38&lt;=0,"REVIEW: NO BUDGET",IF(NOT(ISNUMBER(I38)),"PO DATA REQUIRED",IF(I38&lt;0,"REVIEW: PO AMOUNT",IF(K38&gt;1,"OVER BUDGET",IF(K38=1,"BUDGET EXHAUSTED",IF(K38&gt;=Settings!$B$3,"PREVENTIVE ALERT","OK"))))))))</x:f>
      </x:c>
      <x:c r="M38" t="str">
        <x:f>IF(A38="","",'ERP Snapshot'!K38)</x:f>
      </x:c>
      <x:c r="N38" t="str">
        <x:f>IF(A38="","",COUNTIFS(Exceptions!$A$2:$A$101,A38,Exceptions!$E$2:$E$101,"Open"))</x:f>
      </x:c>
      <x:c r="O38" t="str">
        <x:f>IF(A38="","",IF(AND(C38="MXN",OR(D38="",E38="")),"FX HOLD",IF(E38&gt;D38,"REVIEW: ABOVE CUSTOMER PO",IF('PO Authorization'!H38="REVIEW: SNAPSHOT DIFFERS","REVIEW: PO SNAPSHOT",IF(E38=D38,"FULLY INVOICED",IF(E38&gt;0,"PARTIAL INVOICE","NOT INVOICED"))))))</x:f>
      </x:c>
      <x:c r="P38" t="str">
        <x:f>IF(A38="","",IF(OR(O38="FX HOLD",O38="REVIEW: PO SNAPSHOT",L38="OVER BUDGET",L38="BUDGET EXHAUSTED",O38="REVIEW: ABOVE CUSTOMER PO",'ERP Snapshot'!L38="YES"),"CRITICAL / REVIEW",IF(OR(L38="PO DATA REQUIRED",L38="BUDGET DATA REQUIRED",L38="REVIEW: NO BUDGET",L38="REVIEW: PO AMOUNT",N38&gt;0,M38&gt;0,F38&gt;0),"FOLLOW UP","NORMAL")))</x:f>
      </x:c>
      <x:c r="Q38" s="68" t="str">
        <x:f>IF(A38="","",'ERP Snapshot'!N38)</x:f>
      </x:c>
      <x:c r="R38" t="str">
        <x:f>IF(A38="","",'ERP Snapshot'!Q38)</x:f>
      </x:c>
      <x:c r="S38" t="str">
        <x:f>IF(A38="","",'ERP Snapshot'!R38)</x:f>
      </x:c>
      <x:c r="T38" t="str">
        <x:f>IF(A38="","",'ERP Snapshot'!C38)</x:f>
      </x:c>
    </x:row>
    <x:row r="39">
      <x:c r="A39" t="str">
        <x:f>IF('ERP Snapshot'!A39="","",'ERP Snapshot'!A39)</x:f>
      </x:c>
      <x:c r="B39" t="str">
        <x:f>IF(A39="","",'ERP Snapshot'!B39)</x:f>
      </x:c>
      <x:c r="C39" t="str">
        <x:f>IF(A39="","",'ERP Snapshot'!D39)</x:f>
      </x:c>
      <x:c r="D39" t="str">
        <x:f>IF(A39="","",IF(C39="MXN",IF(AND(Settings!$B$8="APPROVED",Settings!$B$9&lt;&gt;"",Settings!$B$10&lt;&gt;"",Settings!$B$2&gt;0),'PO Authorization'!F39/Settings!$B$2,""),'PO Authorization'!F39))</x:f>
      </x:c>
      <x:c r="E39" t="str">
        <x:f>IF(A39="","",IF(C39="MXN",IF(AND(Settings!$B$8="APPROVED",Settings!$B$9&lt;&gt;"",Settings!$B$10&lt;&gt;"",Settings!$B$2&gt;0),'ERP Snapshot'!I39/Settings!$B$2,""),'ERP Snapshot'!I39))</x:f>
      </x:c>
      <x:c r="F39" t="str">
        <x:f>IF(A39="","",IF(AND(ISNUMBER(D39),ISNUMBER(E39)),D39-E39,""))</x:f>
      </x:c>
      <x:c r="G39" t="str">
        <x:f>IF(A39="","",IF(ISNUMBER('ERP Snapshot'!F39),'ERP Snapshot'!F39,""))</x:f>
      </x:c>
      <x:c r="H39" t="str">
        <x:f>IF(A39="","",'ERP Snapshot'!G39)</x:f>
      </x:c>
      <x:c r="I39" t="str">
        <x:f>IF(A39="","",IF(ISNUMBER('ERP Snapshot'!S39),'ERP Snapshot'!S39,""))</x:f>
      </x:c>
      <x:c r="J39" t="str">
        <x:f>IF(A39="","",IF(AND(ISNUMBER(G39),ISNUMBER(I39)),G39-I39,""))</x:f>
      </x:c>
      <x:c r="K39" s="8" t="str">
        <x:f>IF(A39="","",IF(AND(ISNUMBER(G39),G39&gt;0,ISNUMBER(I39)),I39/G39,""))</x:f>
      </x:c>
      <x:c r="L39" t="str">
        <x:f>IF(A39="","",IF(NOT(ISNUMBER(G39)),"BUDGET DATA REQUIRED",IF(G39&lt;=0,"REVIEW: NO BUDGET",IF(NOT(ISNUMBER(I39)),"PO DATA REQUIRED",IF(I39&lt;0,"REVIEW: PO AMOUNT",IF(K39&gt;1,"OVER BUDGET",IF(K39=1,"BUDGET EXHAUSTED",IF(K39&gt;=Settings!$B$3,"PREVENTIVE ALERT","OK"))))))))</x:f>
      </x:c>
      <x:c r="M39" t="str">
        <x:f>IF(A39="","",'ERP Snapshot'!K39)</x:f>
      </x:c>
      <x:c r="N39" t="str">
        <x:f>IF(A39="","",COUNTIFS(Exceptions!$A$2:$A$101,A39,Exceptions!$E$2:$E$101,"Open"))</x:f>
      </x:c>
      <x:c r="O39" t="str">
        <x:f>IF(A39="","",IF(AND(C39="MXN",OR(D39="",E39="")),"FX HOLD",IF(E39&gt;D39,"REVIEW: ABOVE CUSTOMER PO",IF('PO Authorization'!H39="REVIEW: SNAPSHOT DIFFERS","REVIEW: PO SNAPSHOT",IF(E39=D39,"FULLY INVOICED",IF(E39&gt;0,"PARTIAL INVOICE","NOT INVOICED"))))))</x:f>
      </x:c>
      <x:c r="P39" t="str">
        <x:f>IF(A39="","",IF(OR(O39="FX HOLD",O39="REVIEW: PO SNAPSHOT",L39="OVER BUDGET",L39="BUDGET EXHAUSTED",O39="REVIEW: ABOVE CUSTOMER PO",'ERP Snapshot'!L39="YES"),"CRITICAL / REVIEW",IF(OR(L39="PO DATA REQUIRED",L39="BUDGET DATA REQUIRED",L39="REVIEW: NO BUDGET",L39="REVIEW: PO AMOUNT",N39&gt;0,M39&gt;0,F39&gt;0),"FOLLOW UP","NORMAL")))</x:f>
      </x:c>
      <x:c r="Q39" s="68" t="str">
        <x:f>IF(A39="","",'ERP Snapshot'!N39)</x:f>
      </x:c>
      <x:c r="R39" t="str">
        <x:f>IF(A39="","",'ERP Snapshot'!Q39)</x:f>
      </x:c>
      <x:c r="S39" t="str">
        <x:f>IF(A39="","",'ERP Snapshot'!R39)</x:f>
      </x:c>
      <x:c r="T39" t="str">
        <x:f>IF(A39="","",'ERP Snapshot'!C39)</x:f>
      </x:c>
    </x:row>
    <x:row r="40">
      <x:c r="A40" t="str">
        <x:f>IF('ERP Snapshot'!A40="","",'ERP Snapshot'!A40)</x:f>
      </x:c>
      <x:c r="B40" t="str">
        <x:f>IF(A40="","",'ERP Snapshot'!B40)</x:f>
      </x:c>
      <x:c r="C40" t="str">
        <x:f>IF(A40="","",'ERP Snapshot'!D40)</x:f>
      </x:c>
      <x:c r="D40" t="str">
        <x:f>IF(A40="","",IF(C40="MXN",IF(AND(Settings!$B$8="APPROVED",Settings!$B$9&lt;&gt;"",Settings!$B$10&lt;&gt;"",Settings!$B$2&gt;0),'PO Authorization'!F40/Settings!$B$2,""),'PO Authorization'!F40))</x:f>
      </x:c>
      <x:c r="E40" t="str">
        <x:f>IF(A40="","",IF(C40="MXN",IF(AND(Settings!$B$8="APPROVED",Settings!$B$9&lt;&gt;"",Settings!$B$10&lt;&gt;"",Settings!$B$2&gt;0),'ERP Snapshot'!I40/Settings!$B$2,""),'ERP Snapshot'!I40))</x:f>
      </x:c>
      <x:c r="F40" t="str">
        <x:f>IF(A40="","",IF(AND(ISNUMBER(D40),ISNUMBER(E40)),D40-E40,""))</x:f>
      </x:c>
      <x:c r="G40" t="str">
        <x:f>IF(A40="","",IF(ISNUMBER('ERP Snapshot'!F40),'ERP Snapshot'!F40,""))</x:f>
      </x:c>
      <x:c r="H40" t="str">
        <x:f>IF(A40="","",'ERP Snapshot'!G40)</x:f>
      </x:c>
      <x:c r="I40" t="str">
        <x:f>IF(A40="","",IF(ISNUMBER('ERP Snapshot'!S40),'ERP Snapshot'!S40,""))</x:f>
      </x:c>
      <x:c r="J40" t="str">
        <x:f>IF(A40="","",IF(AND(ISNUMBER(G40),ISNUMBER(I40)),G40-I40,""))</x:f>
      </x:c>
      <x:c r="K40" s="8" t="str">
        <x:f>IF(A40="","",IF(AND(ISNUMBER(G40),G40&gt;0,ISNUMBER(I40)),I40/G40,""))</x:f>
      </x:c>
      <x:c r="L40" t="str">
        <x:f>IF(A40="","",IF(NOT(ISNUMBER(G40)),"BUDGET DATA REQUIRED",IF(G40&lt;=0,"REVIEW: NO BUDGET",IF(NOT(ISNUMBER(I40)),"PO DATA REQUIRED",IF(I40&lt;0,"REVIEW: PO AMOUNT",IF(K40&gt;1,"OVER BUDGET",IF(K40=1,"BUDGET EXHAUSTED",IF(K40&gt;=Settings!$B$3,"PREVENTIVE ALERT","OK"))))))))</x:f>
      </x:c>
      <x:c r="M40" t="str">
        <x:f>IF(A40="","",'ERP Snapshot'!K40)</x:f>
      </x:c>
      <x:c r="N40" t="str">
        <x:f>IF(A40="","",COUNTIFS(Exceptions!$A$2:$A$101,A40,Exceptions!$E$2:$E$101,"Open"))</x:f>
      </x:c>
      <x:c r="O40" t="str">
        <x:f>IF(A40="","",IF(AND(C40="MXN",OR(D40="",E40="")),"FX HOLD",IF(E40&gt;D40,"REVIEW: ABOVE CUSTOMER PO",IF('PO Authorization'!H40="REVIEW: SNAPSHOT DIFFERS","REVIEW: PO SNAPSHOT",IF(E40=D40,"FULLY INVOICED",IF(E40&gt;0,"PARTIAL INVOICE","NOT INVOICED"))))))</x:f>
      </x:c>
      <x:c r="P40" t="str">
        <x:f>IF(A40="","",IF(OR(O40="FX HOLD",O40="REVIEW: PO SNAPSHOT",L40="OVER BUDGET",L40="BUDGET EXHAUSTED",O40="REVIEW: ABOVE CUSTOMER PO",'ERP Snapshot'!L40="YES"),"CRITICAL / REVIEW",IF(OR(L40="PO DATA REQUIRED",L40="BUDGET DATA REQUIRED",L40="REVIEW: NO BUDGET",L40="REVIEW: PO AMOUNT",N40&gt;0,M40&gt;0,F40&gt;0),"FOLLOW UP","NORMAL")))</x:f>
      </x:c>
      <x:c r="Q40" s="68" t="str">
        <x:f>IF(A40="","",'ERP Snapshot'!N40)</x:f>
      </x:c>
      <x:c r="R40" t="str">
        <x:f>IF(A40="","",'ERP Snapshot'!Q40)</x:f>
      </x:c>
      <x:c r="S40" t="str">
        <x:f>IF(A40="","",'ERP Snapshot'!R40)</x:f>
      </x:c>
      <x:c r="T40" t="str">
        <x:f>IF(A40="","",'ERP Snapshot'!C40)</x:f>
      </x:c>
    </x:row>
    <x:row r="41">
      <x:c r="A41" t="str">
        <x:f>IF('ERP Snapshot'!A41="","",'ERP Snapshot'!A41)</x:f>
      </x:c>
      <x:c r="B41" t="str">
        <x:f>IF(A41="","",'ERP Snapshot'!B41)</x:f>
      </x:c>
      <x:c r="C41" t="str">
        <x:f>IF(A41="","",'ERP Snapshot'!D41)</x:f>
      </x:c>
      <x:c r="D41" t="str">
        <x:f>IF(A41="","",IF(C41="MXN",IF(AND(Settings!$B$8="APPROVED",Settings!$B$9&lt;&gt;"",Settings!$B$10&lt;&gt;"",Settings!$B$2&gt;0),'PO Authorization'!F41/Settings!$B$2,""),'PO Authorization'!F41))</x:f>
      </x:c>
      <x:c r="E41" t="str">
        <x:f>IF(A41="","",IF(C41="MXN",IF(AND(Settings!$B$8="APPROVED",Settings!$B$9&lt;&gt;"",Settings!$B$10&lt;&gt;"",Settings!$B$2&gt;0),'ERP Snapshot'!I41/Settings!$B$2,""),'ERP Snapshot'!I41))</x:f>
      </x:c>
      <x:c r="F41" t="str">
        <x:f>IF(A41="","",IF(AND(ISNUMBER(D41),ISNUMBER(E41)),D41-E41,""))</x:f>
      </x:c>
      <x:c r="G41" t="str">
        <x:f>IF(A41="","",IF(ISNUMBER('ERP Snapshot'!F41),'ERP Snapshot'!F41,""))</x:f>
      </x:c>
      <x:c r="H41" t="str">
        <x:f>IF(A41="","",'ERP Snapshot'!G41)</x:f>
      </x:c>
      <x:c r="I41" t="str">
        <x:f>IF(A41="","",IF(ISNUMBER('ERP Snapshot'!S41),'ERP Snapshot'!S41,""))</x:f>
      </x:c>
      <x:c r="J41" t="str">
        <x:f>IF(A41="","",IF(AND(ISNUMBER(G41),ISNUMBER(I41)),G41-I41,""))</x:f>
      </x:c>
      <x:c r="K41" s="8" t="str">
        <x:f>IF(A41="","",IF(AND(ISNUMBER(G41),G41&gt;0,ISNUMBER(I41)),I41/G41,""))</x:f>
      </x:c>
      <x:c r="L41" t="str">
        <x:f>IF(A41="","",IF(NOT(ISNUMBER(G41)),"BUDGET DATA REQUIRED",IF(G41&lt;=0,"REVIEW: NO BUDGET",IF(NOT(ISNUMBER(I41)),"PO DATA REQUIRED",IF(I41&lt;0,"REVIEW: PO AMOUNT",IF(K41&gt;1,"OVER BUDGET",IF(K41=1,"BUDGET EXHAUSTED",IF(K41&gt;=Settings!$B$3,"PREVENTIVE ALERT","OK"))))))))</x:f>
      </x:c>
      <x:c r="M41" t="str">
        <x:f>IF(A41="","",'ERP Snapshot'!K41)</x:f>
      </x:c>
      <x:c r="N41" t="str">
        <x:f>IF(A41="","",COUNTIFS(Exceptions!$A$2:$A$101,A41,Exceptions!$E$2:$E$101,"Open"))</x:f>
      </x:c>
      <x:c r="O41" t="str">
        <x:f>IF(A41="","",IF(AND(C41="MXN",OR(D41="",E41="")),"FX HOLD",IF(E41&gt;D41,"REVIEW: ABOVE CUSTOMER PO",IF('PO Authorization'!H41="REVIEW: SNAPSHOT DIFFERS","REVIEW: PO SNAPSHOT",IF(E41=D41,"FULLY INVOICED",IF(E41&gt;0,"PARTIAL INVOICE","NOT INVOICED"))))))</x:f>
      </x:c>
      <x:c r="P41" t="str">
        <x:f>IF(A41="","",IF(OR(O41="FX HOLD",O41="REVIEW: PO SNAPSHOT",L41="OVER BUDGET",L41="BUDGET EXHAUSTED",O41="REVIEW: ABOVE CUSTOMER PO",'ERP Snapshot'!L41="YES"),"CRITICAL / REVIEW",IF(OR(L41="PO DATA REQUIRED",L41="BUDGET DATA REQUIRED",L41="REVIEW: NO BUDGET",L41="REVIEW: PO AMOUNT",N41&gt;0,M41&gt;0,F41&gt;0),"FOLLOW UP","NORMAL")))</x:f>
      </x:c>
      <x:c r="Q41" s="68" t="str">
        <x:f>IF(A41="","",'ERP Snapshot'!N41)</x:f>
      </x:c>
      <x:c r="R41" t="str">
        <x:f>IF(A41="","",'ERP Snapshot'!Q41)</x:f>
      </x:c>
      <x:c r="S41" t="str">
        <x:f>IF(A41="","",'ERP Snapshot'!R41)</x:f>
      </x:c>
      <x:c r="T41" t="str">
        <x:f>IF(A41="","",'ERP Snapshot'!C41)</x:f>
      </x:c>
    </x:row>
    <x:row r="42">
      <x:c r="A42" t="str">
        <x:f>IF('ERP Snapshot'!A42="","",'ERP Snapshot'!A42)</x:f>
      </x:c>
      <x:c r="B42" t="str">
        <x:f>IF(A42="","",'ERP Snapshot'!B42)</x:f>
      </x:c>
      <x:c r="C42" t="str">
        <x:f>IF(A42="","",'ERP Snapshot'!D42)</x:f>
      </x:c>
      <x:c r="D42" t="str">
        <x:f>IF(A42="","",IF(C42="MXN",IF(AND(Settings!$B$8="APPROVED",Settings!$B$9&lt;&gt;"",Settings!$B$10&lt;&gt;"",Settings!$B$2&gt;0),'PO Authorization'!F42/Settings!$B$2,""),'PO Authorization'!F42))</x:f>
      </x:c>
      <x:c r="E42" t="str">
        <x:f>IF(A42="","",IF(C42="MXN",IF(AND(Settings!$B$8="APPROVED",Settings!$B$9&lt;&gt;"",Settings!$B$10&lt;&gt;"",Settings!$B$2&gt;0),'ERP Snapshot'!I42/Settings!$B$2,""),'ERP Snapshot'!I42))</x:f>
      </x:c>
      <x:c r="F42" t="str">
        <x:f>IF(A42="","",IF(AND(ISNUMBER(D42),ISNUMBER(E42)),D42-E42,""))</x:f>
      </x:c>
      <x:c r="G42" t="str">
        <x:f>IF(A42="","",IF(ISNUMBER('ERP Snapshot'!F42),'ERP Snapshot'!F42,""))</x:f>
      </x:c>
      <x:c r="H42" t="str">
        <x:f>IF(A42="","",'ERP Snapshot'!G42)</x:f>
      </x:c>
      <x:c r="I42" t="str">
        <x:f>IF(A42="","",IF(ISNUMBER('ERP Snapshot'!S42),'ERP Snapshot'!S42,""))</x:f>
      </x:c>
      <x:c r="J42" t="str">
        <x:f>IF(A42="","",IF(AND(ISNUMBER(G42),ISNUMBER(I42)),G42-I42,""))</x:f>
      </x:c>
      <x:c r="K42" s="8" t="str">
        <x:f>IF(A42="","",IF(AND(ISNUMBER(G42),G42&gt;0,ISNUMBER(I42)),I42/G42,""))</x:f>
      </x:c>
      <x:c r="L42" t="str">
        <x:f>IF(A42="","",IF(NOT(ISNUMBER(G42)),"BUDGET DATA REQUIRED",IF(G42&lt;=0,"REVIEW: NO BUDGET",IF(NOT(ISNUMBER(I42)),"PO DATA REQUIRED",IF(I42&lt;0,"REVIEW: PO AMOUNT",IF(K42&gt;1,"OVER BUDGET",IF(K42=1,"BUDGET EXHAUSTED",IF(K42&gt;=Settings!$B$3,"PREVENTIVE ALERT","OK"))))))))</x:f>
      </x:c>
      <x:c r="M42" t="str">
        <x:f>IF(A42="","",'ERP Snapshot'!K42)</x:f>
      </x:c>
      <x:c r="N42" t="str">
        <x:f>IF(A42="","",COUNTIFS(Exceptions!$A$2:$A$101,A42,Exceptions!$E$2:$E$101,"Open"))</x:f>
      </x:c>
      <x:c r="O42" t="str">
        <x:f>IF(A42="","",IF(AND(C42="MXN",OR(D42="",E42="")),"FX HOLD",IF(E42&gt;D42,"REVIEW: ABOVE CUSTOMER PO",IF('PO Authorization'!H42="REVIEW: SNAPSHOT DIFFERS","REVIEW: PO SNAPSHOT",IF(E42=D42,"FULLY INVOICED",IF(E42&gt;0,"PARTIAL INVOICE","NOT INVOICED"))))))</x:f>
      </x:c>
      <x:c r="P42" t="str">
        <x:f>IF(A42="","",IF(OR(O42="FX HOLD",O42="REVIEW: PO SNAPSHOT",L42="OVER BUDGET",L42="BUDGET EXHAUSTED",O42="REVIEW: ABOVE CUSTOMER PO",'ERP Snapshot'!L42="YES"),"CRITICAL / REVIEW",IF(OR(L42="PO DATA REQUIRED",L42="BUDGET DATA REQUIRED",L42="REVIEW: NO BUDGET",L42="REVIEW: PO AMOUNT",N42&gt;0,M42&gt;0,F42&gt;0),"FOLLOW UP","NORMAL")))</x:f>
      </x:c>
      <x:c r="Q42" s="68" t="str">
        <x:f>IF(A42="","",'ERP Snapshot'!N42)</x:f>
      </x:c>
      <x:c r="R42" t="str">
        <x:f>IF(A42="","",'ERP Snapshot'!Q42)</x:f>
      </x:c>
      <x:c r="S42" t="str">
        <x:f>IF(A42="","",'ERP Snapshot'!R42)</x:f>
      </x:c>
      <x:c r="T42" t="str">
        <x:f>IF(A42="","",'ERP Snapshot'!C42)</x:f>
      </x:c>
    </x:row>
    <x:row r="43">
      <x:c r="A43" t="str">
        <x:f>IF('ERP Snapshot'!A43="","",'ERP Snapshot'!A43)</x:f>
      </x:c>
      <x:c r="B43" t="str">
        <x:f>IF(A43="","",'ERP Snapshot'!B43)</x:f>
      </x:c>
      <x:c r="C43" t="str">
        <x:f>IF(A43="","",'ERP Snapshot'!D43)</x:f>
      </x:c>
      <x:c r="D43" t="str">
        <x:f>IF(A43="","",IF(C43="MXN",IF(AND(Settings!$B$8="APPROVED",Settings!$B$9&lt;&gt;"",Settings!$B$10&lt;&gt;"",Settings!$B$2&gt;0),'PO Authorization'!F43/Settings!$B$2,""),'PO Authorization'!F43))</x:f>
      </x:c>
      <x:c r="E43" t="str">
        <x:f>IF(A43="","",IF(C43="MXN",IF(AND(Settings!$B$8="APPROVED",Settings!$B$9&lt;&gt;"",Settings!$B$10&lt;&gt;"",Settings!$B$2&gt;0),'ERP Snapshot'!I43/Settings!$B$2,""),'ERP Snapshot'!I43))</x:f>
      </x:c>
      <x:c r="F43" t="str">
        <x:f>IF(A43="","",IF(AND(ISNUMBER(D43),ISNUMBER(E43)),D43-E43,""))</x:f>
      </x:c>
      <x:c r="G43" t="str">
        <x:f>IF(A43="","",IF(ISNUMBER('ERP Snapshot'!F43),'ERP Snapshot'!F43,""))</x:f>
      </x:c>
      <x:c r="H43" t="str">
        <x:f>IF(A43="","",'ERP Snapshot'!G43)</x:f>
      </x:c>
      <x:c r="I43" t="str">
        <x:f>IF(A43="","",IF(ISNUMBER('ERP Snapshot'!S43),'ERP Snapshot'!S43,""))</x:f>
      </x:c>
      <x:c r="J43" t="str">
        <x:f>IF(A43="","",IF(AND(ISNUMBER(G43),ISNUMBER(I43)),G43-I43,""))</x:f>
      </x:c>
      <x:c r="K43" s="8" t="str">
        <x:f>IF(A43="","",IF(AND(ISNUMBER(G43),G43&gt;0,ISNUMBER(I43)),I43/G43,""))</x:f>
      </x:c>
      <x:c r="L43" t="str">
        <x:f>IF(A43="","",IF(NOT(ISNUMBER(G43)),"BUDGET DATA REQUIRED",IF(G43&lt;=0,"REVIEW: NO BUDGET",IF(NOT(ISNUMBER(I43)),"PO DATA REQUIRED",IF(I43&lt;0,"REVIEW: PO AMOUNT",IF(K43&gt;1,"OVER BUDGET",IF(K43=1,"BUDGET EXHAUSTED",IF(K43&gt;=Settings!$B$3,"PREVENTIVE ALERT","OK"))))))))</x:f>
      </x:c>
      <x:c r="M43" t="str">
        <x:f>IF(A43="","",'ERP Snapshot'!K43)</x:f>
      </x:c>
      <x:c r="N43" t="str">
        <x:f>IF(A43="","",COUNTIFS(Exceptions!$A$2:$A$101,A43,Exceptions!$E$2:$E$101,"Open"))</x:f>
      </x:c>
      <x:c r="O43" t="str">
        <x:f>IF(A43="","",IF(AND(C43="MXN",OR(D43="",E43="")),"FX HOLD",IF(E43&gt;D43,"REVIEW: ABOVE CUSTOMER PO",IF('PO Authorization'!H43="REVIEW: SNAPSHOT DIFFERS","REVIEW: PO SNAPSHOT",IF(E43=D43,"FULLY INVOICED",IF(E43&gt;0,"PARTIAL INVOICE","NOT INVOICED"))))))</x:f>
      </x:c>
      <x:c r="P43" t="str">
        <x:f>IF(A43="","",IF(OR(O43="FX HOLD",O43="REVIEW: PO SNAPSHOT",L43="OVER BUDGET",L43="BUDGET EXHAUSTED",O43="REVIEW: ABOVE CUSTOMER PO",'ERP Snapshot'!L43="YES"),"CRITICAL / REVIEW",IF(OR(L43="PO DATA REQUIRED",L43="BUDGET DATA REQUIRED",L43="REVIEW: NO BUDGET",L43="REVIEW: PO AMOUNT",N43&gt;0,M43&gt;0,F43&gt;0),"FOLLOW UP","NORMAL")))</x:f>
      </x:c>
      <x:c r="Q43" s="68" t="str">
        <x:f>IF(A43="","",'ERP Snapshot'!N43)</x:f>
      </x:c>
      <x:c r="R43" t="str">
        <x:f>IF(A43="","",'ERP Snapshot'!Q43)</x:f>
      </x:c>
      <x:c r="S43" t="str">
        <x:f>IF(A43="","",'ERP Snapshot'!R43)</x:f>
      </x:c>
      <x:c r="T43" t="str">
        <x:f>IF(A43="","",'ERP Snapshot'!C43)</x:f>
      </x:c>
    </x:row>
    <x:row r="44">
      <x:c r="A44" t="str">
        <x:f>IF('ERP Snapshot'!A44="","",'ERP Snapshot'!A44)</x:f>
      </x:c>
      <x:c r="B44" t="str">
        <x:f>IF(A44="","",'ERP Snapshot'!B44)</x:f>
      </x:c>
      <x:c r="C44" t="str">
        <x:f>IF(A44="","",'ERP Snapshot'!D44)</x:f>
      </x:c>
      <x:c r="D44" t="str">
        <x:f>IF(A44="","",IF(C44="MXN",IF(AND(Settings!$B$8="APPROVED",Settings!$B$9&lt;&gt;"",Settings!$B$10&lt;&gt;"",Settings!$B$2&gt;0),'PO Authorization'!F44/Settings!$B$2,""),'PO Authorization'!F44))</x:f>
      </x:c>
      <x:c r="E44" t="str">
        <x:f>IF(A44="","",IF(C44="MXN",IF(AND(Settings!$B$8="APPROVED",Settings!$B$9&lt;&gt;"",Settings!$B$10&lt;&gt;"",Settings!$B$2&gt;0),'ERP Snapshot'!I44/Settings!$B$2,""),'ERP Snapshot'!I44))</x:f>
      </x:c>
      <x:c r="F44" t="str">
        <x:f>IF(A44="","",IF(AND(ISNUMBER(D44),ISNUMBER(E44)),D44-E44,""))</x:f>
      </x:c>
      <x:c r="G44" t="str">
        <x:f>IF(A44="","",IF(ISNUMBER('ERP Snapshot'!F44),'ERP Snapshot'!F44,""))</x:f>
      </x:c>
      <x:c r="H44" t="str">
        <x:f>IF(A44="","",'ERP Snapshot'!G44)</x:f>
      </x:c>
      <x:c r="I44" t="str">
        <x:f>IF(A44="","",IF(ISNUMBER('ERP Snapshot'!S44),'ERP Snapshot'!S44,""))</x:f>
      </x:c>
      <x:c r="J44" t="str">
        <x:f>IF(A44="","",IF(AND(ISNUMBER(G44),ISNUMBER(I44)),G44-I44,""))</x:f>
      </x:c>
      <x:c r="K44" s="8" t="str">
        <x:f>IF(A44="","",IF(AND(ISNUMBER(G44),G44&gt;0,ISNUMBER(I44)),I44/G44,""))</x:f>
      </x:c>
      <x:c r="L44" t="str">
        <x:f>IF(A44="","",IF(NOT(ISNUMBER(G44)),"BUDGET DATA REQUIRED",IF(G44&lt;=0,"REVIEW: NO BUDGET",IF(NOT(ISNUMBER(I44)),"PO DATA REQUIRED",IF(I44&lt;0,"REVIEW: PO AMOUNT",IF(K44&gt;1,"OVER BUDGET",IF(K44=1,"BUDGET EXHAUSTED",IF(K44&gt;=Settings!$B$3,"PREVENTIVE ALERT","OK"))))))))</x:f>
      </x:c>
      <x:c r="M44" t="str">
        <x:f>IF(A44="","",'ERP Snapshot'!K44)</x:f>
      </x:c>
      <x:c r="N44" t="str">
        <x:f>IF(A44="","",COUNTIFS(Exceptions!$A$2:$A$101,A44,Exceptions!$E$2:$E$101,"Open"))</x:f>
      </x:c>
      <x:c r="O44" t="str">
        <x:f>IF(A44="","",IF(AND(C44="MXN",OR(D44="",E44="")),"FX HOLD",IF(E44&gt;D44,"REVIEW: ABOVE CUSTOMER PO",IF('PO Authorization'!H44="REVIEW: SNAPSHOT DIFFERS","REVIEW: PO SNAPSHOT",IF(E44=D44,"FULLY INVOICED",IF(E44&gt;0,"PARTIAL INVOICE","NOT INVOICED"))))))</x:f>
      </x:c>
      <x:c r="P44" t="str">
        <x:f>IF(A44="","",IF(OR(O44="FX HOLD",O44="REVIEW: PO SNAPSHOT",L44="OVER BUDGET",L44="BUDGET EXHAUSTED",O44="REVIEW: ABOVE CUSTOMER PO",'ERP Snapshot'!L44="YES"),"CRITICAL / REVIEW",IF(OR(L44="PO DATA REQUIRED",L44="BUDGET DATA REQUIRED",L44="REVIEW: NO BUDGET",L44="REVIEW: PO AMOUNT",N44&gt;0,M44&gt;0,F44&gt;0),"FOLLOW UP","NORMAL")))</x:f>
      </x:c>
      <x:c r="Q44" s="68" t="str">
        <x:f>IF(A44="","",'ERP Snapshot'!N44)</x:f>
      </x:c>
      <x:c r="R44" t="str">
        <x:f>IF(A44="","",'ERP Snapshot'!Q44)</x:f>
      </x:c>
      <x:c r="S44" t="str">
        <x:f>IF(A44="","",'ERP Snapshot'!R44)</x:f>
      </x:c>
      <x:c r="T44" t="str">
        <x:f>IF(A44="","",'ERP Snapshot'!C44)</x:f>
      </x:c>
    </x:row>
    <x:row r="45">
      <x:c r="A45" t="str">
        <x:f>IF('ERP Snapshot'!A45="","",'ERP Snapshot'!A45)</x:f>
      </x:c>
      <x:c r="B45" t="str">
        <x:f>IF(A45="","",'ERP Snapshot'!B45)</x:f>
      </x:c>
      <x:c r="C45" t="str">
        <x:f>IF(A45="","",'ERP Snapshot'!D45)</x:f>
      </x:c>
      <x:c r="D45" t="str">
        <x:f>IF(A45="","",IF(C45="MXN",IF(AND(Settings!$B$8="APPROVED",Settings!$B$9&lt;&gt;"",Settings!$B$10&lt;&gt;"",Settings!$B$2&gt;0),'PO Authorization'!F45/Settings!$B$2,""),'PO Authorization'!F45))</x:f>
      </x:c>
      <x:c r="E45" t="str">
        <x:f>IF(A45="","",IF(C45="MXN",IF(AND(Settings!$B$8="APPROVED",Settings!$B$9&lt;&gt;"",Settings!$B$10&lt;&gt;"",Settings!$B$2&gt;0),'ERP Snapshot'!I45/Settings!$B$2,""),'ERP Snapshot'!I45))</x:f>
      </x:c>
      <x:c r="F45" t="str">
        <x:f>IF(A45="","",IF(AND(ISNUMBER(D45),ISNUMBER(E45)),D45-E45,""))</x:f>
      </x:c>
      <x:c r="G45" t="str">
        <x:f>IF(A45="","",IF(ISNUMBER('ERP Snapshot'!F45),'ERP Snapshot'!F45,""))</x:f>
      </x:c>
      <x:c r="H45" t="str">
        <x:f>IF(A45="","",'ERP Snapshot'!G45)</x:f>
      </x:c>
      <x:c r="I45" t="str">
        <x:f>IF(A45="","",IF(ISNUMBER('ERP Snapshot'!S45),'ERP Snapshot'!S45,""))</x:f>
      </x:c>
      <x:c r="J45" t="str">
        <x:f>IF(A45="","",IF(AND(ISNUMBER(G45),ISNUMBER(I45)),G45-I45,""))</x:f>
      </x:c>
      <x:c r="K45" s="8" t="str">
        <x:f>IF(A45="","",IF(AND(ISNUMBER(G45),G45&gt;0,ISNUMBER(I45)),I45/G45,""))</x:f>
      </x:c>
      <x:c r="L45" t="str">
        <x:f>IF(A45="","",IF(NOT(ISNUMBER(G45)),"BUDGET DATA REQUIRED",IF(G45&lt;=0,"REVIEW: NO BUDGET",IF(NOT(ISNUMBER(I45)),"PO DATA REQUIRED",IF(I45&lt;0,"REVIEW: PO AMOUNT",IF(K45&gt;1,"OVER BUDGET",IF(K45=1,"BUDGET EXHAUSTED",IF(K45&gt;=Settings!$B$3,"PREVENTIVE ALERT","OK"))))))))</x:f>
      </x:c>
      <x:c r="M45" t="str">
        <x:f>IF(A45="","",'ERP Snapshot'!K45)</x:f>
      </x:c>
      <x:c r="N45" t="str">
        <x:f>IF(A45="","",COUNTIFS(Exceptions!$A$2:$A$101,A45,Exceptions!$E$2:$E$101,"Open"))</x:f>
      </x:c>
      <x:c r="O45" t="str">
        <x:f>IF(A45="","",IF(AND(C45="MXN",OR(D45="",E45="")),"FX HOLD",IF(E45&gt;D45,"REVIEW: ABOVE CUSTOMER PO",IF('PO Authorization'!H45="REVIEW: SNAPSHOT DIFFERS","REVIEW: PO SNAPSHOT",IF(E45=D45,"FULLY INVOICED",IF(E45&gt;0,"PARTIAL INVOICE","NOT INVOICED"))))))</x:f>
      </x:c>
      <x:c r="P45" t="str">
        <x:f>IF(A45="","",IF(OR(O45="FX HOLD",O45="REVIEW: PO SNAPSHOT",L45="OVER BUDGET",L45="BUDGET EXHAUSTED",O45="REVIEW: ABOVE CUSTOMER PO",'ERP Snapshot'!L45="YES"),"CRITICAL / REVIEW",IF(OR(L45="PO DATA REQUIRED",L45="BUDGET DATA REQUIRED",L45="REVIEW: NO BUDGET",L45="REVIEW: PO AMOUNT",N45&gt;0,M45&gt;0,F45&gt;0),"FOLLOW UP","NORMAL")))</x:f>
      </x:c>
      <x:c r="Q45" s="68" t="str">
        <x:f>IF(A45="","",'ERP Snapshot'!N45)</x:f>
      </x:c>
      <x:c r="R45" t="str">
        <x:f>IF(A45="","",'ERP Snapshot'!Q45)</x:f>
      </x:c>
      <x:c r="S45" t="str">
        <x:f>IF(A45="","",'ERP Snapshot'!R45)</x:f>
      </x:c>
      <x:c r="T45" t="str">
        <x:f>IF(A45="","",'ERP Snapshot'!C45)</x:f>
      </x:c>
    </x:row>
    <x:row r="46">
      <x:c r="A46" t="str">
        <x:f>IF('ERP Snapshot'!A46="","",'ERP Snapshot'!A46)</x:f>
      </x:c>
      <x:c r="B46" t="str">
        <x:f>IF(A46="","",'ERP Snapshot'!B46)</x:f>
      </x:c>
      <x:c r="C46" t="str">
        <x:f>IF(A46="","",'ERP Snapshot'!D46)</x:f>
      </x:c>
      <x:c r="D46" t="str">
        <x:f>IF(A46="","",IF(C46="MXN",IF(AND(Settings!$B$8="APPROVED",Settings!$B$9&lt;&gt;"",Settings!$B$10&lt;&gt;"",Settings!$B$2&gt;0),'PO Authorization'!F46/Settings!$B$2,""),'PO Authorization'!F46))</x:f>
      </x:c>
      <x:c r="E46" t="str">
        <x:f>IF(A46="","",IF(C46="MXN",IF(AND(Settings!$B$8="APPROVED",Settings!$B$9&lt;&gt;"",Settings!$B$10&lt;&gt;"",Settings!$B$2&gt;0),'ERP Snapshot'!I46/Settings!$B$2,""),'ERP Snapshot'!I46))</x:f>
      </x:c>
      <x:c r="F46" t="str">
        <x:f>IF(A46="","",IF(AND(ISNUMBER(D46),ISNUMBER(E46)),D46-E46,""))</x:f>
      </x:c>
      <x:c r="G46" t="str">
        <x:f>IF(A46="","",IF(ISNUMBER('ERP Snapshot'!F46),'ERP Snapshot'!F46,""))</x:f>
      </x:c>
      <x:c r="H46" t="str">
        <x:f>IF(A46="","",'ERP Snapshot'!G46)</x:f>
      </x:c>
      <x:c r="I46" t="str">
        <x:f>IF(A46="","",IF(ISNUMBER('ERP Snapshot'!S46),'ERP Snapshot'!S46,""))</x:f>
      </x:c>
      <x:c r="J46" t="str">
        <x:f>IF(A46="","",IF(AND(ISNUMBER(G46),ISNUMBER(I46)),G46-I46,""))</x:f>
      </x:c>
      <x:c r="K46" s="8" t="str">
        <x:f>IF(A46="","",IF(AND(ISNUMBER(G46),G46&gt;0,ISNUMBER(I46)),I46/G46,""))</x:f>
      </x:c>
      <x:c r="L46" t="str">
        <x:f>IF(A46="","",IF(NOT(ISNUMBER(G46)),"BUDGET DATA REQUIRED",IF(G46&lt;=0,"REVIEW: NO BUDGET",IF(NOT(ISNUMBER(I46)),"PO DATA REQUIRED",IF(I46&lt;0,"REVIEW: PO AMOUNT",IF(K46&gt;1,"OVER BUDGET",IF(K46=1,"BUDGET EXHAUSTED",IF(K46&gt;=Settings!$B$3,"PREVENTIVE ALERT","OK"))))))))</x:f>
      </x:c>
      <x:c r="M46" t="str">
        <x:f>IF(A46="","",'ERP Snapshot'!K46)</x:f>
      </x:c>
      <x:c r="N46" t="str">
        <x:f>IF(A46="","",COUNTIFS(Exceptions!$A$2:$A$101,A46,Exceptions!$E$2:$E$101,"Open"))</x:f>
      </x:c>
      <x:c r="O46" t="str">
        <x:f>IF(A46="","",IF(AND(C46="MXN",OR(D46="",E46="")),"FX HOLD",IF(E46&gt;D46,"REVIEW: ABOVE CUSTOMER PO",IF('PO Authorization'!H46="REVIEW: SNAPSHOT DIFFERS","REVIEW: PO SNAPSHOT",IF(E46=D46,"FULLY INVOICED",IF(E46&gt;0,"PARTIAL INVOICE","NOT INVOICED"))))))</x:f>
      </x:c>
      <x:c r="P46" t="str">
        <x:f>IF(A46="","",IF(OR(O46="FX HOLD",O46="REVIEW: PO SNAPSHOT",L46="OVER BUDGET",L46="BUDGET EXHAUSTED",O46="REVIEW: ABOVE CUSTOMER PO",'ERP Snapshot'!L46="YES"),"CRITICAL / REVIEW",IF(OR(L46="PO DATA REQUIRED",L46="BUDGET DATA REQUIRED",L46="REVIEW: NO BUDGET",L46="REVIEW: PO AMOUNT",N46&gt;0,M46&gt;0,F46&gt;0),"FOLLOW UP","NORMAL")))</x:f>
      </x:c>
      <x:c r="Q46" s="68" t="str">
        <x:f>IF(A46="","",'ERP Snapshot'!N46)</x:f>
      </x:c>
      <x:c r="R46" t="str">
        <x:f>IF(A46="","",'ERP Snapshot'!Q46)</x:f>
      </x:c>
      <x:c r="S46" t="str">
        <x:f>IF(A46="","",'ERP Snapshot'!R46)</x:f>
      </x:c>
      <x:c r="T46" t="str">
        <x:f>IF(A46="","",'ERP Snapshot'!C46)</x:f>
      </x:c>
    </x:row>
    <x:row r="47">
      <x:c r="A47" t="str">
        <x:f>IF('ERP Snapshot'!A47="","",'ERP Snapshot'!A47)</x:f>
      </x:c>
      <x:c r="B47" t="str">
        <x:f>IF(A47="","",'ERP Snapshot'!B47)</x:f>
      </x:c>
      <x:c r="C47" t="str">
        <x:f>IF(A47="","",'ERP Snapshot'!D47)</x:f>
      </x:c>
      <x:c r="D47" t="str">
        <x:f>IF(A47="","",IF(C47="MXN",IF(AND(Settings!$B$8="APPROVED",Settings!$B$9&lt;&gt;"",Settings!$B$10&lt;&gt;"",Settings!$B$2&gt;0),'PO Authorization'!F47/Settings!$B$2,""),'PO Authorization'!F47))</x:f>
      </x:c>
      <x:c r="E47" t="str">
        <x:f>IF(A47="","",IF(C47="MXN",IF(AND(Settings!$B$8="APPROVED",Settings!$B$9&lt;&gt;"",Settings!$B$10&lt;&gt;"",Settings!$B$2&gt;0),'ERP Snapshot'!I47/Settings!$B$2,""),'ERP Snapshot'!I47))</x:f>
      </x:c>
      <x:c r="F47" t="str">
        <x:f>IF(A47="","",IF(AND(ISNUMBER(D47),ISNUMBER(E47)),D47-E47,""))</x:f>
      </x:c>
      <x:c r="G47" t="str">
        <x:f>IF(A47="","",IF(ISNUMBER('ERP Snapshot'!F47),'ERP Snapshot'!F47,""))</x:f>
      </x:c>
      <x:c r="H47" t="str">
        <x:f>IF(A47="","",'ERP Snapshot'!G47)</x:f>
      </x:c>
      <x:c r="I47" t="str">
        <x:f>IF(A47="","",IF(ISNUMBER('ERP Snapshot'!S47),'ERP Snapshot'!S47,""))</x:f>
      </x:c>
      <x:c r="J47" t="str">
        <x:f>IF(A47="","",IF(AND(ISNUMBER(G47),ISNUMBER(I47)),G47-I47,""))</x:f>
      </x:c>
      <x:c r="K47" s="8" t="str">
        <x:f>IF(A47="","",IF(AND(ISNUMBER(G47),G47&gt;0,ISNUMBER(I47)),I47/G47,""))</x:f>
      </x:c>
      <x:c r="L47" t="str">
        <x:f>IF(A47="","",IF(NOT(ISNUMBER(G47)),"BUDGET DATA REQUIRED",IF(G47&lt;=0,"REVIEW: NO BUDGET",IF(NOT(ISNUMBER(I47)),"PO DATA REQUIRED",IF(I47&lt;0,"REVIEW: PO AMOUNT",IF(K47&gt;1,"OVER BUDGET",IF(K47=1,"BUDGET EXHAUSTED",IF(K47&gt;=Settings!$B$3,"PREVENTIVE ALERT","OK"))))))))</x:f>
      </x:c>
      <x:c r="M47" t="str">
        <x:f>IF(A47="","",'ERP Snapshot'!K47)</x:f>
      </x:c>
      <x:c r="N47" t="str">
        <x:f>IF(A47="","",COUNTIFS(Exceptions!$A$2:$A$101,A47,Exceptions!$E$2:$E$101,"Open"))</x:f>
      </x:c>
      <x:c r="O47" t="str">
        <x:f>IF(A47="","",IF(AND(C47="MXN",OR(D47="",E47="")),"FX HOLD",IF(E47&gt;D47,"REVIEW: ABOVE CUSTOMER PO",IF('PO Authorization'!H47="REVIEW: SNAPSHOT DIFFERS","REVIEW: PO SNAPSHOT",IF(E47=D47,"FULLY INVOICED",IF(E47&gt;0,"PARTIAL INVOICE","NOT INVOICED"))))))</x:f>
      </x:c>
      <x:c r="P47" t="str">
        <x:f>IF(A47="","",IF(OR(O47="FX HOLD",O47="REVIEW: PO SNAPSHOT",L47="OVER BUDGET",L47="BUDGET EXHAUSTED",O47="REVIEW: ABOVE CUSTOMER PO",'ERP Snapshot'!L47="YES"),"CRITICAL / REVIEW",IF(OR(L47="PO DATA REQUIRED",L47="BUDGET DATA REQUIRED",L47="REVIEW: NO BUDGET",L47="REVIEW: PO AMOUNT",N47&gt;0,M47&gt;0,F47&gt;0),"FOLLOW UP","NORMAL")))</x:f>
      </x:c>
      <x:c r="Q47" s="68" t="str">
        <x:f>IF(A47="","",'ERP Snapshot'!N47)</x:f>
      </x:c>
      <x:c r="R47" t="str">
        <x:f>IF(A47="","",'ERP Snapshot'!Q47)</x:f>
      </x:c>
      <x:c r="S47" t="str">
        <x:f>IF(A47="","",'ERP Snapshot'!R47)</x:f>
      </x:c>
      <x:c r="T47" t="str">
        <x:f>IF(A47="","",'ERP Snapshot'!C47)</x:f>
      </x:c>
    </x:row>
    <x:row r="48">
      <x:c r="A48" t="str">
        <x:f>IF('ERP Snapshot'!A48="","",'ERP Snapshot'!A48)</x:f>
      </x:c>
      <x:c r="B48" t="str">
        <x:f>IF(A48="","",'ERP Snapshot'!B48)</x:f>
      </x:c>
      <x:c r="C48" t="str">
        <x:f>IF(A48="","",'ERP Snapshot'!D48)</x:f>
      </x:c>
      <x:c r="D48" t="str">
        <x:f>IF(A48="","",IF(C48="MXN",IF(AND(Settings!$B$8="APPROVED",Settings!$B$9&lt;&gt;"",Settings!$B$10&lt;&gt;"",Settings!$B$2&gt;0),'PO Authorization'!F48/Settings!$B$2,""),'PO Authorization'!F48))</x:f>
      </x:c>
      <x:c r="E48" t="str">
        <x:f>IF(A48="","",IF(C48="MXN",IF(AND(Settings!$B$8="APPROVED",Settings!$B$9&lt;&gt;"",Settings!$B$10&lt;&gt;"",Settings!$B$2&gt;0),'ERP Snapshot'!I48/Settings!$B$2,""),'ERP Snapshot'!I48))</x:f>
      </x:c>
      <x:c r="F48" t="str">
        <x:f>IF(A48="","",IF(AND(ISNUMBER(D48),ISNUMBER(E48)),D48-E48,""))</x:f>
      </x:c>
      <x:c r="G48" t="str">
        <x:f>IF(A48="","",IF(ISNUMBER('ERP Snapshot'!F48),'ERP Snapshot'!F48,""))</x:f>
      </x:c>
      <x:c r="H48" t="str">
        <x:f>IF(A48="","",'ERP Snapshot'!G48)</x:f>
      </x:c>
      <x:c r="I48" t="str">
        <x:f>IF(A48="","",IF(ISNUMBER('ERP Snapshot'!S48),'ERP Snapshot'!S48,""))</x:f>
      </x:c>
      <x:c r="J48" t="str">
        <x:f>IF(A48="","",IF(AND(ISNUMBER(G48),ISNUMBER(I48)),G48-I48,""))</x:f>
      </x:c>
      <x:c r="K48" s="8" t="str">
        <x:f>IF(A48="","",IF(AND(ISNUMBER(G48),G48&gt;0,ISNUMBER(I48)),I48/G48,""))</x:f>
      </x:c>
      <x:c r="L48" t="str">
        <x:f>IF(A48="","",IF(NOT(ISNUMBER(G48)),"BUDGET DATA REQUIRED",IF(G48&lt;=0,"REVIEW: NO BUDGET",IF(NOT(ISNUMBER(I48)),"PO DATA REQUIRED",IF(I48&lt;0,"REVIEW: PO AMOUNT",IF(K48&gt;1,"OVER BUDGET",IF(K48=1,"BUDGET EXHAUSTED",IF(K48&gt;=Settings!$B$3,"PREVENTIVE ALERT","OK"))))))))</x:f>
      </x:c>
      <x:c r="M48" t="str">
        <x:f>IF(A48="","",'ERP Snapshot'!K48)</x:f>
      </x:c>
      <x:c r="N48" t="str">
        <x:f>IF(A48="","",COUNTIFS(Exceptions!$A$2:$A$101,A48,Exceptions!$E$2:$E$101,"Open"))</x:f>
      </x:c>
      <x:c r="O48" t="str">
        <x:f>IF(A48="","",IF(AND(C48="MXN",OR(D48="",E48="")),"FX HOLD",IF(E48&gt;D48,"REVIEW: ABOVE CUSTOMER PO",IF('PO Authorization'!H48="REVIEW: SNAPSHOT DIFFERS","REVIEW: PO SNAPSHOT",IF(E48=D48,"FULLY INVOICED",IF(E48&gt;0,"PARTIAL INVOICE","NOT INVOICED"))))))</x:f>
      </x:c>
      <x:c r="P48" t="str">
        <x:f>IF(A48="","",IF(OR(O48="FX HOLD",O48="REVIEW: PO SNAPSHOT",L48="OVER BUDGET",L48="BUDGET EXHAUSTED",O48="REVIEW: ABOVE CUSTOMER PO",'ERP Snapshot'!L48="YES"),"CRITICAL / REVIEW",IF(OR(L48="PO DATA REQUIRED",L48="BUDGET DATA REQUIRED",L48="REVIEW: NO BUDGET",L48="REVIEW: PO AMOUNT",N48&gt;0,M48&gt;0,F48&gt;0),"FOLLOW UP","NORMAL")))</x:f>
      </x:c>
      <x:c r="Q48" s="68" t="str">
        <x:f>IF(A48="","",'ERP Snapshot'!N48)</x:f>
      </x:c>
      <x:c r="R48" t="str">
        <x:f>IF(A48="","",'ERP Snapshot'!Q48)</x:f>
      </x:c>
      <x:c r="S48" t="str">
        <x:f>IF(A48="","",'ERP Snapshot'!R48)</x:f>
      </x:c>
      <x:c r="T48" t="str">
        <x:f>IF(A48="","",'ERP Snapshot'!C48)</x:f>
      </x:c>
    </x:row>
    <x:row r="49">
      <x:c r="A49" t="str">
        <x:f>IF('ERP Snapshot'!A49="","",'ERP Snapshot'!A49)</x:f>
      </x:c>
      <x:c r="B49" t="str">
        <x:f>IF(A49="","",'ERP Snapshot'!B49)</x:f>
      </x:c>
      <x:c r="C49" t="str">
        <x:f>IF(A49="","",'ERP Snapshot'!D49)</x:f>
      </x:c>
      <x:c r="D49" t="str">
        <x:f>IF(A49="","",IF(C49="MXN",IF(AND(Settings!$B$8="APPROVED",Settings!$B$9&lt;&gt;"",Settings!$B$10&lt;&gt;"",Settings!$B$2&gt;0),'PO Authorization'!F49/Settings!$B$2,""),'PO Authorization'!F49))</x:f>
      </x:c>
      <x:c r="E49" t="str">
        <x:f>IF(A49="","",IF(C49="MXN",IF(AND(Settings!$B$8="APPROVED",Settings!$B$9&lt;&gt;"",Settings!$B$10&lt;&gt;"",Settings!$B$2&gt;0),'ERP Snapshot'!I49/Settings!$B$2,""),'ERP Snapshot'!I49))</x:f>
      </x:c>
      <x:c r="F49" t="str">
        <x:f>IF(A49="","",IF(AND(ISNUMBER(D49),ISNUMBER(E49)),D49-E49,""))</x:f>
      </x:c>
      <x:c r="G49" t="str">
        <x:f>IF(A49="","",IF(ISNUMBER('ERP Snapshot'!F49),'ERP Snapshot'!F49,""))</x:f>
      </x:c>
      <x:c r="H49" t="str">
        <x:f>IF(A49="","",'ERP Snapshot'!G49)</x:f>
      </x:c>
      <x:c r="I49" t="str">
        <x:f>IF(A49="","",IF(ISNUMBER('ERP Snapshot'!S49),'ERP Snapshot'!S49,""))</x:f>
      </x:c>
      <x:c r="J49" t="str">
        <x:f>IF(A49="","",IF(AND(ISNUMBER(G49),ISNUMBER(I49)),G49-I49,""))</x:f>
      </x:c>
      <x:c r="K49" s="8" t="str">
        <x:f>IF(A49="","",IF(AND(ISNUMBER(G49),G49&gt;0,ISNUMBER(I49)),I49/G49,""))</x:f>
      </x:c>
      <x:c r="L49" t="str">
        <x:f>IF(A49="","",IF(NOT(ISNUMBER(G49)),"BUDGET DATA REQUIRED",IF(G49&lt;=0,"REVIEW: NO BUDGET",IF(NOT(ISNUMBER(I49)),"PO DATA REQUIRED",IF(I49&lt;0,"REVIEW: PO AMOUNT",IF(K49&gt;1,"OVER BUDGET",IF(K49=1,"BUDGET EXHAUSTED",IF(K49&gt;=Settings!$B$3,"PREVENTIVE ALERT","OK"))))))))</x:f>
      </x:c>
      <x:c r="M49" t="str">
        <x:f>IF(A49="","",'ERP Snapshot'!K49)</x:f>
      </x:c>
      <x:c r="N49" t="str">
        <x:f>IF(A49="","",COUNTIFS(Exceptions!$A$2:$A$101,A49,Exceptions!$E$2:$E$101,"Open"))</x:f>
      </x:c>
      <x:c r="O49" t="str">
        <x:f>IF(A49="","",IF(AND(C49="MXN",OR(D49="",E49="")),"FX HOLD",IF(E49&gt;D49,"REVIEW: ABOVE CUSTOMER PO",IF('PO Authorization'!H49="REVIEW: SNAPSHOT DIFFERS","REVIEW: PO SNAPSHOT",IF(E49=D49,"FULLY INVOICED",IF(E49&gt;0,"PARTIAL INVOICE","NOT INVOICED"))))))</x:f>
      </x:c>
      <x:c r="P49" t="str">
        <x:f>IF(A49="","",IF(OR(O49="FX HOLD",O49="REVIEW: PO SNAPSHOT",L49="OVER BUDGET",L49="BUDGET EXHAUSTED",O49="REVIEW: ABOVE CUSTOMER PO",'ERP Snapshot'!L49="YES"),"CRITICAL / REVIEW",IF(OR(L49="PO DATA REQUIRED",L49="BUDGET DATA REQUIRED",L49="REVIEW: NO BUDGET",L49="REVIEW: PO AMOUNT",N49&gt;0,M49&gt;0,F49&gt;0),"FOLLOW UP","NORMAL")))</x:f>
      </x:c>
      <x:c r="Q49" s="68" t="str">
        <x:f>IF(A49="","",'ERP Snapshot'!N49)</x:f>
      </x:c>
      <x:c r="R49" t="str">
        <x:f>IF(A49="","",'ERP Snapshot'!Q49)</x:f>
      </x:c>
      <x:c r="S49" t="str">
        <x:f>IF(A49="","",'ERP Snapshot'!R49)</x:f>
      </x:c>
      <x:c r="T49" t="str">
        <x:f>IF(A49="","",'ERP Snapshot'!C49)</x:f>
      </x:c>
    </x:row>
    <x:row r="50">
      <x:c r="A50" t="str">
        <x:f>IF('ERP Snapshot'!A50="","",'ERP Snapshot'!A50)</x:f>
      </x:c>
      <x:c r="B50" t="str">
        <x:f>IF(A50="","",'ERP Snapshot'!B50)</x:f>
      </x:c>
      <x:c r="C50" t="str">
        <x:f>IF(A50="","",'ERP Snapshot'!D50)</x:f>
      </x:c>
      <x:c r="D50" t="str">
        <x:f>IF(A50="","",IF(C50="MXN",IF(AND(Settings!$B$8="APPROVED",Settings!$B$9&lt;&gt;"",Settings!$B$10&lt;&gt;"",Settings!$B$2&gt;0),'PO Authorization'!F50/Settings!$B$2,""),'PO Authorization'!F50))</x:f>
      </x:c>
      <x:c r="E50" t="str">
        <x:f>IF(A50="","",IF(C50="MXN",IF(AND(Settings!$B$8="APPROVED",Settings!$B$9&lt;&gt;"",Settings!$B$10&lt;&gt;"",Settings!$B$2&gt;0),'ERP Snapshot'!I50/Settings!$B$2,""),'ERP Snapshot'!I50))</x:f>
      </x:c>
      <x:c r="F50" t="str">
        <x:f>IF(A50="","",IF(AND(ISNUMBER(D50),ISNUMBER(E50)),D50-E50,""))</x:f>
      </x:c>
      <x:c r="G50" t="str">
        <x:f>IF(A50="","",IF(ISNUMBER('ERP Snapshot'!F50),'ERP Snapshot'!F50,""))</x:f>
      </x:c>
      <x:c r="H50" t="str">
        <x:f>IF(A50="","",'ERP Snapshot'!G50)</x:f>
      </x:c>
      <x:c r="I50" t="str">
        <x:f>IF(A50="","",IF(ISNUMBER('ERP Snapshot'!S50),'ERP Snapshot'!S50,""))</x:f>
      </x:c>
      <x:c r="J50" t="str">
        <x:f>IF(A50="","",IF(AND(ISNUMBER(G50),ISNUMBER(I50)),G50-I50,""))</x:f>
      </x:c>
      <x:c r="K50" s="8" t="str">
        <x:f>IF(A50="","",IF(AND(ISNUMBER(G50),G50&gt;0,ISNUMBER(I50)),I50/G50,""))</x:f>
      </x:c>
      <x:c r="L50" t="str">
        <x:f>IF(A50="","",IF(NOT(ISNUMBER(G50)),"BUDGET DATA REQUIRED",IF(G50&lt;=0,"REVIEW: NO BUDGET",IF(NOT(ISNUMBER(I50)),"PO DATA REQUIRED",IF(I50&lt;0,"REVIEW: PO AMOUNT",IF(K50&gt;1,"OVER BUDGET",IF(K50=1,"BUDGET EXHAUSTED",IF(K50&gt;=Settings!$B$3,"PREVENTIVE ALERT","OK"))))))))</x:f>
      </x:c>
      <x:c r="M50" t="str">
        <x:f>IF(A50="","",'ERP Snapshot'!K50)</x:f>
      </x:c>
      <x:c r="N50" t="str">
        <x:f>IF(A50="","",COUNTIFS(Exceptions!$A$2:$A$101,A50,Exceptions!$E$2:$E$101,"Open"))</x:f>
      </x:c>
      <x:c r="O50" t="str">
        <x:f>IF(A50="","",IF(AND(C50="MXN",OR(D50="",E50="")),"FX HOLD",IF(E50&gt;D50,"REVIEW: ABOVE CUSTOMER PO",IF('PO Authorization'!H50="REVIEW: SNAPSHOT DIFFERS","REVIEW: PO SNAPSHOT",IF(E50=D50,"FULLY INVOICED",IF(E50&gt;0,"PARTIAL INVOICE","NOT INVOICED"))))))</x:f>
      </x:c>
      <x:c r="P50" t="str">
        <x:f>IF(A50="","",IF(OR(O50="FX HOLD",O50="REVIEW: PO SNAPSHOT",L50="OVER BUDGET",L50="BUDGET EXHAUSTED",O50="REVIEW: ABOVE CUSTOMER PO",'ERP Snapshot'!L50="YES"),"CRITICAL / REVIEW",IF(OR(L50="PO DATA REQUIRED",L50="BUDGET DATA REQUIRED",L50="REVIEW: NO BUDGET",L50="REVIEW: PO AMOUNT",N50&gt;0,M50&gt;0,F50&gt;0),"FOLLOW UP","NORMAL")))</x:f>
      </x:c>
      <x:c r="Q50" s="68" t="str">
        <x:f>IF(A50="","",'ERP Snapshot'!N50)</x:f>
      </x:c>
      <x:c r="R50" t="str">
        <x:f>IF(A50="","",'ERP Snapshot'!Q50)</x:f>
      </x:c>
      <x:c r="S50" t="str">
        <x:f>IF(A50="","",'ERP Snapshot'!R50)</x:f>
      </x:c>
      <x:c r="T50" t="str">
        <x:f>IF(A50="","",'ERP Snapshot'!C50)</x:f>
      </x:c>
    </x:row>
    <x:row r="51">
      <x:c r="A51" t="str">
        <x:f>IF('ERP Snapshot'!A51="","",'ERP Snapshot'!A51)</x:f>
      </x:c>
      <x:c r="B51" t="str">
        <x:f>IF(A51="","",'ERP Snapshot'!B51)</x:f>
      </x:c>
      <x:c r="C51" t="str">
        <x:f>IF(A51="","",'ERP Snapshot'!D51)</x:f>
      </x:c>
      <x:c r="D51" t="str">
        <x:f>IF(A51="","",IF(C51="MXN",IF(AND(Settings!$B$8="APPROVED",Settings!$B$9&lt;&gt;"",Settings!$B$10&lt;&gt;"",Settings!$B$2&gt;0),'PO Authorization'!F51/Settings!$B$2,""),'PO Authorization'!F51))</x:f>
      </x:c>
      <x:c r="E51" t="str">
        <x:f>IF(A51="","",IF(C51="MXN",IF(AND(Settings!$B$8="APPROVED",Settings!$B$9&lt;&gt;"",Settings!$B$10&lt;&gt;"",Settings!$B$2&gt;0),'ERP Snapshot'!I51/Settings!$B$2,""),'ERP Snapshot'!I51))</x:f>
      </x:c>
      <x:c r="F51" t="str">
        <x:f>IF(A51="","",IF(AND(ISNUMBER(D51),ISNUMBER(E51)),D51-E51,""))</x:f>
      </x:c>
      <x:c r="G51" t="str">
        <x:f>IF(A51="","",IF(ISNUMBER('ERP Snapshot'!F51),'ERP Snapshot'!F51,""))</x:f>
      </x:c>
      <x:c r="H51" t="str">
        <x:f>IF(A51="","",'ERP Snapshot'!G51)</x:f>
      </x:c>
      <x:c r="I51" t="str">
        <x:f>IF(A51="","",IF(ISNUMBER('ERP Snapshot'!S51),'ERP Snapshot'!S51,""))</x:f>
      </x:c>
      <x:c r="J51" t="str">
        <x:f>IF(A51="","",IF(AND(ISNUMBER(G51),ISNUMBER(I51)),G51-I51,""))</x:f>
      </x:c>
      <x:c r="K51" s="8" t="str">
        <x:f>IF(A51="","",IF(AND(ISNUMBER(G51),G51&gt;0,ISNUMBER(I51)),I51/G51,""))</x:f>
      </x:c>
      <x:c r="L51" t="str">
        <x:f>IF(A51="","",IF(NOT(ISNUMBER(G51)),"BUDGET DATA REQUIRED",IF(G51&lt;=0,"REVIEW: NO BUDGET",IF(NOT(ISNUMBER(I51)),"PO DATA REQUIRED",IF(I51&lt;0,"REVIEW: PO AMOUNT",IF(K51&gt;1,"OVER BUDGET",IF(K51=1,"BUDGET EXHAUSTED",IF(K51&gt;=Settings!$B$3,"PREVENTIVE ALERT","OK"))))))))</x:f>
      </x:c>
      <x:c r="M51" t="str">
        <x:f>IF(A51="","",'ERP Snapshot'!K51)</x:f>
      </x:c>
      <x:c r="N51" t="str">
        <x:f>IF(A51="","",COUNTIFS(Exceptions!$A$2:$A$101,A51,Exceptions!$E$2:$E$101,"Open"))</x:f>
      </x:c>
      <x:c r="O51" t="str">
        <x:f>IF(A51="","",IF(AND(C51="MXN",OR(D51="",E51="")),"FX HOLD",IF(E51&gt;D51,"REVIEW: ABOVE CUSTOMER PO",IF('PO Authorization'!H51="REVIEW: SNAPSHOT DIFFERS","REVIEW: PO SNAPSHOT",IF(E51=D51,"FULLY INVOICED",IF(E51&gt;0,"PARTIAL INVOICE","NOT INVOICED"))))))</x:f>
      </x:c>
      <x:c r="P51" t="str">
        <x:f>IF(A51="","",IF(OR(O51="FX HOLD",O51="REVIEW: PO SNAPSHOT",L51="OVER BUDGET",L51="BUDGET EXHAUSTED",O51="REVIEW: ABOVE CUSTOMER PO",'ERP Snapshot'!L51="YES"),"CRITICAL / REVIEW",IF(OR(L51="PO DATA REQUIRED",L51="BUDGET DATA REQUIRED",L51="REVIEW: NO BUDGET",L51="REVIEW: PO AMOUNT",N51&gt;0,M51&gt;0,F51&gt;0),"FOLLOW UP","NORMAL")))</x:f>
      </x:c>
      <x:c r="Q51" s="68" t="str">
        <x:f>IF(A51="","",'ERP Snapshot'!N51)</x:f>
      </x:c>
      <x:c r="R51" t="str">
        <x:f>IF(A51="","",'ERP Snapshot'!Q51)</x:f>
      </x:c>
      <x:c r="S51" t="str">
        <x:f>IF(A51="","",'ERP Snapshot'!R51)</x:f>
      </x:c>
      <x:c r="T51" t="str">
        <x:f>IF(A51="","",'ERP Snapshot'!C51)</x:f>
      </x:c>
    </x:row>
    <x:row r="52">
      <x:c r="A52" t="str">
        <x:f>IF('ERP Snapshot'!A52="","",'ERP Snapshot'!A52)</x:f>
      </x:c>
      <x:c r="B52" t="str">
        <x:f>IF(A52="","",'ERP Snapshot'!B52)</x:f>
      </x:c>
      <x:c r="C52" t="str">
        <x:f>IF(A52="","",'ERP Snapshot'!D52)</x:f>
      </x:c>
      <x:c r="D52" t="str">
        <x:f>IF(A52="","",IF(C52="MXN",IF(AND(Settings!$B$8="APPROVED",Settings!$B$9&lt;&gt;"",Settings!$B$10&lt;&gt;"",Settings!$B$2&gt;0),'PO Authorization'!F52/Settings!$B$2,""),'PO Authorization'!F52))</x:f>
      </x:c>
      <x:c r="E52" t="str">
        <x:f>IF(A52="","",IF(C52="MXN",IF(AND(Settings!$B$8="APPROVED",Settings!$B$9&lt;&gt;"",Settings!$B$10&lt;&gt;"",Settings!$B$2&gt;0),'ERP Snapshot'!I52/Settings!$B$2,""),'ERP Snapshot'!I52))</x:f>
      </x:c>
      <x:c r="F52" t="str">
        <x:f>IF(A52="","",IF(AND(ISNUMBER(D52),ISNUMBER(E52)),D52-E52,""))</x:f>
      </x:c>
      <x:c r="G52" t="str">
        <x:f>IF(A52="","",IF(ISNUMBER('ERP Snapshot'!F52),'ERP Snapshot'!F52,""))</x:f>
      </x:c>
      <x:c r="H52" t="str">
        <x:f>IF(A52="","",'ERP Snapshot'!G52)</x:f>
      </x:c>
      <x:c r="I52" t="str">
        <x:f>IF(A52="","",IF(ISNUMBER('ERP Snapshot'!S52),'ERP Snapshot'!S52,""))</x:f>
      </x:c>
      <x:c r="J52" t="str">
        <x:f>IF(A52="","",IF(AND(ISNUMBER(G52),ISNUMBER(I52)),G52-I52,""))</x:f>
      </x:c>
      <x:c r="K52" s="8" t="str">
        <x:f>IF(A52="","",IF(AND(ISNUMBER(G52),G52&gt;0,ISNUMBER(I52)),I52/G52,""))</x:f>
      </x:c>
      <x:c r="L52" t="str">
        <x:f>IF(A52="","",IF(NOT(ISNUMBER(G52)),"BUDGET DATA REQUIRED",IF(G52&lt;=0,"REVIEW: NO BUDGET",IF(NOT(ISNUMBER(I52)),"PO DATA REQUIRED",IF(I52&lt;0,"REVIEW: PO AMOUNT",IF(K52&gt;1,"OVER BUDGET",IF(K52=1,"BUDGET EXHAUSTED",IF(K52&gt;=Settings!$B$3,"PREVENTIVE ALERT","OK"))))))))</x:f>
      </x:c>
      <x:c r="M52" t="str">
        <x:f>IF(A52="","",'ERP Snapshot'!K52)</x:f>
      </x:c>
      <x:c r="N52" t="str">
        <x:f>IF(A52="","",COUNTIFS(Exceptions!$A$2:$A$101,A52,Exceptions!$E$2:$E$101,"Open"))</x:f>
      </x:c>
      <x:c r="O52" t="str">
        <x:f>IF(A52="","",IF(AND(C52="MXN",OR(D52="",E52="")),"FX HOLD",IF(E52&gt;D52,"REVIEW: ABOVE CUSTOMER PO",IF('PO Authorization'!H52="REVIEW: SNAPSHOT DIFFERS","REVIEW: PO SNAPSHOT",IF(E52=D52,"FULLY INVOICED",IF(E52&gt;0,"PARTIAL INVOICE","NOT INVOICED"))))))</x:f>
      </x:c>
      <x:c r="P52" t="str">
        <x:f>IF(A52="","",IF(OR(O52="FX HOLD",O52="REVIEW: PO SNAPSHOT",L52="OVER BUDGET",L52="BUDGET EXHAUSTED",O52="REVIEW: ABOVE CUSTOMER PO",'ERP Snapshot'!L52="YES"),"CRITICAL / REVIEW",IF(OR(L52="PO DATA REQUIRED",L52="BUDGET DATA REQUIRED",L52="REVIEW: NO BUDGET",L52="REVIEW: PO AMOUNT",N52&gt;0,M52&gt;0,F52&gt;0),"FOLLOW UP","NORMAL")))</x:f>
      </x:c>
      <x:c r="Q52" s="68" t="str">
        <x:f>IF(A52="","",'ERP Snapshot'!N52)</x:f>
      </x:c>
      <x:c r="R52" t="str">
        <x:f>IF(A52="","",'ERP Snapshot'!Q52)</x:f>
      </x:c>
      <x:c r="S52" t="str">
        <x:f>IF(A52="","",'ERP Snapshot'!R52)</x:f>
      </x:c>
      <x:c r="T52" t="str">
        <x:f>IF(A52="","",'ERP Snapshot'!C52)</x:f>
      </x:c>
    </x:row>
    <x:row r="53">
      <x:c r="A53" t="str">
        <x:f>IF('ERP Snapshot'!A53="","",'ERP Snapshot'!A53)</x:f>
      </x:c>
      <x:c r="B53" t="str">
        <x:f>IF(A53="","",'ERP Snapshot'!B53)</x:f>
      </x:c>
      <x:c r="C53" t="str">
        <x:f>IF(A53="","",'ERP Snapshot'!D53)</x:f>
      </x:c>
      <x:c r="D53" t="str">
        <x:f>IF(A53="","",IF(C53="MXN",IF(AND(Settings!$B$8="APPROVED",Settings!$B$9&lt;&gt;"",Settings!$B$10&lt;&gt;"",Settings!$B$2&gt;0),'PO Authorization'!F53/Settings!$B$2,""),'PO Authorization'!F53))</x:f>
      </x:c>
      <x:c r="E53" t="str">
        <x:f>IF(A53="","",IF(C53="MXN",IF(AND(Settings!$B$8="APPROVED",Settings!$B$9&lt;&gt;"",Settings!$B$10&lt;&gt;"",Settings!$B$2&gt;0),'ERP Snapshot'!I53/Settings!$B$2,""),'ERP Snapshot'!I53))</x:f>
      </x:c>
      <x:c r="F53" t="str">
        <x:f>IF(A53="","",IF(AND(ISNUMBER(D53),ISNUMBER(E53)),D53-E53,""))</x:f>
      </x:c>
      <x:c r="G53" t="str">
        <x:f>IF(A53="","",IF(ISNUMBER('ERP Snapshot'!F53),'ERP Snapshot'!F53,""))</x:f>
      </x:c>
      <x:c r="H53" t="str">
        <x:f>IF(A53="","",'ERP Snapshot'!G53)</x:f>
      </x:c>
      <x:c r="I53" t="str">
        <x:f>IF(A53="","",IF(ISNUMBER('ERP Snapshot'!S53),'ERP Snapshot'!S53,""))</x:f>
      </x:c>
      <x:c r="J53" t="str">
        <x:f>IF(A53="","",IF(AND(ISNUMBER(G53),ISNUMBER(I53)),G53-I53,""))</x:f>
      </x:c>
      <x:c r="K53" s="8" t="str">
        <x:f>IF(A53="","",IF(AND(ISNUMBER(G53),G53&gt;0,ISNUMBER(I53)),I53/G53,""))</x:f>
      </x:c>
      <x:c r="L53" t="str">
        <x:f>IF(A53="","",IF(NOT(ISNUMBER(G53)),"BUDGET DATA REQUIRED",IF(G53&lt;=0,"REVIEW: NO BUDGET",IF(NOT(ISNUMBER(I53)),"PO DATA REQUIRED",IF(I53&lt;0,"REVIEW: PO AMOUNT",IF(K53&gt;1,"OVER BUDGET",IF(K53=1,"BUDGET EXHAUSTED",IF(K53&gt;=Settings!$B$3,"PREVENTIVE ALERT","OK"))))))))</x:f>
      </x:c>
      <x:c r="M53" t="str">
        <x:f>IF(A53="","",'ERP Snapshot'!K53)</x:f>
      </x:c>
      <x:c r="N53" t="str">
        <x:f>IF(A53="","",COUNTIFS(Exceptions!$A$2:$A$101,A53,Exceptions!$E$2:$E$101,"Open"))</x:f>
      </x:c>
      <x:c r="O53" t="str">
        <x:f>IF(A53="","",IF(AND(C53="MXN",OR(D53="",E53="")),"FX HOLD",IF(E53&gt;D53,"REVIEW: ABOVE CUSTOMER PO",IF('PO Authorization'!H53="REVIEW: SNAPSHOT DIFFERS","REVIEW: PO SNAPSHOT",IF(E53=D53,"FULLY INVOICED",IF(E53&gt;0,"PARTIAL INVOICE","NOT INVOICED"))))))</x:f>
      </x:c>
      <x:c r="P53" t="str">
        <x:f>IF(A53="","",IF(OR(O53="FX HOLD",O53="REVIEW: PO SNAPSHOT",L53="OVER BUDGET",L53="BUDGET EXHAUSTED",O53="REVIEW: ABOVE CUSTOMER PO",'ERP Snapshot'!L53="YES"),"CRITICAL / REVIEW",IF(OR(L53="PO DATA REQUIRED",L53="BUDGET DATA REQUIRED",L53="REVIEW: NO BUDGET",L53="REVIEW: PO AMOUNT",N53&gt;0,M53&gt;0,F53&gt;0),"FOLLOW UP","NORMAL")))</x:f>
      </x:c>
      <x:c r="Q53" s="68" t="str">
        <x:f>IF(A53="","",'ERP Snapshot'!N53)</x:f>
      </x:c>
      <x:c r="R53" t="str">
        <x:f>IF(A53="","",'ERP Snapshot'!Q53)</x:f>
      </x:c>
      <x:c r="S53" t="str">
        <x:f>IF(A53="","",'ERP Snapshot'!R53)</x:f>
      </x:c>
      <x:c r="T53" t="str">
        <x:f>IF(A53="","",'ERP Snapshot'!C53)</x:f>
      </x:c>
    </x:row>
    <x:row r="54">
      <x:c r="A54" t="str">
        <x:f>IF('ERP Snapshot'!A54="","",'ERP Snapshot'!A54)</x:f>
      </x:c>
      <x:c r="B54" t="str">
        <x:f>IF(A54="","",'ERP Snapshot'!B54)</x:f>
      </x:c>
      <x:c r="C54" t="str">
        <x:f>IF(A54="","",'ERP Snapshot'!D54)</x:f>
      </x:c>
      <x:c r="D54" t="str">
        <x:f>IF(A54="","",IF(C54="MXN",IF(AND(Settings!$B$8="APPROVED",Settings!$B$9&lt;&gt;"",Settings!$B$10&lt;&gt;"",Settings!$B$2&gt;0),'PO Authorization'!F54/Settings!$B$2,""),'PO Authorization'!F54))</x:f>
      </x:c>
      <x:c r="E54" t="str">
        <x:f>IF(A54="","",IF(C54="MXN",IF(AND(Settings!$B$8="APPROVED",Settings!$B$9&lt;&gt;"",Settings!$B$10&lt;&gt;"",Settings!$B$2&gt;0),'ERP Snapshot'!I54/Settings!$B$2,""),'ERP Snapshot'!I54))</x:f>
      </x:c>
      <x:c r="F54" t="str">
        <x:f>IF(A54="","",IF(AND(ISNUMBER(D54),ISNUMBER(E54)),D54-E54,""))</x:f>
      </x:c>
      <x:c r="G54" t="str">
        <x:f>IF(A54="","",IF(ISNUMBER('ERP Snapshot'!F54),'ERP Snapshot'!F54,""))</x:f>
      </x:c>
      <x:c r="H54" t="str">
        <x:f>IF(A54="","",'ERP Snapshot'!G54)</x:f>
      </x:c>
      <x:c r="I54" t="str">
        <x:f>IF(A54="","",IF(ISNUMBER('ERP Snapshot'!S54),'ERP Snapshot'!S54,""))</x:f>
      </x:c>
      <x:c r="J54" t="str">
        <x:f>IF(A54="","",IF(AND(ISNUMBER(G54),ISNUMBER(I54)),G54-I54,""))</x:f>
      </x:c>
      <x:c r="K54" s="8" t="str">
        <x:f>IF(A54="","",IF(AND(ISNUMBER(G54),G54&gt;0,ISNUMBER(I54)),I54/G54,""))</x:f>
      </x:c>
      <x:c r="L54" t="str">
        <x:f>IF(A54="","",IF(NOT(ISNUMBER(G54)),"BUDGET DATA REQUIRED",IF(G54&lt;=0,"REVIEW: NO BUDGET",IF(NOT(ISNUMBER(I54)),"PO DATA REQUIRED",IF(I54&lt;0,"REVIEW: PO AMOUNT",IF(K54&gt;1,"OVER BUDGET",IF(K54=1,"BUDGET EXHAUSTED",IF(K54&gt;=Settings!$B$3,"PREVENTIVE ALERT","OK"))))))))</x:f>
      </x:c>
      <x:c r="M54" t="str">
        <x:f>IF(A54="","",'ERP Snapshot'!K54)</x:f>
      </x:c>
      <x:c r="N54" t="str">
        <x:f>IF(A54="","",COUNTIFS(Exceptions!$A$2:$A$101,A54,Exceptions!$E$2:$E$101,"Open"))</x:f>
      </x:c>
      <x:c r="O54" t="str">
        <x:f>IF(A54="","",IF(AND(C54="MXN",OR(D54="",E54="")),"FX HOLD",IF(E54&gt;D54,"REVIEW: ABOVE CUSTOMER PO",IF('PO Authorization'!H54="REVIEW: SNAPSHOT DIFFERS","REVIEW: PO SNAPSHOT",IF(E54=D54,"FULLY INVOICED",IF(E54&gt;0,"PARTIAL INVOICE","NOT INVOICED"))))))</x:f>
      </x:c>
      <x:c r="P54" t="str">
        <x:f>IF(A54="","",IF(OR(O54="FX HOLD",O54="REVIEW: PO SNAPSHOT",L54="OVER BUDGET",L54="BUDGET EXHAUSTED",O54="REVIEW: ABOVE CUSTOMER PO",'ERP Snapshot'!L54="YES"),"CRITICAL / REVIEW",IF(OR(L54="PO DATA REQUIRED",L54="BUDGET DATA REQUIRED",L54="REVIEW: NO BUDGET",L54="REVIEW: PO AMOUNT",N54&gt;0,M54&gt;0,F54&gt;0),"FOLLOW UP","NORMAL")))</x:f>
      </x:c>
      <x:c r="Q54" s="68" t="str">
        <x:f>IF(A54="","",'ERP Snapshot'!N54)</x:f>
      </x:c>
      <x:c r="R54" t="str">
        <x:f>IF(A54="","",'ERP Snapshot'!Q54)</x:f>
      </x:c>
      <x:c r="S54" t="str">
        <x:f>IF(A54="","",'ERP Snapshot'!R54)</x:f>
      </x:c>
      <x:c r="T54" t="str">
        <x:f>IF(A54="","",'ERP Snapshot'!C54)</x:f>
      </x:c>
    </x:row>
    <x:row r="55">
      <x:c r="A55" t="str">
        <x:f>IF('ERP Snapshot'!A55="","",'ERP Snapshot'!A55)</x:f>
      </x:c>
      <x:c r="B55" t="str">
        <x:f>IF(A55="","",'ERP Snapshot'!B55)</x:f>
      </x:c>
      <x:c r="C55" t="str">
        <x:f>IF(A55="","",'ERP Snapshot'!D55)</x:f>
      </x:c>
      <x:c r="D55" t="str">
        <x:f>IF(A55="","",IF(C55="MXN",IF(AND(Settings!$B$8="APPROVED",Settings!$B$9&lt;&gt;"",Settings!$B$10&lt;&gt;"",Settings!$B$2&gt;0),'PO Authorization'!F55/Settings!$B$2,""),'PO Authorization'!F55))</x:f>
      </x:c>
      <x:c r="E55" t="str">
        <x:f>IF(A55="","",IF(C55="MXN",IF(AND(Settings!$B$8="APPROVED",Settings!$B$9&lt;&gt;"",Settings!$B$10&lt;&gt;"",Settings!$B$2&gt;0),'ERP Snapshot'!I55/Settings!$B$2,""),'ERP Snapshot'!I55))</x:f>
      </x:c>
      <x:c r="F55" t="str">
        <x:f>IF(A55="","",IF(AND(ISNUMBER(D55),ISNUMBER(E55)),D55-E55,""))</x:f>
      </x:c>
      <x:c r="G55" t="str">
        <x:f>IF(A55="","",IF(ISNUMBER('ERP Snapshot'!F55),'ERP Snapshot'!F55,""))</x:f>
      </x:c>
      <x:c r="H55" t="str">
        <x:f>IF(A55="","",'ERP Snapshot'!G55)</x:f>
      </x:c>
      <x:c r="I55" t="str">
        <x:f>IF(A55="","",IF(ISNUMBER('ERP Snapshot'!S55),'ERP Snapshot'!S55,""))</x:f>
      </x:c>
      <x:c r="J55" t="str">
        <x:f>IF(A55="","",IF(AND(ISNUMBER(G55),ISNUMBER(I55)),G55-I55,""))</x:f>
      </x:c>
      <x:c r="K55" s="8" t="str">
        <x:f>IF(A55="","",IF(AND(ISNUMBER(G55),G55&gt;0,ISNUMBER(I55)),I55/G55,""))</x:f>
      </x:c>
      <x:c r="L55" t="str">
        <x:f>IF(A55="","",IF(NOT(ISNUMBER(G55)),"BUDGET DATA REQUIRED",IF(G55&lt;=0,"REVIEW: NO BUDGET",IF(NOT(ISNUMBER(I55)),"PO DATA REQUIRED",IF(I55&lt;0,"REVIEW: PO AMOUNT",IF(K55&gt;1,"OVER BUDGET",IF(K55=1,"BUDGET EXHAUSTED",IF(K55&gt;=Settings!$B$3,"PREVENTIVE ALERT","OK"))))))))</x:f>
      </x:c>
      <x:c r="M55" t="str">
        <x:f>IF(A55="","",'ERP Snapshot'!K55)</x:f>
      </x:c>
      <x:c r="N55" t="str">
        <x:f>IF(A55="","",COUNTIFS(Exceptions!$A$2:$A$101,A55,Exceptions!$E$2:$E$101,"Open"))</x:f>
      </x:c>
      <x:c r="O55" t="str">
        <x:f>IF(A55="","",IF(AND(C55="MXN",OR(D55="",E55="")),"FX HOLD",IF(E55&gt;D55,"REVIEW: ABOVE CUSTOMER PO",IF('PO Authorization'!H55="REVIEW: SNAPSHOT DIFFERS","REVIEW: PO SNAPSHOT",IF(E55=D55,"FULLY INVOICED",IF(E55&gt;0,"PARTIAL INVOICE","NOT INVOICED"))))))</x:f>
      </x:c>
      <x:c r="P55" t="str">
        <x:f>IF(A55="","",IF(OR(O55="FX HOLD",O55="REVIEW: PO SNAPSHOT",L55="OVER BUDGET",L55="BUDGET EXHAUSTED",O55="REVIEW: ABOVE CUSTOMER PO",'ERP Snapshot'!L55="YES"),"CRITICAL / REVIEW",IF(OR(L55="PO DATA REQUIRED",L55="BUDGET DATA REQUIRED",L55="REVIEW: NO BUDGET",L55="REVIEW: PO AMOUNT",N55&gt;0,M55&gt;0,F55&gt;0),"FOLLOW UP","NORMAL")))</x:f>
      </x:c>
      <x:c r="Q55" s="68" t="str">
        <x:f>IF(A55="","",'ERP Snapshot'!N55)</x:f>
      </x:c>
      <x:c r="R55" t="str">
        <x:f>IF(A55="","",'ERP Snapshot'!Q55)</x:f>
      </x:c>
      <x:c r="S55" t="str">
        <x:f>IF(A55="","",'ERP Snapshot'!R55)</x:f>
      </x:c>
      <x:c r="T55" t="str">
        <x:f>IF(A55="","",'ERP Snapshot'!C55)</x:f>
      </x:c>
    </x:row>
    <x:row r="56">
      <x:c r="A56" t="str">
        <x:f>IF('ERP Snapshot'!A56="","",'ERP Snapshot'!A56)</x:f>
      </x:c>
      <x:c r="B56" t="str">
        <x:f>IF(A56="","",'ERP Snapshot'!B56)</x:f>
      </x:c>
      <x:c r="C56" t="str">
        <x:f>IF(A56="","",'ERP Snapshot'!D56)</x:f>
      </x:c>
      <x:c r="D56" t="str">
        <x:f>IF(A56="","",IF(C56="MXN",IF(AND(Settings!$B$8="APPROVED",Settings!$B$9&lt;&gt;"",Settings!$B$10&lt;&gt;"",Settings!$B$2&gt;0),'PO Authorization'!F56/Settings!$B$2,""),'PO Authorization'!F56))</x:f>
      </x:c>
      <x:c r="E56" t="str">
        <x:f>IF(A56="","",IF(C56="MXN",IF(AND(Settings!$B$8="APPROVED",Settings!$B$9&lt;&gt;"",Settings!$B$10&lt;&gt;"",Settings!$B$2&gt;0),'ERP Snapshot'!I56/Settings!$B$2,""),'ERP Snapshot'!I56))</x:f>
      </x:c>
      <x:c r="F56" t="str">
        <x:f>IF(A56="","",IF(AND(ISNUMBER(D56),ISNUMBER(E56)),D56-E56,""))</x:f>
      </x:c>
      <x:c r="G56" t="str">
        <x:f>IF(A56="","",IF(ISNUMBER('ERP Snapshot'!F56),'ERP Snapshot'!F56,""))</x:f>
      </x:c>
      <x:c r="H56" t="str">
        <x:f>IF(A56="","",'ERP Snapshot'!G56)</x:f>
      </x:c>
      <x:c r="I56" t="str">
        <x:f>IF(A56="","",IF(ISNUMBER('ERP Snapshot'!S56),'ERP Snapshot'!S56,""))</x:f>
      </x:c>
      <x:c r="J56" t="str">
        <x:f>IF(A56="","",IF(AND(ISNUMBER(G56),ISNUMBER(I56)),G56-I56,""))</x:f>
      </x:c>
      <x:c r="K56" s="8" t="str">
        <x:f>IF(A56="","",IF(AND(ISNUMBER(G56),G56&gt;0,ISNUMBER(I56)),I56/G56,""))</x:f>
      </x:c>
      <x:c r="L56" t="str">
        <x:f>IF(A56="","",IF(NOT(ISNUMBER(G56)),"BUDGET DATA REQUIRED",IF(G56&lt;=0,"REVIEW: NO BUDGET",IF(NOT(ISNUMBER(I56)),"PO DATA REQUIRED",IF(I56&lt;0,"REVIEW: PO AMOUNT",IF(K56&gt;1,"OVER BUDGET",IF(K56=1,"BUDGET EXHAUSTED",IF(K56&gt;=Settings!$B$3,"PREVENTIVE ALERT","OK"))))))))</x:f>
      </x:c>
      <x:c r="M56" t="str">
        <x:f>IF(A56="","",'ERP Snapshot'!K56)</x:f>
      </x:c>
      <x:c r="N56" t="str">
        <x:f>IF(A56="","",COUNTIFS(Exceptions!$A$2:$A$101,A56,Exceptions!$E$2:$E$101,"Open"))</x:f>
      </x:c>
      <x:c r="O56" t="str">
        <x:f>IF(A56="","",IF(AND(C56="MXN",OR(D56="",E56="")),"FX HOLD",IF(E56&gt;D56,"REVIEW: ABOVE CUSTOMER PO",IF('PO Authorization'!H56="REVIEW: SNAPSHOT DIFFERS","REVIEW: PO SNAPSHOT",IF(E56=D56,"FULLY INVOICED",IF(E56&gt;0,"PARTIAL INVOICE","NOT INVOICED"))))))</x:f>
      </x:c>
      <x:c r="P56" t="str">
        <x:f>IF(A56="","",IF(OR(O56="FX HOLD",O56="REVIEW: PO SNAPSHOT",L56="OVER BUDGET",L56="BUDGET EXHAUSTED",O56="REVIEW: ABOVE CUSTOMER PO",'ERP Snapshot'!L56="YES"),"CRITICAL / REVIEW",IF(OR(L56="PO DATA REQUIRED",L56="BUDGET DATA REQUIRED",L56="REVIEW: NO BUDGET",L56="REVIEW: PO AMOUNT",N56&gt;0,M56&gt;0,F56&gt;0),"FOLLOW UP","NORMAL")))</x:f>
      </x:c>
      <x:c r="Q56" s="68" t="str">
        <x:f>IF(A56="","",'ERP Snapshot'!N56)</x:f>
      </x:c>
      <x:c r="R56" t="str">
        <x:f>IF(A56="","",'ERP Snapshot'!Q56)</x:f>
      </x:c>
      <x:c r="S56" t="str">
        <x:f>IF(A56="","",'ERP Snapshot'!R56)</x:f>
      </x:c>
      <x:c r="T56" t="str">
        <x:f>IF(A56="","",'ERP Snapshot'!C56)</x:f>
      </x:c>
    </x:row>
    <x:row r="57">
      <x:c r="A57" t="str">
        <x:f>IF('ERP Snapshot'!A57="","",'ERP Snapshot'!A57)</x:f>
      </x:c>
      <x:c r="B57" t="str">
        <x:f>IF(A57="","",'ERP Snapshot'!B57)</x:f>
      </x:c>
      <x:c r="C57" t="str">
        <x:f>IF(A57="","",'ERP Snapshot'!D57)</x:f>
      </x:c>
      <x:c r="D57" t="str">
        <x:f>IF(A57="","",IF(C57="MXN",IF(AND(Settings!$B$8="APPROVED",Settings!$B$9&lt;&gt;"",Settings!$B$10&lt;&gt;"",Settings!$B$2&gt;0),'PO Authorization'!F57/Settings!$B$2,""),'PO Authorization'!F57))</x:f>
      </x:c>
      <x:c r="E57" t="str">
        <x:f>IF(A57="","",IF(C57="MXN",IF(AND(Settings!$B$8="APPROVED",Settings!$B$9&lt;&gt;"",Settings!$B$10&lt;&gt;"",Settings!$B$2&gt;0),'ERP Snapshot'!I57/Settings!$B$2,""),'ERP Snapshot'!I57))</x:f>
      </x:c>
      <x:c r="F57" t="str">
        <x:f>IF(A57="","",IF(AND(ISNUMBER(D57),ISNUMBER(E57)),D57-E57,""))</x:f>
      </x:c>
      <x:c r="G57" t="str">
        <x:f>IF(A57="","",IF(ISNUMBER('ERP Snapshot'!F57),'ERP Snapshot'!F57,""))</x:f>
      </x:c>
      <x:c r="H57" t="str">
        <x:f>IF(A57="","",'ERP Snapshot'!G57)</x:f>
      </x:c>
      <x:c r="I57" t="str">
        <x:f>IF(A57="","",IF(ISNUMBER('ERP Snapshot'!S57),'ERP Snapshot'!S57,""))</x:f>
      </x:c>
      <x:c r="J57" t="str">
        <x:f>IF(A57="","",IF(AND(ISNUMBER(G57),ISNUMBER(I57)),G57-I57,""))</x:f>
      </x:c>
      <x:c r="K57" s="8" t="str">
        <x:f>IF(A57="","",IF(AND(ISNUMBER(G57),G57&gt;0,ISNUMBER(I57)),I57/G57,""))</x:f>
      </x:c>
      <x:c r="L57" t="str">
        <x:f>IF(A57="","",IF(NOT(ISNUMBER(G57)),"BUDGET DATA REQUIRED",IF(G57&lt;=0,"REVIEW: NO BUDGET",IF(NOT(ISNUMBER(I57)),"PO DATA REQUIRED",IF(I57&lt;0,"REVIEW: PO AMOUNT",IF(K57&gt;1,"OVER BUDGET",IF(K57=1,"BUDGET EXHAUSTED",IF(K57&gt;=Settings!$B$3,"PREVENTIVE ALERT","OK"))))))))</x:f>
      </x:c>
      <x:c r="M57" t="str">
        <x:f>IF(A57="","",'ERP Snapshot'!K57)</x:f>
      </x:c>
      <x:c r="N57" t="str">
        <x:f>IF(A57="","",COUNTIFS(Exceptions!$A$2:$A$101,A57,Exceptions!$E$2:$E$101,"Open"))</x:f>
      </x:c>
      <x:c r="O57" t="str">
        <x:f>IF(A57="","",IF(AND(C57="MXN",OR(D57="",E57="")),"FX HOLD",IF(E57&gt;D57,"REVIEW: ABOVE CUSTOMER PO",IF('PO Authorization'!H57="REVIEW: SNAPSHOT DIFFERS","REVIEW: PO SNAPSHOT",IF(E57=D57,"FULLY INVOICED",IF(E57&gt;0,"PARTIAL INVOICE","NOT INVOICED"))))))</x:f>
      </x:c>
      <x:c r="P57" t="str">
        <x:f>IF(A57="","",IF(OR(O57="FX HOLD",O57="REVIEW: PO SNAPSHOT",L57="OVER BUDGET",L57="BUDGET EXHAUSTED",O57="REVIEW: ABOVE CUSTOMER PO",'ERP Snapshot'!L57="YES"),"CRITICAL / REVIEW",IF(OR(L57="PO DATA REQUIRED",L57="BUDGET DATA REQUIRED",L57="REVIEW: NO BUDGET",L57="REVIEW: PO AMOUNT",N57&gt;0,M57&gt;0,F57&gt;0),"FOLLOW UP","NORMAL")))</x:f>
      </x:c>
      <x:c r="Q57" s="68" t="str">
        <x:f>IF(A57="","",'ERP Snapshot'!N57)</x:f>
      </x:c>
      <x:c r="R57" t="str">
        <x:f>IF(A57="","",'ERP Snapshot'!Q57)</x:f>
      </x:c>
      <x:c r="S57" t="str">
        <x:f>IF(A57="","",'ERP Snapshot'!R57)</x:f>
      </x:c>
      <x:c r="T57" t="str">
        <x:f>IF(A57="","",'ERP Snapshot'!C57)</x:f>
      </x:c>
    </x:row>
    <x:row r="58">
      <x:c r="A58" t="str">
        <x:f>IF('ERP Snapshot'!A58="","",'ERP Snapshot'!A58)</x:f>
      </x:c>
      <x:c r="B58" t="str">
        <x:f>IF(A58="","",'ERP Snapshot'!B58)</x:f>
      </x:c>
      <x:c r="C58" t="str">
        <x:f>IF(A58="","",'ERP Snapshot'!D58)</x:f>
      </x:c>
      <x:c r="D58" t="str">
        <x:f>IF(A58="","",IF(C58="MXN",IF(AND(Settings!$B$8="APPROVED",Settings!$B$9&lt;&gt;"",Settings!$B$10&lt;&gt;"",Settings!$B$2&gt;0),'PO Authorization'!F58/Settings!$B$2,""),'PO Authorization'!F58))</x:f>
      </x:c>
      <x:c r="E58" t="str">
        <x:f>IF(A58="","",IF(C58="MXN",IF(AND(Settings!$B$8="APPROVED",Settings!$B$9&lt;&gt;"",Settings!$B$10&lt;&gt;"",Settings!$B$2&gt;0),'ERP Snapshot'!I58/Settings!$B$2,""),'ERP Snapshot'!I58))</x:f>
      </x:c>
      <x:c r="F58" t="str">
        <x:f>IF(A58="","",IF(AND(ISNUMBER(D58),ISNUMBER(E58)),D58-E58,""))</x:f>
      </x:c>
      <x:c r="G58" t="str">
        <x:f>IF(A58="","",IF(ISNUMBER('ERP Snapshot'!F58),'ERP Snapshot'!F58,""))</x:f>
      </x:c>
      <x:c r="H58" t="str">
        <x:f>IF(A58="","",'ERP Snapshot'!G58)</x:f>
      </x:c>
      <x:c r="I58" t="str">
        <x:f>IF(A58="","",IF(ISNUMBER('ERP Snapshot'!S58),'ERP Snapshot'!S58,""))</x:f>
      </x:c>
      <x:c r="J58" t="str">
        <x:f>IF(A58="","",IF(AND(ISNUMBER(G58),ISNUMBER(I58)),G58-I58,""))</x:f>
      </x:c>
      <x:c r="K58" s="8" t="str">
        <x:f>IF(A58="","",IF(AND(ISNUMBER(G58),G58&gt;0,ISNUMBER(I58)),I58/G58,""))</x:f>
      </x:c>
      <x:c r="L58" t="str">
        <x:f>IF(A58="","",IF(NOT(ISNUMBER(G58)),"BUDGET DATA REQUIRED",IF(G58&lt;=0,"REVIEW: NO BUDGET",IF(NOT(ISNUMBER(I58)),"PO DATA REQUIRED",IF(I58&lt;0,"REVIEW: PO AMOUNT",IF(K58&gt;1,"OVER BUDGET",IF(K58=1,"BUDGET EXHAUSTED",IF(K58&gt;=Settings!$B$3,"PREVENTIVE ALERT","OK"))))))))</x:f>
      </x:c>
      <x:c r="M58" t="str">
        <x:f>IF(A58="","",'ERP Snapshot'!K58)</x:f>
      </x:c>
      <x:c r="N58" t="str">
        <x:f>IF(A58="","",COUNTIFS(Exceptions!$A$2:$A$101,A58,Exceptions!$E$2:$E$101,"Open"))</x:f>
      </x:c>
      <x:c r="O58" t="str">
        <x:f>IF(A58="","",IF(AND(C58="MXN",OR(D58="",E58="")),"FX HOLD",IF(E58&gt;D58,"REVIEW: ABOVE CUSTOMER PO",IF('PO Authorization'!H58="REVIEW: SNAPSHOT DIFFERS","REVIEW: PO SNAPSHOT",IF(E58=D58,"FULLY INVOICED",IF(E58&gt;0,"PARTIAL INVOICE","NOT INVOICED"))))))</x:f>
      </x:c>
      <x:c r="P58" t="str">
        <x:f>IF(A58="","",IF(OR(O58="FX HOLD",O58="REVIEW: PO SNAPSHOT",L58="OVER BUDGET",L58="BUDGET EXHAUSTED",O58="REVIEW: ABOVE CUSTOMER PO",'ERP Snapshot'!L58="YES"),"CRITICAL / REVIEW",IF(OR(L58="PO DATA REQUIRED",L58="BUDGET DATA REQUIRED",L58="REVIEW: NO BUDGET",L58="REVIEW: PO AMOUNT",N58&gt;0,M58&gt;0,F58&gt;0),"FOLLOW UP","NORMAL")))</x:f>
      </x:c>
      <x:c r="Q58" s="68" t="str">
        <x:f>IF(A58="","",'ERP Snapshot'!N58)</x:f>
      </x:c>
      <x:c r="R58" t="str">
        <x:f>IF(A58="","",'ERP Snapshot'!Q58)</x:f>
      </x:c>
      <x:c r="S58" t="str">
        <x:f>IF(A58="","",'ERP Snapshot'!R58)</x:f>
      </x:c>
      <x:c r="T58" t="str">
        <x:f>IF(A58="","",'ERP Snapshot'!C58)</x:f>
      </x:c>
    </x:row>
    <x:row r="59">
      <x:c r="A59" t="str">
        <x:f>IF('ERP Snapshot'!A59="","",'ERP Snapshot'!A59)</x:f>
      </x:c>
      <x:c r="B59" t="str">
        <x:f>IF(A59="","",'ERP Snapshot'!B59)</x:f>
      </x:c>
      <x:c r="C59" t="str">
        <x:f>IF(A59="","",'ERP Snapshot'!D59)</x:f>
      </x:c>
      <x:c r="D59" t="str">
        <x:f>IF(A59="","",IF(C59="MXN",IF(AND(Settings!$B$8="APPROVED",Settings!$B$9&lt;&gt;"",Settings!$B$10&lt;&gt;"",Settings!$B$2&gt;0),'PO Authorization'!F59/Settings!$B$2,""),'PO Authorization'!F59))</x:f>
      </x:c>
      <x:c r="E59" t="str">
        <x:f>IF(A59="","",IF(C59="MXN",IF(AND(Settings!$B$8="APPROVED",Settings!$B$9&lt;&gt;"",Settings!$B$10&lt;&gt;"",Settings!$B$2&gt;0),'ERP Snapshot'!I59/Settings!$B$2,""),'ERP Snapshot'!I59))</x:f>
      </x:c>
      <x:c r="F59" t="str">
        <x:f>IF(A59="","",IF(AND(ISNUMBER(D59),ISNUMBER(E59)),D59-E59,""))</x:f>
      </x:c>
      <x:c r="G59" t="str">
        <x:f>IF(A59="","",IF(ISNUMBER('ERP Snapshot'!F59),'ERP Snapshot'!F59,""))</x:f>
      </x:c>
      <x:c r="H59" t="str">
        <x:f>IF(A59="","",'ERP Snapshot'!G59)</x:f>
      </x:c>
      <x:c r="I59" t="str">
        <x:f>IF(A59="","",IF(ISNUMBER('ERP Snapshot'!S59),'ERP Snapshot'!S59,""))</x:f>
      </x:c>
      <x:c r="J59" t="str">
        <x:f>IF(A59="","",IF(AND(ISNUMBER(G59),ISNUMBER(I59)),G59-I59,""))</x:f>
      </x:c>
      <x:c r="K59" s="8" t="str">
        <x:f>IF(A59="","",IF(AND(ISNUMBER(G59),G59&gt;0,ISNUMBER(I59)),I59/G59,""))</x:f>
      </x:c>
      <x:c r="L59" t="str">
        <x:f>IF(A59="","",IF(NOT(ISNUMBER(G59)),"BUDGET DATA REQUIRED",IF(G59&lt;=0,"REVIEW: NO BUDGET",IF(NOT(ISNUMBER(I59)),"PO DATA REQUIRED",IF(I59&lt;0,"REVIEW: PO AMOUNT",IF(K59&gt;1,"OVER BUDGET",IF(K59=1,"BUDGET EXHAUSTED",IF(K59&gt;=Settings!$B$3,"PREVENTIVE ALERT","OK"))))))))</x:f>
      </x:c>
      <x:c r="M59" t="str">
        <x:f>IF(A59="","",'ERP Snapshot'!K59)</x:f>
      </x:c>
      <x:c r="N59" t="str">
        <x:f>IF(A59="","",COUNTIFS(Exceptions!$A$2:$A$101,A59,Exceptions!$E$2:$E$101,"Open"))</x:f>
      </x:c>
      <x:c r="O59" t="str">
        <x:f>IF(A59="","",IF(AND(C59="MXN",OR(D59="",E59="")),"FX HOLD",IF(E59&gt;D59,"REVIEW: ABOVE CUSTOMER PO",IF('PO Authorization'!H59="REVIEW: SNAPSHOT DIFFERS","REVIEW: PO SNAPSHOT",IF(E59=D59,"FULLY INVOICED",IF(E59&gt;0,"PARTIAL INVOICE","NOT INVOICED"))))))</x:f>
      </x:c>
      <x:c r="P59" t="str">
        <x:f>IF(A59="","",IF(OR(O59="FX HOLD",O59="REVIEW: PO SNAPSHOT",L59="OVER BUDGET",L59="BUDGET EXHAUSTED",O59="REVIEW: ABOVE CUSTOMER PO",'ERP Snapshot'!L59="YES"),"CRITICAL / REVIEW",IF(OR(L59="PO DATA REQUIRED",L59="BUDGET DATA REQUIRED",L59="REVIEW: NO BUDGET",L59="REVIEW: PO AMOUNT",N59&gt;0,M59&gt;0,F59&gt;0),"FOLLOW UP","NORMAL")))</x:f>
      </x:c>
      <x:c r="Q59" s="68" t="str">
        <x:f>IF(A59="","",'ERP Snapshot'!N59)</x:f>
      </x:c>
      <x:c r="R59" t="str">
        <x:f>IF(A59="","",'ERP Snapshot'!Q59)</x:f>
      </x:c>
      <x:c r="S59" t="str">
        <x:f>IF(A59="","",'ERP Snapshot'!R59)</x:f>
      </x:c>
      <x:c r="T59" t="str">
        <x:f>IF(A59="","",'ERP Snapshot'!C59)</x:f>
      </x:c>
    </x:row>
    <x:row r="60">
      <x:c r="A60" t="str">
        <x:f>IF('ERP Snapshot'!A60="","",'ERP Snapshot'!A60)</x:f>
      </x:c>
      <x:c r="B60" t="str">
        <x:f>IF(A60="","",'ERP Snapshot'!B60)</x:f>
      </x:c>
      <x:c r="C60" t="str">
        <x:f>IF(A60="","",'ERP Snapshot'!D60)</x:f>
      </x:c>
      <x:c r="D60" t="str">
        <x:f>IF(A60="","",IF(C60="MXN",IF(AND(Settings!$B$8="APPROVED",Settings!$B$9&lt;&gt;"",Settings!$B$10&lt;&gt;"",Settings!$B$2&gt;0),'PO Authorization'!F60/Settings!$B$2,""),'PO Authorization'!F60))</x:f>
      </x:c>
      <x:c r="E60" t="str">
        <x:f>IF(A60="","",IF(C60="MXN",IF(AND(Settings!$B$8="APPROVED",Settings!$B$9&lt;&gt;"",Settings!$B$10&lt;&gt;"",Settings!$B$2&gt;0),'ERP Snapshot'!I60/Settings!$B$2,""),'ERP Snapshot'!I60))</x:f>
      </x:c>
      <x:c r="F60" t="str">
        <x:f>IF(A60="","",IF(AND(ISNUMBER(D60),ISNUMBER(E60)),D60-E60,""))</x:f>
      </x:c>
      <x:c r="G60" t="str">
        <x:f>IF(A60="","",IF(ISNUMBER('ERP Snapshot'!F60),'ERP Snapshot'!F60,""))</x:f>
      </x:c>
      <x:c r="H60" t="str">
        <x:f>IF(A60="","",'ERP Snapshot'!G60)</x:f>
      </x:c>
      <x:c r="I60" t="str">
        <x:f>IF(A60="","",IF(ISNUMBER('ERP Snapshot'!S60),'ERP Snapshot'!S60,""))</x:f>
      </x:c>
      <x:c r="J60" t="str">
        <x:f>IF(A60="","",IF(AND(ISNUMBER(G60),ISNUMBER(I60)),G60-I60,""))</x:f>
      </x:c>
      <x:c r="K60" s="8" t="str">
        <x:f>IF(A60="","",IF(AND(ISNUMBER(G60),G60&gt;0,ISNUMBER(I60)),I60/G60,""))</x:f>
      </x:c>
      <x:c r="L60" t="str">
        <x:f>IF(A60="","",IF(NOT(ISNUMBER(G60)),"BUDGET DATA REQUIRED",IF(G60&lt;=0,"REVIEW: NO BUDGET",IF(NOT(ISNUMBER(I60)),"PO DATA REQUIRED",IF(I60&lt;0,"REVIEW: PO AMOUNT",IF(K60&gt;1,"OVER BUDGET",IF(K60=1,"BUDGET EXHAUSTED",IF(K60&gt;=Settings!$B$3,"PREVENTIVE ALERT","OK"))))))))</x:f>
      </x:c>
      <x:c r="M60" t="str">
        <x:f>IF(A60="","",'ERP Snapshot'!K60)</x:f>
      </x:c>
      <x:c r="N60" t="str">
        <x:f>IF(A60="","",COUNTIFS(Exceptions!$A$2:$A$101,A60,Exceptions!$E$2:$E$101,"Open"))</x:f>
      </x:c>
      <x:c r="O60" t="str">
        <x:f>IF(A60="","",IF(AND(C60="MXN",OR(D60="",E60="")),"FX HOLD",IF(E60&gt;D60,"REVIEW: ABOVE CUSTOMER PO",IF('PO Authorization'!H60="REVIEW: SNAPSHOT DIFFERS","REVIEW: PO SNAPSHOT",IF(E60=D60,"FULLY INVOICED",IF(E60&gt;0,"PARTIAL INVOICE","NOT INVOICED"))))))</x:f>
      </x:c>
      <x:c r="P60" t="str">
        <x:f>IF(A60="","",IF(OR(O60="FX HOLD",O60="REVIEW: PO SNAPSHOT",L60="OVER BUDGET",L60="BUDGET EXHAUSTED",O60="REVIEW: ABOVE CUSTOMER PO",'ERP Snapshot'!L60="YES"),"CRITICAL / REVIEW",IF(OR(L60="PO DATA REQUIRED",L60="BUDGET DATA REQUIRED",L60="REVIEW: NO BUDGET",L60="REVIEW: PO AMOUNT",N60&gt;0,M60&gt;0,F60&gt;0),"FOLLOW UP","NORMAL")))</x:f>
      </x:c>
      <x:c r="Q60" s="68" t="str">
        <x:f>IF(A60="","",'ERP Snapshot'!N60)</x:f>
      </x:c>
      <x:c r="R60" t="str">
        <x:f>IF(A60="","",'ERP Snapshot'!Q60)</x:f>
      </x:c>
      <x:c r="S60" t="str">
        <x:f>IF(A60="","",'ERP Snapshot'!R60)</x:f>
      </x:c>
      <x:c r="T60" t="str">
        <x:f>IF(A60="","",'ERP Snapshot'!C60)</x:f>
      </x:c>
    </x:row>
    <x:row r="61">
      <x:c r="A61" t="str">
        <x:f>IF('ERP Snapshot'!A61="","",'ERP Snapshot'!A61)</x:f>
      </x:c>
      <x:c r="B61" t="str">
        <x:f>IF(A61="","",'ERP Snapshot'!B61)</x:f>
      </x:c>
      <x:c r="C61" t="str">
        <x:f>IF(A61="","",'ERP Snapshot'!D61)</x:f>
      </x:c>
      <x:c r="D61" t="str">
        <x:f>IF(A61="","",IF(C61="MXN",IF(AND(Settings!$B$8="APPROVED",Settings!$B$9&lt;&gt;"",Settings!$B$10&lt;&gt;"",Settings!$B$2&gt;0),'PO Authorization'!F61/Settings!$B$2,""),'PO Authorization'!F61))</x:f>
      </x:c>
      <x:c r="E61" t="str">
        <x:f>IF(A61="","",IF(C61="MXN",IF(AND(Settings!$B$8="APPROVED",Settings!$B$9&lt;&gt;"",Settings!$B$10&lt;&gt;"",Settings!$B$2&gt;0),'ERP Snapshot'!I61/Settings!$B$2,""),'ERP Snapshot'!I61))</x:f>
      </x:c>
      <x:c r="F61" t="str">
        <x:f>IF(A61="","",IF(AND(ISNUMBER(D61),ISNUMBER(E61)),D61-E61,""))</x:f>
      </x:c>
      <x:c r="G61" t="str">
        <x:f>IF(A61="","",IF(ISNUMBER('ERP Snapshot'!F61),'ERP Snapshot'!F61,""))</x:f>
      </x:c>
      <x:c r="H61" t="str">
        <x:f>IF(A61="","",'ERP Snapshot'!G61)</x:f>
      </x:c>
      <x:c r="I61" t="str">
        <x:f>IF(A61="","",IF(ISNUMBER('ERP Snapshot'!S61),'ERP Snapshot'!S61,""))</x:f>
      </x:c>
      <x:c r="J61" t="str">
        <x:f>IF(A61="","",IF(AND(ISNUMBER(G61),ISNUMBER(I61)),G61-I61,""))</x:f>
      </x:c>
      <x:c r="K61" s="8" t="str">
        <x:f>IF(A61="","",IF(AND(ISNUMBER(G61),G61&gt;0,ISNUMBER(I61)),I61/G61,""))</x:f>
      </x:c>
      <x:c r="L61" t="str">
        <x:f>IF(A61="","",IF(NOT(ISNUMBER(G61)),"BUDGET DATA REQUIRED",IF(G61&lt;=0,"REVIEW: NO BUDGET",IF(NOT(ISNUMBER(I61)),"PO DATA REQUIRED",IF(I61&lt;0,"REVIEW: PO AMOUNT",IF(K61&gt;1,"OVER BUDGET",IF(K61=1,"BUDGET EXHAUSTED",IF(K61&gt;=Settings!$B$3,"PREVENTIVE ALERT","OK"))))))))</x:f>
      </x:c>
      <x:c r="M61" t="str">
        <x:f>IF(A61="","",'ERP Snapshot'!K61)</x:f>
      </x:c>
      <x:c r="N61" t="str">
        <x:f>IF(A61="","",COUNTIFS(Exceptions!$A$2:$A$101,A61,Exceptions!$E$2:$E$101,"Open"))</x:f>
      </x:c>
      <x:c r="O61" t="str">
        <x:f>IF(A61="","",IF(AND(C61="MXN",OR(D61="",E61="")),"FX HOLD",IF(E61&gt;D61,"REVIEW: ABOVE CUSTOMER PO",IF('PO Authorization'!H61="REVIEW: SNAPSHOT DIFFERS","REVIEW: PO SNAPSHOT",IF(E61=D61,"FULLY INVOICED",IF(E61&gt;0,"PARTIAL INVOICE","NOT INVOICED"))))))</x:f>
      </x:c>
      <x:c r="P61" t="str">
        <x:f>IF(A61="","",IF(OR(O61="FX HOLD",O61="REVIEW: PO SNAPSHOT",L61="OVER BUDGET",L61="BUDGET EXHAUSTED",O61="REVIEW: ABOVE CUSTOMER PO",'ERP Snapshot'!L61="YES"),"CRITICAL / REVIEW",IF(OR(L61="PO DATA REQUIRED",L61="BUDGET DATA REQUIRED",L61="REVIEW: NO BUDGET",L61="REVIEW: PO AMOUNT",N61&gt;0,M61&gt;0,F61&gt;0),"FOLLOW UP","NORMAL")))</x:f>
      </x:c>
      <x:c r="Q61" s="68" t="str">
        <x:f>IF(A61="","",'ERP Snapshot'!N61)</x:f>
      </x:c>
      <x:c r="R61" t="str">
        <x:f>IF(A61="","",'ERP Snapshot'!Q61)</x:f>
      </x:c>
      <x:c r="S61" t="str">
        <x:f>IF(A61="","",'ERP Snapshot'!R61)</x:f>
      </x:c>
      <x:c r="T61" t="str">
        <x:f>IF(A61="","",'ERP Snapshot'!C61)</x:f>
      </x:c>
    </x:row>
    <x:row r="62">
      <x:c r="A62" t="str">
        <x:f>IF('ERP Snapshot'!A62="","",'ERP Snapshot'!A62)</x:f>
      </x:c>
      <x:c r="B62" t="str">
        <x:f>IF(A62="","",'ERP Snapshot'!B62)</x:f>
      </x:c>
      <x:c r="C62" t="str">
        <x:f>IF(A62="","",'ERP Snapshot'!D62)</x:f>
      </x:c>
      <x:c r="D62" t="str">
        <x:f>IF(A62="","",IF(C62="MXN",IF(AND(Settings!$B$8="APPROVED",Settings!$B$9&lt;&gt;"",Settings!$B$10&lt;&gt;"",Settings!$B$2&gt;0),'PO Authorization'!F62/Settings!$B$2,""),'PO Authorization'!F62))</x:f>
      </x:c>
      <x:c r="E62" t="str">
        <x:f>IF(A62="","",IF(C62="MXN",IF(AND(Settings!$B$8="APPROVED",Settings!$B$9&lt;&gt;"",Settings!$B$10&lt;&gt;"",Settings!$B$2&gt;0),'ERP Snapshot'!I62/Settings!$B$2,""),'ERP Snapshot'!I62))</x:f>
      </x:c>
      <x:c r="F62" t="str">
        <x:f>IF(A62="","",IF(AND(ISNUMBER(D62),ISNUMBER(E62)),D62-E62,""))</x:f>
      </x:c>
      <x:c r="G62" t="str">
        <x:f>IF(A62="","",IF(ISNUMBER('ERP Snapshot'!F62),'ERP Snapshot'!F62,""))</x:f>
      </x:c>
      <x:c r="H62" t="str">
        <x:f>IF(A62="","",'ERP Snapshot'!G62)</x:f>
      </x:c>
      <x:c r="I62" t="str">
        <x:f>IF(A62="","",IF(ISNUMBER('ERP Snapshot'!S62),'ERP Snapshot'!S62,""))</x:f>
      </x:c>
      <x:c r="J62" t="str">
        <x:f>IF(A62="","",IF(AND(ISNUMBER(G62),ISNUMBER(I62)),G62-I62,""))</x:f>
      </x:c>
      <x:c r="K62" s="8" t="str">
        <x:f>IF(A62="","",IF(AND(ISNUMBER(G62),G62&gt;0,ISNUMBER(I62)),I62/G62,""))</x:f>
      </x:c>
      <x:c r="L62" t="str">
        <x:f>IF(A62="","",IF(NOT(ISNUMBER(G62)),"BUDGET DATA REQUIRED",IF(G62&lt;=0,"REVIEW: NO BUDGET",IF(NOT(ISNUMBER(I62)),"PO DATA REQUIRED",IF(I62&lt;0,"REVIEW: PO AMOUNT",IF(K62&gt;1,"OVER BUDGET",IF(K62=1,"BUDGET EXHAUSTED",IF(K62&gt;=Settings!$B$3,"PREVENTIVE ALERT","OK"))))))))</x:f>
      </x:c>
      <x:c r="M62" t="str">
        <x:f>IF(A62="","",'ERP Snapshot'!K62)</x:f>
      </x:c>
      <x:c r="N62" t="str">
        <x:f>IF(A62="","",COUNTIFS(Exceptions!$A$2:$A$101,A62,Exceptions!$E$2:$E$101,"Open"))</x:f>
      </x:c>
      <x:c r="O62" t="str">
        <x:f>IF(A62="","",IF(AND(C62="MXN",OR(D62="",E62="")),"FX HOLD",IF(E62&gt;D62,"REVIEW: ABOVE CUSTOMER PO",IF('PO Authorization'!H62="REVIEW: SNAPSHOT DIFFERS","REVIEW: PO SNAPSHOT",IF(E62=D62,"FULLY INVOICED",IF(E62&gt;0,"PARTIAL INVOICE","NOT INVOICED"))))))</x:f>
      </x:c>
      <x:c r="P62" t="str">
        <x:f>IF(A62="","",IF(OR(O62="FX HOLD",O62="REVIEW: PO SNAPSHOT",L62="OVER BUDGET",L62="BUDGET EXHAUSTED",O62="REVIEW: ABOVE CUSTOMER PO",'ERP Snapshot'!L62="YES"),"CRITICAL / REVIEW",IF(OR(L62="PO DATA REQUIRED",L62="BUDGET DATA REQUIRED",L62="REVIEW: NO BUDGET",L62="REVIEW: PO AMOUNT",N62&gt;0,M62&gt;0,F62&gt;0),"FOLLOW UP","NORMAL")))</x:f>
      </x:c>
      <x:c r="Q62" s="68" t="str">
        <x:f>IF(A62="","",'ERP Snapshot'!N62)</x:f>
      </x:c>
      <x:c r="R62" t="str">
        <x:f>IF(A62="","",'ERP Snapshot'!Q62)</x:f>
      </x:c>
      <x:c r="S62" t="str">
        <x:f>IF(A62="","",'ERP Snapshot'!R62)</x:f>
      </x:c>
      <x:c r="T62" t="str">
        <x:f>IF(A62="","",'ERP Snapshot'!C62)</x:f>
      </x:c>
    </x:row>
    <x:row r="63">
      <x:c r="A63" t="str">
        <x:f>IF('ERP Snapshot'!A63="","",'ERP Snapshot'!A63)</x:f>
      </x:c>
      <x:c r="B63" t="str">
        <x:f>IF(A63="","",'ERP Snapshot'!B63)</x:f>
      </x:c>
      <x:c r="C63" t="str">
        <x:f>IF(A63="","",'ERP Snapshot'!D63)</x:f>
      </x:c>
      <x:c r="D63" t="str">
        <x:f>IF(A63="","",IF(C63="MXN",IF(AND(Settings!$B$8="APPROVED",Settings!$B$9&lt;&gt;"",Settings!$B$10&lt;&gt;"",Settings!$B$2&gt;0),'PO Authorization'!F63/Settings!$B$2,""),'PO Authorization'!F63))</x:f>
      </x:c>
      <x:c r="E63" t="str">
        <x:f>IF(A63="","",IF(C63="MXN",IF(AND(Settings!$B$8="APPROVED",Settings!$B$9&lt;&gt;"",Settings!$B$10&lt;&gt;"",Settings!$B$2&gt;0),'ERP Snapshot'!I63/Settings!$B$2,""),'ERP Snapshot'!I63))</x:f>
      </x:c>
      <x:c r="F63" t="str">
        <x:f>IF(A63="","",IF(AND(ISNUMBER(D63),ISNUMBER(E63)),D63-E63,""))</x:f>
      </x:c>
      <x:c r="G63" t="str">
        <x:f>IF(A63="","",IF(ISNUMBER('ERP Snapshot'!F63),'ERP Snapshot'!F63,""))</x:f>
      </x:c>
      <x:c r="H63" t="str">
        <x:f>IF(A63="","",'ERP Snapshot'!G63)</x:f>
      </x:c>
      <x:c r="I63" t="str">
        <x:f>IF(A63="","",IF(ISNUMBER('ERP Snapshot'!S63),'ERP Snapshot'!S63,""))</x:f>
      </x:c>
      <x:c r="J63" t="str">
        <x:f>IF(A63="","",IF(AND(ISNUMBER(G63),ISNUMBER(I63)),G63-I63,""))</x:f>
      </x:c>
      <x:c r="K63" s="8" t="str">
        <x:f>IF(A63="","",IF(AND(ISNUMBER(G63),G63&gt;0,ISNUMBER(I63)),I63/G63,""))</x:f>
      </x:c>
      <x:c r="L63" t="str">
        <x:f>IF(A63="","",IF(NOT(ISNUMBER(G63)),"BUDGET DATA REQUIRED",IF(G63&lt;=0,"REVIEW: NO BUDGET",IF(NOT(ISNUMBER(I63)),"PO DATA REQUIRED",IF(I63&lt;0,"REVIEW: PO AMOUNT",IF(K63&gt;1,"OVER BUDGET",IF(K63=1,"BUDGET EXHAUSTED",IF(K63&gt;=Settings!$B$3,"PREVENTIVE ALERT","OK"))))))))</x:f>
      </x:c>
      <x:c r="M63" t="str">
        <x:f>IF(A63="","",'ERP Snapshot'!K63)</x:f>
      </x:c>
      <x:c r="N63" t="str">
        <x:f>IF(A63="","",COUNTIFS(Exceptions!$A$2:$A$101,A63,Exceptions!$E$2:$E$101,"Open"))</x:f>
      </x:c>
      <x:c r="O63" t="str">
        <x:f>IF(A63="","",IF(AND(C63="MXN",OR(D63="",E63="")),"FX HOLD",IF(E63&gt;D63,"REVIEW: ABOVE CUSTOMER PO",IF('PO Authorization'!H63="REVIEW: SNAPSHOT DIFFERS","REVIEW: PO SNAPSHOT",IF(E63=D63,"FULLY INVOICED",IF(E63&gt;0,"PARTIAL INVOICE","NOT INVOICED"))))))</x:f>
      </x:c>
      <x:c r="P63" t="str">
        <x:f>IF(A63="","",IF(OR(O63="FX HOLD",O63="REVIEW: PO SNAPSHOT",L63="OVER BUDGET",L63="BUDGET EXHAUSTED",O63="REVIEW: ABOVE CUSTOMER PO",'ERP Snapshot'!L63="YES"),"CRITICAL / REVIEW",IF(OR(L63="PO DATA REQUIRED",L63="BUDGET DATA REQUIRED",L63="REVIEW: NO BUDGET",L63="REVIEW: PO AMOUNT",N63&gt;0,M63&gt;0,F63&gt;0),"FOLLOW UP","NORMAL")))</x:f>
      </x:c>
      <x:c r="Q63" s="68" t="str">
        <x:f>IF(A63="","",'ERP Snapshot'!N63)</x:f>
      </x:c>
      <x:c r="R63" t="str">
        <x:f>IF(A63="","",'ERP Snapshot'!Q63)</x:f>
      </x:c>
      <x:c r="S63" t="str">
        <x:f>IF(A63="","",'ERP Snapshot'!R63)</x:f>
      </x:c>
      <x:c r="T63" t="str">
        <x:f>IF(A63="","",'ERP Snapshot'!C63)</x:f>
      </x:c>
    </x:row>
    <x:row r="64">
      <x:c r="A64" t="str">
        <x:f>IF('ERP Snapshot'!A64="","",'ERP Snapshot'!A64)</x:f>
      </x:c>
      <x:c r="B64" t="str">
        <x:f>IF(A64="","",'ERP Snapshot'!B64)</x:f>
      </x:c>
      <x:c r="C64" t="str">
        <x:f>IF(A64="","",'ERP Snapshot'!D64)</x:f>
      </x:c>
      <x:c r="D64" t="str">
        <x:f>IF(A64="","",IF(C64="MXN",IF(AND(Settings!$B$8="APPROVED",Settings!$B$9&lt;&gt;"",Settings!$B$10&lt;&gt;"",Settings!$B$2&gt;0),'PO Authorization'!F64/Settings!$B$2,""),'PO Authorization'!F64))</x:f>
      </x:c>
      <x:c r="E64" t="str">
        <x:f>IF(A64="","",IF(C64="MXN",IF(AND(Settings!$B$8="APPROVED",Settings!$B$9&lt;&gt;"",Settings!$B$10&lt;&gt;"",Settings!$B$2&gt;0),'ERP Snapshot'!I64/Settings!$B$2,""),'ERP Snapshot'!I64))</x:f>
      </x:c>
      <x:c r="F64" t="str">
        <x:f>IF(A64="","",IF(AND(ISNUMBER(D64),ISNUMBER(E64)),D64-E64,""))</x:f>
      </x:c>
      <x:c r="G64" t="str">
        <x:f>IF(A64="","",IF(ISNUMBER('ERP Snapshot'!F64),'ERP Snapshot'!F64,""))</x:f>
      </x:c>
      <x:c r="H64" t="str">
        <x:f>IF(A64="","",'ERP Snapshot'!G64)</x:f>
      </x:c>
      <x:c r="I64" t="str">
        <x:f>IF(A64="","",IF(ISNUMBER('ERP Snapshot'!S64),'ERP Snapshot'!S64,""))</x:f>
      </x:c>
      <x:c r="J64" t="str">
        <x:f>IF(A64="","",IF(AND(ISNUMBER(G64),ISNUMBER(I64)),G64-I64,""))</x:f>
      </x:c>
      <x:c r="K64" s="8" t="str">
        <x:f>IF(A64="","",IF(AND(ISNUMBER(G64),G64&gt;0,ISNUMBER(I64)),I64/G64,""))</x:f>
      </x:c>
      <x:c r="L64" t="str">
        <x:f>IF(A64="","",IF(NOT(ISNUMBER(G64)),"BUDGET DATA REQUIRED",IF(G64&lt;=0,"REVIEW: NO BUDGET",IF(NOT(ISNUMBER(I64)),"PO DATA REQUIRED",IF(I64&lt;0,"REVIEW: PO AMOUNT",IF(K64&gt;1,"OVER BUDGET",IF(K64=1,"BUDGET EXHAUSTED",IF(K64&gt;=Settings!$B$3,"PREVENTIVE ALERT","OK"))))))))</x:f>
      </x:c>
      <x:c r="M64" t="str">
        <x:f>IF(A64="","",'ERP Snapshot'!K64)</x:f>
      </x:c>
      <x:c r="N64" t="str">
        <x:f>IF(A64="","",COUNTIFS(Exceptions!$A$2:$A$101,A64,Exceptions!$E$2:$E$101,"Open"))</x:f>
      </x:c>
      <x:c r="O64" t="str">
        <x:f>IF(A64="","",IF(AND(C64="MXN",OR(D64="",E64="")),"FX HOLD",IF(E64&gt;D64,"REVIEW: ABOVE CUSTOMER PO",IF('PO Authorization'!H64="REVIEW: SNAPSHOT DIFFERS","REVIEW: PO SNAPSHOT",IF(E64=D64,"FULLY INVOICED",IF(E64&gt;0,"PARTIAL INVOICE","NOT INVOICED"))))))</x:f>
      </x:c>
      <x:c r="P64" t="str">
        <x:f>IF(A64="","",IF(OR(O64="FX HOLD",O64="REVIEW: PO SNAPSHOT",L64="OVER BUDGET",L64="BUDGET EXHAUSTED",O64="REVIEW: ABOVE CUSTOMER PO",'ERP Snapshot'!L64="YES"),"CRITICAL / REVIEW",IF(OR(L64="PO DATA REQUIRED",L64="BUDGET DATA REQUIRED",L64="REVIEW: NO BUDGET",L64="REVIEW: PO AMOUNT",N64&gt;0,M64&gt;0,F64&gt;0),"FOLLOW UP","NORMAL")))</x:f>
      </x:c>
      <x:c r="Q64" s="68" t="str">
        <x:f>IF(A64="","",'ERP Snapshot'!N64)</x:f>
      </x:c>
      <x:c r="R64" t="str">
        <x:f>IF(A64="","",'ERP Snapshot'!Q64)</x:f>
      </x:c>
      <x:c r="S64" t="str">
        <x:f>IF(A64="","",'ERP Snapshot'!R64)</x:f>
      </x:c>
      <x:c r="T64" t="str">
        <x:f>IF(A64="","",'ERP Snapshot'!C64)</x:f>
      </x:c>
    </x:row>
    <x:row r="65">
      <x:c r="A65" t="str">
        <x:f>IF('ERP Snapshot'!A65="","",'ERP Snapshot'!A65)</x:f>
      </x:c>
      <x:c r="B65" t="str">
        <x:f>IF(A65="","",'ERP Snapshot'!B65)</x:f>
      </x:c>
      <x:c r="C65" t="str">
        <x:f>IF(A65="","",'ERP Snapshot'!D65)</x:f>
      </x:c>
      <x:c r="D65" t="str">
        <x:f>IF(A65="","",IF(C65="MXN",IF(AND(Settings!$B$8="APPROVED",Settings!$B$9&lt;&gt;"",Settings!$B$10&lt;&gt;"",Settings!$B$2&gt;0),'PO Authorization'!F65/Settings!$B$2,""),'PO Authorization'!F65))</x:f>
      </x:c>
      <x:c r="E65" t="str">
        <x:f>IF(A65="","",IF(C65="MXN",IF(AND(Settings!$B$8="APPROVED",Settings!$B$9&lt;&gt;"",Settings!$B$10&lt;&gt;"",Settings!$B$2&gt;0),'ERP Snapshot'!I65/Settings!$B$2,""),'ERP Snapshot'!I65))</x:f>
      </x:c>
      <x:c r="F65" t="str">
        <x:f>IF(A65="","",IF(AND(ISNUMBER(D65),ISNUMBER(E65)),D65-E65,""))</x:f>
      </x:c>
      <x:c r="G65" t="str">
        <x:f>IF(A65="","",IF(ISNUMBER('ERP Snapshot'!F65),'ERP Snapshot'!F65,""))</x:f>
      </x:c>
      <x:c r="H65" t="str">
        <x:f>IF(A65="","",'ERP Snapshot'!G65)</x:f>
      </x:c>
      <x:c r="I65" t="str">
        <x:f>IF(A65="","",IF(ISNUMBER('ERP Snapshot'!S65),'ERP Snapshot'!S65,""))</x:f>
      </x:c>
      <x:c r="J65" t="str">
        <x:f>IF(A65="","",IF(AND(ISNUMBER(G65),ISNUMBER(I65)),G65-I65,""))</x:f>
      </x:c>
      <x:c r="K65" s="8" t="str">
        <x:f>IF(A65="","",IF(AND(ISNUMBER(G65),G65&gt;0,ISNUMBER(I65)),I65/G65,""))</x:f>
      </x:c>
      <x:c r="L65" t="str">
        <x:f>IF(A65="","",IF(NOT(ISNUMBER(G65)),"BUDGET DATA REQUIRED",IF(G65&lt;=0,"REVIEW: NO BUDGET",IF(NOT(ISNUMBER(I65)),"PO DATA REQUIRED",IF(I65&lt;0,"REVIEW: PO AMOUNT",IF(K65&gt;1,"OVER BUDGET",IF(K65=1,"BUDGET EXHAUSTED",IF(K65&gt;=Settings!$B$3,"PREVENTIVE ALERT","OK"))))))))</x:f>
      </x:c>
      <x:c r="M65" t="str">
        <x:f>IF(A65="","",'ERP Snapshot'!K65)</x:f>
      </x:c>
      <x:c r="N65" t="str">
        <x:f>IF(A65="","",COUNTIFS(Exceptions!$A$2:$A$101,A65,Exceptions!$E$2:$E$101,"Open"))</x:f>
      </x:c>
      <x:c r="O65" t="str">
        <x:f>IF(A65="","",IF(AND(C65="MXN",OR(D65="",E65="")),"FX HOLD",IF(E65&gt;D65,"REVIEW: ABOVE CUSTOMER PO",IF('PO Authorization'!H65="REVIEW: SNAPSHOT DIFFERS","REVIEW: PO SNAPSHOT",IF(E65=D65,"FULLY INVOICED",IF(E65&gt;0,"PARTIAL INVOICE","NOT INVOICED"))))))</x:f>
      </x:c>
      <x:c r="P65" t="str">
        <x:f>IF(A65="","",IF(OR(O65="FX HOLD",O65="REVIEW: PO SNAPSHOT",L65="OVER BUDGET",L65="BUDGET EXHAUSTED",O65="REVIEW: ABOVE CUSTOMER PO",'ERP Snapshot'!L65="YES"),"CRITICAL / REVIEW",IF(OR(L65="PO DATA REQUIRED",L65="BUDGET DATA REQUIRED",L65="REVIEW: NO BUDGET",L65="REVIEW: PO AMOUNT",N65&gt;0,M65&gt;0,F65&gt;0),"FOLLOW UP","NORMAL")))</x:f>
      </x:c>
      <x:c r="Q65" s="68" t="str">
        <x:f>IF(A65="","",'ERP Snapshot'!N65)</x:f>
      </x:c>
      <x:c r="R65" t="str">
        <x:f>IF(A65="","",'ERP Snapshot'!Q65)</x:f>
      </x:c>
      <x:c r="S65" t="str">
        <x:f>IF(A65="","",'ERP Snapshot'!R65)</x:f>
      </x:c>
      <x:c r="T65" t="str">
        <x:f>IF(A65="","",'ERP Snapshot'!C65)</x:f>
      </x:c>
    </x:row>
    <x:row r="66">
      <x:c r="A66" t="str">
        <x:f>IF('ERP Snapshot'!A66="","",'ERP Snapshot'!A66)</x:f>
      </x:c>
      <x:c r="B66" t="str">
        <x:f>IF(A66="","",'ERP Snapshot'!B66)</x:f>
      </x:c>
      <x:c r="C66" t="str">
        <x:f>IF(A66="","",'ERP Snapshot'!D66)</x:f>
      </x:c>
      <x:c r="D66" t="str">
        <x:f>IF(A66="","",IF(C66="MXN",IF(AND(Settings!$B$8="APPROVED",Settings!$B$9&lt;&gt;"",Settings!$B$10&lt;&gt;"",Settings!$B$2&gt;0),'PO Authorization'!F66/Settings!$B$2,""),'PO Authorization'!F66))</x:f>
      </x:c>
      <x:c r="E66" t="str">
        <x:f>IF(A66="","",IF(C66="MXN",IF(AND(Settings!$B$8="APPROVED",Settings!$B$9&lt;&gt;"",Settings!$B$10&lt;&gt;"",Settings!$B$2&gt;0),'ERP Snapshot'!I66/Settings!$B$2,""),'ERP Snapshot'!I66))</x:f>
      </x:c>
      <x:c r="F66" t="str">
        <x:f>IF(A66="","",IF(AND(ISNUMBER(D66),ISNUMBER(E66)),D66-E66,""))</x:f>
      </x:c>
      <x:c r="G66" t="str">
        <x:f>IF(A66="","",IF(ISNUMBER('ERP Snapshot'!F66),'ERP Snapshot'!F66,""))</x:f>
      </x:c>
      <x:c r="H66" t="str">
        <x:f>IF(A66="","",'ERP Snapshot'!G66)</x:f>
      </x:c>
      <x:c r="I66" t="str">
        <x:f>IF(A66="","",IF(ISNUMBER('ERP Snapshot'!S66),'ERP Snapshot'!S66,""))</x:f>
      </x:c>
      <x:c r="J66" t="str">
        <x:f>IF(A66="","",IF(AND(ISNUMBER(G66),ISNUMBER(I66)),G66-I66,""))</x:f>
      </x:c>
      <x:c r="K66" s="8" t="str">
        <x:f>IF(A66="","",IF(AND(ISNUMBER(G66),G66&gt;0,ISNUMBER(I66)),I66/G66,""))</x:f>
      </x:c>
      <x:c r="L66" t="str">
        <x:f>IF(A66="","",IF(NOT(ISNUMBER(G66)),"BUDGET DATA REQUIRED",IF(G66&lt;=0,"REVIEW: NO BUDGET",IF(NOT(ISNUMBER(I66)),"PO DATA REQUIRED",IF(I66&lt;0,"REVIEW: PO AMOUNT",IF(K66&gt;1,"OVER BUDGET",IF(K66=1,"BUDGET EXHAUSTED",IF(K66&gt;=Settings!$B$3,"PREVENTIVE ALERT","OK"))))))))</x:f>
      </x:c>
      <x:c r="M66" t="str">
        <x:f>IF(A66="","",'ERP Snapshot'!K66)</x:f>
      </x:c>
      <x:c r="N66" t="str">
        <x:f>IF(A66="","",COUNTIFS(Exceptions!$A$2:$A$101,A66,Exceptions!$E$2:$E$101,"Open"))</x:f>
      </x:c>
      <x:c r="O66" t="str">
        <x:f>IF(A66="","",IF(AND(C66="MXN",OR(D66="",E66="")),"FX HOLD",IF(E66&gt;D66,"REVIEW: ABOVE CUSTOMER PO",IF('PO Authorization'!H66="REVIEW: SNAPSHOT DIFFERS","REVIEW: PO SNAPSHOT",IF(E66=D66,"FULLY INVOICED",IF(E66&gt;0,"PARTIAL INVOICE","NOT INVOICED"))))))</x:f>
      </x:c>
      <x:c r="P66" t="str">
        <x:f>IF(A66="","",IF(OR(O66="FX HOLD",O66="REVIEW: PO SNAPSHOT",L66="OVER BUDGET",L66="BUDGET EXHAUSTED",O66="REVIEW: ABOVE CUSTOMER PO",'ERP Snapshot'!L66="YES"),"CRITICAL / REVIEW",IF(OR(L66="PO DATA REQUIRED",L66="BUDGET DATA REQUIRED",L66="REVIEW: NO BUDGET",L66="REVIEW: PO AMOUNT",N66&gt;0,M66&gt;0,F66&gt;0),"FOLLOW UP","NORMAL")))</x:f>
      </x:c>
      <x:c r="Q66" s="68" t="str">
        <x:f>IF(A66="","",'ERP Snapshot'!N66)</x:f>
      </x:c>
      <x:c r="R66" t="str">
        <x:f>IF(A66="","",'ERP Snapshot'!Q66)</x:f>
      </x:c>
      <x:c r="S66" t="str">
        <x:f>IF(A66="","",'ERP Snapshot'!R66)</x:f>
      </x:c>
      <x:c r="T66" t="str">
        <x:f>IF(A66="","",'ERP Snapshot'!C66)</x:f>
      </x:c>
    </x:row>
    <x:row r="67">
      <x:c r="A67" t="str">
        <x:f>IF('ERP Snapshot'!A67="","",'ERP Snapshot'!A67)</x:f>
      </x:c>
      <x:c r="B67" t="str">
        <x:f>IF(A67="","",'ERP Snapshot'!B67)</x:f>
      </x:c>
      <x:c r="C67" t="str">
        <x:f>IF(A67="","",'ERP Snapshot'!D67)</x:f>
      </x:c>
      <x:c r="D67" t="str">
        <x:f>IF(A67="","",IF(C67="MXN",IF(AND(Settings!$B$8="APPROVED",Settings!$B$9&lt;&gt;"",Settings!$B$10&lt;&gt;"",Settings!$B$2&gt;0),'PO Authorization'!F67/Settings!$B$2,""),'PO Authorization'!F67))</x:f>
      </x:c>
      <x:c r="E67" t="str">
        <x:f>IF(A67="","",IF(C67="MXN",IF(AND(Settings!$B$8="APPROVED",Settings!$B$9&lt;&gt;"",Settings!$B$10&lt;&gt;"",Settings!$B$2&gt;0),'ERP Snapshot'!I67/Settings!$B$2,""),'ERP Snapshot'!I67))</x:f>
      </x:c>
      <x:c r="F67" t="str">
        <x:f>IF(A67="","",IF(AND(ISNUMBER(D67),ISNUMBER(E67)),D67-E67,""))</x:f>
      </x:c>
      <x:c r="G67" t="str">
        <x:f>IF(A67="","",IF(ISNUMBER('ERP Snapshot'!F67),'ERP Snapshot'!F67,""))</x:f>
      </x:c>
      <x:c r="H67" t="str">
        <x:f>IF(A67="","",'ERP Snapshot'!G67)</x:f>
      </x:c>
      <x:c r="I67" t="str">
        <x:f>IF(A67="","",IF(ISNUMBER('ERP Snapshot'!S67),'ERP Snapshot'!S67,""))</x:f>
      </x:c>
      <x:c r="J67" t="str">
        <x:f>IF(A67="","",IF(AND(ISNUMBER(G67),ISNUMBER(I67)),G67-I67,""))</x:f>
      </x:c>
      <x:c r="K67" s="8" t="str">
        <x:f>IF(A67="","",IF(AND(ISNUMBER(G67),G67&gt;0,ISNUMBER(I67)),I67/G67,""))</x:f>
      </x:c>
      <x:c r="L67" t="str">
        <x:f>IF(A67="","",IF(NOT(ISNUMBER(G67)),"BUDGET DATA REQUIRED",IF(G67&lt;=0,"REVIEW: NO BUDGET",IF(NOT(ISNUMBER(I67)),"PO DATA REQUIRED",IF(I67&lt;0,"REVIEW: PO AMOUNT",IF(K67&gt;1,"OVER BUDGET",IF(K67=1,"BUDGET EXHAUSTED",IF(K67&gt;=Settings!$B$3,"PREVENTIVE ALERT","OK"))))))))</x:f>
      </x:c>
      <x:c r="M67" t="str">
        <x:f>IF(A67="","",'ERP Snapshot'!K67)</x:f>
      </x:c>
      <x:c r="N67" t="str">
        <x:f>IF(A67="","",COUNTIFS(Exceptions!$A$2:$A$101,A67,Exceptions!$E$2:$E$101,"Open"))</x:f>
      </x:c>
      <x:c r="O67" t="str">
        <x:f>IF(A67="","",IF(AND(C67="MXN",OR(D67="",E67="")),"FX HOLD",IF(E67&gt;D67,"REVIEW: ABOVE CUSTOMER PO",IF('PO Authorization'!H67="REVIEW: SNAPSHOT DIFFERS","REVIEW: PO SNAPSHOT",IF(E67=D67,"FULLY INVOICED",IF(E67&gt;0,"PARTIAL INVOICE","NOT INVOICED"))))))</x:f>
      </x:c>
      <x:c r="P67" t="str">
        <x:f>IF(A67="","",IF(OR(O67="FX HOLD",O67="REVIEW: PO SNAPSHOT",L67="OVER BUDGET",L67="BUDGET EXHAUSTED",O67="REVIEW: ABOVE CUSTOMER PO",'ERP Snapshot'!L67="YES"),"CRITICAL / REVIEW",IF(OR(L67="PO DATA REQUIRED",L67="BUDGET DATA REQUIRED",L67="REVIEW: NO BUDGET",L67="REVIEW: PO AMOUNT",N67&gt;0,M67&gt;0,F67&gt;0),"FOLLOW UP","NORMAL")))</x:f>
      </x:c>
      <x:c r="Q67" s="68" t="str">
        <x:f>IF(A67="","",'ERP Snapshot'!N67)</x:f>
      </x:c>
      <x:c r="R67" t="str">
        <x:f>IF(A67="","",'ERP Snapshot'!Q67)</x:f>
      </x:c>
      <x:c r="S67" t="str">
        <x:f>IF(A67="","",'ERP Snapshot'!R67)</x:f>
      </x:c>
      <x:c r="T67" t="str">
        <x:f>IF(A67="","",'ERP Snapshot'!C67)</x:f>
      </x:c>
    </x:row>
    <x:row r="68">
      <x:c r="A68" t="str">
        <x:f>IF('ERP Snapshot'!A68="","",'ERP Snapshot'!A68)</x:f>
      </x:c>
      <x:c r="B68" t="str">
        <x:f>IF(A68="","",'ERP Snapshot'!B68)</x:f>
      </x:c>
      <x:c r="C68" t="str">
        <x:f>IF(A68="","",'ERP Snapshot'!D68)</x:f>
      </x:c>
      <x:c r="D68" t="str">
        <x:f>IF(A68="","",IF(C68="MXN",IF(AND(Settings!$B$8="APPROVED",Settings!$B$9&lt;&gt;"",Settings!$B$10&lt;&gt;"",Settings!$B$2&gt;0),'PO Authorization'!F68/Settings!$B$2,""),'PO Authorization'!F68))</x:f>
      </x:c>
      <x:c r="E68" t="str">
        <x:f>IF(A68="","",IF(C68="MXN",IF(AND(Settings!$B$8="APPROVED",Settings!$B$9&lt;&gt;"",Settings!$B$10&lt;&gt;"",Settings!$B$2&gt;0),'ERP Snapshot'!I68/Settings!$B$2,""),'ERP Snapshot'!I68))</x:f>
      </x:c>
      <x:c r="F68" t="str">
        <x:f>IF(A68="","",IF(AND(ISNUMBER(D68),ISNUMBER(E68)),D68-E68,""))</x:f>
      </x:c>
      <x:c r="G68" t="str">
        <x:f>IF(A68="","",IF(ISNUMBER('ERP Snapshot'!F68),'ERP Snapshot'!F68,""))</x:f>
      </x:c>
      <x:c r="H68" t="str">
        <x:f>IF(A68="","",'ERP Snapshot'!G68)</x:f>
      </x:c>
      <x:c r="I68" t="str">
        <x:f>IF(A68="","",IF(ISNUMBER('ERP Snapshot'!S68),'ERP Snapshot'!S68,""))</x:f>
      </x:c>
      <x:c r="J68" t="str">
        <x:f>IF(A68="","",IF(AND(ISNUMBER(G68),ISNUMBER(I68)),G68-I68,""))</x:f>
      </x:c>
      <x:c r="K68" s="8" t="str">
        <x:f>IF(A68="","",IF(AND(ISNUMBER(G68),G68&gt;0,ISNUMBER(I68)),I68/G68,""))</x:f>
      </x:c>
      <x:c r="L68" t="str">
        <x:f>IF(A68="","",IF(NOT(ISNUMBER(G68)),"BUDGET DATA REQUIRED",IF(G68&lt;=0,"REVIEW: NO BUDGET",IF(NOT(ISNUMBER(I68)),"PO DATA REQUIRED",IF(I68&lt;0,"REVIEW: PO AMOUNT",IF(K68&gt;1,"OVER BUDGET",IF(K68=1,"BUDGET EXHAUSTED",IF(K68&gt;=Settings!$B$3,"PREVENTIVE ALERT","OK"))))))))</x:f>
      </x:c>
      <x:c r="M68" t="str">
        <x:f>IF(A68="","",'ERP Snapshot'!K68)</x:f>
      </x:c>
      <x:c r="N68" t="str">
        <x:f>IF(A68="","",COUNTIFS(Exceptions!$A$2:$A$101,A68,Exceptions!$E$2:$E$101,"Open"))</x:f>
      </x:c>
      <x:c r="O68" t="str">
        <x:f>IF(A68="","",IF(AND(C68="MXN",OR(D68="",E68="")),"FX HOLD",IF(E68&gt;D68,"REVIEW: ABOVE CUSTOMER PO",IF('PO Authorization'!H68="REVIEW: SNAPSHOT DIFFERS","REVIEW: PO SNAPSHOT",IF(E68=D68,"FULLY INVOICED",IF(E68&gt;0,"PARTIAL INVOICE","NOT INVOICED"))))))</x:f>
      </x:c>
      <x:c r="P68" t="str">
        <x:f>IF(A68="","",IF(OR(O68="FX HOLD",O68="REVIEW: PO SNAPSHOT",L68="OVER BUDGET",L68="BUDGET EXHAUSTED",O68="REVIEW: ABOVE CUSTOMER PO",'ERP Snapshot'!L68="YES"),"CRITICAL / REVIEW",IF(OR(L68="PO DATA REQUIRED",L68="BUDGET DATA REQUIRED",L68="REVIEW: NO BUDGET",L68="REVIEW: PO AMOUNT",N68&gt;0,M68&gt;0,F68&gt;0),"FOLLOW UP","NORMAL")))</x:f>
      </x:c>
      <x:c r="Q68" s="68" t="str">
        <x:f>IF(A68="","",'ERP Snapshot'!N68)</x:f>
      </x:c>
      <x:c r="R68" t="str">
        <x:f>IF(A68="","",'ERP Snapshot'!Q68)</x:f>
      </x:c>
      <x:c r="S68" t="str">
        <x:f>IF(A68="","",'ERP Snapshot'!R68)</x:f>
      </x:c>
      <x:c r="T68" t="str">
        <x:f>IF(A68="","",'ERP Snapshot'!C68)</x:f>
      </x:c>
    </x:row>
    <x:row r="69">
      <x:c r="A69" t="str">
        <x:f>IF('ERP Snapshot'!A69="","",'ERP Snapshot'!A69)</x:f>
      </x:c>
      <x:c r="B69" t="str">
        <x:f>IF(A69="","",'ERP Snapshot'!B69)</x:f>
      </x:c>
      <x:c r="C69" t="str">
        <x:f>IF(A69="","",'ERP Snapshot'!D69)</x:f>
      </x:c>
      <x:c r="D69" t="str">
        <x:f>IF(A69="","",IF(C69="MXN",IF(AND(Settings!$B$8="APPROVED",Settings!$B$9&lt;&gt;"",Settings!$B$10&lt;&gt;"",Settings!$B$2&gt;0),'PO Authorization'!F69/Settings!$B$2,""),'PO Authorization'!F69))</x:f>
      </x:c>
      <x:c r="E69" t="str">
        <x:f>IF(A69="","",IF(C69="MXN",IF(AND(Settings!$B$8="APPROVED",Settings!$B$9&lt;&gt;"",Settings!$B$10&lt;&gt;"",Settings!$B$2&gt;0),'ERP Snapshot'!I69/Settings!$B$2,""),'ERP Snapshot'!I69))</x:f>
      </x:c>
      <x:c r="F69" t="str">
        <x:f>IF(A69="","",IF(AND(ISNUMBER(D69),ISNUMBER(E69)),D69-E69,""))</x:f>
      </x:c>
      <x:c r="G69" t="str">
        <x:f>IF(A69="","",IF(ISNUMBER('ERP Snapshot'!F69),'ERP Snapshot'!F69,""))</x:f>
      </x:c>
      <x:c r="H69" t="str">
        <x:f>IF(A69="","",'ERP Snapshot'!G69)</x:f>
      </x:c>
      <x:c r="I69" t="str">
        <x:f>IF(A69="","",IF(ISNUMBER('ERP Snapshot'!S69),'ERP Snapshot'!S69,""))</x:f>
      </x:c>
      <x:c r="J69" t="str">
        <x:f>IF(A69="","",IF(AND(ISNUMBER(G69),ISNUMBER(I69)),G69-I69,""))</x:f>
      </x:c>
      <x:c r="K69" s="8" t="str">
        <x:f>IF(A69="","",IF(AND(ISNUMBER(G69),G69&gt;0,ISNUMBER(I69)),I69/G69,""))</x:f>
      </x:c>
      <x:c r="L69" t="str">
        <x:f>IF(A69="","",IF(NOT(ISNUMBER(G69)),"BUDGET DATA REQUIRED",IF(G69&lt;=0,"REVIEW: NO BUDGET",IF(NOT(ISNUMBER(I69)),"PO DATA REQUIRED",IF(I69&lt;0,"REVIEW: PO AMOUNT",IF(K69&gt;1,"OVER BUDGET",IF(K69=1,"BUDGET EXHAUSTED",IF(K69&gt;=Settings!$B$3,"PREVENTIVE ALERT","OK"))))))))</x:f>
      </x:c>
      <x:c r="M69" t="str">
        <x:f>IF(A69="","",'ERP Snapshot'!K69)</x:f>
      </x:c>
      <x:c r="N69" t="str">
        <x:f>IF(A69="","",COUNTIFS(Exceptions!$A$2:$A$101,A69,Exceptions!$E$2:$E$101,"Open"))</x:f>
      </x:c>
      <x:c r="O69" t="str">
        <x:f>IF(A69="","",IF(AND(C69="MXN",OR(D69="",E69="")),"FX HOLD",IF(E69&gt;D69,"REVIEW: ABOVE CUSTOMER PO",IF('PO Authorization'!H69="REVIEW: SNAPSHOT DIFFERS","REVIEW: PO SNAPSHOT",IF(E69=D69,"FULLY INVOICED",IF(E69&gt;0,"PARTIAL INVOICE","NOT INVOICED"))))))</x:f>
      </x:c>
      <x:c r="P69" t="str">
        <x:f>IF(A69="","",IF(OR(O69="FX HOLD",O69="REVIEW: PO SNAPSHOT",L69="OVER BUDGET",L69="BUDGET EXHAUSTED",O69="REVIEW: ABOVE CUSTOMER PO",'ERP Snapshot'!L69="YES"),"CRITICAL / REVIEW",IF(OR(L69="PO DATA REQUIRED",L69="BUDGET DATA REQUIRED",L69="REVIEW: NO BUDGET",L69="REVIEW: PO AMOUNT",N69&gt;0,M69&gt;0,F69&gt;0),"FOLLOW UP","NORMAL")))</x:f>
      </x:c>
      <x:c r="Q69" s="68" t="str">
        <x:f>IF(A69="","",'ERP Snapshot'!N69)</x:f>
      </x:c>
      <x:c r="R69" t="str">
        <x:f>IF(A69="","",'ERP Snapshot'!Q69)</x:f>
      </x:c>
      <x:c r="S69" t="str">
        <x:f>IF(A69="","",'ERP Snapshot'!R69)</x:f>
      </x:c>
      <x:c r="T69" t="str">
        <x:f>IF(A69="","",'ERP Snapshot'!C69)</x:f>
      </x:c>
    </x:row>
    <x:row r="70">
      <x:c r="A70" t="str">
        <x:f>IF('ERP Snapshot'!A70="","",'ERP Snapshot'!A70)</x:f>
      </x:c>
      <x:c r="B70" t="str">
        <x:f>IF(A70="","",'ERP Snapshot'!B70)</x:f>
      </x:c>
      <x:c r="C70" t="str">
        <x:f>IF(A70="","",'ERP Snapshot'!D70)</x:f>
      </x:c>
      <x:c r="D70" t="str">
        <x:f>IF(A70="","",IF(C70="MXN",IF(AND(Settings!$B$8="APPROVED",Settings!$B$9&lt;&gt;"",Settings!$B$10&lt;&gt;"",Settings!$B$2&gt;0),'PO Authorization'!F70/Settings!$B$2,""),'PO Authorization'!F70))</x:f>
      </x:c>
      <x:c r="E70" t="str">
        <x:f>IF(A70="","",IF(C70="MXN",IF(AND(Settings!$B$8="APPROVED",Settings!$B$9&lt;&gt;"",Settings!$B$10&lt;&gt;"",Settings!$B$2&gt;0),'ERP Snapshot'!I70/Settings!$B$2,""),'ERP Snapshot'!I70))</x:f>
      </x:c>
      <x:c r="F70" t="str">
        <x:f>IF(A70="","",IF(AND(ISNUMBER(D70),ISNUMBER(E70)),D70-E70,""))</x:f>
      </x:c>
      <x:c r="G70" t="str">
        <x:f>IF(A70="","",IF(ISNUMBER('ERP Snapshot'!F70),'ERP Snapshot'!F70,""))</x:f>
      </x:c>
      <x:c r="H70" t="str">
        <x:f>IF(A70="","",'ERP Snapshot'!G70)</x:f>
      </x:c>
      <x:c r="I70" t="str">
        <x:f>IF(A70="","",IF(ISNUMBER('ERP Snapshot'!S70),'ERP Snapshot'!S70,""))</x:f>
      </x:c>
      <x:c r="J70" t="str">
        <x:f>IF(A70="","",IF(AND(ISNUMBER(G70),ISNUMBER(I70)),G70-I70,""))</x:f>
      </x:c>
      <x:c r="K70" s="8" t="str">
        <x:f>IF(A70="","",IF(AND(ISNUMBER(G70),G70&gt;0,ISNUMBER(I70)),I70/G70,""))</x:f>
      </x:c>
      <x:c r="L70" t="str">
        <x:f>IF(A70="","",IF(NOT(ISNUMBER(G70)),"BUDGET DATA REQUIRED",IF(G70&lt;=0,"REVIEW: NO BUDGET",IF(NOT(ISNUMBER(I70)),"PO DATA REQUIRED",IF(I70&lt;0,"REVIEW: PO AMOUNT",IF(K70&gt;1,"OVER BUDGET",IF(K70=1,"BUDGET EXHAUSTED",IF(K70&gt;=Settings!$B$3,"PREVENTIVE ALERT","OK"))))))))</x:f>
      </x:c>
      <x:c r="M70" t="str">
        <x:f>IF(A70="","",'ERP Snapshot'!K70)</x:f>
      </x:c>
      <x:c r="N70" t="str">
        <x:f>IF(A70="","",COUNTIFS(Exceptions!$A$2:$A$101,A70,Exceptions!$E$2:$E$101,"Open"))</x:f>
      </x:c>
      <x:c r="O70" t="str">
        <x:f>IF(A70="","",IF(AND(C70="MXN",OR(D70="",E70="")),"FX HOLD",IF(E70&gt;D70,"REVIEW: ABOVE CUSTOMER PO",IF('PO Authorization'!H70="REVIEW: SNAPSHOT DIFFERS","REVIEW: PO SNAPSHOT",IF(E70=D70,"FULLY INVOICED",IF(E70&gt;0,"PARTIAL INVOICE","NOT INVOICED"))))))</x:f>
      </x:c>
      <x:c r="P70" t="str">
        <x:f>IF(A70="","",IF(OR(O70="FX HOLD",O70="REVIEW: PO SNAPSHOT",L70="OVER BUDGET",L70="BUDGET EXHAUSTED",O70="REVIEW: ABOVE CUSTOMER PO",'ERP Snapshot'!L70="YES"),"CRITICAL / REVIEW",IF(OR(L70="PO DATA REQUIRED",L70="BUDGET DATA REQUIRED",L70="REVIEW: NO BUDGET",L70="REVIEW: PO AMOUNT",N70&gt;0,M70&gt;0,F70&gt;0),"FOLLOW UP","NORMAL")))</x:f>
      </x:c>
      <x:c r="Q70" s="68" t="str">
        <x:f>IF(A70="","",'ERP Snapshot'!N70)</x:f>
      </x:c>
      <x:c r="R70" t="str">
        <x:f>IF(A70="","",'ERP Snapshot'!Q70)</x:f>
      </x:c>
      <x:c r="S70" t="str">
        <x:f>IF(A70="","",'ERP Snapshot'!R70)</x:f>
      </x:c>
      <x:c r="T70" t="str">
        <x:f>IF(A70="","",'ERP Snapshot'!C70)</x:f>
      </x:c>
    </x:row>
    <x:row r="71">
      <x:c r="A71" t="str">
        <x:f>IF('ERP Snapshot'!A71="","",'ERP Snapshot'!A71)</x:f>
      </x:c>
      <x:c r="B71" t="str">
        <x:f>IF(A71="","",'ERP Snapshot'!B71)</x:f>
      </x:c>
      <x:c r="C71" t="str">
        <x:f>IF(A71="","",'ERP Snapshot'!D71)</x:f>
      </x:c>
      <x:c r="D71" t="str">
        <x:f>IF(A71="","",IF(C71="MXN",IF(AND(Settings!$B$8="APPROVED",Settings!$B$9&lt;&gt;"",Settings!$B$10&lt;&gt;"",Settings!$B$2&gt;0),'PO Authorization'!F71/Settings!$B$2,""),'PO Authorization'!F71))</x:f>
      </x:c>
      <x:c r="E71" t="str">
        <x:f>IF(A71="","",IF(C71="MXN",IF(AND(Settings!$B$8="APPROVED",Settings!$B$9&lt;&gt;"",Settings!$B$10&lt;&gt;"",Settings!$B$2&gt;0),'ERP Snapshot'!I71/Settings!$B$2,""),'ERP Snapshot'!I71))</x:f>
      </x:c>
      <x:c r="F71" t="str">
        <x:f>IF(A71="","",IF(AND(ISNUMBER(D71),ISNUMBER(E71)),D71-E71,""))</x:f>
      </x:c>
      <x:c r="G71" t="str">
        <x:f>IF(A71="","",IF(ISNUMBER('ERP Snapshot'!F71),'ERP Snapshot'!F71,""))</x:f>
      </x:c>
      <x:c r="H71" t="str">
        <x:f>IF(A71="","",'ERP Snapshot'!G71)</x:f>
      </x:c>
      <x:c r="I71" t="str">
        <x:f>IF(A71="","",IF(ISNUMBER('ERP Snapshot'!S71),'ERP Snapshot'!S71,""))</x:f>
      </x:c>
      <x:c r="J71" t="str">
        <x:f>IF(A71="","",IF(AND(ISNUMBER(G71),ISNUMBER(I71)),G71-I71,""))</x:f>
      </x:c>
      <x:c r="K71" s="8" t="str">
        <x:f>IF(A71="","",IF(AND(ISNUMBER(G71),G71&gt;0,ISNUMBER(I71)),I71/G71,""))</x:f>
      </x:c>
      <x:c r="L71" t="str">
        <x:f>IF(A71="","",IF(NOT(ISNUMBER(G71)),"BUDGET DATA REQUIRED",IF(G71&lt;=0,"REVIEW: NO BUDGET",IF(NOT(ISNUMBER(I71)),"PO DATA REQUIRED",IF(I71&lt;0,"REVIEW: PO AMOUNT",IF(K71&gt;1,"OVER BUDGET",IF(K71=1,"BUDGET EXHAUSTED",IF(K71&gt;=Settings!$B$3,"PREVENTIVE ALERT","OK"))))))))</x:f>
      </x:c>
      <x:c r="M71" t="str">
        <x:f>IF(A71="","",'ERP Snapshot'!K71)</x:f>
      </x:c>
      <x:c r="N71" t="str">
        <x:f>IF(A71="","",COUNTIFS(Exceptions!$A$2:$A$101,A71,Exceptions!$E$2:$E$101,"Open"))</x:f>
      </x:c>
      <x:c r="O71" t="str">
        <x:f>IF(A71="","",IF(AND(C71="MXN",OR(D71="",E71="")),"FX HOLD",IF(E71&gt;D71,"REVIEW: ABOVE CUSTOMER PO",IF('PO Authorization'!H71="REVIEW: SNAPSHOT DIFFERS","REVIEW: PO SNAPSHOT",IF(E71=D71,"FULLY INVOICED",IF(E71&gt;0,"PARTIAL INVOICE","NOT INVOICED"))))))</x:f>
      </x:c>
      <x:c r="P71" t="str">
        <x:f>IF(A71="","",IF(OR(O71="FX HOLD",O71="REVIEW: PO SNAPSHOT",L71="OVER BUDGET",L71="BUDGET EXHAUSTED",O71="REVIEW: ABOVE CUSTOMER PO",'ERP Snapshot'!L71="YES"),"CRITICAL / REVIEW",IF(OR(L71="PO DATA REQUIRED",L71="BUDGET DATA REQUIRED",L71="REVIEW: NO BUDGET",L71="REVIEW: PO AMOUNT",N71&gt;0,M71&gt;0,F71&gt;0),"FOLLOW UP","NORMAL")))</x:f>
      </x:c>
      <x:c r="Q71" s="68" t="str">
        <x:f>IF(A71="","",'ERP Snapshot'!N71)</x:f>
      </x:c>
      <x:c r="R71" t="str">
        <x:f>IF(A71="","",'ERP Snapshot'!Q71)</x:f>
      </x:c>
      <x:c r="S71" t="str">
        <x:f>IF(A71="","",'ERP Snapshot'!R71)</x:f>
      </x:c>
      <x:c r="T71" t="str">
        <x:f>IF(A71="","",'ERP Snapshot'!C71)</x:f>
      </x:c>
    </x:row>
    <x:row r="72">
      <x:c r="A72" t="str">
        <x:f>IF('ERP Snapshot'!A72="","",'ERP Snapshot'!A72)</x:f>
      </x:c>
      <x:c r="B72" t="str">
        <x:f>IF(A72="","",'ERP Snapshot'!B72)</x:f>
      </x:c>
      <x:c r="C72" t="str">
        <x:f>IF(A72="","",'ERP Snapshot'!D72)</x:f>
      </x:c>
      <x:c r="D72" t="str">
        <x:f>IF(A72="","",IF(C72="MXN",IF(AND(Settings!$B$8="APPROVED",Settings!$B$9&lt;&gt;"",Settings!$B$10&lt;&gt;"",Settings!$B$2&gt;0),'PO Authorization'!F72/Settings!$B$2,""),'PO Authorization'!F72))</x:f>
      </x:c>
      <x:c r="E72" t="str">
        <x:f>IF(A72="","",IF(C72="MXN",IF(AND(Settings!$B$8="APPROVED",Settings!$B$9&lt;&gt;"",Settings!$B$10&lt;&gt;"",Settings!$B$2&gt;0),'ERP Snapshot'!I72/Settings!$B$2,""),'ERP Snapshot'!I72))</x:f>
      </x:c>
      <x:c r="F72" t="str">
        <x:f>IF(A72="","",IF(AND(ISNUMBER(D72),ISNUMBER(E72)),D72-E72,""))</x:f>
      </x:c>
      <x:c r="G72" t="str">
        <x:f>IF(A72="","",IF(ISNUMBER('ERP Snapshot'!F72),'ERP Snapshot'!F72,""))</x:f>
      </x:c>
      <x:c r="H72" t="str">
        <x:f>IF(A72="","",'ERP Snapshot'!G72)</x:f>
      </x:c>
      <x:c r="I72" t="str">
        <x:f>IF(A72="","",IF(ISNUMBER('ERP Snapshot'!S72),'ERP Snapshot'!S72,""))</x:f>
      </x:c>
      <x:c r="J72" t="str">
        <x:f>IF(A72="","",IF(AND(ISNUMBER(G72),ISNUMBER(I72)),G72-I72,""))</x:f>
      </x:c>
      <x:c r="K72" s="8" t="str">
        <x:f>IF(A72="","",IF(AND(ISNUMBER(G72),G72&gt;0,ISNUMBER(I72)),I72/G72,""))</x:f>
      </x:c>
      <x:c r="L72" t="str">
        <x:f>IF(A72="","",IF(NOT(ISNUMBER(G72)),"BUDGET DATA REQUIRED",IF(G72&lt;=0,"REVIEW: NO BUDGET",IF(NOT(ISNUMBER(I72)),"PO DATA REQUIRED",IF(I72&lt;0,"REVIEW: PO AMOUNT",IF(K72&gt;1,"OVER BUDGET",IF(K72=1,"BUDGET EXHAUSTED",IF(K72&gt;=Settings!$B$3,"PREVENTIVE ALERT","OK"))))))))</x:f>
      </x:c>
      <x:c r="M72" t="str">
        <x:f>IF(A72="","",'ERP Snapshot'!K72)</x:f>
      </x:c>
      <x:c r="N72" t="str">
        <x:f>IF(A72="","",COUNTIFS(Exceptions!$A$2:$A$101,A72,Exceptions!$E$2:$E$101,"Open"))</x:f>
      </x:c>
      <x:c r="O72" t="str">
        <x:f>IF(A72="","",IF(AND(C72="MXN",OR(D72="",E72="")),"FX HOLD",IF(E72&gt;D72,"REVIEW: ABOVE CUSTOMER PO",IF('PO Authorization'!H72="REVIEW: SNAPSHOT DIFFERS","REVIEW: PO SNAPSHOT",IF(E72=D72,"FULLY INVOICED",IF(E72&gt;0,"PARTIAL INVOICE","NOT INVOICED"))))))</x:f>
      </x:c>
      <x:c r="P72" t="str">
        <x:f>IF(A72="","",IF(OR(O72="FX HOLD",O72="REVIEW: PO SNAPSHOT",L72="OVER BUDGET",L72="BUDGET EXHAUSTED",O72="REVIEW: ABOVE CUSTOMER PO",'ERP Snapshot'!L72="YES"),"CRITICAL / REVIEW",IF(OR(L72="PO DATA REQUIRED",L72="BUDGET DATA REQUIRED",L72="REVIEW: NO BUDGET",L72="REVIEW: PO AMOUNT",N72&gt;0,M72&gt;0,F72&gt;0),"FOLLOW UP","NORMAL")))</x:f>
      </x:c>
      <x:c r="Q72" s="68" t="str">
        <x:f>IF(A72="","",'ERP Snapshot'!N72)</x:f>
      </x:c>
      <x:c r="R72" t="str">
        <x:f>IF(A72="","",'ERP Snapshot'!Q72)</x:f>
      </x:c>
      <x:c r="S72" t="str">
        <x:f>IF(A72="","",'ERP Snapshot'!R72)</x:f>
      </x:c>
      <x:c r="T72" t="str">
        <x:f>IF(A72="","",'ERP Snapshot'!C72)</x:f>
      </x:c>
    </x:row>
    <x:row r="73">
      <x:c r="A73" t="str">
        <x:f>IF('ERP Snapshot'!A73="","",'ERP Snapshot'!A73)</x:f>
      </x:c>
      <x:c r="B73" t="str">
        <x:f>IF(A73="","",'ERP Snapshot'!B73)</x:f>
      </x:c>
      <x:c r="C73" t="str">
        <x:f>IF(A73="","",'ERP Snapshot'!D73)</x:f>
      </x:c>
      <x:c r="D73" t="str">
        <x:f>IF(A73="","",IF(C73="MXN",IF(AND(Settings!$B$8="APPROVED",Settings!$B$9&lt;&gt;"",Settings!$B$10&lt;&gt;"",Settings!$B$2&gt;0),'PO Authorization'!F73/Settings!$B$2,""),'PO Authorization'!F73))</x:f>
      </x:c>
      <x:c r="E73" t="str">
        <x:f>IF(A73="","",IF(C73="MXN",IF(AND(Settings!$B$8="APPROVED",Settings!$B$9&lt;&gt;"",Settings!$B$10&lt;&gt;"",Settings!$B$2&gt;0),'ERP Snapshot'!I73/Settings!$B$2,""),'ERP Snapshot'!I73))</x:f>
      </x:c>
      <x:c r="F73" t="str">
        <x:f>IF(A73="","",IF(AND(ISNUMBER(D73),ISNUMBER(E73)),D73-E73,""))</x:f>
      </x:c>
      <x:c r="G73" t="str">
        <x:f>IF(A73="","",IF(ISNUMBER('ERP Snapshot'!F73),'ERP Snapshot'!F73,""))</x:f>
      </x:c>
      <x:c r="H73" t="str">
        <x:f>IF(A73="","",'ERP Snapshot'!G73)</x:f>
      </x:c>
      <x:c r="I73" t="str">
        <x:f>IF(A73="","",IF(ISNUMBER('ERP Snapshot'!S73),'ERP Snapshot'!S73,""))</x:f>
      </x:c>
      <x:c r="J73" t="str">
        <x:f>IF(A73="","",IF(AND(ISNUMBER(G73),ISNUMBER(I73)),G73-I73,""))</x:f>
      </x:c>
      <x:c r="K73" s="8" t="str">
        <x:f>IF(A73="","",IF(AND(ISNUMBER(G73),G73&gt;0,ISNUMBER(I73)),I73/G73,""))</x:f>
      </x:c>
      <x:c r="L73" t="str">
        <x:f>IF(A73="","",IF(NOT(ISNUMBER(G73)),"BUDGET DATA REQUIRED",IF(G73&lt;=0,"REVIEW: NO BUDGET",IF(NOT(ISNUMBER(I73)),"PO DATA REQUIRED",IF(I73&lt;0,"REVIEW: PO AMOUNT",IF(K73&gt;1,"OVER BUDGET",IF(K73=1,"BUDGET EXHAUSTED",IF(K73&gt;=Settings!$B$3,"PREVENTIVE ALERT","OK"))))))))</x:f>
      </x:c>
      <x:c r="M73" t="str">
        <x:f>IF(A73="","",'ERP Snapshot'!K73)</x:f>
      </x:c>
      <x:c r="N73" t="str">
        <x:f>IF(A73="","",COUNTIFS(Exceptions!$A$2:$A$101,A73,Exceptions!$E$2:$E$101,"Open"))</x:f>
      </x:c>
      <x:c r="O73" t="str">
        <x:f>IF(A73="","",IF(AND(C73="MXN",OR(D73="",E73="")),"FX HOLD",IF(E73&gt;D73,"REVIEW: ABOVE CUSTOMER PO",IF('PO Authorization'!H73="REVIEW: SNAPSHOT DIFFERS","REVIEW: PO SNAPSHOT",IF(E73=D73,"FULLY INVOICED",IF(E73&gt;0,"PARTIAL INVOICE","NOT INVOICED"))))))</x:f>
      </x:c>
      <x:c r="P73" t="str">
        <x:f>IF(A73="","",IF(OR(O73="FX HOLD",O73="REVIEW: PO SNAPSHOT",L73="OVER BUDGET",L73="BUDGET EXHAUSTED",O73="REVIEW: ABOVE CUSTOMER PO",'ERP Snapshot'!L73="YES"),"CRITICAL / REVIEW",IF(OR(L73="PO DATA REQUIRED",L73="BUDGET DATA REQUIRED",L73="REVIEW: NO BUDGET",L73="REVIEW: PO AMOUNT",N73&gt;0,M73&gt;0,F73&gt;0),"FOLLOW UP","NORMAL")))</x:f>
      </x:c>
      <x:c r="Q73" s="68" t="str">
        <x:f>IF(A73="","",'ERP Snapshot'!N73)</x:f>
      </x:c>
      <x:c r="R73" t="str">
        <x:f>IF(A73="","",'ERP Snapshot'!Q73)</x:f>
      </x:c>
      <x:c r="S73" t="str">
        <x:f>IF(A73="","",'ERP Snapshot'!R73)</x:f>
      </x:c>
      <x:c r="T73" t="str">
        <x:f>IF(A73="","",'ERP Snapshot'!C73)</x:f>
      </x:c>
    </x:row>
    <x:row r="74">
      <x:c r="A74" t="str">
        <x:f>IF('ERP Snapshot'!A74="","",'ERP Snapshot'!A74)</x:f>
      </x:c>
      <x:c r="B74" t="str">
        <x:f>IF(A74="","",'ERP Snapshot'!B74)</x:f>
      </x:c>
      <x:c r="C74" t="str">
        <x:f>IF(A74="","",'ERP Snapshot'!D74)</x:f>
      </x:c>
      <x:c r="D74" t="str">
        <x:f>IF(A74="","",IF(C74="MXN",IF(AND(Settings!$B$8="APPROVED",Settings!$B$9&lt;&gt;"",Settings!$B$10&lt;&gt;"",Settings!$B$2&gt;0),'PO Authorization'!F74/Settings!$B$2,""),'PO Authorization'!F74))</x:f>
      </x:c>
      <x:c r="E74" t="str">
        <x:f>IF(A74="","",IF(C74="MXN",IF(AND(Settings!$B$8="APPROVED",Settings!$B$9&lt;&gt;"",Settings!$B$10&lt;&gt;"",Settings!$B$2&gt;0),'ERP Snapshot'!I74/Settings!$B$2,""),'ERP Snapshot'!I74))</x:f>
      </x:c>
      <x:c r="F74" t="str">
        <x:f>IF(A74="","",IF(AND(ISNUMBER(D74),ISNUMBER(E74)),D74-E74,""))</x:f>
      </x:c>
      <x:c r="G74" t="str">
        <x:f>IF(A74="","",IF(ISNUMBER('ERP Snapshot'!F74),'ERP Snapshot'!F74,""))</x:f>
      </x:c>
      <x:c r="H74" t="str">
        <x:f>IF(A74="","",'ERP Snapshot'!G74)</x:f>
      </x:c>
      <x:c r="I74" t="str">
        <x:f>IF(A74="","",IF(ISNUMBER('ERP Snapshot'!S74),'ERP Snapshot'!S74,""))</x:f>
      </x:c>
      <x:c r="J74" t="str">
        <x:f>IF(A74="","",IF(AND(ISNUMBER(G74),ISNUMBER(I74)),G74-I74,""))</x:f>
      </x:c>
      <x:c r="K74" s="8" t="str">
        <x:f>IF(A74="","",IF(AND(ISNUMBER(G74),G74&gt;0,ISNUMBER(I74)),I74/G74,""))</x:f>
      </x:c>
      <x:c r="L74" t="str">
        <x:f>IF(A74="","",IF(NOT(ISNUMBER(G74)),"BUDGET DATA REQUIRED",IF(G74&lt;=0,"REVIEW: NO BUDGET",IF(NOT(ISNUMBER(I74)),"PO DATA REQUIRED",IF(I74&lt;0,"REVIEW: PO AMOUNT",IF(K74&gt;1,"OVER BUDGET",IF(K74=1,"BUDGET EXHAUSTED",IF(K74&gt;=Settings!$B$3,"PREVENTIVE ALERT","OK"))))))))</x:f>
      </x:c>
      <x:c r="M74" t="str">
        <x:f>IF(A74="","",'ERP Snapshot'!K74)</x:f>
      </x:c>
      <x:c r="N74" t="str">
        <x:f>IF(A74="","",COUNTIFS(Exceptions!$A$2:$A$101,A74,Exceptions!$E$2:$E$101,"Open"))</x:f>
      </x:c>
      <x:c r="O74" t="str">
        <x:f>IF(A74="","",IF(AND(C74="MXN",OR(D74="",E74="")),"FX HOLD",IF(E74&gt;D74,"REVIEW: ABOVE CUSTOMER PO",IF('PO Authorization'!H74="REVIEW: SNAPSHOT DIFFERS","REVIEW: PO SNAPSHOT",IF(E74=D74,"FULLY INVOICED",IF(E74&gt;0,"PARTIAL INVOICE","NOT INVOICED"))))))</x:f>
      </x:c>
      <x:c r="P74" t="str">
        <x:f>IF(A74="","",IF(OR(O74="FX HOLD",O74="REVIEW: PO SNAPSHOT",L74="OVER BUDGET",L74="BUDGET EXHAUSTED",O74="REVIEW: ABOVE CUSTOMER PO",'ERP Snapshot'!L74="YES"),"CRITICAL / REVIEW",IF(OR(L74="PO DATA REQUIRED",L74="BUDGET DATA REQUIRED",L74="REVIEW: NO BUDGET",L74="REVIEW: PO AMOUNT",N74&gt;0,M74&gt;0,F74&gt;0),"FOLLOW UP","NORMAL")))</x:f>
      </x:c>
      <x:c r="Q74" s="68" t="str">
        <x:f>IF(A74="","",'ERP Snapshot'!N74)</x:f>
      </x:c>
      <x:c r="R74" t="str">
        <x:f>IF(A74="","",'ERP Snapshot'!Q74)</x:f>
      </x:c>
      <x:c r="S74" t="str">
        <x:f>IF(A74="","",'ERP Snapshot'!R74)</x:f>
      </x:c>
      <x:c r="T74" t="str">
        <x:f>IF(A74="","",'ERP Snapshot'!C74)</x:f>
      </x:c>
    </x:row>
    <x:row r="75">
      <x:c r="A75" t="str">
        <x:f>IF('ERP Snapshot'!A75="","",'ERP Snapshot'!A75)</x:f>
      </x:c>
      <x:c r="B75" t="str">
        <x:f>IF(A75="","",'ERP Snapshot'!B75)</x:f>
      </x:c>
      <x:c r="C75" t="str">
        <x:f>IF(A75="","",'ERP Snapshot'!D75)</x:f>
      </x:c>
      <x:c r="D75" t="str">
        <x:f>IF(A75="","",IF(C75="MXN",IF(AND(Settings!$B$8="APPROVED",Settings!$B$9&lt;&gt;"",Settings!$B$10&lt;&gt;"",Settings!$B$2&gt;0),'PO Authorization'!F75/Settings!$B$2,""),'PO Authorization'!F75))</x:f>
      </x:c>
      <x:c r="E75" t="str">
        <x:f>IF(A75="","",IF(C75="MXN",IF(AND(Settings!$B$8="APPROVED",Settings!$B$9&lt;&gt;"",Settings!$B$10&lt;&gt;"",Settings!$B$2&gt;0),'ERP Snapshot'!I75/Settings!$B$2,""),'ERP Snapshot'!I75))</x:f>
      </x:c>
      <x:c r="F75" t="str">
        <x:f>IF(A75="","",IF(AND(ISNUMBER(D75),ISNUMBER(E75)),D75-E75,""))</x:f>
      </x:c>
      <x:c r="G75" t="str">
        <x:f>IF(A75="","",IF(ISNUMBER('ERP Snapshot'!F75),'ERP Snapshot'!F75,""))</x:f>
      </x:c>
      <x:c r="H75" t="str">
        <x:f>IF(A75="","",'ERP Snapshot'!G75)</x:f>
      </x:c>
      <x:c r="I75" t="str">
        <x:f>IF(A75="","",IF(ISNUMBER('ERP Snapshot'!S75),'ERP Snapshot'!S75,""))</x:f>
      </x:c>
      <x:c r="J75" t="str">
        <x:f>IF(A75="","",IF(AND(ISNUMBER(G75),ISNUMBER(I75)),G75-I75,""))</x:f>
      </x:c>
      <x:c r="K75" s="8" t="str">
        <x:f>IF(A75="","",IF(AND(ISNUMBER(G75),G75&gt;0,ISNUMBER(I75)),I75/G75,""))</x:f>
      </x:c>
      <x:c r="L75" t="str">
        <x:f>IF(A75="","",IF(NOT(ISNUMBER(G75)),"BUDGET DATA REQUIRED",IF(G75&lt;=0,"REVIEW: NO BUDGET",IF(NOT(ISNUMBER(I75)),"PO DATA REQUIRED",IF(I75&lt;0,"REVIEW: PO AMOUNT",IF(K75&gt;1,"OVER BUDGET",IF(K75=1,"BUDGET EXHAUSTED",IF(K75&gt;=Settings!$B$3,"PREVENTIVE ALERT","OK"))))))))</x:f>
      </x:c>
      <x:c r="M75" t="str">
        <x:f>IF(A75="","",'ERP Snapshot'!K75)</x:f>
      </x:c>
      <x:c r="N75" t="str">
        <x:f>IF(A75="","",COUNTIFS(Exceptions!$A$2:$A$101,A75,Exceptions!$E$2:$E$101,"Open"))</x:f>
      </x:c>
      <x:c r="O75" t="str">
        <x:f>IF(A75="","",IF(AND(C75="MXN",OR(D75="",E75="")),"FX HOLD",IF(E75&gt;D75,"REVIEW: ABOVE CUSTOMER PO",IF('PO Authorization'!H75="REVIEW: SNAPSHOT DIFFERS","REVIEW: PO SNAPSHOT",IF(E75=D75,"FULLY INVOICED",IF(E75&gt;0,"PARTIAL INVOICE","NOT INVOICED"))))))</x:f>
      </x:c>
      <x:c r="P75" t="str">
        <x:f>IF(A75="","",IF(OR(O75="FX HOLD",O75="REVIEW: PO SNAPSHOT",L75="OVER BUDGET",L75="BUDGET EXHAUSTED",O75="REVIEW: ABOVE CUSTOMER PO",'ERP Snapshot'!L75="YES"),"CRITICAL / REVIEW",IF(OR(L75="PO DATA REQUIRED",L75="BUDGET DATA REQUIRED",L75="REVIEW: NO BUDGET",L75="REVIEW: PO AMOUNT",N75&gt;0,M75&gt;0,F75&gt;0),"FOLLOW UP","NORMAL")))</x:f>
      </x:c>
      <x:c r="Q75" s="68" t="str">
        <x:f>IF(A75="","",'ERP Snapshot'!N75)</x:f>
      </x:c>
      <x:c r="R75" t="str">
        <x:f>IF(A75="","",'ERP Snapshot'!Q75)</x:f>
      </x:c>
      <x:c r="S75" t="str">
        <x:f>IF(A75="","",'ERP Snapshot'!R75)</x:f>
      </x:c>
      <x:c r="T75" t="str">
        <x:f>IF(A75="","",'ERP Snapshot'!C75)</x:f>
      </x:c>
    </x:row>
    <x:row r="76">
      <x:c r="A76" t="str">
        <x:f>IF('ERP Snapshot'!A76="","",'ERP Snapshot'!A76)</x:f>
      </x:c>
      <x:c r="B76" t="str">
        <x:f>IF(A76="","",'ERP Snapshot'!B76)</x:f>
      </x:c>
      <x:c r="C76" t="str">
        <x:f>IF(A76="","",'ERP Snapshot'!D76)</x:f>
      </x:c>
      <x:c r="D76" t="str">
        <x:f>IF(A76="","",IF(C76="MXN",IF(AND(Settings!$B$8="APPROVED",Settings!$B$9&lt;&gt;"",Settings!$B$10&lt;&gt;"",Settings!$B$2&gt;0),'PO Authorization'!F76/Settings!$B$2,""),'PO Authorization'!F76))</x:f>
      </x:c>
      <x:c r="E76" t="str">
        <x:f>IF(A76="","",IF(C76="MXN",IF(AND(Settings!$B$8="APPROVED",Settings!$B$9&lt;&gt;"",Settings!$B$10&lt;&gt;"",Settings!$B$2&gt;0),'ERP Snapshot'!I76/Settings!$B$2,""),'ERP Snapshot'!I76))</x:f>
      </x:c>
      <x:c r="F76" t="str">
        <x:f>IF(A76="","",IF(AND(ISNUMBER(D76),ISNUMBER(E76)),D76-E76,""))</x:f>
      </x:c>
      <x:c r="G76" t="str">
        <x:f>IF(A76="","",IF(ISNUMBER('ERP Snapshot'!F76),'ERP Snapshot'!F76,""))</x:f>
      </x:c>
      <x:c r="H76" t="str">
        <x:f>IF(A76="","",'ERP Snapshot'!G76)</x:f>
      </x:c>
      <x:c r="I76" t="str">
        <x:f>IF(A76="","",IF(ISNUMBER('ERP Snapshot'!S76),'ERP Snapshot'!S76,""))</x:f>
      </x:c>
      <x:c r="J76" t="str">
        <x:f>IF(A76="","",IF(AND(ISNUMBER(G76),ISNUMBER(I76)),G76-I76,""))</x:f>
      </x:c>
      <x:c r="K76" s="8" t="str">
        <x:f>IF(A76="","",IF(AND(ISNUMBER(G76),G76&gt;0,ISNUMBER(I76)),I76/G76,""))</x:f>
      </x:c>
      <x:c r="L76" t="str">
        <x:f>IF(A76="","",IF(NOT(ISNUMBER(G76)),"BUDGET DATA REQUIRED",IF(G76&lt;=0,"REVIEW: NO BUDGET",IF(NOT(ISNUMBER(I76)),"PO DATA REQUIRED",IF(I76&lt;0,"REVIEW: PO AMOUNT",IF(K76&gt;1,"OVER BUDGET",IF(K76=1,"BUDGET EXHAUSTED",IF(K76&gt;=Settings!$B$3,"PREVENTIVE ALERT","OK"))))))))</x:f>
      </x:c>
      <x:c r="M76" t="str">
        <x:f>IF(A76="","",'ERP Snapshot'!K76)</x:f>
      </x:c>
      <x:c r="N76" t="str">
        <x:f>IF(A76="","",COUNTIFS(Exceptions!$A$2:$A$101,A76,Exceptions!$E$2:$E$101,"Open"))</x:f>
      </x:c>
      <x:c r="O76" t="str">
        <x:f>IF(A76="","",IF(AND(C76="MXN",OR(D76="",E76="")),"FX HOLD",IF(E76&gt;D76,"REVIEW: ABOVE CUSTOMER PO",IF('PO Authorization'!H76="REVIEW: SNAPSHOT DIFFERS","REVIEW: PO SNAPSHOT",IF(E76=D76,"FULLY INVOICED",IF(E76&gt;0,"PARTIAL INVOICE","NOT INVOICED"))))))</x:f>
      </x:c>
      <x:c r="P76" t="str">
        <x:f>IF(A76="","",IF(OR(O76="FX HOLD",O76="REVIEW: PO SNAPSHOT",L76="OVER BUDGET",L76="BUDGET EXHAUSTED",O76="REVIEW: ABOVE CUSTOMER PO",'ERP Snapshot'!L76="YES"),"CRITICAL / REVIEW",IF(OR(L76="PO DATA REQUIRED",L76="BUDGET DATA REQUIRED",L76="REVIEW: NO BUDGET",L76="REVIEW: PO AMOUNT",N76&gt;0,M76&gt;0,F76&gt;0),"FOLLOW UP","NORMAL")))</x:f>
      </x:c>
      <x:c r="Q76" s="68" t="str">
        <x:f>IF(A76="","",'ERP Snapshot'!N76)</x:f>
      </x:c>
      <x:c r="R76" t="str">
        <x:f>IF(A76="","",'ERP Snapshot'!Q76)</x:f>
      </x:c>
      <x:c r="S76" t="str">
        <x:f>IF(A76="","",'ERP Snapshot'!R76)</x:f>
      </x:c>
      <x:c r="T76" t="str">
        <x:f>IF(A76="","",'ERP Snapshot'!C76)</x:f>
      </x:c>
    </x:row>
    <x:row r="77">
      <x:c r="A77" t="str">
        <x:f>IF('ERP Snapshot'!A77="","",'ERP Snapshot'!A77)</x:f>
      </x:c>
      <x:c r="B77" t="str">
        <x:f>IF(A77="","",'ERP Snapshot'!B77)</x:f>
      </x:c>
      <x:c r="C77" t="str">
        <x:f>IF(A77="","",'ERP Snapshot'!D77)</x:f>
      </x:c>
      <x:c r="D77" t="str">
        <x:f>IF(A77="","",IF(C77="MXN",IF(AND(Settings!$B$8="APPROVED",Settings!$B$9&lt;&gt;"",Settings!$B$10&lt;&gt;"",Settings!$B$2&gt;0),'PO Authorization'!F77/Settings!$B$2,""),'PO Authorization'!F77))</x:f>
      </x:c>
      <x:c r="E77" t="str">
        <x:f>IF(A77="","",IF(C77="MXN",IF(AND(Settings!$B$8="APPROVED",Settings!$B$9&lt;&gt;"",Settings!$B$10&lt;&gt;"",Settings!$B$2&gt;0),'ERP Snapshot'!I77/Settings!$B$2,""),'ERP Snapshot'!I77))</x:f>
      </x:c>
      <x:c r="F77" t="str">
        <x:f>IF(A77="","",IF(AND(ISNUMBER(D77),ISNUMBER(E77)),D77-E77,""))</x:f>
      </x:c>
      <x:c r="G77" t="str">
        <x:f>IF(A77="","",IF(ISNUMBER('ERP Snapshot'!F77),'ERP Snapshot'!F77,""))</x:f>
      </x:c>
      <x:c r="H77" t="str">
        <x:f>IF(A77="","",'ERP Snapshot'!G77)</x:f>
      </x:c>
      <x:c r="I77" t="str">
        <x:f>IF(A77="","",IF(ISNUMBER('ERP Snapshot'!S77),'ERP Snapshot'!S77,""))</x:f>
      </x:c>
      <x:c r="J77" t="str">
        <x:f>IF(A77="","",IF(AND(ISNUMBER(G77),ISNUMBER(I77)),G77-I77,""))</x:f>
      </x:c>
      <x:c r="K77" s="8" t="str">
        <x:f>IF(A77="","",IF(AND(ISNUMBER(G77),G77&gt;0,ISNUMBER(I77)),I77/G77,""))</x:f>
      </x:c>
      <x:c r="L77" t="str">
        <x:f>IF(A77="","",IF(NOT(ISNUMBER(G77)),"BUDGET DATA REQUIRED",IF(G77&lt;=0,"REVIEW: NO BUDGET",IF(NOT(ISNUMBER(I77)),"PO DATA REQUIRED",IF(I77&lt;0,"REVIEW: PO AMOUNT",IF(K77&gt;1,"OVER BUDGET",IF(K77=1,"BUDGET EXHAUSTED",IF(K77&gt;=Settings!$B$3,"PREVENTIVE ALERT","OK"))))))))</x:f>
      </x:c>
      <x:c r="M77" t="str">
        <x:f>IF(A77="","",'ERP Snapshot'!K77)</x:f>
      </x:c>
      <x:c r="N77" t="str">
        <x:f>IF(A77="","",COUNTIFS(Exceptions!$A$2:$A$101,A77,Exceptions!$E$2:$E$101,"Open"))</x:f>
      </x:c>
      <x:c r="O77" t="str">
        <x:f>IF(A77="","",IF(AND(C77="MXN",OR(D77="",E77="")),"FX HOLD",IF(E77&gt;D77,"REVIEW: ABOVE CUSTOMER PO",IF('PO Authorization'!H77="REVIEW: SNAPSHOT DIFFERS","REVIEW: PO SNAPSHOT",IF(E77=D77,"FULLY INVOICED",IF(E77&gt;0,"PARTIAL INVOICE","NOT INVOICED"))))))</x:f>
      </x:c>
      <x:c r="P77" t="str">
        <x:f>IF(A77="","",IF(OR(O77="FX HOLD",O77="REVIEW: PO SNAPSHOT",L77="OVER BUDGET",L77="BUDGET EXHAUSTED",O77="REVIEW: ABOVE CUSTOMER PO",'ERP Snapshot'!L77="YES"),"CRITICAL / REVIEW",IF(OR(L77="PO DATA REQUIRED",L77="BUDGET DATA REQUIRED",L77="REVIEW: NO BUDGET",L77="REVIEW: PO AMOUNT",N77&gt;0,M77&gt;0,F77&gt;0),"FOLLOW UP","NORMAL")))</x:f>
      </x:c>
      <x:c r="Q77" s="68" t="str">
        <x:f>IF(A77="","",'ERP Snapshot'!N77)</x:f>
      </x:c>
      <x:c r="R77" t="str">
        <x:f>IF(A77="","",'ERP Snapshot'!Q77)</x:f>
      </x:c>
      <x:c r="S77" t="str">
        <x:f>IF(A77="","",'ERP Snapshot'!R77)</x:f>
      </x:c>
      <x:c r="T77" t="str">
        <x:f>IF(A77="","",'ERP Snapshot'!C77)</x:f>
      </x:c>
    </x:row>
    <x:row r="78">
      <x:c r="A78" t="str">
        <x:f>IF('ERP Snapshot'!A78="","",'ERP Snapshot'!A78)</x:f>
      </x:c>
      <x:c r="B78" t="str">
        <x:f>IF(A78="","",'ERP Snapshot'!B78)</x:f>
      </x:c>
      <x:c r="C78" t="str">
        <x:f>IF(A78="","",'ERP Snapshot'!D78)</x:f>
      </x:c>
      <x:c r="D78" t="str">
        <x:f>IF(A78="","",IF(C78="MXN",IF(AND(Settings!$B$8="APPROVED",Settings!$B$9&lt;&gt;"",Settings!$B$10&lt;&gt;"",Settings!$B$2&gt;0),'PO Authorization'!F78/Settings!$B$2,""),'PO Authorization'!F78))</x:f>
      </x:c>
      <x:c r="E78" t="str">
        <x:f>IF(A78="","",IF(C78="MXN",IF(AND(Settings!$B$8="APPROVED",Settings!$B$9&lt;&gt;"",Settings!$B$10&lt;&gt;"",Settings!$B$2&gt;0),'ERP Snapshot'!I78/Settings!$B$2,""),'ERP Snapshot'!I78))</x:f>
      </x:c>
      <x:c r="F78" t="str">
        <x:f>IF(A78="","",IF(AND(ISNUMBER(D78),ISNUMBER(E78)),D78-E78,""))</x:f>
      </x:c>
      <x:c r="G78" t="str">
        <x:f>IF(A78="","",IF(ISNUMBER('ERP Snapshot'!F78),'ERP Snapshot'!F78,""))</x:f>
      </x:c>
      <x:c r="H78" t="str">
        <x:f>IF(A78="","",'ERP Snapshot'!G78)</x:f>
      </x:c>
      <x:c r="I78" t="str">
        <x:f>IF(A78="","",IF(ISNUMBER('ERP Snapshot'!S78),'ERP Snapshot'!S78,""))</x:f>
      </x:c>
      <x:c r="J78" t="str">
        <x:f>IF(A78="","",IF(AND(ISNUMBER(G78),ISNUMBER(I78)),G78-I78,""))</x:f>
      </x:c>
      <x:c r="K78" s="8" t="str">
        <x:f>IF(A78="","",IF(AND(ISNUMBER(G78),G78&gt;0,ISNUMBER(I78)),I78/G78,""))</x:f>
      </x:c>
      <x:c r="L78" t="str">
        <x:f>IF(A78="","",IF(NOT(ISNUMBER(G78)),"BUDGET DATA REQUIRED",IF(G78&lt;=0,"REVIEW: NO BUDGET",IF(NOT(ISNUMBER(I78)),"PO DATA REQUIRED",IF(I78&lt;0,"REVIEW: PO AMOUNT",IF(K78&gt;1,"OVER BUDGET",IF(K78=1,"BUDGET EXHAUSTED",IF(K78&gt;=Settings!$B$3,"PREVENTIVE ALERT","OK"))))))))</x:f>
      </x:c>
      <x:c r="M78" t="str">
        <x:f>IF(A78="","",'ERP Snapshot'!K78)</x:f>
      </x:c>
      <x:c r="N78" t="str">
        <x:f>IF(A78="","",COUNTIFS(Exceptions!$A$2:$A$101,A78,Exceptions!$E$2:$E$101,"Open"))</x:f>
      </x:c>
      <x:c r="O78" t="str">
        <x:f>IF(A78="","",IF(AND(C78="MXN",OR(D78="",E78="")),"FX HOLD",IF(E78&gt;D78,"REVIEW: ABOVE CUSTOMER PO",IF('PO Authorization'!H78="REVIEW: SNAPSHOT DIFFERS","REVIEW: PO SNAPSHOT",IF(E78=D78,"FULLY INVOICED",IF(E78&gt;0,"PARTIAL INVOICE","NOT INVOICED"))))))</x:f>
      </x:c>
      <x:c r="P78" t="str">
        <x:f>IF(A78="","",IF(OR(O78="FX HOLD",O78="REVIEW: PO SNAPSHOT",L78="OVER BUDGET",L78="BUDGET EXHAUSTED",O78="REVIEW: ABOVE CUSTOMER PO",'ERP Snapshot'!L78="YES"),"CRITICAL / REVIEW",IF(OR(L78="PO DATA REQUIRED",L78="BUDGET DATA REQUIRED",L78="REVIEW: NO BUDGET",L78="REVIEW: PO AMOUNT",N78&gt;0,M78&gt;0,F78&gt;0),"FOLLOW UP","NORMAL")))</x:f>
      </x:c>
      <x:c r="Q78" s="68" t="str">
        <x:f>IF(A78="","",'ERP Snapshot'!N78)</x:f>
      </x:c>
      <x:c r="R78" t="str">
        <x:f>IF(A78="","",'ERP Snapshot'!Q78)</x:f>
      </x:c>
      <x:c r="S78" t="str">
        <x:f>IF(A78="","",'ERP Snapshot'!R78)</x:f>
      </x:c>
      <x:c r="T78" t="str">
        <x:f>IF(A78="","",'ERP Snapshot'!C78)</x:f>
      </x:c>
    </x:row>
    <x:row r="79">
      <x:c r="A79" t="str">
        <x:f>IF('ERP Snapshot'!A79="","",'ERP Snapshot'!A79)</x:f>
      </x:c>
      <x:c r="B79" t="str">
        <x:f>IF(A79="","",'ERP Snapshot'!B79)</x:f>
      </x:c>
      <x:c r="C79" t="str">
        <x:f>IF(A79="","",'ERP Snapshot'!D79)</x:f>
      </x:c>
      <x:c r="D79" t="str">
        <x:f>IF(A79="","",IF(C79="MXN",IF(AND(Settings!$B$8="APPROVED",Settings!$B$9&lt;&gt;"",Settings!$B$10&lt;&gt;"",Settings!$B$2&gt;0),'PO Authorization'!F79/Settings!$B$2,""),'PO Authorization'!F79))</x:f>
      </x:c>
      <x:c r="E79" t="str">
        <x:f>IF(A79="","",IF(C79="MXN",IF(AND(Settings!$B$8="APPROVED",Settings!$B$9&lt;&gt;"",Settings!$B$10&lt;&gt;"",Settings!$B$2&gt;0),'ERP Snapshot'!I79/Settings!$B$2,""),'ERP Snapshot'!I79))</x:f>
      </x:c>
      <x:c r="F79" t="str">
        <x:f>IF(A79="","",IF(AND(ISNUMBER(D79),ISNUMBER(E79)),D79-E79,""))</x:f>
      </x:c>
      <x:c r="G79" t="str">
        <x:f>IF(A79="","",IF(ISNUMBER('ERP Snapshot'!F79),'ERP Snapshot'!F79,""))</x:f>
      </x:c>
      <x:c r="H79" t="str">
        <x:f>IF(A79="","",'ERP Snapshot'!G79)</x:f>
      </x:c>
      <x:c r="I79" t="str">
        <x:f>IF(A79="","",IF(ISNUMBER('ERP Snapshot'!S79),'ERP Snapshot'!S79,""))</x:f>
      </x:c>
      <x:c r="J79" t="str">
        <x:f>IF(A79="","",IF(AND(ISNUMBER(G79),ISNUMBER(I79)),G79-I79,""))</x:f>
      </x:c>
      <x:c r="K79" s="8" t="str">
        <x:f>IF(A79="","",IF(AND(ISNUMBER(G79),G79&gt;0,ISNUMBER(I79)),I79/G79,""))</x:f>
      </x:c>
      <x:c r="L79" t="str">
        <x:f>IF(A79="","",IF(NOT(ISNUMBER(G79)),"BUDGET DATA REQUIRED",IF(G79&lt;=0,"REVIEW: NO BUDGET",IF(NOT(ISNUMBER(I79)),"PO DATA REQUIRED",IF(I79&lt;0,"REVIEW: PO AMOUNT",IF(K79&gt;1,"OVER BUDGET",IF(K79=1,"BUDGET EXHAUSTED",IF(K79&gt;=Settings!$B$3,"PREVENTIVE ALERT","OK"))))))))</x:f>
      </x:c>
      <x:c r="M79" t="str">
        <x:f>IF(A79="","",'ERP Snapshot'!K79)</x:f>
      </x:c>
      <x:c r="N79" t="str">
        <x:f>IF(A79="","",COUNTIFS(Exceptions!$A$2:$A$101,A79,Exceptions!$E$2:$E$101,"Open"))</x:f>
      </x:c>
      <x:c r="O79" t="str">
        <x:f>IF(A79="","",IF(AND(C79="MXN",OR(D79="",E79="")),"FX HOLD",IF(E79&gt;D79,"REVIEW: ABOVE CUSTOMER PO",IF('PO Authorization'!H79="REVIEW: SNAPSHOT DIFFERS","REVIEW: PO SNAPSHOT",IF(E79=D79,"FULLY INVOICED",IF(E79&gt;0,"PARTIAL INVOICE","NOT INVOICED"))))))</x:f>
      </x:c>
      <x:c r="P79" t="str">
        <x:f>IF(A79="","",IF(OR(O79="FX HOLD",O79="REVIEW: PO SNAPSHOT",L79="OVER BUDGET",L79="BUDGET EXHAUSTED",O79="REVIEW: ABOVE CUSTOMER PO",'ERP Snapshot'!L79="YES"),"CRITICAL / REVIEW",IF(OR(L79="PO DATA REQUIRED",L79="BUDGET DATA REQUIRED",L79="REVIEW: NO BUDGET",L79="REVIEW: PO AMOUNT",N79&gt;0,M79&gt;0,F79&gt;0),"FOLLOW UP","NORMAL")))</x:f>
      </x:c>
      <x:c r="Q79" s="68" t="str">
        <x:f>IF(A79="","",'ERP Snapshot'!N79)</x:f>
      </x:c>
      <x:c r="R79" t="str">
        <x:f>IF(A79="","",'ERP Snapshot'!Q79)</x:f>
      </x:c>
      <x:c r="S79" t="str">
        <x:f>IF(A79="","",'ERP Snapshot'!R79)</x:f>
      </x:c>
      <x:c r="T79" t="str">
        <x:f>IF(A79="","",'ERP Snapshot'!C79)</x:f>
      </x:c>
    </x:row>
    <x:row r="80">
      <x:c r="A80" t="str">
        <x:f>IF('ERP Snapshot'!A80="","",'ERP Snapshot'!A80)</x:f>
      </x:c>
      <x:c r="B80" t="str">
        <x:f>IF(A80="","",'ERP Snapshot'!B80)</x:f>
      </x:c>
      <x:c r="C80" t="str">
        <x:f>IF(A80="","",'ERP Snapshot'!D80)</x:f>
      </x:c>
      <x:c r="D80" t="str">
        <x:f>IF(A80="","",IF(C80="MXN",IF(AND(Settings!$B$8="APPROVED",Settings!$B$9&lt;&gt;"",Settings!$B$10&lt;&gt;"",Settings!$B$2&gt;0),'PO Authorization'!F80/Settings!$B$2,""),'PO Authorization'!F80))</x:f>
      </x:c>
      <x:c r="E80" t="str">
        <x:f>IF(A80="","",IF(C80="MXN",IF(AND(Settings!$B$8="APPROVED",Settings!$B$9&lt;&gt;"",Settings!$B$10&lt;&gt;"",Settings!$B$2&gt;0),'ERP Snapshot'!I80/Settings!$B$2,""),'ERP Snapshot'!I80))</x:f>
      </x:c>
      <x:c r="F80" t="str">
        <x:f>IF(A80="","",IF(AND(ISNUMBER(D80),ISNUMBER(E80)),D80-E80,""))</x:f>
      </x:c>
      <x:c r="G80" t="str">
        <x:f>IF(A80="","",IF(ISNUMBER('ERP Snapshot'!F80),'ERP Snapshot'!F80,""))</x:f>
      </x:c>
      <x:c r="H80" t="str">
        <x:f>IF(A80="","",'ERP Snapshot'!G80)</x:f>
      </x:c>
      <x:c r="I80" t="str">
        <x:f>IF(A80="","",IF(ISNUMBER('ERP Snapshot'!S80),'ERP Snapshot'!S80,""))</x:f>
      </x:c>
      <x:c r="J80" t="str">
        <x:f>IF(A80="","",IF(AND(ISNUMBER(G80),ISNUMBER(I80)),G80-I80,""))</x:f>
      </x:c>
      <x:c r="K80" s="8" t="str">
        <x:f>IF(A80="","",IF(AND(ISNUMBER(G80),G80&gt;0,ISNUMBER(I80)),I80/G80,""))</x:f>
      </x:c>
      <x:c r="L80" t="str">
        <x:f>IF(A80="","",IF(NOT(ISNUMBER(G80)),"BUDGET DATA REQUIRED",IF(G80&lt;=0,"REVIEW: NO BUDGET",IF(NOT(ISNUMBER(I80)),"PO DATA REQUIRED",IF(I80&lt;0,"REVIEW: PO AMOUNT",IF(K80&gt;1,"OVER BUDGET",IF(K80=1,"BUDGET EXHAUSTED",IF(K80&gt;=Settings!$B$3,"PREVENTIVE ALERT","OK"))))))))</x:f>
      </x:c>
      <x:c r="M80" t="str">
        <x:f>IF(A80="","",'ERP Snapshot'!K80)</x:f>
      </x:c>
      <x:c r="N80" t="str">
        <x:f>IF(A80="","",COUNTIFS(Exceptions!$A$2:$A$101,A80,Exceptions!$E$2:$E$101,"Open"))</x:f>
      </x:c>
      <x:c r="O80" t="str">
        <x:f>IF(A80="","",IF(AND(C80="MXN",OR(D80="",E80="")),"FX HOLD",IF(E80&gt;D80,"REVIEW: ABOVE CUSTOMER PO",IF('PO Authorization'!H80="REVIEW: SNAPSHOT DIFFERS","REVIEW: PO SNAPSHOT",IF(E80=D80,"FULLY INVOICED",IF(E80&gt;0,"PARTIAL INVOICE","NOT INVOICED"))))))</x:f>
      </x:c>
      <x:c r="P80" t="str">
        <x:f>IF(A80="","",IF(OR(O80="FX HOLD",O80="REVIEW: PO SNAPSHOT",L80="OVER BUDGET",L80="BUDGET EXHAUSTED",O80="REVIEW: ABOVE CUSTOMER PO",'ERP Snapshot'!L80="YES"),"CRITICAL / REVIEW",IF(OR(L80="PO DATA REQUIRED",L80="BUDGET DATA REQUIRED",L80="REVIEW: NO BUDGET",L80="REVIEW: PO AMOUNT",N80&gt;0,M80&gt;0,F80&gt;0),"FOLLOW UP","NORMAL")))</x:f>
      </x:c>
      <x:c r="Q80" s="68" t="str">
        <x:f>IF(A80="","",'ERP Snapshot'!N80)</x:f>
      </x:c>
      <x:c r="R80" t="str">
        <x:f>IF(A80="","",'ERP Snapshot'!Q80)</x:f>
      </x:c>
      <x:c r="S80" t="str">
        <x:f>IF(A80="","",'ERP Snapshot'!R80)</x:f>
      </x:c>
      <x:c r="T80" t="str">
        <x:f>IF(A80="","",'ERP Snapshot'!C80)</x:f>
      </x:c>
    </x:row>
    <x:row r="81">
      <x:c r="A81" t="str">
        <x:f>IF('ERP Snapshot'!A81="","",'ERP Snapshot'!A81)</x:f>
      </x:c>
      <x:c r="B81" t="str">
        <x:f>IF(A81="","",'ERP Snapshot'!B81)</x:f>
      </x:c>
      <x:c r="C81" t="str">
        <x:f>IF(A81="","",'ERP Snapshot'!D81)</x:f>
      </x:c>
      <x:c r="D81" t="str">
        <x:f>IF(A81="","",IF(C81="MXN",IF(AND(Settings!$B$8="APPROVED",Settings!$B$9&lt;&gt;"",Settings!$B$10&lt;&gt;"",Settings!$B$2&gt;0),'PO Authorization'!F81/Settings!$B$2,""),'PO Authorization'!F81))</x:f>
      </x:c>
      <x:c r="E81" t="str">
        <x:f>IF(A81="","",IF(C81="MXN",IF(AND(Settings!$B$8="APPROVED",Settings!$B$9&lt;&gt;"",Settings!$B$10&lt;&gt;"",Settings!$B$2&gt;0),'ERP Snapshot'!I81/Settings!$B$2,""),'ERP Snapshot'!I81))</x:f>
      </x:c>
      <x:c r="F81" t="str">
        <x:f>IF(A81="","",IF(AND(ISNUMBER(D81),ISNUMBER(E81)),D81-E81,""))</x:f>
      </x:c>
      <x:c r="G81" t="str">
        <x:f>IF(A81="","",IF(ISNUMBER('ERP Snapshot'!F81),'ERP Snapshot'!F81,""))</x:f>
      </x:c>
      <x:c r="H81" t="str">
        <x:f>IF(A81="","",'ERP Snapshot'!G81)</x:f>
      </x:c>
      <x:c r="I81" t="str">
        <x:f>IF(A81="","",IF(ISNUMBER('ERP Snapshot'!S81),'ERP Snapshot'!S81,""))</x:f>
      </x:c>
      <x:c r="J81" t="str">
        <x:f>IF(A81="","",IF(AND(ISNUMBER(G81),ISNUMBER(I81)),G81-I81,""))</x:f>
      </x:c>
      <x:c r="K81" s="8" t="str">
        <x:f>IF(A81="","",IF(AND(ISNUMBER(G81),G81&gt;0,ISNUMBER(I81)),I81/G81,""))</x:f>
      </x:c>
      <x:c r="L81" t="str">
        <x:f>IF(A81="","",IF(NOT(ISNUMBER(G81)),"BUDGET DATA REQUIRED",IF(G81&lt;=0,"REVIEW: NO BUDGET",IF(NOT(ISNUMBER(I81)),"PO DATA REQUIRED",IF(I81&lt;0,"REVIEW: PO AMOUNT",IF(K81&gt;1,"OVER BUDGET",IF(K81=1,"BUDGET EXHAUSTED",IF(K81&gt;=Settings!$B$3,"PREVENTIVE ALERT","OK"))))))))</x:f>
      </x:c>
      <x:c r="M81" t="str">
        <x:f>IF(A81="","",'ERP Snapshot'!K81)</x:f>
      </x:c>
      <x:c r="N81" t="str">
        <x:f>IF(A81="","",COUNTIFS(Exceptions!$A$2:$A$101,A81,Exceptions!$E$2:$E$101,"Open"))</x:f>
      </x:c>
      <x:c r="O81" t="str">
        <x:f>IF(A81="","",IF(AND(C81="MXN",OR(D81="",E81="")),"FX HOLD",IF(E81&gt;D81,"REVIEW: ABOVE CUSTOMER PO",IF('PO Authorization'!H81="REVIEW: SNAPSHOT DIFFERS","REVIEW: PO SNAPSHOT",IF(E81=D81,"FULLY INVOICED",IF(E81&gt;0,"PARTIAL INVOICE","NOT INVOICED"))))))</x:f>
      </x:c>
      <x:c r="P81" t="str">
        <x:f>IF(A81="","",IF(OR(O81="FX HOLD",O81="REVIEW: PO SNAPSHOT",L81="OVER BUDGET",L81="BUDGET EXHAUSTED",O81="REVIEW: ABOVE CUSTOMER PO",'ERP Snapshot'!L81="YES"),"CRITICAL / REVIEW",IF(OR(L81="PO DATA REQUIRED",L81="BUDGET DATA REQUIRED",L81="REVIEW: NO BUDGET",L81="REVIEW: PO AMOUNT",N81&gt;0,M81&gt;0,F81&gt;0),"FOLLOW UP","NORMAL")))</x:f>
      </x:c>
      <x:c r="Q81" s="68" t="str">
        <x:f>IF(A81="","",'ERP Snapshot'!N81)</x:f>
      </x:c>
      <x:c r="R81" t="str">
        <x:f>IF(A81="","",'ERP Snapshot'!Q81)</x:f>
      </x:c>
      <x:c r="S81" t="str">
        <x:f>IF(A81="","",'ERP Snapshot'!R81)</x:f>
      </x:c>
      <x:c r="T81" t="str">
        <x:f>IF(A81="","",'ERP Snapshot'!C81)</x:f>
      </x:c>
    </x:row>
    <x:row r="82">
      <x:c r="A82" t="str">
        <x:f>IF('ERP Snapshot'!A82="","",'ERP Snapshot'!A82)</x:f>
      </x:c>
      <x:c r="B82" t="str">
        <x:f>IF(A82="","",'ERP Snapshot'!B82)</x:f>
      </x:c>
      <x:c r="C82" t="str">
        <x:f>IF(A82="","",'ERP Snapshot'!D82)</x:f>
      </x:c>
      <x:c r="D82" t="str">
        <x:f>IF(A82="","",IF(C82="MXN",IF(AND(Settings!$B$8="APPROVED",Settings!$B$9&lt;&gt;"",Settings!$B$10&lt;&gt;"",Settings!$B$2&gt;0),'PO Authorization'!F82/Settings!$B$2,""),'PO Authorization'!F82))</x:f>
      </x:c>
      <x:c r="E82" t="str">
        <x:f>IF(A82="","",IF(C82="MXN",IF(AND(Settings!$B$8="APPROVED",Settings!$B$9&lt;&gt;"",Settings!$B$10&lt;&gt;"",Settings!$B$2&gt;0),'ERP Snapshot'!I82/Settings!$B$2,""),'ERP Snapshot'!I82))</x:f>
      </x:c>
      <x:c r="F82" t="str">
        <x:f>IF(A82="","",IF(AND(ISNUMBER(D82),ISNUMBER(E82)),D82-E82,""))</x:f>
      </x:c>
      <x:c r="G82" t="str">
        <x:f>IF(A82="","",IF(ISNUMBER('ERP Snapshot'!F82),'ERP Snapshot'!F82,""))</x:f>
      </x:c>
      <x:c r="H82" t="str">
        <x:f>IF(A82="","",'ERP Snapshot'!G82)</x:f>
      </x:c>
      <x:c r="I82" t="str">
        <x:f>IF(A82="","",IF(ISNUMBER('ERP Snapshot'!S82),'ERP Snapshot'!S82,""))</x:f>
      </x:c>
      <x:c r="J82" t="str">
        <x:f>IF(A82="","",IF(AND(ISNUMBER(G82),ISNUMBER(I82)),G82-I82,""))</x:f>
      </x:c>
      <x:c r="K82" s="8" t="str">
        <x:f>IF(A82="","",IF(AND(ISNUMBER(G82),G82&gt;0,ISNUMBER(I82)),I82/G82,""))</x:f>
      </x:c>
      <x:c r="L82" t="str">
        <x:f>IF(A82="","",IF(NOT(ISNUMBER(G82)),"BUDGET DATA REQUIRED",IF(G82&lt;=0,"REVIEW: NO BUDGET",IF(NOT(ISNUMBER(I82)),"PO DATA REQUIRED",IF(I82&lt;0,"REVIEW: PO AMOUNT",IF(K82&gt;1,"OVER BUDGET",IF(K82=1,"BUDGET EXHAUSTED",IF(K82&gt;=Settings!$B$3,"PREVENTIVE ALERT","OK"))))))))</x:f>
      </x:c>
      <x:c r="M82" t="str">
        <x:f>IF(A82="","",'ERP Snapshot'!K82)</x:f>
      </x:c>
      <x:c r="N82" t="str">
        <x:f>IF(A82="","",COUNTIFS(Exceptions!$A$2:$A$101,A82,Exceptions!$E$2:$E$101,"Open"))</x:f>
      </x:c>
      <x:c r="O82" t="str">
        <x:f>IF(A82="","",IF(AND(C82="MXN",OR(D82="",E82="")),"FX HOLD",IF(E82&gt;D82,"REVIEW: ABOVE CUSTOMER PO",IF('PO Authorization'!H82="REVIEW: SNAPSHOT DIFFERS","REVIEW: PO SNAPSHOT",IF(E82=D82,"FULLY INVOICED",IF(E82&gt;0,"PARTIAL INVOICE","NOT INVOICED"))))))</x:f>
      </x:c>
      <x:c r="P82" t="str">
        <x:f>IF(A82="","",IF(OR(O82="FX HOLD",O82="REVIEW: PO SNAPSHOT",L82="OVER BUDGET",L82="BUDGET EXHAUSTED",O82="REVIEW: ABOVE CUSTOMER PO",'ERP Snapshot'!L82="YES"),"CRITICAL / REVIEW",IF(OR(L82="PO DATA REQUIRED",L82="BUDGET DATA REQUIRED",L82="REVIEW: NO BUDGET",L82="REVIEW: PO AMOUNT",N82&gt;0,M82&gt;0,F82&gt;0),"FOLLOW UP","NORMAL")))</x:f>
      </x:c>
      <x:c r="Q82" s="68" t="str">
        <x:f>IF(A82="","",'ERP Snapshot'!N82)</x:f>
      </x:c>
      <x:c r="R82" t="str">
        <x:f>IF(A82="","",'ERP Snapshot'!Q82)</x:f>
      </x:c>
      <x:c r="S82" t="str">
        <x:f>IF(A82="","",'ERP Snapshot'!R82)</x:f>
      </x:c>
      <x:c r="T82" t="str">
        <x:f>IF(A82="","",'ERP Snapshot'!C82)</x:f>
      </x:c>
    </x:row>
    <x:row r="83">
      <x:c r="A83" t="str">
        <x:f>IF('ERP Snapshot'!A83="","",'ERP Snapshot'!A83)</x:f>
      </x:c>
      <x:c r="B83" t="str">
        <x:f>IF(A83="","",'ERP Snapshot'!B83)</x:f>
      </x:c>
      <x:c r="C83" t="str">
        <x:f>IF(A83="","",'ERP Snapshot'!D83)</x:f>
      </x:c>
      <x:c r="D83" t="str">
        <x:f>IF(A83="","",IF(C83="MXN",IF(AND(Settings!$B$8="APPROVED",Settings!$B$9&lt;&gt;"",Settings!$B$10&lt;&gt;"",Settings!$B$2&gt;0),'PO Authorization'!F83/Settings!$B$2,""),'PO Authorization'!F83))</x:f>
      </x:c>
      <x:c r="E83" t="str">
        <x:f>IF(A83="","",IF(C83="MXN",IF(AND(Settings!$B$8="APPROVED",Settings!$B$9&lt;&gt;"",Settings!$B$10&lt;&gt;"",Settings!$B$2&gt;0),'ERP Snapshot'!I83/Settings!$B$2,""),'ERP Snapshot'!I83))</x:f>
      </x:c>
      <x:c r="F83" t="str">
        <x:f>IF(A83="","",IF(AND(ISNUMBER(D83),ISNUMBER(E83)),D83-E83,""))</x:f>
      </x:c>
      <x:c r="G83" t="str">
        <x:f>IF(A83="","",IF(ISNUMBER('ERP Snapshot'!F83),'ERP Snapshot'!F83,""))</x:f>
      </x:c>
      <x:c r="H83" t="str">
        <x:f>IF(A83="","",'ERP Snapshot'!G83)</x:f>
      </x:c>
      <x:c r="I83" t="str">
        <x:f>IF(A83="","",IF(ISNUMBER('ERP Snapshot'!S83),'ERP Snapshot'!S83,""))</x:f>
      </x:c>
      <x:c r="J83" t="str">
        <x:f>IF(A83="","",IF(AND(ISNUMBER(G83),ISNUMBER(I83)),G83-I83,""))</x:f>
      </x:c>
      <x:c r="K83" s="8" t="str">
        <x:f>IF(A83="","",IF(AND(ISNUMBER(G83),G83&gt;0,ISNUMBER(I83)),I83/G83,""))</x:f>
      </x:c>
      <x:c r="L83" t="str">
        <x:f>IF(A83="","",IF(NOT(ISNUMBER(G83)),"BUDGET DATA REQUIRED",IF(G83&lt;=0,"REVIEW: NO BUDGET",IF(NOT(ISNUMBER(I83)),"PO DATA REQUIRED",IF(I83&lt;0,"REVIEW: PO AMOUNT",IF(K83&gt;1,"OVER BUDGET",IF(K83=1,"BUDGET EXHAUSTED",IF(K83&gt;=Settings!$B$3,"PREVENTIVE ALERT","OK"))))))))</x:f>
      </x:c>
      <x:c r="M83" t="str">
        <x:f>IF(A83="","",'ERP Snapshot'!K83)</x:f>
      </x:c>
      <x:c r="N83" t="str">
        <x:f>IF(A83="","",COUNTIFS(Exceptions!$A$2:$A$101,A83,Exceptions!$E$2:$E$101,"Open"))</x:f>
      </x:c>
      <x:c r="O83" t="str">
        <x:f>IF(A83="","",IF(AND(C83="MXN",OR(D83="",E83="")),"FX HOLD",IF(E83&gt;D83,"REVIEW: ABOVE CUSTOMER PO",IF('PO Authorization'!H83="REVIEW: SNAPSHOT DIFFERS","REVIEW: PO SNAPSHOT",IF(E83=D83,"FULLY INVOICED",IF(E83&gt;0,"PARTIAL INVOICE","NOT INVOICED"))))))</x:f>
      </x:c>
      <x:c r="P83" t="str">
        <x:f>IF(A83="","",IF(OR(O83="FX HOLD",O83="REVIEW: PO SNAPSHOT",L83="OVER BUDGET",L83="BUDGET EXHAUSTED",O83="REVIEW: ABOVE CUSTOMER PO",'ERP Snapshot'!L83="YES"),"CRITICAL / REVIEW",IF(OR(L83="PO DATA REQUIRED",L83="BUDGET DATA REQUIRED",L83="REVIEW: NO BUDGET",L83="REVIEW: PO AMOUNT",N83&gt;0,M83&gt;0,F83&gt;0),"FOLLOW UP","NORMAL")))</x:f>
      </x:c>
      <x:c r="Q83" s="68" t="str">
        <x:f>IF(A83="","",'ERP Snapshot'!N83)</x:f>
      </x:c>
      <x:c r="R83" t="str">
        <x:f>IF(A83="","",'ERP Snapshot'!Q83)</x:f>
      </x:c>
      <x:c r="S83" t="str">
        <x:f>IF(A83="","",'ERP Snapshot'!R83)</x:f>
      </x:c>
      <x:c r="T83" t="str">
        <x:f>IF(A83="","",'ERP Snapshot'!C83)</x:f>
      </x:c>
    </x:row>
    <x:row r="84">
      <x:c r="A84" t="str">
        <x:f>IF('ERP Snapshot'!A84="","",'ERP Snapshot'!A84)</x:f>
      </x:c>
      <x:c r="B84" t="str">
        <x:f>IF(A84="","",'ERP Snapshot'!B84)</x:f>
      </x:c>
      <x:c r="C84" t="str">
        <x:f>IF(A84="","",'ERP Snapshot'!D84)</x:f>
      </x:c>
      <x:c r="D84" t="str">
        <x:f>IF(A84="","",IF(C84="MXN",IF(AND(Settings!$B$8="APPROVED",Settings!$B$9&lt;&gt;"",Settings!$B$10&lt;&gt;"",Settings!$B$2&gt;0),'PO Authorization'!F84/Settings!$B$2,""),'PO Authorization'!F84))</x:f>
      </x:c>
      <x:c r="E84" t="str">
        <x:f>IF(A84="","",IF(C84="MXN",IF(AND(Settings!$B$8="APPROVED",Settings!$B$9&lt;&gt;"",Settings!$B$10&lt;&gt;"",Settings!$B$2&gt;0),'ERP Snapshot'!I84/Settings!$B$2,""),'ERP Snapshot'!I84))</x:f>
      </x:c>
      <x:c r="F84" t="str">
        <x:f>IF(A84="","",IF(AND(ISNUMBER(D84),ISNUMBER(E84)),D84-E84,""))</x:f>
      </x:c>
      <x:c r="G84" t="str">
        <x:f>IF(A84="","",IF(ISNUMBER('ERP Snapshot'!F84),'ERP Snapshot'!F84,""))</x:f>
      </x:c>
      <x:c r="H84" t="str">
        <x:f>IF(A84="","",'ERP Snapshot'!G84)</x:f>
      </x:c>
      <x:c r="I84" t="str">
        <x:f>IF(A84="","",IF(ISNUMBER('ERP Snapshot'!S84),'ERP Snapshot'!S84,""))</x:f>
      </x:c>
      <x:c r="J84" t="str">
        <x:f>IF(A84="","",IF(AND(ISNUMBER(G84),ISNUMBER(I84)),G84-I84,""))</x:f>
      </x:c>
      <x:c r="K84" s="8" t="str">
        <x:f>IF(A84="","",IF(AND(ISNUMBER(G84),G84&gt;0,ISNUMBER(I84)),I84/G84,""))</x:f>
      </x:c>
      <x:c r="L84" t="str">
        <x:f>IF(A84="","",IF(NOT(ISNUMBER(G84)),"BUDGET DATA REQUIRED",IF(G84&lt;=0,"REVIEW: NO BUDGET",IF(NOT(ISNUMBER(I84)),"PO DATA REQUIRED",IF(I84&lt;0,"REVIEW: PO AMOUNT",IF(K84&gt;1,"OVER BUDGET",IF(K84=1,"BUDGET EXHAUSTED",IF(K84&gt;=Settings!$B$3,"PREVENTIVE ALERT","OK"))))))))</x:f>
      </x:c>
      <x:c r="M84" t="str">
        <x:f>IF(A84="","",'ERP Snapshot'!K84)</x:f>
      </x:c>
      <x:c r="N84" t="str">
        <x:f>IF(A84="","",COUNTIFS(Exceptions!$A$2:$A$101,A84,Exceptions!$E$2:$E$101,"Open"))</x:f>
      </x:c>
      <x:c r="O84" t="str">
        <x:f>IF(A84="","",IF(AND(C84="MXN",OR(D84="",E84="")),"FX HOLD",IF(E84&gt;D84,"REVIEW: ABOVE CUSTOMER PO",IF('PO Authorization'!H84="REVIEW: SNAPSHOT DIFFERS","REVIEW: PO SNAPSHOT",IF(E84=D84,"FULLY INVOICED",IF(E84&gt;0,"PARTIAL INVOICE","NOT INVOICED"))))))</x:f>
      </x:c>
      <x:c r="P84" t="str">
        <x:f>IF(A84="","",IF(OR(O84="FX HOLD",O84="REVIEW: PO SNAPSHOT",L84="OVER BUDGET",L84="BUDGET EXHAUSTED",O84="REVIEW: ABOVE CUSTOMER PO",'ERP Snapshot'!L84="YES"),"CRITICAL / REVIEW",IF(OR(L84="PO DATA REQUIRED",L84="BUDGET DATA REQUIRED",L84="REVIEW: NO BUDGET",L84="REVIEW: PO AMOUNT",N84&gt;0,M84&gt;0,F84&gt;0),"FOLLOW UP","NORMAL")))</x:f>
      </x:c>
      <x:c r="Q84" s="68" t="str">
        <x:f>IF(A84="","",'ERP Snapshot'!N84)</x:f>
      </x:c>
      <x:c r="R84" t="str">
        <x:f>IF(A84="","",'ERP Snapshot'!Q84)</x:f>
      </x:c>
      <x:c r="S84" t="str">
        <x:f>IF(A84="","",'ERP Snapshot'!R84)</x:f>
      </x:c>
      <x:c r="T84" t="str">
        <x:f>IF(A84="","",'ERP Snapshot'!C84)</x:f>
      </x:c>
    </x:row>
    <x:row r="85">
      <x:c r="A85" t="str">
        <x:f>IF('ERP Snapshot'!A85="","",'ERP Snapshot'!A85)</x:f>
      </x:c>
      <x:c r="B85" t="str">
        <x:f>IF(A85="","",'ERP Snapshot'!B85)</x:f>
      </x:c>
      <x:c r="C85" t="str">
        <x:f>IF(A85="","",'ERP Snapshot'!D85)</x:f>
      </x:c>
      <x:c r="D85" t="str">
        <x:f>IF(A85="","",IF(C85="MXN",IF(AND(Settings!$B$8="APPROVED",Settings!$B$9&lt;&gt;"",Settings!$B$10&lt;&gt;"",Settings!$B$2&gt;0),'PO Authorization'!F85/Settings!$B$2,""),'PO Authorization'!F85))</x:f>
      </x:c>
      <x:c r="E85" t="str">
        <x:f>IF(A85="","",IF(C85="MXN",IF(AND(Settings!$B$8="APPROVED",Settings!$B$9&lt;&gt;"",Settings!$B$10&lt;&gt;"",Settings!$B$2&gt;0),'ERP Snapshot'!I85/Settings!$B$2,""),'ERP Snapshot'!I85))</x:f>
      </x:c>
      <x:c r="F85" t="str">
        <x:f>IF(A85="","",IF(AND(ISNUMBER(D85),ISNUMBER(E85)),D85-E85,""))</x:f>
      </x:c>
      <x:c r="G85" t="str">
        <x:f>IF(A85="","",IF(ISNUMBER('ERP Snapshot'!F85),'ERP Snapshot'!F85,""))</x:f>
      </x:c>
      <x:c r="H85" t="str">
        <x:f>IF(A85="","",'ERP Snapshot'!G85)</x:f>
      </x:c>
      <x:c r="I85" t="str">
        <x:f>IF(A85="","",IF(ISNUMBER('ERP Snapshot'!S85),'ERP Snapshot'!S85,""))</x:f>
      </x:c>
      <x:c r="J85" t="str">
        <x:f>IF(A85="","",IF(AND(ISNUMBER(G85),ISNUMBER(I85)),G85-I85,""))</x:f>
      </x:c>
      <x:c r="K85" s="8" t="str">
        <x:f>IF(A85="","",IF(AND(ISNUMBER(G85),G85&gt;0,ISNUMBER(I85)),I85/G85,""))</x:f>
      </x:c>
      <x:c r="L85" t="str">
        <x:f>IF(A85="","",IF(NOT(ISNUMBER(G85)),"BUDGET DATA REQUIRED",IF(G85&lt;=0,"REVIEW: NO BUDGET",IF(NOT(ISNUMBER(I85)),"PO DATA REQUIRED",IF(I85&lt;0,"REVIEW: PO AMOUNT",IF(K85&gt;1,"OVER BUDGET",IF(K85=1,"BUDGET EXHAUSTED",IF(K85&gt;=Settings!$B$3,"PREVENTIVE ALERT","OK"))))))))</x:f>
      </x:c>
      <x:c r="M85" t="str">
        <x:f>IF(A85="","",'ERP Snapshot'!K85)</x:f>
      </x:c>
      <x:c r="N85" t="str">
        <x:f>IF(A85="","",COUNTIFS(Exceptions!$A$2:$A$101,A85,Exceptions!$E$2:$E$101,"Open"))</x:f>
      </x:c>
      <x:c r="O85" t="str">
        <x:f>IF(A85="","",IF(AND(C85="MXN",OR(D85="",E85="")),"FX HOLD",IF(E85&gt;D85,"REVIEW: ABOVE CUSTOMER PO",IF('PO Authorization'!H85="REVIEW: SNAPSHOT DIFFERS","REVIEW: PO SNAPSHOT",IF(E85=D85,"FULLY INVOICED",IF(E85&gt;0,"PARTIAL INVOICE","NOT INVOICED"))))))</x:f>
      </x:c>
      <x:c r="P85" t="str">
        <x:f>IF(A85="","",IF(OR(O85="FX HOLD",O85="REVIEW: PO SNAPSHOT",L85="OVER BUDGET",L85="BUDGET EXHAUSTED",O85="REVIEW: ABOVE CUSTOMER PO",'ERP Snapshot'!L85="YES"),"CRITICAL / REVIEW",IF(OR(L85="PO DATA REQUIRED",L85="BUDGET DATA REQUIRED",L85="REVIEW: NO BUDGET",L85="REVIEW: PO AMOUNT",N85&gt;0,M85&gt;0,F85&gt;0),"FOLLOW UP","NORMAL")))</x:f>
      </x:c>
      <x:c r="Q85" s="68" t="str">
        <x:f>IF(A85="","",'ERP Snapshot'!N85)</x:f>
      </x:c>
      <x:c r="R85" t="str">
        <x:f>IF(A85="","",'ERP Snapshot'!Q85)</x:f>
      </x:c>
      <x:c r="S85" t="str">
        <x:f>IF(A85="","",'ERP Snapshot'!R85)</x:f>
      </x:c>
      <x:c r="T85" t="str">
        <x:f>IF(A85="","",'ERP Snapshot'!C85)</x:f>
      </x:c>
    </x:row>
    <x:row r="86">
      <x:c r="A86" t="str">
        <x:f>IF('ERP Snapshot'!A86="","",'ERP Snapshot'!A86)</x:f>
      </x:c>
      <x:c r="B86" t="str">
        <x:f>IF(A86="","",'ERP Snapshot'!B86)</x:f>
      </x:c>
      <x:c r="C86" t="str">
        <x:f>IF(A86="","",'ERP Snapshot'!D86)</x:f>
      </x:c>
      <x:c r="D86" t="str">
        <x:f>IF(A86="","",IF(C86="MXN",IF(AND(Settings!$B$8="APPROVED",Settings!$B$9&lt;&gt;"",Settings!$B$10&lt;&gt;"",Settings!$B$2&gt;0),'PO Authorization'!F86/Settings!$B$2,""),'PO Authorization'!F86))</x:f>
      </x:c>
      <x:c r="E86" t="str">
        <x:f>IF(A86="","",IF(C86="MXN",IF(AND(Settings!$B$8="APPROVED",Settings!$B$9&lt;&gt;"",Settings!$B$10&lt;&gt;"",Settings!$B$2&gt;0),'ERP Snapshot'!I86/Settings!$B$2,""),'ERP Snapshot'!I86))</x:f>
      </x:c>
      <x:c r="F86" t="str">
        <x:f>IF(A86="","",IF(AND(ISNUMBER(D86),ISNUMBER(E86)),D86-E86,""))</x:f>
      </x:c>
      <x:c r="G86" t="str">
        <x:f>IF(A86="","",IF(ISNUMBER('ERP Snapshot'!F86),'ERP Snapshot'!F86,""))</x:f>
      </x:c>
      <x:c r="H86" t="str">
        <x:f>IF(A86="","",'ERP Snapshot'!G86)</x:f>
      </x:c>
      <x:c r="I86" t="str">
        <x:f>IF(A86="","",IF(ISNUMBER('ERP Snapshot'!S86),'ERP Snapshot'!S86,""))</x:f>
      </x:c>
      <x:c r="J86" t="str">
        <x:f>IF(A86="","",IF(AND(ISNUMBER(G86),ISNUMBER(I86)),G86-I86,""))</x:f>
      </x:c>
      <x:c r="K86" s="8" t="str">
        <x:f>IF(A86="","",IF(AND(ISNUMBER(G86),G86&gt;0,ISNUMBER(I86)),I86/G86,""))</x:f>
      </x:c>
      <x:c r="L86" t="str">
        <x:f>IF(A86="","",IF(NOT(ISNUMBER(G86)),"BUDGET DATA REQUIRED",IF(G86&lt;=0,"REVIEW: NO BUDGET",IF(NOT(ISNUMBER(I86)),"PO DATA REQUIRED",IF(I86&lt;0,"REVIEW: PO AMOUNT",IF(K86&gt;1,"OVER BUDGET",IF(K86=1,"BUDGET EXHAUSTED",IF(K86&gt;=Settings!$B$3,"PREVENTIVE ALERT","OK"))))))))</x:f>
      </x:c>
      <x:c r="M86" t="str">
        <x:f>IF(A86="","",'ERP Snapshot'!K86)</x:f>
      </x:c>
      <x:c r="N86" t="str">
        <x:f>IF(A86="","",COUNTIFS(Exceptions!$A$2:$A$101,A86,Exceptions!$E$2:$E$101,"Open"))</x:f>
      </x:c>
      <x:c r="O86" t="str">
        <x:f>IF(A86="","",IF(AND(C86="MXN",OR(D86="",E86="")),"FX HOLD",IF(E86&gt;D86,"REVIEW: ABOVE CUSTOMER PO",IF('PO Authorization'!H86="REVIEW: SNAPSHOT DIFFERS","REVIEW: PO SNAPSHOT",IF(E86=D86,"FULLY INVOICED",IF(E86&gt;0,"PARTIAL INVOICE","NOT INVOICED"))))))</x:f>
      </x:c>
      <x:c r="P86" t="str">
        <x:f>IF(A86="","",IF(OR(O86="FX HOLD",O86="REVIEW: PO SNAPSHOT",L86="OVER BUDGET",L86="BUDGET EXHAUSTED",O86="REVIEW: ABOVE CUSTOMER PO",'ERP Snapshot'!L86="YES"),"CRITICAL / REVIEW",IF(OR(L86="PO DATA REQUIRED",L86="BUDGET DATA REQUIRED",L86="REVIEW: NO BUDGET",L86="REVIEW: PO AMOUNT",N86&gt;0,M86&gt;0,F86&gt;0),"FOLLOW UP","NORMAL")))</x:f>
      </x:c>
      <x:c r="Q86" s="68" t="str">
        <x:f>IF(A86="","",'ERP Snapshot'!N86)</x:f>
      </x:c>
      <x:c r="R86" t="str">
        <x:f>IF(A86="","",'ERP Snapshot'!Q86)</x:f>
      </x:c>
      <x:c r="S86" t="str">
        <x:f>IF(A86="","",'ERP Snapshot'!R86)</x:f>
      </x:c>
      <x:c r="T86" t="str">
        <x:f>IF(A86="","",'ERP Snapshot'!C86)</x:f>
      </x:c>
    </x:row>
    <x:row r="87">
      <x:c r="A87" t="str">
        <x:f>IF('ERP Snapshot'!A87="","",'ERP Snapshot'!A87)</x:f>
      </x:c>
      <x:c r="B87" t="str">
        <x:f>IF(A87="","",'ERP Snapshot'!B87)</x:f>
      </x:c>
      <x:c r="C87" t="str">
        <x:f>IF(A87="","",'ERP Snapshot'!D87)</x:f>
      </x:c>
      <x:c r="D87" t="str">
        <x:f>IF(A87="","",IF(C87="MXN",IF(AND(Settings!$B$8="APPROVED",Settings!$B$9&lt;&gt;"",Settings!$B$10&lt;&gt;"",Settings!$B$2&gt;0),'PO Authorization'!F87/Settings!$B$2,""),'PO Authorization'!F87))</x:f>
      </x:c>
      <x:c r="E87" t="str">
        <x:f>IF(A87="","",IF(C87="MXN",IF(AND(Settings!$B$8="APPROVED",Settings!$B$9&lt;&gt;"",Settings!$B$10&lt;&gt;"",Settings!$B$2&gt;0),'ERP Snapshot'!I87/Settings!$B$2,""),'ERP Snapshot'!I87))</x:f>
      </x:c>
      <x:c r="F87" t="str">
        <x:f>IF(A87="","",IF(AND(ISNUMBER(D87),ISNUMBER(E87)),D87-E87,""))</x:f>
      </x:c>
      <x:c r="G87" t="str">
        <x:f>IF(A87="","",IF(ISNUMBER('ERP Snapshot'!F87),'ERP Snapshot'!F87,""))</x:f>
      </x:c>
      <x:c r="H87" t="str">
        <x:f>IF(A87="","",'ERP Snapshot'!G87)</x:f>
      </x:c>
      <x:c r="I87" t="str">
        <x:f>IF(A87="","",IF(ISNUMBER('ERP Snapshot'!S87),'ERP Snapshot'!S87,""))</x:f>
      </x:c>
      <x:c r="J87" t="str">
        <x:f>IF(A87="","",IF(AND(ISNUMBER(G87),ISNUMBER(I87)),G87-I87,""))</x:f>
      </x:c>
      <x:c r="K87" s="8" t="str">
        <x:f>IF(A87="","",IF(AND(ISNUMBER(G87),G87&gt;0,ISNUMBER(I87)),I87/G87,""))</x:f>
      </x:c>
      <x:c r="L87" t="str">
        <x:f>IF(A87="","",IF(NOT(ISNUMBER(G87)),"BUDGET DATA REQUIRED",IF(G87&lt;=0,"REVIEW: NO BUDGET",IF(NOT(ISNUMBER(I87)),"PO DATA REQUIRED",IF(I87&lt;0,"REVIEW: PO AMOUNT",IF(K87&gt;1,"OVER BUDGET",IF(K87=1,"BUDGET EXHAUSTED",IF(K87&gt;=Settings!$B$3,"PREVENTIVE ALERT","OK"))))))))</x:f>
      </x:c>
      <x:c r="M87" t="str">
        <x:f>IF(A87="","",'ERP Snapshot'!K87)</x:f>
      </x:c>
      <x:c r="N87" t="str">
        <x:f>IF(A87="","",COUNTIFS(Exceptions!$A$2:$A$101,A87,Exceptions!$E$2:$E$101,"Open"))</x:f>
      </x:c>
      <x:c r="O87" t="str">
        <x:f>IF(A87="","",IF(AND(C87="MXN",OR(D87="",E87="")),"FX HOLD",IF(E87&gt;D87,"REVIEW: ABOVE CUSTOMER PO",IF('PO Authorization'!H87="REVIEW: SNAPSHOT DIFFERS","REVIEW: PO SNAPSHOT",IF(E87=D87,"FULLY INVOICED",IF(E87&gt;0,"PARTIAL INVOICE","NOT INVOICED"))))))</x:f>
      </x:c>
      <x:c r="P87" t="str">
        <x:f>IF(A87="","",IF(OR(O87="FX HOLD",O87="REVIEW: PO SNAPSHOT",L87="OVER BUDGET",L87="BUDGET EXHAUSTED",O87="REVIEW: ABOVE CUSTOMER PO",'ERP Snapshot'!L87="YES"),"CRITICAL / REVIEW",IF(OR(L87="PO DATA REQUIRED",L87="BUDGET DATA REQUIRED",L87="REVIEW: NO BUDGET",L87="REVIEW: PO AMOUNT",N87&gt;0,M87&gt;0,F87&gt;0),"FOLLOW UP","NORMAL")))</x:f>
      </x:c>
      <x:c r="Q87" s="68" t="str">
        <x:f>IF(A87="","",'ERP Snapshot'!N87)</x:f>
      </x:c>
      <x:c r="R87" t="str">
        <x:f>IF(A87="","",'ERP Snapshot'!Q87)</x:f>
      </x:c>
      <x:c r="S87" t="str">
        <x:f>IF(A87="","",'ERP Snapshot'!R87)</x:f>
      </x:c>
      <x:c r="T87" t="str">
        <x:f>IF(A87="","",'ERP Snapshot'!C87)</x:f>
      </x:c>
    </x:row>
    <x:row r="88">
      <x:c r="A88" t="str">
        <x:f>IF('ERP Snapshot'!A88="","",'ERP Snapshot'!A88)</x:f>
      </x:c>
      <x:c r="B88" t="str">
        <x:f>IF(A88="","",'ERP Snapshot'!B88)</x:f>
      </x:c>
      <x:c r="C88" t="str">
        <x:f>IF(A88="","",'ERP Snapshot'!D88)</x:f>
      </x:c>
      <x:c r="D88" t="str">
        <x:f>IF(A88="","",IF(C88="MXN",IF(AND(Settings!$B$8="APPROVED",Settings!$B$9&lt;&gt;"",Settings!$B$10&lt;&gt;"",Settings!$B$2&gt;0),'PO Authorization'!F88/Settings!$B$2,""),'PO Authorization'!F88))</x:f>
      </x:c>
      <x:c r="E88" t="str">
        <x:f>IF(A88="","",IF(C88="MXN",IF(AND(Settings!$B$8="APPROVED",Settings!$B$9&lt;&gt;"",Settings!$B$10&lt;&gt;"",Settings!$B$2&gt;0),'ERP Snapshot'!I88/Settings!$B$2,""),'ERP Snapshot'!I88))</x:f>
      </x:c>
      <x:c r="F88" t="str">
        <x:f>IF(A88="","",IF(AND(ISNUMBER(D88),ISNUMBER(E88)),D88-E88,""))</x:f>
      </x:c>
      <x:c r="G88" t="str">
        <x:f>IF(A88="","",IF(ISNUMBER('ERP Snapshot'!F88),'ERP Snapshot'!F88,""))</x:f>
      </x:c>
      <x:c r="H88" t="str">
        <x:f>IF(A88="","",'ERP Snapshot'!G88)</x:f>
      </x:c>
      <x:c r="I88" t="str">
        <x:f>IF(A88="","",IF(ISNUMBER('ERP Snapshot'!S88),'ERP Snapshot'!S88,""))</x:f>
      </x:c>
      <x:c r="J88" t="str">
        <x:f>IF(A88="","",IF(AND(ISNUMBER(G88),ISNUMBER(I88)),G88-I88,""))</x:f>
      </x:c>
      <x:c r="K88" s="8" t="str">
        <x:f>IF(A88="","",IF(AND(ISNUMBER(G88),G88&gt;0,ISNUMBER(I88)),I88/G88,""))</x:f>
      </x:c>
      <x:c r="L88" t="str">
        <x:f>IF(A88="","",IF(NOT(ISNUMBER(G88)),"BUDGET DATA REQUIRED",IF(G88&lt;=0,"REVIEW: NO BUDGET",IF(NOT(ISNUMBER(I88)),"PO DATA REQUIRED",IF(I88&lt;0,"REVIEW: PO AMOUNT",IF(K88&gt;1,"OVER BUDGET",IF(K88=1,"BUDGET EXHAUSTED",IF(K88&gt;=Settings!$B$3,"PREVENTIVE ALERT","OK"))))))))</x:f>
      </x:c>
      <x:c r="M88" t="str">
        <x:f>IF(A88="","",'ERP Snapshot'!K88)</x:f>
      </x:c>
      <x:c r="N88" t="str">
        <x:f>IF(A88="","",COUNTIFS(Exceptions!$A$2:$A$101,A88,Exceptions!$E$2:$E$101,"Open"))</x:f>
      </x:c>
      <x:c r="O88" t="str">
        <x:f>IF(A88="","",IF(AND(C88="MXN",OR(D88="",E88="")),"FX HOLD",IF(E88&gt;D88,"REVIEW: ABOVE CUSTOMER PO",IF('PO Authorization'!H88="REVIEW: SNAPSHOT DIFFERS","REVIEW: PO SNAPSHOT",IF(E88=D88,"FULLY INVOICED",IF(E88&gt;0,"PARTIAL INVOICE","NOT INVOICED"))))))</x:f>
      </x:c>
      <x:c r="P88" t="str">
        <x:f>IF(A88="","",IF(OR(O88="FX HOLD",O88="REVIEW: PO SNAPSHOT",L88="OVER BUDGET",L88="BUDGET EXHAUSTED",O88="REVIEW: ABOVE CUSTOMER PO",'ERP Snapshot'!L88="YES"),"CRITICAL / REVIEW",IF(OR(L88="PO DATA REQUIRED",L88="BUDGET DATA REQUIRED",L88="REVIEW: NO BUDGET",L88="REVIEW: PO AMOUNT",N88&gt;0,M88&gt;0,F88&gt;0),"FOLLOW UP","NORMAL")))</x:f>
      </x:c>
      <x:c r="Q88" s="68" t="str">
        <x:f>IF(A88="","",'ERP Snapshot'!N88)</x:f>
      </x:c>
      <x:c r="R88" t="str">
        <x:f>IF(A88="","",'ERP Snapshot'!Q88)</x:f>
      </x:c>
      <x:c r="S88" t="str">
        <x:f>IF(A88="","",'ERP Snapshot'!R88)</x:f>
      </x:c>
      <x:c r="T88" t="str">
        <x:f>IF(A88="","",'ERP Snapshot'!C88)</x:f>
      </x:c>
    </x:row>
    <x:row r="89">
      <x:c r="A89" t="str">
        <x:f>IF('ERP Snapshot'!A89="","",'ERP Snapshot'!A89)</x:f>
      </x:c>
      <x:c r="B89" t="str">
        <x:f>IF(A89="","",'ERP Snapshot'!B89)</x:f>
      </x:c>
      <x:c r="C89" t="str">
        <x:f>IF(A89="","",'ERP Snapshot'!D89)</x:f>
      </x:c>
      <x:c r="D89" t="str">
        <x:f>IF(A89="","",IF(C89="MXN",IF(AND(Settings!$B$8="APPROVED",Settings!$B$9&lt;&gt;"",Settings!$B$10&lt;&gt;"",Settings!$B$2&gt;0),'PO Authorization'!F89/Settings!$B$2,""),'PO Authorization'!F89))</x:f>
      </x:c>
      <x:c r="E89" t="str">
        <x:f>IF(A89="","",IF(C89="MXN",IF(AND(Settings!$B$8="APPROVED",Settings!$B$9&lt;&gt;"",Settings!$B$10&lt;&gt;"",Settings!$B$2&gt;0),'ERP Snapshot'!I89/Settings!$B$2,""),'ERP Snapshot'!I89))</x:f>
      </x:c>
      <x:c r="F89" t="str">
        <x:f>IF(A89="","",IF(AND(ISNUMBER(D89),ISNUMBER(E89)),D89-E89,""))</x:f>
      </x:c>
      <x:c r="G89" t="str">
        <x:f>IF(A89="","",IF(ISNUMBER('ERP Snapshot'!F89),'ERP Snapshot'!F89,""))</x:f>
      </x:c>
      <x:c r="H89" t="str">
        <x:f>IF(A89="","",'ERP Snapshot'!G89)</x:f>
      </x:c>
      <x:c r="I89" t="str">
        <x:f>IF(A89="","",IF(ISNUMBER('ERP Snapshot'!S89),'ERP Snapshot'!S89,""))</x:f>
      </x:c>
      <x:c r="J89" t="str">
        <x:f>IF(A89="","",IF(AND(ISNUMBER(G89),ISNUMBER(I89)),G89-I89,""))</x:f>
      </x:c>
      <x:c r="K89" s="8" t="str">
        <x:f>IF(A89="","",IF(AND(ISNUMBER(G89),G89&gt;0,ISNUMBER(I89)),I89/G89,""))</x:f>
      </x:c>
      <x:c r="L89" t="str">
        <x:f>IF(A89="","",IF(NOT(ISNUMBER(G89)),"BUDGET DATA REQUIRED",IF(G89&lt;=0,"REVIEW: NO BUDGET",IF(NOT(ISNUMBER(I89)),"PO DATA REQUIRED",IF(I89&lt;0,"REVIEW: PO AMOUNT",IF(K89&gt;1,"OVER BUDGET",IF(K89=1,"BUDGET EXHAUSTED",IF(K89&gt;=Settings!$B$3,"PREVENTIVE ALERT","OK"))))))))</x:f>
      </x:c>
      <x:c r="M89" t="str">
        <x:f>IF(A89="","",'ERP Snapshot'!K89)</x:f>
      </x:c>
      <x:c r="N89" t="str">
        <x:f>IF(A89="","",COUNTIFS(Exceptions!$A$2:$A$101,A89,Exceptions!$E$2:$E$101,"Open"))</x:f>
      </x:c>
      <x:c r="O89" t="str">
        <x:f>IF(A89="","",IF(AND(C89="MXN",OR(D89="",E89="")),"FX HOLD",IF(E89&gt;D89,"REVIEW: ABOVE CUSTOMER PO",IF('PO Authorization'!H89="REVIEW: SNAPSHOT DIFFERS","REVIEW: PO SNAPSHOT",IF(E89=D89,"FULLY INVOICED",IF(E89&gt;0,"PARTIAL INVOICE","NOT INVOICED"))))))</x:f>
      </x:c>
      <x:c r="P89" t="str">
        <x:f>IF(A89="","",IF(OR(O89="FX HOLD",O89="REVIEW: PO SNAPSHOT",L89="OVER BUDGET",L89="BUDGET EXHAUSTED",O89="REVIEW: ABOVE CUSTOMER PO",'ERP Snapshot'!L89="YES"),"CRITICAL / REVIEW",IF(OR(L89="PO DATA REQUIRED",L89="BUDGET DATA REQUIRED",L89="REVIEW: NO BUDGET",L89="REVIEW: PO AMOUNT",N89&gt;0,M89&gt;0,F89&gt;0),"FOLLOW UP","NORMAL")))</x:f>
      </x:c>
      <x:c r="Q89" s="68" t="str">
        <x:f>IF(A89="","",'ERP Snapshot'!N89)</x:f>
      </x:c>
      <x:c r="R89" t="str">
        <x:f>IF(A89="","",'ERP Snapshot'!Q89)</x:f>
      </x:c>
      <x:c r="S89" t="str">
        <x:f>IF(A89="","",'ERP Snapshot'!R89)</x:f>
      </x:c>
      <x:c r="T89" t="str">
        <x:f>IF(A89="","",'ERP Snapshot'!C89)</x:f>
      </x:c>
    </x:row>
    <x:row r="90">
      <x:c r="A90" t="str">
        <x:f>IF('ERP Snapshot'!A90="","",'ERP Snapshot'!A90)</x:f>
      </x:c>
      <x:c r="B90" t="str">
        <x:f>IF(A90="","",'ERP Snapshot'!B90)</x:f>
      </x:c>
      <x:c r="C90" t="str">
        <x:f>IF(A90="","",'ERP Snapshot'!D90)</x:f>
      </x:c>
      <x:c r="D90" t="str">
        <x:f>IF(A90="","",IF(C90="MXN",IF(AND(Settings!$B$8="APPROVED",Settings!$B$9&lt;&gt;"",Settings!$B$10&lt;&gt;"",Settings!$B$2&gt;0),'PO Authorization'!F90/Settings!$B$2,""),'PO Authorization'!F90))</x:f>
      </x:c>
      <x:c r="E90" t="str">
        <x:f>IF(A90="","",IF(C90="MXN",IF(AND(Settings!$B$8="APPROVED",Settings!$B$9&lt;&gt;"",Settings!$B$10&lt;&gt;"",Settings!$B$2&gt;0),'ERP Snapshot'!I90/Settings!$B$2,""),'ERP Snapshot'!I90))</x:f>
      </x:c>
      <x:c r="F90" t="str">
        <x:f>IF(A90="","",IF(AND(ISNUMBER(D90),ISNUMBER(E90)),D90-E90,""))</x:f>
      </x:c>
      <x:c r="G90" t="str">
        <x:f>IF(A90="","",IF(ISNUMBER('ERP Snapshot'!F90),'ERP Snapshot'!F90,""))</x:f>
      </x:c>
      <x:c r="H90" t="str">
        <x:f>IF(A90="","",'ERP Snapshot'!G90)</x:f>
      </x:c>
      <x:c r="I90" t="str">
        <x:f>IF(A90="","",IF(ISNUMBER('ERP Snapshot'!S90),'ERP Snapshot'!S90,""))</x:f>
      </x:c>
      <x:c r="J90" t="str">
        <x:f>IF(A90="","",IF(AND(ISNUMBER(G90),ISNUMBER(I90)),G90-I90,""))</x:f>
      </x:c>
      <x:c r="K90" s="8" t="str">
        <x:f>IF(A90="","",IF(AND(ISNUMBER(G90),G90&gt;0,ISNUMBER(I90)),I90/G90,""))</x:f>
      </x:c>
      <x:c r="L90" t="str">
        <x:f>IF(A90="","",IF(NOT(ISNUMBER(G90)),"BUDGET DATA REQUIRED",IF(G90&lt;=0,"REVIEW: NO BUDGET",IF(NOT(ISNUMBER(I90)),"PO DATA REQUIRED",IF(I90&lt;0,"REVIEW: PO AMOUNT",IF(K90&gt;1,"OVER BUDGET",IF(K90=1,"BUDGET EXHAUSTED",IF(K90&gt;=Settings!$B$3,"PREVENTIVE ALERT","OK"))))))))</x:f>
      </x:c>
      <x:c r="M90" t="str">
        <x:f>IF(A90="","",'ERP Snapshot'!K90)</x:f>
      </x:c>
      <x:c r="N90" t="str">
        <x:f>IF(A90="","",COUNTIFS(Exceptions!$A$2:$A$101,A90,Exceptions!$E$2:$E$101,"Open"))</x:f>
      </x:c>
      <x:c r="O90" t="str">
        <x:f>IF(A90="","",IF(AND(C90="MXN",OR(D90="",E90="")),"FX HOLD",IF(E90&gt;D90,"REVIEW: ABOVE CUSTOMER PO",IF('PO Authorization'!H90="REVIEW: SNAPSHOT DIFFERS","REVIEW: PO SNAPSHOT",IF(E90=D90,"FULLY INVOICED",IF(E90&gt;0,"PARTIAL INVOICE","NOT INVOICED"))))))</x:f>
      </x:c>
      <x:c r="P90" t="str">
        <x:f>IF(A90="","",IF(OR(O90="FX HOLD",O90="REVIEW: PO SNAPSHOT",L90="OVER BUDGET",L90="BUDGET EXHAUSTED",O90="REVIEW: ABOVE CUSTOMER PO",'ERP Snapshot'!L90="YES"),"CRITICAL / REVIEW",IF(OR(L90="PO DATA REQUIRED",L90="BUDGET DATA REQUIRED",L90="REVIEW: NO BUDGET",L90="REVIEW: PO AMOUNT",N90&gt;0,M90&gt;0,F90&gt;0),"FOLLOW UP","NORMAL")))</x:f>
      </x:c>
      <x:c r="Q90" s="68" t="str">
        <x:f>IF(A90="","",'ERP Snapshot'!N90)</x:f>
      </x:c>
      <x:c r="R90" t="str">
        <x:f>IF(A90="","",'ERP Snapshot'!Q90)</x:f>
      </x:c>
      <x:c r="S90" t="str">
        <x:f>IF(A90="","",'ERP Snapshot'!R90)</x:f>
      </x:c>
      <x:c r="T90" t="str">
        <x:f>IF(A90="","",'ERP Snapshot'!C90)</x:f>
      </x:c>
    </x:row>
    <x:row r="91">
      <x:c r="A91" t="str">
        <x:f>IF('ERP Snapshot'!A91="","",'ERP Snapshot'!A91)</x:f>
      </x:c>
      <x:c r="B91" t="str">
        <x:f>IF(A91="","",'ERP Snapshot'!B91)</x:f>
      </x:c>
      <x:c r="C91" t="str">
        <x:f>IF(A91="","",'ERP Snapshot'!D91)</x:f>
      </x:c>
      <x:c r="D91" t="str">
        <x:f>IF(A91="","",IF(C91="MXN",IF(AND(Settings!$B$8="APPROVED",Settings!$B$9&lt;&gt;"",Settings!$B$10&lt;&gt;"",Settings!$B$2&gt;0),'PO Authorization'!F91/Settings!$B$2,""),'PO Authorization'!F91))</x:f>
      </x:c>
      <x:c r="E91" t="str">
        <x:f>IF(A91="","",IF(C91="MXN",IF(AND(Settings!$B$8="APPROVED",Settings!$B$9&lt;&gt;"",Settings!$B$10&lt;&gt;"",Settings!$B$2&gt;0),'ERP Snapshot'!I91/Settings!$B$2,""),'ERP Snapshot'!I91))</x:f>
      </x:c>
      <x:c r="F91" t="str">
        <x:f>IF(A91="","",IF(AND(ISNUMBER(D91),ISNUMBER(E91)),D91-E91,""))</x:f>
      </x:c>
      <x:c r="G91" t="str">
        <x:f>IF(A91="","",IF(ISNUMBER('ERP Snapshot'!F91),'ERP Snapshot'!F91,""))</x:f>
      </x:c>
      <x:c r="H91" t="str">
        <x:f>IF(A91="","",'ERP Snapshot'!G91)</x:f>
      </x:c>
      <x:c r="I91" t="str">
        <x:f>IF(A91="","",IF(ISNUMBER('ERP Snapshot'!S91),'ERP Snapshot'!S91,""))</x:f>
      </x:c>
      <x:c r="J91" t="str">
        <x:f>IF(A91="","",IF(AND(ISNUMBER(G91),ISNUMBER(I91)),G91-I91,""))</x:f>
      </x:c>
      <x:c r="K91" s="8" t="str">
        <x:f>IF(A91="","",IF(AND(ISNUMBER(G91),G91&gt;0,ISNUMBER(I91)),I91/G91,""))</x:f>
      </x:c>
      <x:c r="L91" t="str">
        <x:f>IF(A91="","",IF(NOT(ISNUMBER(G91)),"BUDGET DATA REQUIRED",IF(G91&lt;=0,"REVIEW: NO BUDGET",IF(NOT(ISNUMBER(I91)),"PO DATA REQUIRED",IF(I91&lt;0,"REVIEW: PO AMOUNT",IF(K91&gt;1,"OVER BUDGET",IF(K91=1,"BUDGET EXHAUSTED",IF(K91&gt;=Settings!$B$3,"PREVENTIVE ALERT","OK"))))))))</x:f>
      </x:c>
      <x:c r="M91" t="str">
        <x:f>IF(A91="","",'ERP Snapshot'!K91)</x:f>
      </x:c>
      <x:c r="N91" t="str">
        <x:f>IF(A91="","",COUNTIFS(Exceptions!$A$2:$A$101,A91,Exceptions!$E$2:$E$101,"Open"))</x:f>
      </x:c>
      <x:c r="O91" t="str">
        <x:f>IF(A91="","",IF(AND(C91="MXN",OR(D91="",E91="")),"FX HOLD",IF(E91&gt;D91,"REVIEW: ABOVE CUSTOMER PO",IF('PO Authorization'!H91="REVIEW: SNAPSHOT DIFFERS","REVIEW: PO SNAPSHOT",IF(E91=D91,"FULLY INVOICED",IF(E91&gt;0,"PARTIAL INVOICE","NOT INVOICED"))))))</x:f>
      </x:c>
      <x:c r="P91" t="str">
        <x:f>IF(A91="","",IF(OR(O91="FX HOLD",O91="REVIEW: PO SNAPSHOT",L91="OVER BUDGET",L91="BUDGET EXHAUSTED",O91="REVIEW: ABOVE CUSTOMER PO",'ERP Snapshot'!L91="YES"),"CRITICAL / REVIEW",IF(OR(L91="PO DATA REQUIRED",L91="BUDGET DATA REQUIRED",L91="REVIEW: NO BUDGET",L91="REVIEW: PO AMOUNT",N91&gt;0,M91&gt;0,F91&gt;0),"FOLLOW UP","NORMAL")))</x:f>
      </x:c>
      <x:c r="Q91" s="68" t="str">
        <x:f>IF(A91="","",'ERP Snapshot'!N91)</x:f>
      </x:c>
      <x:c r="R91" t="str">
        <x:f>IF(A91="","",'ERP Snapshot'!Q91)</x:f>
      </x:c>
      <x:c r="S91" t="str">
        <x:f>IF(A91="","",'ERP Snapshot'!R91)</x:f>
      </x:c>
      <x:c r="T91" t="str">
        <x:f>IF(A91="","",'ERP Snapshot'!C91)</x:f>
      </x:c>
    </x:row>
    <x:row r="92">
      <x:c r="A92" t="str">
        <x:f>IF('ERP Snapshot'!A92="","",'ERP Snapshot'!A92)</x:f>
      </x:c>
      <x:c r="B92" t="str">
        <x:f>IF(A92="","",'ERP Snapshot'!B92)</x:f>
      </x:c>
      <x:c r="C92" t="str">
        <x:f>IF(A92="","",'ERP Snapshot'!D92)</x:f>
      </x:c>
      <x:c r="D92" t="str">
        <x:f>IF(A92="","",IF(C92="MXN",IF(AND(Settings!$B$8="APPROVED",Settings!$B$9&lt;&gt;"",Settings!$B$10&lt;&gt;"",Settings!$B$2&gt;0),'PO Authorization'!F92/Settings!$B$2,""),'PO Authorization'!F92))</x:f>
      </x:c>
      <x:c r="E92" t="str">
        <x:f>IF(A92="","",IF(C92="MXN",IF(AND(Settings!$B$8="APPROVED",Settings!$B$9&lt;&gt;"",Settings!$B$10&lt;&gt;"",Settings!$B$2&gt;0),'ERP Snapshot'!I92/Settings!$B$2,""),'ERP Snapshot'!I92))</x:f>
      </x:c>
      <x:c r="F92" t="str">
        <x:f>IF(A92="","",IF(AND(ISNUMBER(D92),ISNUMBER(E92)),D92-E92,""))</x:f>
      </x:c>
      <x:c r="G92" t="str">
        <x:f>IF(A92="","",IF(ISNUMBER('ERP Snapshot'!F92),'ERP Snapshot'!F92,""))</x:f>
      </x:c>
      <x:c r="H92" t="str">
        <x:f>IF(A92="","",'ERP Snapshot'!G92)</x:f>
      </x:c>
      <x:c r="I92" t="str">
        <x:f>IF(A92="","",IF(ISNUMBER('ERP Snapshot'!S92),'ERP Snapshot'!S92,""))</x:f>
      </x:c>
      <x:c r="J92" t="str">
        <x:f>IF(A92="","",IF(AND(ISNUMBER(G92),ISNUMBER(I92)),G92-I92,""))</x:f>
      </x:c>
      <x:c r="K92" s="8" t="str">
        <x:f>IF(A92="","",IF(AND(ISNUMBER(G92),G92&gt;0,ISNUMBER(I92)),I92/G92,""))</x:f>
      </x:c>
      <x:c r="L92" t="str">
        <x:f>IF(A92="","",IF(NOT(ISNUMBER(G92)),"BUDGET DATA REQUIRED",IF(G92&lt;=0,"REVIEW: NO BUDGET",IF(NOT(ISNUMBER(I92)),"PO DATA REQUIRED",IF(I92&lt;0,"REVIEW: PO AMOUNT",IF(K92&gt;1,"OVER BUDGET",IF(K92=1,"BUDGET EXHAUSTED",IF(K92&gt;=Settings!$B$3,"PREVENTIVE ALERT","OK"))))))))</x:f>
      </x:c>
      <x:c r="M92" t="str">
        <x:f>IF(A92="","",'ERP Snapshot'!K92)</x:f>
      </x:c>
      <x:c r="N92" t="str">
        <x:f>IF(A92="","",COUNTIFS(Exceptions!$A$2:$A$101,A92,Exceptions!$E$2:$E$101,"Open"))</x:f>
      </x:c>
      <x:c r="O92" t="str">
        <x:f>IF(A92="","",IF(AND(C92="MXN",OR(D92="",E92="")),"FX HOLD",IF(E92&gt;D92,"REVIEW: ABOVE CUSTOMER PO",IF('PO Authorization'!H92="REVIEW: SNAPSHOT DIFFERS","REVIEW: PO SNAPSHOT",IF(E92=D92,"FULLY INVOICED",IF(E92&gt;0,"PARTIAL INVOICE","NOT INVOICED"))))))</x:f>
      </x:c>
      <x:c r="P92" t="str">
        <x:f>IF(A92="","",IF(OR(O92="FX HOLD",O92="REVIEW: PO SNAPSHOT",L92="OVER BUDGET",L92="BUDGET EXHAUSTED",O92="REVIEW: ABOVE CUSTOMER PO",'ERP Snapshot'!L92="YES"),"CRITICAL / REVIEW",IF(OR(L92="PO DATA REQUIRED",L92="BUDGET DATA REQUIRED",L92="REVIEW: NO BUDGET",L92="REVIEW: PO AMOUNT",N92&gt;0,M92&gt;0,F92&gt;0),"FOLLOW UP","NORMAL")))</x:f>
      </x:c>
      <x:c r="Q92" s="68" t="str">
        <x:f>IF(A92="","",'ERP Snapshot'!N92)</x:f>
      </x:c>
      <x:c r="R92" t="str">
        <x:f>IF(A92="","",'ERP Snapshot'!Q92)</x:f>
      </x:c>
      <x:c r="S92" t="str">
        <x:f>IF(A92="","",'ERP Snapshot'!R92)</x:f>
      </x:c>
      <x:c r="T92" t="str">
        <x:f>IF(A92="","",'ERP Snapshot'!C92)</x:f>
      </x:c>
    </x:row>
    <x:row r="93">
      <x:c r="A93" t="str">
        <x:f>IF('ERP Snapshot'!A93="","",'ERP Snapshot'!A93)</x:f>
      </x:c>
      <x:c r="B93" t="str">
        <x:f>IF(A93="","",'ERP Snapshot'!B93)</x:f>
      </x:c>
      <x:c r="C93" t="str">
        <x:f>IF(A93="","",'ERP Snapshot'!D93)</x:f>
      </x:c>
      <x:c r="D93" t="str">
        <x:f>IF(A93="","",IF(C93="MXN",IF(AND(Settings!$B$8="APPROVED",Settings!$B$9&lt;&gt;"",Settings!$B$10&lt;&gt;"",Settings!$B$2&gt;0),'PO Authorization'!F93/Settings!$B$2,""),'PO Authorization'!F93))</x:f>
      </x:c>
      <x:c r="E93" t="str">
        <x:f>IF(A93="","",IF(C93="MXN",IF(AND(Settings!$B$8="APPROVED",Settings!$B$9&lt;&gt;"",Settings!$B$10&lt;&gt;"",Settings!$B$2&gt;0),'ERP Snapshot'!I93/Settings!$B$2,""),'ERP Snapshot'!I93))</x:f>
      </x:c>
      <x:c r="F93" t="str">
        <x:f>IF(A93="","",IF(AND(ISNUMBER(D93),ISNUMBER(E93)),D93-E93,""))</x:f>
      </x:c>
      <x:c r="G93" t="str">
        <x:f>IF(A93="","",IF(ISNUMBER('ERP Snapshot'!F93),'ERP Snapshot'!F93,""))</x:f>
      </x:c>
      <x:c r="H93" t="str">
        <x:f>IF(A93="","",'ERP Snapshot'!G93)</x:f>
      </x:c>
      <x:c r="I93" t="str">
        <x:f>IF(A93="","",IF(ISNUMBER('ERP Snapshot'!S93),'ERP Snapshot'!S93,""))</x:f>
      </x:c>
      <x:c r="J93" t="str">
        <x:f>IF(A93="","",IF(AND(ISNUMBER(G93),ISNUMBER(I93)),G93-I93,""))</x:f>
      </x:c>
      <x:c r="K93" s="8" t="str">
        <x:f>IF(A93="","",IF(AND(ISNUMBER(G93),G93&gt;0,ISNUMBER(I93)),I93/G93,""))</x:f>
      </x:c>
      <x:c r="L93" t="str">
        <x:f>IF(A93="","",IF(NOT(ISNUMBER(G93)),"BUDGET DATA REQUIRED",IF(G93&lt;=0,"REVIEW: NO BUDGET",IF(NOT(ISNUMBER(I93)),"PO DATA REQUIRED",IF(I93&lt;0,"REVIEW: PO AMOUNT",IF(K93&gt;1,"OVER BUDGET",IF(K93=1,"BUDGET EXHAUSTED",IF(K93&gt;=Settings!$B$3,"PREVENTIVE ALERT","OK"))))))))</x:f>
      </x:c>
      <x:c r="M93" t="str">
        <x:f>IF(A93="","",'ERP Snapshot'!K93)</x:f>
      </x:c>
      <x:c r="N93" t="str">
        <x:f>IF(A93="","",COUNTIFS(Exceptions!$A$2:$A$101,A93,Exceptions!$E$2:$E$101,"Open"))</x:f>
      </x:c>
      <x:c r="O93" t="str">
        <x:f>IF(A93="","",IF(AND(C93="MXN",OR(D93="",E93="")),"FX HOLD",IF(E93&gt;D93,"REVIEW: ABOVE CUSTOMER PO",IF('PO Authorization'!H93="REVIEW: SNAPSHOT DIFFERS","REVIEW: PO SNAPSHOT",IF(E93=D93,"FULLY INVOICED",IF(E93&gt;0,"PARTIAL INVOICE","NOT INVOICED"))))))</x:f>
      </x:c>
      <x:c r="P93" t="str">
        <x:f>IF(A93="","",IF(OR(O93="FX HOLD",O93="REVIEW: PO SNAPSHOT",L93="OVER BUDGET",L93="BUDGET EXHAUSTED",O93="REVIEW: ABOVE CUSTOMER PO",'ERP Snapshot'!L93="YES"),"CRITICAL / REVIEW",IF(OR(L93="PO DATA REQUIRED",L93="BUDGET DATA REQUIRED",L93="REVIEW: NO BUDGET",L93="REVIEW: PO AMOUNT",N93&gt;0,M93&gt;0,F93&gt;0),"FOLLOW UP","NORMAL")))</x:f>
      </x:c>
      <x:c r="Q93" s="68" t="str">
        <x:f>IF(A93="","",'ERP Snapshot'!N93)</x:f>
      </x:c>
      <x:c r="R93" t="str">
        <x:f>IF(A93="","",'ERP Snapshot'!Q93)</x:f>
      </x:c>
      <x:c r="S93" t="str">
        <x:f>IF(A93="","",'ERP Snapshot'!R93)</x:f>
      </x:c>
      <x:c r="T93" t="str">
        <x:f>IF(A93="","",'ERP Snapshot'!C93)</x:f>
      </x:c>
    </x:row>
    <x:row r="94">
      <x:c r="A94" t="str">
        <x:f>IF('ERP Snapshot'!A94="","",'ERP Snapshot'!A94)</x:f>
      </x:c>
      <x:c r="B94" t="str">
        <x:f>IF(A94="","",'ERP Snapshot'!B94)</x:f>
      </x:c>
      <x:c r="C94" t="str">
        <x:f>IF(A94="","",'ERP Snapshot'!D94)</x:f>
      </x:c>
      <x:c r="D94" t="str">
        <x:f>IF(A94="","",IF(C94="MXN",IF(AND(Settings!$B$8="APPROVED",Settings!$B$9&lt;&gt;"",Settings!$B$10&lt;&gt;"",Settings!$B$2&gt;0),'PO Authorization'!F94/Settings!$B$2,""),'PO Authorization'!F94))</x:f>
      </x:c>
      <x:c r="E94" t="str">
        <x:f>IF(A94="","",IF(C94="MXN",IF(AND(Settings!$B$8="APPROVED",Settings!$B$9&lt;&gt;"",Settings!$B$10&lt;&gt;"",Settings!$B$2&gt;0),'ERP Snapshot'!I94/Settings!$B$2,""),'ERP Snapshot'!I94))</x:f>
      </x:c>
      <x:c r="F94" t="str">
        <x:f>IF(A94="","",IF(AND(ISNUMBER(D94),ISNUMBER(E94)),D94-E94,""))</x:f>
      </x:c>
      <x:c r="G94" t="str">
        <x:f>IF(A94="","",IF(ISNUMBER('ERP Snapshot'!F94),'ERP Snapshot'!F94,""))</x:f>
      </x:c>
      <x:c r="H94" t="str">
        <x:f>IF(A94="","",'ERP Snapshot'!G94)</x:f>
      </x:c>
      <x:c r="I94" t="str">
        <x:f>IF(A94="","",IF(ISNUMBER('ERP Snapshot'!S94),'ERP Snapshot'!S94,""))</x:f>
      </x:c>
      <x:c r="J94" t="str">
        <x:f>IF(A94="","",IF(AND(ISNUMBER(G94),ISNUMBER(I94)),G94-I94,""))</x:f>
      </x:c>
      <x:c r="K94" s="8" t="str">
        <x:f>IF(A94="","",IF(AND(ISNUMBER(G94),G94&gt;0,ISNUMBER(I94)),I94/G94,""))</x:f>
      </x:c>
      <x:c r="L94" t="str">
        <x:f>IF(A94="","",IF(NOT(ISNUMBER(G94)),"BUDGET DATA REQUIRED",IF(G94&lt;=0,"REVIEW: NO BUDGET",IF(NOT(ISNUMBER(I94)),"PO DATA REQUIRED",IF(I94&lt;0,"REVIEW: PO AMOUNT",IF(K94&gt;1,"OVER BUDGET",IF(K94=1,"BUDGET EXHAUSTED",IF(K94&gt;=Settings!$B$3,"PREVENTIVE ALERT","OK"))))))))</x:f>
      </x:c>
      <x:c r="M94" t="str">
        <x:f>IF(A94="","",'ERP Snapshot'!K94)</x:f>
      </x:c>
      <x:c r="N94" t="str">
        <x:f>IF(A94="","",COUNTIFS(Exceptions!$A$2:$A$101,A94,Exceptions!$E$2:$E$101,"Open"))</x:f>
      </x:c>
      <x:c r="O94" t="str">
        <x:f>IF(A94="","",IF(AND(C94="MXN",OR(D94="",E94="")),"FX HOLD",IF(E94&gt;D94,"REVIEW: ABOVE CUSTOMER PO",IF('PO Authorization'!H94="REVIEW: SNAPSHOT DIFFERS","REVIEW: PO SNAPSHOT",IF(E94=D94,"FULLY INVOICED",IF(E94&gt;0,"PARTIAL INVOICE","NOT INVOICED"))))))</x:f>
      </x:c>
      <x:c r="P94" t="str">
        <x:f>IF(A94="","",IF(OR(O94="FX HOLD",O94="REVIEW: PO SNAPSHOT",L94="OVER BUDGET",L94="BUDGET EXHAUSTED",O94="REVIEW: ABOVE CUSTOMER PO",'ERP Snapshot'!L94="YES"),"CRITICAL / REVIEW",IF(OR(L94="PO DATA REQUIRED",L94="BUDGET DATA REQUIRED",L94="REVIEW: NO BUDGET",L94="REVIEW: PO AMOUNT",N94&gt;0,M94&gt;0,F94&gt;0),"FOLLOW UP","NORMAL")))</x:f>
      </x:c>
      <x:c r="Q94" s="68" t="str">
        <x:f>IF(A94="","",'ERP Snapshot'!N94)</x:f>
      </x:c>
      <x:c r="R94" t="str">
        <x:f>IF(A94="","",'ERP Snapshot'!Q94)</x:f>
      </x:c>
      <x:c r="S94" t="str">
        <x:f>IF(A94="","",'ERP Snapshot'!R94)</x:f>
      </x:c>
      <x:c r="T94" t="str">
        <x:f>IF(A94="","",'ERP Snapshot'!C94)</x:f>
      </x:c>
    </x:row>
    <x:row r="95">
      <x:c r="A95" t="str">
        <x:f>IF('ERP Snapshot'!A95="","",'ERP Snapshot'!A95)</x:f>
      </x:c>
      <x:c r="B95" t="str">
        <x:f>IF(A95="","",'ERP Snapshot'!B95)</x:f>
      </x:c>
      <x:c r="C95" t="str">
        <x:f>IF(A95="","",'ERP Snapshot'!D95)</x:f>
      </x:c>
      <x:c r="D95" t="str">
        <x:f>IF(A95="","",IF(C95="MXN",IF(AND(Settings!$B$8="APPROVED",Settings!$B$9&lt;&gt;"",Settings!$B$10&lt;&gt;"",Settings!$B$2&gt;0),'PO Authorization'!F95/Settings!$B$2,""),'PO Authorization'!F95))</x:f>
      </x:c>
      <x:c r="E95" t="str">
        <x:f>IF(A95="","",IF(C95="MXN",IF(AND(Settings!$B$8="APPROVED",Settings!$B$9&lt;&gt;"",Settings!$B$10&lt;&gt;"",Settings!$B$2&gt;0),'ERP Snapshot'!I95/Settings!$B$2,""),'ERP Snapshot'!I95))</x:f>
      </x:c>
      <x:c r="F95" t="str">
        <x:f>IF(A95="","",IF(AND(ISNUMBER(D95),ISNUMBER(E95)),D95-E95,""))</x:f>
      </x:c>
      <x:c r="G95" t="str">
        <x:f>IF(A95="","",IF(ISNUMBER('ERP Snapshot'!F95),'ERP Snapshot'!F95,""))</x:f>
      </x:c>
      <x:c r="H95" t="str">
        <x:f>IF(A95="","",'ERP Snapshot'!G95)</x:f>
      </x:c>
      <x:c r="I95" t="str">
        <x:f>IF(A95="","",IF(ISNUMBER('ERP Snapshot'!S95),'ERP Snapshot'!S95,""))</x:f>
      </x:c>
      <x:c r="J95" t="str">
        <x:f>IF(A95="","",IF(AND(ISNUMBER(G95),ISNUMBER(I95)),G95-I95,""))</x:f>
      </x:c>
      <x:c r="K95" s="8" t="str">
        <x:f>IF(A95="","",IF(AND(ISNUMBER(G95),G95&gt;0,ISNUMBER(I95)),I95/G95,""))</x:f>
      </x:c>
      <x:c r="L95" t="str">
        <x:f>IF(A95="","",IF(NOT(ISNUMBER(G95)),"BUDGET DATA REQUIRED",IF(G95&lt;=0,"REVIEW: NO BUDGET",IF(NOT(ISNUMBER(I95)),"PO DATA REQUIRED",IF(I95&lt;0,"REVIEW: PO AMOUNT",IF(K95&gt;1,"OVER BUDGET",IF(K95=1,"BUDGET EXHAUSTED",IF(K95&gt;=Settings!$B$3,"PREVENTIVE ALERT","OK"))))))))</x:f>
      </x:c>
      <x:c r="M95" t="str">
        <x:f>IF(A95="","",'ERP Snapshot'!K95)</x:f>
      </x:c>
      <x:c r="N95" t="str">
        <x:f>IF(A95="","",COUNTIFS(Exceptions!$A$2:$A$101,A95,Exceptions!$E$2:$E$101,"Open"))</x:f>
      </x:c>
      <x:c r="O95" t="str">
        <x:f>IF(A95="","",IF(AND(C95="MXN",OR(D95="",E95="")),"FX HOLD",IF(E95&gt;D95,"REVIEW: ABOVE CUSTOMER PO",IF('PO Authorization'!H95="REVIEW: SNAPSHOT DIFFERS","REVIEW: PO SNAPSHOT",IF(E95=D95,"FULLY INVOICED",IF(E95&gt;0,"PARTIAL INVOICE","NOT INVOICED"))))))</x:f>
      </x:c>
      <x:c r="P95" t="str">
        <x:f>IF(A95="","",IF(OR(O95="FX HOLD",O95="REVIEW: PO SNAPSHOT",L95="OVER BUDGET",L95="BUDGET EXHAUSTED",O95="REVIEW: ABOVE CUSTOMER PO",'ERP Snapshot'!L95="YES"),"CRITICAL / REVIEW",IF(OR(L95="PO DATA REQUIRED",L95="BUDGET DATA REQUIRED",L95="REVIEW: NO BUDGET",L95="REVIEW: PO AMOUNT",N95&gt;0,M95&gt;0,F95&gt;0),"FOLLOW UP","NORMAL")))</x:f>
      </x:c>
      <x:c r="Q95" s="68" t="str">
        <x:f>IF(A95="","",'ERP Snapshot'!N95)</x:f>
      </x:c>
      <x:c r="R95" t="str">
        <x:f>IF(A95="","",'ERP Snapshot'!Q95)</x:f>
      </x:c>
      <x:c r="S95" t="str">
        <x:f>IF(A95="","",'ERP Snapshot'!R95)</x:f>
      </x:c>
      <x:c r="T95" t="str">
        <x:f>IF(A95="","",'ERP Snapshot'!C95)</x:f>
      </x:c>
    </x:row>
    <x:row r="96">
      <x:c r="A96" t="str">
        <x:f>IF('ERP Snapshot'!A96="","",'ERP Snapshot'!A96)</x:f>
      </x:c>
      <x:c r="B96" t="str">
        <x:f>IF(A96="","",'ERP Snapshot'!B96)</x:f>
      </x:c>
      <x:c r="C96" t="str">
        <x:f>IF(A96="","",'ERP Snapshot'!D96)</x:f>
      </x:c>
      <x:c r="D96" t="str">
        <x:f>IF(A96="","",IF(C96="MXN",IF(AND(Settings!$B$8="APPROVED",Settings!$B$9&lt;&gt;"",Settings!$B$10&lt;&gt;"",Settings!$B$2&gt;0),'PO Authorization'!F96/Settings!$B$2,""),'PO Authorization'!F96))</x:f>
      </x:c>
      <x:c r="E96" t="str">
        <x:f>IF(A96="","",IF(C96="MXN",IF(AND(Settings!$B$8="APPROVED",Settings!$B$9&lt;&gt;"",Settings!$B$10&lt;&gt;"",Settings!$B$2&gt;0),'ERP Snapshot'!I96/Settings!$B$2,""),'ERP Snapshot'!I96))</x:f>
      </x:c>
      <x:c r="F96" t="str">
        <x:f>IF(A96="","",IF(AND(ISNUMBER(D96),ISNUMBER(E96)),D96-E96,""))</x:f>
      </x:c>
      <x:c r="G96" t="str">
        <x:f>IF(A96="","",IF(ISNUMBER('ERP Snapshot'!F96),'ERP Snapshot'!F96,""))</x:f>
      </x:c>
      <x:c r="H96" t="str">
        <x:f>IF(A96="","",'ERP Snapshot'!G96)</x:f>
      </x:c>
      <x:c r="I96" t="str">
        <x:f>IF(A96="","",IF(ISNUMBER('ERP Snapshot'!S96),'ERP Snapshot'!S96,""))</x:f>
      </x:c>
      <x:c r="J96" t="str">
        <x:f>IF(A96="","",IF(AND(ISNUMBER(G96),ISNUMBER(I96)),G96-I96,""))</x:f>
      </x:c>
      <x:c r="K96" s="8" t="str">
        <x:f>IF(A96="","",IF(AND(ISNUMBER(G96),G96&gt;0,ISNUMBER(I96)),I96/G96,""))</x:f>
      </x:c>
      <x:c r="L96" t="str">
        <x:f>IF(A96="","",IF(NOT(ISNUMBER(G96)),"BUDGET DATA REQUIRED",IF(G96&lt;=0,"REVIEW: NO BUDGET",IF(NOT(ISNUMBER(I96)),"PO DATA REQUIRED",IF(I96&lt;0,"REVIEW: PO AMOUNT",IF(K96&gt;1,"OVER BUDGET",IF(K96=1,"BUDGET EXHAUSTED",IF(K96&gt;=Settings!$B$3,"PREVENTIVE ALERT","OK"))))))))</x:f>
      </x:c>
      <x:c r="M96" t="str">
        <x:f>IF(A96="","",'ERP Snapshot'!K96)</x:f>
      </x:c>
      <x:c r="N96" t="str">
        <x:f>IF(A96="","",COUNTIFS(Exceptions!$A$2:$A$101,A96,Exceptions!$E$2:$E$101,"Open"))</x:f>
      </x:c>
      <x:c r="O96" t="str">
        <x:f>IF(A96="","",IF(AND(C96="MXN",OR(D96="",E96="")),"FX HOLD",IF(E96&gt;D96,"REVIEW: ABOVE CUSTOMER PO",IF('PO Authorization'!H96="REVIEW: SNAPSHOT DIFFERS","REVIEW: PO SNAPSHOT",IF(E96=D96,"FULLY INVOICED",IF(E96&gt;0,"PARTIAL INVOICE","NOT INVOICED"))))))</x:f>
      </x:c>
      <x:c r="P96" t="str">
        <x:f>IF(A96="","",IF(OR(O96="FX HOLD",O96="REVIEW: PO SNAPSHOT",L96="OVER BUDGET",L96="BUDGET EXHAUSTED",O96="REVIEW: ABOVE CUSTOMER PO",'ERP Snapshot'!L96="YES"),"CRITICAL / REVIEW",IF(OR(L96="PO DATA REQUIRED",L96="BUDGET DATA REQUIRED",L96="REVIEW: NO BUDGET",L96="REVIEW: PO AMOUNT",N96&gt;0,M96&gt;0,F96&gt;0),"FOLLOW UP","NORMAL")))</x:f>
      </x:c>
      <x:c r="Q96" s="68" t="str">
        <x:f>IF(A96="","",'ERP Snapshot'!N96)</x:f>
      </x:c>
      <x:c r="R96" t="str">
        <x:f>IF(A96="","",'ERP Snapshot'!Q96)</x:f>
      </x:c>
      <x:c r="S96" t="str">
        <x:f>IF(A96="","",'ERP Snapshot'!R96)</x:f>
      </x:c>
      <x:c r="T96" t="str">
        <x:f>IF(A96="","",'ERP Snapshot'!C96)</x:f>
      </x:c>
    </x:row>
    <x:row r="97">
      <x:c r="A97" t="str">
        <x:f>IF('ERP Snapshot'!A97="","",'ERP Snapshot'!A97)</x:f>
      </x:c>
      <x:c r="B97" t="str">
        <x:f>IF(A97="","",'ERP Snapshot'!B97)</x:f>
      </x:c>
      <x:c r="C97" t="str">
        <x:f>IF(A97="","",'ERP Snapshot'!D97)</x:f>
      </x:c>
      <x:c r="D97" t="str">
        <x:f>IF(A97="","",IF(C97="MXN",IF(AND(Settings!$B$8="APPROVED",Settings!$B$9&lt;&gt;"",Settings!$B$10&lt;&gt;"",Settings!$B$2&gt;0),'PO Authorization'!F97/Settings!$B$2,""),'PO Authorization'!F97))</x:f>
      </x:c>
      <x:c r="E97" t="str">
        <x:f>IF(A97="","",IF(C97="MXN",IF(AND(Settings!$B$8="APPROVED",Settings!$B$9&lt;&gt;"",Settings!$B$10&lt;&gt;"",Settings!$B$2&gt;0),'ERP Snapshot'!I97/Settings!$B$2,""),'ERP Snapshot'!I97))</x:f>
      </x:c>
      <x:c r="F97" t="str">
        <x:f>IF(A97="","",IF(AND(ISNUMBER(D97),ISNUMBER(E97)),D97-E97,""))</x:f>
      </x:c>
      <x:c r="G97" t="str">
        <x:f>IF(A97="","",IF(ISNUMBER('ERP Snapshot'!F97),'ERP Snapshot'!F97,""))</x:f>
      </x:c>
      <x:c r="H97" t="str">
        <x:f>IF(A97="","",'ERP Snapshot'!G97)</x:f>
      </x:c>
      <x:c r="I97" t="str">
        <x:f>IF(A97="","",IF(ISNUMBER('ERP Snapshot'!S97),'ERP Snapshot'!S97,""))</x:f>
      </x:c>
      <x:c r="J97" t="str">
        <x:f>IF(A97="","",IF(AND(ISNUMBER(G97),ISNUMBER(I97)),G97-I97,""))</x:f>
      </x:c>
      <x:c r="K97" s="8" t="str">
        <x:f>IF(A97="","",IF(AND(ISNUMBER(G97),G97&gt;0,ISNUMBER(I97)),I97/G97,""))</x:f>
      </x:c>
      <x:c r="L97" t="str">
        <x:f>IF(A97="","",IF(NOT(ISNUMBER(G97)),"BUDGET DATA REQUIRED",IF(G97&lt;=0,"REVIEW: NO BUDGET",IF(NOT(ISNUMBER(I97)),"PO DATA REQUIRED",IF(I97&lt;0,"REVIEW: PO AMOUNT",IF(K97&gt;1,"OVER BUDGET",IF(K97=1,"BUDGET EXHAUSTED",IF(K97&gt;=Settings!$B$3,"PREVENTIVE ALERT","OK"))))))))</x:f>
      </x:c>
      <x:c r="M97" t="str">
        <x:f>IF(A97="","",'ERP Snapshot'!K97)</x:f>
      </x:c>
      <x:c r="N97" t="str">
        <x:f>IF(A97="","",COUNTIFS(Exceptions!$A$2:$A$101,A97,Exceptions!$E$2:$E$101,"Open"))</x:f>
      </x:c>
      <x:c r="O97" t="str">
        <x:f>IF(A97="","",IF(AND(C97="MXN",OR(D97="",E97="")),"FX HOLD",IF(E97&gt;D97,"REVIEW: ABOVE CUSTOMER PO",IF('PO Authorization'!H97="REVIEW: SNAPSHOT DIFFERS","REVIEW: PO SNAPSHOT",IF(E97=D97,"FULLY INVOICED",IF(E97&gt;0,"PARTIAL INVOICE","NOT INVOICED"))))))</x:f>
      </x:c>
      <x:c r="P97" t="str">
        <x:f>IF(A97="","",IF(OR(O97="FX HOLD",O97="REVIEW: PO SNAPSHOT",L97="OVER BUDGET",L97="BUDGET EXHAUSTED",O97="REVIEW: ABOVE CUSTOMER PO",'ERP Snapshot'!L97="YES"),"CRITICAL / REVIEW",IF(OR(L97="PO DATA REQUIRED",L97="BUDGET DATA REQUIRED",L97="REVIEW: NO BUDGET",L97="REVIEW: PO AMOUNT",N97&gt;0,M97&gt;0,F97&gt;0),"FOLLOW UP","NORMAL")))</x:f>
      </x:c>
      <x:c r="Q97" s="68" t="str">
        <x:f>IF(A97="","",'ERP Snapshot'!N97)</x:f>
      </x:c>
      <x:c r="R97" t="str">
        <x:f>IF(A97="","",'ERP Snapshot'!Q97)</x:f>
      </x:c>
      <x:c r="S97" t="str">
        <x:f>IF(A97="","",'ERP Snapshot'!R97)</x:f>
      </x:c>
      <x:c r="T97" t="str">
        <x:f>IF(A97="","",'ERP Snapshot'!C97)</x:f>
      </x:c>
    </x:row>
    <x:row r="98">
      <x:c r="A98" t="str">
        <x:f>IF('ERP Snapshot'!A98="","",'ERP Snapshot'!A98)</x:f>
      </x:c>
      <x:c r="B98" t="str">
        <x:f>IF(A98="","",'ERP Snapshot'!B98)</x:f>
      </x:c>
      <x:c r="C98" t="str">
        <x:f>IF(A98="","",'ERP Snapshot'!D98)</x:f>
      </x:c>
      <x:c r="D98" t="str">
        <x:f>IF(A98="","",IF(C98="MXN",IF(AND(Settings!$B$8="APPROVED",Settings!$B$9&lt;&gt;"",Settings!$B$10&lt;&gt;"",Settings!$B$2&gt;0),'PO Authorization'!F98/Settings!$B$2,""),'PO Authorization'!F98))</x:f>
      </x:c>
      <x:c r="E98" t="str">
        <x:f>IF(A98="","",IF(C98="MXN",IF(AND(Settings!$B$8="APPROVED",Settings!$B$9&lt;&gt;"",Settings!$B$10&lt;&gt;"",Settings!$B$2&gt;0),'ERP Snapshot'!I98/Settings!$B$2,""),'ERP Snapshot'!I98))</x:f>
      </x:c>
      <x:c r="F98" t="str">
        <x:f>IF(A98="","",IF(AND(ISNUMBER(D98),ISNUMBER(E98)),D98-E98,""))</x:f>
      </x:c>
      <x:c r="G98" t="str">
        <x:f>IF(A98="","",IF(ISNUMBER('ERP Snapshot'!F98),'ERP Snapshot'!F98,""))</x:f>
      </x:c>
      <x:c r="H98" t="str">
        <x:f>IF(A98="","",'ERP Snapshot'!G98)</x:f>
      </x:c>
      <x:c r="I98" t="str">
        <x:f>IF(A98="","",IF(ISNUMBER('ERP Snapshot'!S98),'ERP Snapshot'!S98,""))</x:f>
      </x:c>
      <x:c r="J98" t="str">
        <x:f>IF(A98="","",IF(AND(ISNUMBER(G98),ISNUMBER(I98)),G98-I98,""))</x:f>
      </x:c>
      <x:c r="K98" s="8" t="str">
        <x:f>IF(A98="","",IF(AND(ISNUMBER(G98),G98&gt;0,ISNUMBER(I98)),I98/G98,""))</x:f>
      </x:c>
      <x:c r="L98" t="str">
        <x:f>IF(A98="","",IF(NOT(ISNUMBER(G98)),"BUDGET DATA REQUIRED",IF(G98&lt;=0,"REVIEW: NO BUDGET",IF(NOT(ISNUMBER(I98)),"PO DATA REQUIRED",IF(I98&lt;0,"REVIEW: PO AMOUNT",IF(K98&gt;1,"OVER BUDGET",IF(K98=1,"BUDGET EXHAUSTED",IF(K98&gt;=Settings!$B$3,"PREVENTIVE ALERT","OK"))))))))</x:f>
      </x:c>
      <x:c r="M98" t="str">
        <x:f>IF(A98="","",'ERP Snapshot'!K98)</x:f>
      </x:c>
      <x:c r="N98" t="str">
        <x:f>IF(A98="","",COUNTIFS(Exceptions!$A$2:$A$101,A98,Exceptions!$E$2:$E$101,"Open"))</x:f>
      </x:c>
      <x:c r="O98" t="str">
        <x:f>IF(A98="","",IF(AND(C98="MXN",OR(D98="",E98="")),"FX HOLD",IF(E98&gt;D98,"REVIEW: ABOVE CUSTOMER PO",IF('PO Authorization'!H98="REVIEW: SNAPSHOT DIFFERS","REVIEW: PO SNAPSHOT",IF(E98=D98,"FULLY INVOICED",IF(E98&gt;0,"PARTIAL INVOICE","NOT INVOICED"))))))</x:f>
      </x:c>
      <x:c r="P98" t="str">
        <x:f>IF(A98="","",IF(OR(O98="FX HOLD",O98="REVIEW: PO SNAPSHOT",L98="OVER BUDGET",L98="BUDGET EXHAUSTED",O98="REVIEW: ABOVE CUSTOMER PO",'ERP Snapshot'!L98="YES"),"CRITICAL / REVIEW",IF(OR(L98="PO DATA REQUIRED",L98="BUDGET DATA REQUIRED",L98="REVIEW: NO BUDGET",L98="REVIEW: PO AMOUNT",N98&gt;0,M98&gt;0,F98&gt;0),"FOLLOW UP","NORMAL")))</x:f>
      </x:c>
      <x:c r="Q98" s="68" t="str">
        <x:f>IF(A98="","",'ERP Snapshot'!N98)</x:f>
      </x:c>
      <x:c r="R98" t="str">
        <x:f>IF(A98="","",'ERP Snapshot'!Q98)</x:f>
      </x:c>
      <x:c r="S98" t="str">
        <x:f>IF(A98="","",'ERP Snapshot'!R98)</x:f>
      </x:c>
      <x:c r="T98" t="str">
        <x:f>IF(A98="","",'ERP Snapshot'!C98)</x:f>
      </x:c>
    </x:row>
    <x:row r="99">
      <x:c r="A99" t="str">
        <x:f>IF('ERP Snapshot'!A99="","",'ERP Snapshot'!A99)</x:f>
      </x:c>
      <x:c r="B99" t="str">
        <x:f>IF(A99="","",'ERP Snapshot'!B99)</x:f>
      </x:c>
      <x:c r="C99" t="str">
        <x:f>IF(A99="","",'ERP Snapshot'!D99)</x:f>
      </x:c>
      <x:c r="D99" t="str">
        <x:f>IF(A99="","",IF(C99="MXN",IF(AND(Settings!$B$8="APPROVED",Settings!$B$9&lt;&gt;"",Settings!$B$10&lt;&gt;"",Settings!$B$2&gt;0),'PO Authorization'!F99/Settings!$B$2,""),'PO Authorization'!F99))</x:f>
      </x:c>
      <x:c r="E99" t="str">
        <x:f>IF(A99="","",IF(C99="MXN",IF(AND(Settings!$B$8="APPROVED",Settings!$B$9&lt;&gt;"",Settings!$B$10&lt;&gt;"",Settings!$B$2&gt;0),'ERP Snapshot'!I99/Settings!$B$2,""),'ERP Snapshot'!I99))</x:f>
      </x:c>
      <x:c r="F99" t="str">
        <x:f>IF(A99="","",IF(AND(ISNUMBER(D99),ISNUMBER(E99)),D99-E99,""))</x:f>
      </x:c>
      <x:c r="G99" t="str">
        <x:f>IF(A99="","",IF(ISNUMBER('ERP Snapshot'!F99),'ERP Snapshot'!F99,""))</x:f>
      </x:c>
      <x:c r="H99" t="str">
        <x:f>IF(A99="","",'ERP Snapshot'!G99)</x:f>
      </x:c>
      <x:c r="I99" t="str">
        <x:f>IF(A99="","",IF(ISNUMBER('ERP Snapshot'!S99),'ERP Snapshot'!S99,""))</x:f>
      </x:c>
      <x:c r="J99" t="str">
        <x:f>IF(A99="","",IF(AND(ISNUMBER(G99),ISNUMBER(I99)),G99-I99,""))</x:f>
      </x:c>
      <x:c r="K99" s="8" t="str">
        <x:f>IF(A99="","",IF(AND(ISNUMBER(G99),G99&gt;0,ISNUMBER(I99)),I99/G99,""))</x:f>
      </x:c>
      <x:c r="L99" t="str">
        <x:f>IF(A99="","",IF(NOT(ISNUMBER(G99)),"BUDGET DATA REQUIRED",IF(G99&lt;=0,"REVIEW: NO BUDGET",IF(NOT(ISNUMBER(I99)),"PO DATA REQUIRED",IF(I99&lt;0,"REVIEW: PO AMOUNT",IF(K99&gt;1,"OVER BUDGET",IF(K99=1,"BUDGET EXHAUSTED",IF(K99&gt;=Settings!$B$3,"PREVENTIVE ALERT","OK"))))))))</x:f>
      </x:c>
      <x:c r="M99" t="str">
        <x:f>IF(A99="","",'ERP Snapshot'!K99)</x:f>
      </x:c>
      <x:c r="N99" t="str">
        <x:f>IF(A99="","",COUNTIFS(Exceptions!$A$2:$A$101,A99,Exceptions!$E$2:$E$101,"Open"))</x:f>
      </x:c>
      <x:c r="O99" t="str">
        <x:f>IF(A99="","",IF(AND(C99="MXN",OR(D99="",E99="")),"FX HOLD",IF(E99&gt;D99,"REVIEW: ABOVE CUSTOMER PO",IF('PO Authorization'!H99="REVIEW: SNAPSHOT DIFFERS","REVIEW: PO SNAPSHOT",IF(E99=D99,"FULLY INVOICED",IF(E99&gt;0,"PARTIAL INVOICE","NOT INVOICED"))))))</x:f>
      </x:c>
      <x:c r="P99" t="str">
        <x:f>IF(A99="","",IF(OR(O99="FX HOLD",O99="REVIEW: PO SNAPSHOT",L99="OVER BUDGET",L99="BUDGET EXHAUSTED",O99="REVIEW: ABOVE CUSTOMER PO",'ERP Snapshot'!L99="YES"),"CRITICAL / REVIEW",IF(OR(L99="PO DATA REQUIRED",L99="BUDGET DATA REQUIRED",L99="REVIEW: NO BUDGET",L99="REVIEW: PO AMOUNT",N99&gt;0,M99&gt;0,F99&gt;0),"FOLLOW UP","NORMAL")))</x:f>
      </x:c>
      <x:c r="Q99" s="68" t="str">
        <x:f>IF(A99="","",'ERP Snapshot'!N99)</x:f>
      </x:c>
      <x:c r="R99" t="str">
        <x:f>IF(A99="","",'ERP Snapshot'!Q99)</x:f>
      </x:c>
      <x:c r="S99" t="str">
        <x:f>IF(A99="","",'ERP Snapshot'!R99)</x:f>
      </x:c>
      <x:c r="T99" t="str">
        <x:f>IF(A99="","",'ERP Snapshot'!C99)</x:f>
      </x:c>
    </x:row>
    <x:row r="100">
      <x:c r="A100" t="str">
        <x:f>IF('ERP Snapshot'!A100="","",'ERP Snapshot'!A100)</x:f>
      </x:c>
      <x:c r="B100" t="str">
        <x:f>IF(A100="","",'ERP Snapshot'!B100)</x:f>
      </x:c>
      <x:c r="C100" t="str">
        <x:f>IF(A100="","",'ERP Snapshot'!D100)</x:f>
      </x:c>
      <x:c r="D100" t="str">
        <x:f>IF(A100="","",IF(C100="MXN",IF(AND(Settings!$B$8="APPROVED",Settings!$B$9&lt;&gt;"",Settings!$B$10&lt;&gt;"",Settings!$B$2&gt;0),'PO Authorization'!F100/Settings!$B$2,""),'PO Authorization'!F100))</x:f>
      </x:c>
      <x:c r="E100" t="str">
        <x:f>IF(A100="","",IF(C100="MXN",IF(AND(Settings!$B$8="APPROVED",Settings!$B$9&lt;&gt;"",Settings!$B$10&lt;&gt;"",Settings!$B$2&gt;0),'ERP Snapshot'!I100/Settings!$B$2,""),'ERP Snapshot'!I100))</x:f>
      </x:c>
      <x:c r="F100" t="str">
        <x:f>IF(A100="","",IF(AND(ISNUMBER(D100),ISNUMBER(E100)),D100-E100,""))</x:f>
      </x:c>
      <x:c r="G100" t="str">
        <x:f>IF(A100="","",IF(ISNUMBER('ERP Snapshot'!F100),'ERP Snapshot'!F100,""))</x:f>
      </x:c>
      <x:c r="H100" t="str">
        <x:f>IF(A100="","",'ERP Snapshot'!G100)</x:f>
      </x:c>
      <x:c r="I100" t="str">
        <x:f>IF(A100="","",IF(ISNUMBER('ERP Snapshot'!S100),'ERP Snapshot'!S100,""))</x:f>
      </x:c>
      <x:c r="J100" t="str">
        <x:f>IF(A100="","",IF(AND(ISNUMBER(G100),ISNUMBER(I100)),G100-I100,""))</x:f>
      </x:c>
      <x:c r="K100" s="8" t="str">
        <x:f>IF(A100="","",IF(AND(ISNUMBER(G100),G100&gt;0,ISNUMBER(I100)),I100/G100,""))</x:f>
      </x:c>
      <x:c r="L100" t="str">
        <x:f>IF(A100="","",IF(NOT(ISNUMBER(G100)),"BUDGET DATA REQUIRED",IF(G100&lt;=0,"REVIEW: NO BUDGET",IF(NOT(ISNUMBER(I100)),"PO DATA REQUIRED",IF(I100&lt;0,"REVIEW: PO AMOUNT",IF(K100&gt;1,"OVER BUDGET",IF(K100=1,"BUDGET EXHAUSTED",IF(K100&gt;=Settings!$B$3,"PREVENTIVE ALERT","OK"))))))))</x:f>
      </x:c>
      <x:c r="M100" t="str">
        <x:f>IF(A100="","",'ERP Snapshot'!K100)</x:f>
      </x:c>
      <x:c r="N100" t="str">
        <x:f>IF(A100="","",COUNTIFS(Exceptions!$A$2:$A$101,A100,Exceptions!$E$2:$E$101,"Open"))</x:f>
      </x:c>
      <x:c r="O100" t="str">
        <x:f>IF(A100="","",IF(AND(C100="MXN",OR(D100="",E100="")),"FX HOLD",IF(E100&gt;D100,"REVIEW: ABOVE CUSTOMER PO",IF('PO Authorization'!H100="REVIEW: SNAPSHOT DIFFERS","REVIEW: PO SNAPSHOT",IF(E100=D100,"FULLY INVOICED",IF(E100&gt;0,"PARTIAL INVOICE","NOT INVOICED"))))))</x:f>
      </x:c>
      <x:c r="P100" t="str">
        <x:f>IF(A100="","",IF(OR(O100="FX HOLD",O100="REVIEW: PO SNAPSHOT",L100="OVER BUDGET",L100="BUDGET EXHAUSTED",O100="REVIEW: ABOVE CUSTOMER PO",'ERP Snapshot'!L100="YES"),"CRITICAL / REVIEW",IF(OR(L100="PO DATA REQUIRED",L100="BUDGET DATA REQUIRED",L100="REVIEW: NO BUDGET",L100="REVIEW: PO AMOUNT",N100&gt;0,M100&gt;0,F100&gt;0),"FOLLOW UP","NORMAL")))</x:f>
      </x:c>
      <x:c r="Q100" s="68" t="str">
        <x:f>IF(A100="","",'ERP Snapshot'!N100)</x:f>
      </x:c>
      <x:c r="R100" t="str">
        <x:f>IF(A100="","",'ERP Snapshot'!Q100)</x:f>
      </x:c>
      <x:c r="S100" t="str">
        <x:f>IF(A100="","",'ERP Snapshot'!R100)</x:f>
      </x:c>
      <x:c r="T100" t="str">
        <x:f>IF(A100="","",'ERP Snapshot'!C100)</x:f>
      </x:c>
    </x:row>
    <x:row r="101">
      <x:c r="A101" t="str">
        <x:f>IF('ERP Snapshot'!A101="","",'ERP Snapshot'!A101)</x:f>
      </x:c>
      <x:c r="B101" t="str">
        <x:f>IF(A101="","",'ERP Snapshot'!B101)</x:f>
      </x:c>
      <x:c r="C101" t="str">
        <x:f>IF(A101="","",'ERP Snapshot'!D101)</x:f>
      </x:c>
      <x:c r="D101" t="str">
        <x:f>IF(A101="","",IF(C101="MXN",IF(AND(Settings!$B$8="APPROVED",Settings!$B$9&lt;&gt;"",Settings!$B$10&lt;&gt;"",Settings!$B$2&gt;0),'PO Authorization'!F101/Settings!$B$2,""),'PO Authorization'!F101))</x:f>
      </x:c>
      <x:c r="E101" t="str">
        <x:f>IF(A101="","",IF(C101="MXN",IF(AND(Settings!$B$8="APPROVED",Settings!$B$9&lt;&gt;"",Settings!$B$10&lt;&gt;"",Settings!$B$2&gt;0),'ERP Snapshot'!I101/Settings!$B$2,""),'ERP Snapshot'!I101))</x:f>
      </x:c>
      <x:c r="F101" t="str">
        <x:f>IF(A101="","",IF(AND(ISNUMBER(D101),ISNUMBER(E101)),D101-E101,""))</x:f>
      </x:c>
      <x:c r="G101" t="str">
        <x:f>IF(A101="","",IF(ISNUMBER('ERP Snapshot'!F101),'ERP Snapshot'!F101,""))</x:f>
      </x:c>
      <x:c r="H101" t="str">
        <x:f>IF(A101="","",'ERP Snapshot'!G101)</x:f>
      </x:c>
      <x:c r="I101" t="str">
        <x:f>IF(A101="","",IF(ISNUMBER('ERP Snapshot'!S101),'ERP Snapshot'!S101,""))</x:f>
      </x:c>
      <x:c r="J101" t="str">
        <x:f>IF(A101="","",IF(AND(ISNUMBER(G101),ISNUMBER(I101)),G101-I101,""))</x:f>
      </x:c>
      <x:c r="K101" s="8" t="str">
        <x:f>IF(A101="","",IF(AND(ISNUMBER(G101),G101&gt;0,ISNUMBER(I101)),I101/G101,""))</x:f>
      </x:c>
      <x:c r="L101" t="str">
        <x:f>IF(A101="","",IF(NOT(ISNUMBER(G101)),"BUDGET DATA REQUIRED",IF(G101&lt;=0,"REVIEW: NO BUDGET",IF(NOT(ISNUMBER(I101)),"PO DATA REQUIRED",IF(I101&lt;0,"REVIEW: PO AMOUNT",IF(K101&gt;1,"OVER BUDGET",IF(K101=1,"BUDGET EXHAUSTED",IF(K101&gt;=Settings!$B$3,"PREVENTIVE ALERT","OK"))))))))</x:f>
      </x:c>
      <x:c r="M101" t="str">
        <x:f>IF(A101="","",'ERP Snapshot'!K101)</x:f>
      </x:c>
      <x:c r="N101" t="str">
        <x:f>IF(A101="","",COUNTIFS(Exceptions!$A$2:$A$101,A101,Exceptions!$E$2:$E$101,"Open"))</x:f>
      </x:c>
      <x:c r="O101" t="str">
        <x:f>IF(A101="","",IF(AND(C101="MXN",OR(D101="",E101="")),"FX HOLD",IF(E101&gt;D101,"REVIEW: ABOVE CUSTOMER PO",IF('PO Authorization'!H101="REVIEW: SNAPSHOT DIFFERS","REVIEW: PO SNAPSHOT",IF(E101=D101,"FULLY INVOICED",IF(E101&gt;0,"PARTIAL INVOICE","NOT INVOICED"))))))</x:f>
      </x:c>
      <x:c r="P101" t="str">
        <x:f>IF(A101="","",IF(OR(O101="FX HOLD",O101="REVIEW: PO SNAPSHOT",L101="OVER BUDGET",L101="BUDGET EXHAUSTED",O101="REVIEW: ABOVE CUSTOMER PO",'ERP Snapshot'!L101="YES"),"CRITICAL / REVIEW",IF(OR(L101="PO DATA REQUIRED",L101="BUDGET DATA REQUIRED",L101="REVIEW: NO BUDGET",L101="REVIEW: PO AMOUNT",N101&gt;0,M101&gt;0,F101&gt;0),"FOLLOW UP","NORMAL")))</x:f>
      </x:c>
      <x:c r="Q101" s="68" t="str">
        <x:f>IF(A101="","",'ERP Snapshot'!N101)</x:f>
      </x:c>
      <x:c r="R101" t="str">
        <x:f>IF(A101="","",'ERP Snapshot'!Q101)</x:f>
      </x:c>
      <x:c r="S101" t="str">
        <x:f>IF(A101="","",'ERP Snapshot'!R101)</x:f>
      </x:c>
      <x:c r="T101" t="str">
        <x:f>IF(A101="","",'ERP Snapshot'!C101)</x:f>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70"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55" hidden="0" customWidth="1"/>
  </x:cols>
  <x:sheetData>
    <x:row r="1" ht="44" customHeight="1">
      <x:c r="A1" s="21" t="str">
        <x:v>ERP Project ID</x:v>
      </x:c>
      <x:c r="B1" s="21" t="str">
        <x:v>Authorized customer PO USD</x:v>
      </x:c>
      <x:c r="C1" s="21" t="str">
        <x:v>Invoiced to date USD</x:v>
      </x:c>
      <x:c r="D1" s="21" t="str">
        <x:v>Uninvoiced USD</x:v>
      </x:c>
      <x:c r="E1" s="21" t="str">
        <x:v>Authorized operating budget USD</x:v>
      </x:c>
      <x:c r="F1" s="21" t="str">
        <x:v>Supplier PO authorized value USD</x:v>
      </x:c>
      <x:c r="G1" s="21" t="str">
        <x:v>Budget not committed via POs USD</x:v>
      </x:c>
      <x:c r="H1" s="21" t="str">
        <x:v>Budget committed via POs %</x:v>
      </x:c>
      <x:c r="I1" s="21" t="str">
        <x:v>Budget alert</x:v>
      </x:c>
      <x:c r="J1" s="21" t="str">
        <x:v>Invoice status</x:v>
      </x:c>
      <x:c r="K1" s="21" t="str">
        <x:v>Interpretation</x:v>
      </x:c>
    </x:row>
    <x:row r="2">
      <x:c r="A2" t="str">
        <x:f>IF('Project Control'!A2="","",'Project Control'!A2)</x:f>
        <x:v>100245</x:v>
      </x:c>
      <x:c r="B2" t="n">
        <x:f>IF(A2="","",IF('Project Control'!D2="","",'Project Control'!D2))</x:f>
        <x:v>50000</x:v>
      </x:c>
      <x:c r="C2" s="8" t="n">
        <x:f>IF(A2="","",IF('Project Control'!E2="","",'Project Control'!E2))</x:f>
        <x:v>28000</x:v>
      </x:c>
      <x:c r="D2" t="n">
        <x:f>IF(A2="","",IF('Project Control'!F2="","",'Project Control'!F2))</x:f>
        <x:v>22000</x:v>
      </x:c>
      <x:c r="E2" t="n">
        <x:f>IF(A2="","",IF('Project Control'!G2="","",'Project Control'!G2))</x:f>
        <x:v>38000</x:v>
      </x:c>
      <x:c r="F2" t="n">
        <x:f>IF(A2="","",IF('Project Control'!I2="","",'Project Control'!I2))</x:f>
        <x:v>24000</x:v>
      </x:c>
      <x:c r="G2" s="8" t="n">
        <x:f>IF(A2="","",IF('Project Control'!J2="","",'Project Control'!J2))</x:f>
        <x:v>14000</x:v>
      </x:c>
      <x:c r="H2" s="8" t="n">
        <x:f>IF(A2="","",IF('Project Control'!K2="","",'Project Control'!K2))</x:f>
        <x:v>0.631578947368421</x:v>
      </x:c>
      <x:c r="I2" t="str">
        <x:f>IF(A2="","",IF('Project Control'!L2="","",'Project Control'!L2))</x:f>
        <x:v>OK</x:v>
      </x:c>
      <x:c r="J2" s="8" t="str">
        <x:f>IF(A2="","",IF('Project Control'!O2="","",'Project Control'!O2))</x:f>
        <x:v>PARTIAL INVOICE</x:v>
      </x:c>
      <x:c r="K2" s="25" t="str">
        <x:f>IF(A2="","","OPERATIONAL CONTROL; NO RECEIPT, LIABILITY OR PAYMENT INFERENCE")</x:f>
        <x:v>OPERATIONAL CONTROL; NO RECEIPT, LIABILITY OR PAYMENT INFERENCE</x:v>
      </x:c>
    </x:row>
    <x:row r="3">
      <x:c r="A3" t="str">
        <x:f>IF('Project Control'!A3="","",'Project Control'!A3)</x:f>
        <x:v>100246</x:v>
      </x:c>
      <x:c r="B3" t="n">
        <x:f>IF(A3="","",IF('Project Control'!D3="","",'Project Control'!D3))</x:f>
        <x:v>41000</x:v>
      </x:c>
      <x:c r="C3" s="8" t="n">
        <x:f>IF(A3="","",IF('Project Control'!E3="","",'Project Control'!E3))</x:f>
        <x:v>41000</x:v>
      </x:c>
      <x:c r="D3" t="str">
        <x:f>IF(A3="","",IF('Project Control'!F3="","",'Project Control'!F3))</x:f>
      </x:c>
      <x:c r="E3" t="n">
        <x:f>IF(A3="","",IF('Project Control'!G3="","",'Project Control'!G3))</x:f>
        <x:v>32000</x:v>
      </x:c>
      <x:c r="F3" t="n">
        <x:f>IF(A3="","",IF('Project Control'!I3="","",'Project Control'!I3))</x:f>
        <x:v>18000</x:v>
      </x:c>
      <x:c r="G3" s="8" t="n">
        <x:f>IF(A3="","",IF('Project Control'!J3="","",'Project Control'!J3))</x:f>
        <x:v>14000</x:v>
      </x:c>
      <x:c r="H3" s="8" t="n">
        <x:f>IF(A3="","",IF('Project Control'!K3="","",'Project Control'!K3))</x:f>
        <x:v>0.5625</x:v>
      </x:c>
      <x:c r="I3" t="str">
        <x:f>IF(A3="","",IF('Project Control'!L3="","",'Project Control'!L3))</x:f>
        <x:v>OK</x:v>
      </x:c>
      <x:c r="J3" s="8" t="str">
        <x:f>IF(A3="","",IF('Project Control'!O3="","",'Project Control'!O3))</x:f>
        <x:v>FULLY INVOICED</x:v>
      </x:c>
      <x:c r="K3" s="25" t="str">
        <x:f>IF(A3="","","OPERATIONAL CONTROL; NO RECEIPT, LIABILITY OR PAYMENT INFERENCE")</x:f>
        <x:v>OPERATIONAL CONTROL; NO RECEIPT, LIABILITY OR PAYMENT INFERENCE</x:v>
      </x:c>
    </x:row>
    <x:row r="4">
      <x:c r="A4" t="str">
        <x:f>IF('Project Control'!A4="","",'Project Control'!A4)</x:f>
        <x:v>100247</x:v>
      </x:c>
      <x:c r="B4" t="n">
        <x:f>IF(A4="","",IF('Project Control'!D4="","",'Project Control'!D4))</x:f>
        <x:v>34000</x:v>
      </x:c>
      <x:c r="C4" s="8" t="n">
        <x:f>IF(A4="","",IF('Project Control'!E4="","",'Project Control'!E4))</x:f>
        <x:v>12000</x:v>
      </x:c>
      <x:c r="D4" t="n">
        <x:f>IF(A4="","",IF('Project Control'!F4="","",'Project Control'!F4))</x:f>
        <x:v>22000</x:v>
      </x:c>
      <x:c r="E4" t="n">
        <x:f>IF(A4="","",IF('Project Control'!G4="","",'Project Control'!G4))</x:f>
        <x:v>26000</x:v>
      </x:c>
      <x:c r="F4" t="n">
        <x:f>IF(A4="","",IF('Project Control'!I4="","",'Project Control'!I4))</x:f>
        <x:v>26000</x:v>
      </x:c>
      <x:c r="G4" s="8" t="str">
        <x:f>IF(A4="","",IF('Project Control'!J4="","",'Project Control'!J4))</x:f>
      </x:c>
      <x:c r="H4" s="8" t="n">
        <x:f>IF(A4="","",IF('Project Control'!K4="","",'Project Control'!K4))</x:f>
        <x:v>1</x:v>
      </x:c>
      <x:c r="I4" t="str">
        <x:f>IF(A4="","",IF('Project Control'!L4="","",'Project Control'!L4))</x:f>
        <x:v>BUDGET EXHAUSTED</x:v>
      </x:c>
      <x:c r="J4" s="8" t="str">
        <x:f>IF(A4="","",IF('Project Control'!O4="","",'Project Control'!O4))</x:f>
        <x:v>PARTIAL INVOICE</x:v>
      </x:c>
      <x:c r="K4" s="25" t="str">
        <x:f>IF(A4="","","OPERATIONAL CONTROL; NO RECEIPT, LIABILITY OR PAYMENT INFERENCE")</x:f>
        <x:v>OPERATIONAL CONTROL; NO RECEIPT, LIABILITY OR PAYMENT INFERENCE</x:v>
      </x:c>
    </x:row>
    <x:row r="5">
      <x:c r="A5" t="str">
        <x:f>IF('Project Control'!A5="","",'Project Control'!A5)</x:f>
        <x:v>100248</x:v>
      </x:c>
      <x:c r="B5" t="n">
        <x:f>IF(A5="","",IF('Project Control'!D5="","",'Project Control'!D5))</x:f>
        <x:v>24000</x:v>
      </x:c>
      <x:c r="C5" s="8" t="str">
        <x:f>IF(A5="","",IF('Project Control'!E5="","",'Project Control'!E5))</x:f>
      </x:c>
      <x:c r="D5" t="n">
        <x:f>IF(A5="","",IF('Project Control'!F5="","",'Project Control'!F5))</x:f>
        <x:v>24000</x:v>
      </x:c>
      <x:c r="E5" t="n">
        <x:f>IF(A5="","",IF('Project Control'!G5="","",'Project Control'!G5))</x:f>
        <x:v>18000</x:v>
      </x:c>
      <x:c r="F5" t="str">
        <x:f>IF(A5="","",IF('Project Control'!I5="","",'Project Control'!I5))</x:f>
      </x:c>
      <x:c r="G5" s="8" t="n">
        <x:f>IF(A5="","",IF('Project Control'!J5="","",'Project Control'!J5))</x:f>
        <x:v>18000</x:v>
      </x:c>
      <x:c r="H5" s="8" t="str">
        <x:f>IF(A5="","",IF('Project Control'!K5="","",'Project Control'!K5))</x:f>
      </x:c>
      <x:c r="I5" t="str">
        <x:f>IF(A5="","",IF('Project Control'!L5="","",'Project Control'!L5))</x:f>
        <x:v>OK</x:v>
      </x:c>
      <x:c r="J5" s="8" t="str">
        <x:f>IF(A5="","",IF('Project Control'!O5="","",'Project Control'!O5))</x:f>
        <x:v>NOT INVOICED</x:v>
      </x:c>
      <x:c r="K5" s="25" t="str">
        <x:f>IF(A5="","","OPERATIONAL CONTROL; NO RECEIPT, LIABILITY OR PAYMENT INFERENCE")</x:f>
        <x:v>OPERATIONAL CONTROL; NO RECEIPT, LIABILITY OR PAYMENT INFERENCE</x:v>
      </x:c>
    </x:row>
    <x:row r="6">
      <x:c r="A6" t="str">
        <x:f>IF('Project Control'!A6="","",'Project Control'!A6)</x:f>
      </x:c>
      <x:c r="B6" t="str">
        <x:f>IF(A6="","",IF('Project Control'!D6="","",'Project Control'!D6))</x:f>
      </x:c>
      <x:c r="C6" s="8" t="str">
        <x:f>IF(A6="","",IF('Project Control'!E6="","",'Project Control'!E6))</x:f>
      </x:c>
      <x:c r="D6" t="str">
        <x:f>IF(A6="","",IF('Project Control'!F6="","",'Project Control'!F6))</x:f>
      </x:c>
      <x:c r="E6" t="str">
        <x:f>IF(A6="","",IF('Project Control'!G6="","",'Project Control'!G6))</x:f>
      </x:c>
      <x:c r="F6" t="str">
        <x:f>IF(A6="","",IF('Project Control'!I6="","",'Project Control'!I6))</x:f>
      </x:c>
      <x:c r="G6" s="8" t="str">
        <x:f>IF(A6="","",IF('Project Control'!J6="","",'Project Control'!J6))</x:f>
      </x:c>
      <x:c r="H6" s="8" t="str">
        <x:f>IF(A6="","",IF('Project Control'!K6="","",'Project Control'!K6))</x:f>
      </x:c>
      <x:c r="I6" t="str">
        <x:f>IF(A6="","",IF('Project Control'!L6="","",'Project Control'!L6))</x:f>
      </x:c>
      <x:c r="J6" s="8" t="str">
        <x:f>IF(A6="","",IF('Project Control'!O6="","",'Project Control'!O6))</x:f>
      </x:c>
      <x:c r="K6" s="25" t="str">
        <x:f>IF(A6="","","OPERATIONAL CONTROL; NO RECEIPT, LIABILITY OR PAYMENT INFERENCE")</x:f>
      </x:c>
    </x:row>
    <x:row r="7">
      <x:c r="A7" t="str">
        <x:f>IF('Project Control'!A7="","",'Project Control'!A7)</x:f>
      </x:c>
      <x:c r="B7" t="str">
        <x:f>IF(A7="","",IF('Project Control'!D7="","",'Project Control'!D7))</x:f>
      </x:c>
      <x:c r="C7" s="8" t="str">
        <x:f>IF(A7="","",IF('Project Control'!E7="","",'Project Control'!E7))</x:f>
      </x:c>
      <x:c r="D7" t="str">
        <x:f>IF(A7="","",IF('Project Control'!F7="","",'Project Control'!F7))</x:f>
      </x:c>
      <x:c r="E7" t="str">
        <x:f>IF(A7="","",IF('Project Control'!G7="","",'Project Control'!G7))</x:f>
      </x:c>
      <x:c r="F7" t="str">
        <x:f>IF(A7="","",IF('Project Control'!I7="","",'Project Control'!I7))</x:f>
      </x:c>
      <x:c r="G7" s="8" t="str">
        <x:f>IF(A7="","",IF('Project Control'!J7="","",'Project Control'!J7))</x:f>
      </x:c>
      <x:c r="H7" s="8" t="str">
        <x:f>IF(A7="","",IF('Project Control'!K7="","",'Project Control'!K7))</x:f>
      </x:c>
      <x:c r="I7" t="str">
        <x:f>IF(A7="","",IF('Project Control'!L7="","",'Project Control'!L7))</x:f>
      </x:c>
      <x:c r="J7" s="8" t="str">
        <x:f>IF(A7="","",IF('Project Control'!O7="","",'Project Control'!O7))</x:f>
      </x:c>
      <x:c r="K7" s="25" t="str">
        <x:f>IF(A7="","","OPERATIONAL CONTROL; NO RECEIPT, LIABILITY OR PAYMENT INFERENCE")</x:f>
      </x:c>
    </x:row>
    <x:row r="8">
      <x:c r="A8" t="str">
        <x:f>IF('Project Control'!A8="","",'Project Control'!A8)</x:f>
      </x:c>
      <x:c r="B8" t="str">
        <x:f>IF(A8="","",IF('Project Control'!D8="","",'Project Control'!D8))</x:f>
      </x:c>
      <x:c r="C8" s="8" t="str">
        <x:f>IF(A8="","",IF('Project Control'!E8="","",'Project Control'!E8))</x:f>
      </x:c>
      <x:c r="D8" t="str">
        <x:f>IF(A8="","",IF('Project Control'!F8="","",'Project Control'!F8))</x:f>
      </x:c>
      <x:c r="E8" t="str">
        <x:f>IF(A8="","",IF('Project Control'!G8="","",'Project Control'!G8))</x:f>
      </x:c>
      <x:c r="F8" t="str">
        <x:f>IF(A8="","",IF('Project Control'!I8="","",'Project Control'!I8))</x:f>
      </x:c>
      <x:c r="G8" s="8" t="str">
        <x:f>IF(A8="","",IF('Project Control'!J8="","",'Project Control'!J8))</x:f>
      </x:c>
      <x:c r="H8" s="8" t="str">
        <x:f>IF(A8="","",IF('Project Control'!K8="","",'Project Control'!K8))</x:f>
      </x:c>
      <x:c r="I8" t="str">
        <x:f>IF(A8="","",IF('Project Control'!L8="","",'Project Control'!L8))</x:f>
      </x:c>
      <x:c r="J8" s="8" t="str">
        <x:f>IF(A8="","",IF('Project Control'!O8="","",'Project Control'!O8))</x:f>
      </x:c>
      <x:c r="K8" s="25" t="str">
        <x:f>IF(A8="","","OPERATIONAL CONTROL; NO RECEIPT, LIABILITY OR PAYMENT INFERENCE")</x:f>
      </x:c>
    </x:row>
    <x:row r="9">
      <x:c r="A9" t="str">
        <x:f>IF('Project Control'!A9="","",'Project Control'!A9)</x:f>
      </x:c>
      <x:c r="B9" t="str">
        <x:f>IF(A9="","",IF('Project Control'!D9="","",'Project Control'!D9))</x:f>
      </x:c>
      <x:c r="C9" s="8" t="str">
        <x:f>IF(A9="","",IF('Project Control'!E9="","",'Project Control'!E9))</x:f>
      </x:c>
      <x:c r="D9" t="str">
        <x:f>IF(A9="","",IF('Project Control'!F9="","",'Project Control'!F9))</x:f>
      </x:c>
      <x:c r="E9" t="str">
        <x:f>IF(A9="","",IF('Project Control'!G9="","",'Project Control'!G9))</x:f>
      </x:c>
      <x:c r="F9" t="str">
        <x:f>IF(A9="","",IF('Project Control'!I9="","",'Project Control'!I9))</x:f>
      </x:c>
      <x:c r="G9" s="8" t="str">
        <x:f>IF(A9="","",IF('Project Control'!J9="","",'Project Control'!J9))</x:f>
      </x:c>
      <x:c r="H9" s="8" t="str">
        <x:f>IF(A9="","",IF('Project Control'!K9="","",'Project Control'!K9))</x:f>
      </x:c>
      <x:c r="I9" t="str">
        <x:f>IF(A9="","",IF('Project Control'!L9="","",'Project Control'!L9))</x:f>
      </x:c>
      <x:c r="J9" s="8" t="str">
        <x:f>IF(A9="","",IF('Project Control'!O9="","",'Project Control'!O9))</x:f>
      </x:c>
      <x:c r="K9" s="25" t="str">
        <x:f>IF(A9="","","OPERATIONAL CONTROL; NO RECEIPT, LIABILITY OR PAYMENT INFERENCE")</x:f>
      </x:c>
    </x:row>
    <x:row r="10">
      <x:c r="A10" t="str">
        <x:f>IF('Project Control'!A10="","",'Project Control'!A10)</x:f>
      </x:c>
      <x:c r="B10" t="str">
        <x:f>IF(A10="","",IF('Project Control'!D10="","",'Project Control'!D10))</x:f>
      </x:c>
      <x:c r="C10" s="8" t="str">
        <x:f>IF(A10="","",IF('Project Control'!E10="","",'Project Control'!E10))</x:f>
      </x:c>
      <x:c r="D10" t="str">
        <x:f>IF(A10="","",IF('Project Control'!F10="","",'Project Control'!F10))</x:f>
      </x:c>
      <x:c r="E10" t="str">
        <x:f>IF(A10="","",IF('Project Control'!G10="","",'Project Control'!G10))</x:f>
      </x:c>
      <x:c r="F10" t="str">
        <x:f>IF(A10="","",IF('Project Control'!I10="","",'Project Control'!I10))</x:f>
      </x:c>
      <x:c r="G10" s="8" t="str">
        <x:f>IF(A10="","",IF('Project Control'!J10="","",'Project Control'!J10))</x:f>
      </x:c>
      <x:c r="H10" s="8" t="str">
        <x:f>IF(A10="","",IF('Project Control'!K10="","",'Project Control'!K10))</x:f>
      </x:c>
      <x:c r="I10" t="str">
        <x:f>IF(A10="","",IF('Project Control'!L10="","",'Project Control'!L10))</x:f>
      </x:c>
      <x:c r="J10" s="8" t="str">
        <x:f>IF(A10="","",IF('Project Control'!O10="","",'Project Control'!O10))</x:f>
      </x:c>
      <x:c r="K10" s="25" t="str">
        <x:f>IF(A10="","","OPERATIONAL CONTROL; NO RECEIPT, LIABILITY OR PAYMENT INFERENCE")</x:f>
      </x:c>
    </x:row>
    <x:row r="11">
      <x:c r="A11" t="str">
        <x:f>IF('Project Control'!A11="","",'Project Control'!A11)</x:f>
      </x:c>
      <x:c r="B11" t="str">
        <x:f>IF(A11="","",IF('Project Control'!D11="","",'Project Control'!D11))</x:f>
      </x:c>
      <x:c r="C11" s="8" t="str">
        <x:f>IF(A11="","",IF('Project Control'!E11="","",'Project Control'!E11))</x:f>
      </x:c>
      <x:c r="D11" t="str">
        <x:f>IF(A11="","",IF('Project Control'!F11="","",'Project Control'!F11))</x:f>
      </x:c>
      <x:c r="E11" t="str">
        <x:f>IF(A11="","",IF('Project Control'!G11="","",'Project Control'!G11))</x:f>
      </x:c>
      <x:c r="F11" t="str">
        <x:f>IF(A11="","",IF('Project Control'!I11="","",'Project Control'!I11))</x:f>
      </x:c>
      <x:c r="G11" s="8" t="str">
        <x:f>IF(A11="","",IF('Project Control'!J11="","",'Project Control'!J11))</x:f>
      </x:c>
      <x:c r="H11" s="8" t="str">
        <x:f>IF(A11="","",IF('Project Control'!K11="","",'Project Control'!K11))</x:f>
      </x:c>
      <x:c r="I11" t="str">
        <x:f>IF(A11="","",IF('Project Control'!L11="","",'Project Control'!L11))</x:f>
      </x:c>
      <x:c r="J11" s="8" t="str">
        <x:f>IF(A11="","",IF('Project Control'!O11="","",'Project Control'!O11))</x:f>
      </x:c>
      <x:c r="K11" s="25" t="str">
        <x:f>IF(A11="","","OPERATIONAL CONTROL; NO RECEIPT, LIABILITY OR PAYMENT INFERENCE")</x:f>
      </x:c>
    </x:row>
    <x:row r="12">
      <x:c r="A12" t="str">
        <x:f>IF('Project Control'!A12="","",'Project Control'!A12)</x:f>
      </x:c>
      <x:c r="B12" t="str">
        <x:f>IF(A12="","",IF('Project Control'!D12="","",'Project Control'!D12))</x:f>
      </x:c>
      <x:c r="C12" s="8" t="str">
        <x:f>IF(A12="","",IF('Project Control'!E12="","",'Project Control'!E12))</x:f>
      </x:c>
      <x:c r="D12" t="str">
        <x:f>IF(A12="","",IF('Project Control'!F12="","",'Project Control'!F12))</x:f>
      </x:c>
      <x:c r="E12" t="str">
        <x:f>IF(A12="","",IF('Project Control'!G12="","",'Project Control'!G12))</x:f>
      </x:c>
      <x:c r="F12" t="str">
        <x:f>IF(A12="","",IF('Project Control'!I12="","",'Project Control'!I12))</x:f>
      </x:c>
      <x:c r="G12" s="8" t="str">
        <x:f>IF(A12="","",IF('Project Control'!J12="","",'Project Control'!J12))</x:f>
      </x:c>
      <x:c r="H12" s="8" t="str">
        <x:f>IF(A12="","",IF('Project Control'!K12="","",'Project Control'!K12))</x:f>
      </x:c>
      <x:c r="I12" t="str">
        <x:f>IF(A12="","",IF('Project Control'!L12="","",'Project Control'!L12))</x:f>
      </x:c>
      <x:c r="J12" s="8" t="str">
        <x:f>IF(A12="","",IF('Project Control'!O12="","",'Project Control'!O12))</x:f>
      </x:c>
      <x:c r="K12" s="25" t="str">
        <x:f>IF(A12="","","OPERATIONAL CONTROL; NO RECEIPT, LIABILITY OR PAYMENT INFERENCE")</x:f>
      </x:c>
    </x:row>
    <x:row r="13">
      <x:c r="A13" t="str">
        <x:f>IF('Project Control'!A13="","",'Project Control'!A13)</x:f>
      </x:c>
      <x:c r="B13" t="str">
        <x:f>IF(A13="","",IF('Project Control'!D13="","",'Project Control'!D13))</x:f>
      </x:c>
      <x:c r="C13" s="8" t="str">
        <x:f>IF(A13="","",IF('Project Control'!E13="","",'Project Control'!E13))</x:f>
      </x:c>
      <x:c r="D13" t="str">
        <x:f>IF(A13="","",IF('Project Control'!F13="","",'Project Control'!F13))</x:f>
      </x:c>
      <x:c r="E13" t="str">
        <x:f>IF(A13="","",IF('Project Control'!G13="","",'Project Control'!G13))</x:f>
      </x:c>
      <x:c r="F13" t="str">
        <x:f>IF(A13="","",IF('Project Control'!I13="","",'Project Control'!I13))</x:f>
      </x:c>
      <x:c r="G13" s="8" t="str">
        <x:f>IF(A13="","",IF('Project Control'!J13="","",'Project Control'!J13))</x:f>
      </x:c>
      <x:c r="H13" s="8" t="str">
        <x:f>IF(A13="","",IF('Project Control'!K13="","",'Project Control'!K13))</x:f>
      </x:c>
      <x:c r="I13" t="str">
        <x:f>IF(A13="","",IF('Project Control'!L13="","",'Project Control'!L13))</x:f>
      </x:c>
      <x:c r="J13" s="8" t="str">
        <x:f>IF(A13="","",IF('Project Control'!O13="","",'Project Control'!O13))</x:f>
      </x:c>
      <x:c r="K13" s="25" t="str">
        <x:f>IF(A13="","","OPERATIONAL CONTROL; NO RECEIPT, LIABILITY OR PAYMENT INFERENCE")</x:f>
      </x:c>
    </x:row>
    <x:row r="14">
      <x:c r="A14" t="str">
        <x:f>IF('Project Control'!A14="","",'Project Control'!A14)</x:f>
      </x:c>
      <x:c r="B14" t="str">
        <x:f>IF(A14="","",IF('Project Control'!D14="","",'Project Control'!D14))</x:f>
      </x:c>
      <x:c r="C14" s="8" t="str">
        <x:f>IF(A14="","",IF('Project Control'!E14="","",'Project Control'!E14))</x:f>
      </x:c>
      <x:c r="D14" t="str">
        <x:f>IF(A14="","",IF('Project Control'!F14="","",'Project Control'!F14))</x:f>
      </x:c>
      <x:c r="E14" t="str">
        <x:f>IF(A14="","",IF('Project Control'!G14="","",'Project Control'!G14))</x:f>
      </x:c>
      <x:c r="F14" t="str">
        <x:f>IF(A14="","",IF('Project Control'!I14="","",'Project Control'!I14))</x:f>
      </x:c>
      <x:c r="G14" s="8" t="str">
        <x:f>IF(A14="","",IF('Project Control'!J14="","",'Project Control'!J14))</x:f>
      </x:c>
      <x:c r="H14" s="8" t="str">
        <x:f>IF(A14="","",IF('Project Control'!K14="","",'Project Control'!K14))</x:f>
      </x:c>
      <x:c r="I14" t="str">
        <x:f>IF(A14="","",IF('Project Control'!L14="","",'Project Control'!L14))</x:f>
      </x:c>
      <x:c r="J14" s="8" t="str">
        <x:f>IF(A14="","",IF('Project Control'!O14="","",'Project Control'!O14))</x:f>
      </x:c>
      <x:c r="K14" s="25" t="str">
        <x:f>IF(A14="","","OPERATIONAL CONTROL; NO RECEIPT, LIABILITY OR PAYMENT INFERENCE")</x:f>
      </x:c>
    </x:row>
    <x:row r="15">
      <x:c r="A15" t="str">
        <x:f>IF('Project Control'!A15="","",'Project Control'!A15)</x:f>
      </x:c>
      <x:c r="B15" t="str">
        <x:f>IF(A15="","",IF('Project Control'!D15="","",'Project Control'!D15))</x:f>
      </x:c>
      <x:c r="C15" s="8" t="str">
        <x:f>IF(A15="","",IF('Project Control'!E15="","",'Project Control'!E15))</x:f>
      </x:c>
      <x:c r="D15" t="str">
        <x:f>IF(A15="","",IF('Project Control'!F15="","",'Project Control'!F15))</x:f>
      </x:c>
      <x:c r="E15" t="str">
        <x:f>IF(A15="","",IF('Project Control'!G15="","",'Project Control'!G15))</x:f>
      </x:c>
      <x:c r="F15" t="str">
        <x:f>IF(A15="","",IF('Project Control'!I15="","",'Project Control'!I15))</x:f>
      </x:c>
      <x:c r="G15" s="8" t="str">
        <x:f>IF(A15="","",IF('Project Control'!J15="","",'Project Control'!J15))</x:f>
      </x:c>
      <x:c r="H15" s="8" t="str">
        <x:f>IF(A15="","",IF('Project Control'!K15="","",'Project Control'!K15))</x:f>
      </x:c>
      <x:c r="I15" t="str">
        <x:f>IF(A15="","",IF('Project Control'!L15="","",'Project Control'!L15))</x:f>
      </x:c>
      <x:c r="J15" s="8" t="str">
        <x:f>IF(A15="","",IF('Project Control'!O15="","",'Project Control'!O15))</x:f>
      </x:c>
      <x:c r="K15" s="25" t="str">
        <x:f>IF(A15="","","OPERATIONAL CONTROL; NO RECEIPT, LIABILITY OR PAYMENT INFERENCE")</x:f>
      </x:c>
    </x:row>
    <x:row r="16">
      <x:c r="A16" t="str">
        <x:f>IF('Project Control'!A16="","",'Project Control'!A16)</x:f>
      </x:c>
      <x:c r="B16" t="str">
        <x:f>IF(A16="","",IF('Project Control'!D16="","",'Project Control'!D16))</x:f>
      </x:c>
      <x:c r="C16" s="8" t="str">
        <x:f>IF(A16="","",IF('Project Control'!E16="","",'Project Control'!E16))</x:f>
      </x:c>
      <x:c r="D16" t="str">
        <x:f>IF(A16="","",IF('Project Control'!F16="","",'Project Control'!F16))</x:f>
      </x:c>
      <x:c r="E16" t="str">
        <x:f>IF(A16="","",IF('Project Control'!G16="","",'Project Control'!G16))</x:f>
      </x:c>
      <x:c r="F16" t="str">
        <x:f>IF(A16="","",IF('Project Control'!I16="","",'Project Control'!I16))</x:f>
      </x:c>
      <x:c r="G16" s="8" t="str">
        <x:f>IF(A16="","",IF('Project Control'!J16="","",'Project Control'!J16))</x:f>
      </x:c>
      <x:c r="H16" s="8" t="str">
        <x:f>IF(A16="","",IF('Project Control'!K16="","",'Project Control'!K16))</x:f>
      </x:c>
      <x:c r="I16" t="str">
        <x:f>IF(A16="","",IF('Project Control'!L16="","",'Project Control'!L16))</x:f>
      </x:c>
      <x:c r="J16" s="8" t="str">
        <x:f>IF(A16="","",IF('Project Control'!O16="","",'Project Control'!O16))</x:f>
      </x:c>
      <x:c r="K16" s="25" t="str">
        <x:f>IF(A16="","","OPERATIONAL CONTROL; NO RECEIPT, LIABILITY OR PAYMENT INFERENCE")</x:f>
      </x:c>
    </x:row>
    <x:row r="17">
      <x:c r="A17" t="str">
        <x:f>IF('Project Control'!A17="","",'Project Control'!A17)</x:f>
      </x:c>
      <x:c r="B17" t="str">
        <x:f>IF(A17="","",IF('Project Control'!D17="","",'Project Control'!D17))</x:f>
      </x:c>
      <x:c r="C17" s="8" t="str">
        <x:f>IF(A17="","",IF('Project Control'!E17="","",'Project Control'!E17))</x:f>
      </x:c>
      <x:c r="D17" t="str">
        <x:f>IF(A17="","",IF('Project Control'!F17="","",'Project Control'!F17))</x:f>
      </x:c>
      <x:c r="E17" t="str">
        <x:f>IF(A17="","",IF('Project Control'!G17="","",'Project Control'!G17))</x:f>
      </x:c>
      <x:c r="F17" t="str">
        <x:f>IF(A17="","",IF('Project Control'!I17="","",'Project Control'!I17))</x:f>
      </x:c>
      <x:c r="G17" s="8" t="str">
        <x:f>IF(A17="","",IF('Project Control'!J17="","",'Project Control'!J17))</x:f>
      </x:c>
      <x:c r="H17" s="8" t="str">
        <x:f>IF(A17="","",IF('Project Control'!K17="","",'Project Control'!K17))</x:f>
      </x:c>
      <x:c r="I17" t="str">
        <x:f>IF(A17="","",IF('Project Control'!L17="","",'Project Control'!L17))</x:f>
      </x:c>
      <x:c r="J17" s="8" t="str">
        <x:f>IF(A17="","",IF('Project Control'!O17="","",'Project Control'!O17))</x:f>
      </x:c>
      <x:c r="K17" s="25" t="str">
        <x:f>IF(A17="","","OPERATIONAL CONTROL; NO RECEIPT, LIABILITY OR PAYMENT INFERENCE")</x:f>
      </x:c>
    </x:row>
    <x:row r="18">
      <x:c r="A18" t="str">
        <x:f>IF('Project Control'!A18="","",'Project Control'!A18)</x:f>
      </x:c>
      <x:c r="B18" t="str">
        <x:f>IF(A18="","",IF('Project Control'!D18="","",'Project Control'!D18))</x:f>
      </x:c>
      <x:c r="C18" s="8" t="str">
        <x:f>IF(A18="","",IF('Project Control'!E18="","",'Project Control'!E18))</x:f>
      </x:c>
      <x:c r="D18" t="str">
        <x:f>IF(A18="","",IF('Project Control'!F18="","",'Project Control'!F18))</x:f>
      </x:c>
      <x:c r="E18" t="str">
        <x:f>IF(A18="","",IF('Project Control'!G18="","",'Project Control'!G18))</x:f>
      </x:c>
      <x:c r="F18" t="str">
        <x:f>IF(A18="","",IF('Project Control'!I18="","",'Project Control'!I18))</x:f>
      </x:c>
      <x:c r="G18" s="8" t="str">
        <x:f>IF(A18="","",IF('Project Control'!J18="","",'Project Control'!J18))</x:f>
      </x:c>
      <x:c r="H18" s="8" t="str">
        <x:f>IF(A18="","",IF('Project Control'!K18="","",'Project Control'!K18))</x:f>
      </x:c>
      <x:c r="I18" t="str">
        <x:f>IF(A18="","",IF('Project Control'!L18="","",'Project Control'!L18))</x:f>
      </x:c>
      <x:c r="J18" s="8" t="str">
        <x:f>IF(A18="","",IF('Project Control'!O18="","",'Project Control'!O18))</x:f>
      </x:c>
      <x:c r="K18" s="25" t="str">
        <x:f>IF(A18="","","OPERATIONAL CONTROL; NO RECEIPT, LIABILITY OR PAYMENT INFERENCE")</x:f>
      </x:c>
    </x:row>
    <x:row r="19">
      <x:c r="A19" t="str">
        <x:f>IF('Project Control'!A19="","",'Project Control'!A19)</x:f>
      </x:c>
      <x:c r="B19" t="str">
        <x:f>IF(A19="","",IF('Project Control'!D19="","",'Project Control'!D19))</x:f>
      </x:c>
      <x:c r="C19" s="8" t="str">
        <x:f>IF(A19="","",IF('Project Control'!E19="","",'Project Control'!E19))</x:f>
      </x:c>
      <x:c r="D19" t="str">
        <x:f>IF(A19="","",IF('Project Control'!F19="","",'Project Control'!F19))</x:f>
      </x:c>
      <x:c r="E19" t="str">
        <x:f>IF(A19="","",IF('Project Control'!G19="","",'Project Control'!G19))</x:f>
      </x:c>
      <x:c r="F19" t="str">
        <x:f>IF(A19="","",IF('Project Control'!I19="","",'Project Control'!I19))</x:f>
      </x:c>
      <x:c r="G19" s="8" t="str">
        <x:f>IF(A19="","",IF('Project Control'!J19="","",'Project Control'!J19))</x:f>
      </x:c>
      <x:c r="H19" s="8" t="str">
        <x:f>IF(A19="","",IF('Project Control'!K19="","",'Project Control'!K19))</x:f>
      </x:c>
      <x:c r="I19" t="str">
        <x:f>IF(A19="","",IF('Project Control'!L19="","",'Project Control'!L19))</x:f>
      </x:c>
      <x:c r="J19" s="8" t="str">
        <x:f>IF(A19="","",IF('Project Control'!O19="","",'Project Control'!O19))</x:f>
      </x:c>
      <x:c r="K19" s="25" t="str">
        <x:f>IF(A19="","","OPERATIONAL CONTROL; NO RECEIPT, LIABILITY OR PAYMENT INFERENCE")</x:f>
      </x:c>
    </x:row>
    <x:row r="20">
      <x:c r="A20" t="str">
        <x:f>IF('Project Control'!A20="","",'Project Control'!A20)</x:f>
      </x:c>
      <x:c r="B20" t="str">
        <x:f>IF(A20="","",IF('Project Control'!D20="","",'Project Control'!D20))</x:f>
      </x:c>
      <x:c r="C20" s="8" t="str">
        <x:f>IF(A20="","",IF('Project Control'!E20="","",'Project Control'!E20))</x:f>
      </x:c>
      <x:c r="D20" t="str">
        <x:f>IF(A20="","",IF('Project Control'!F20="","",'Project Control'!F20))</x:f>
      </x:c>
      <x:c r="E20" t="str">
        <x:f>IF(A20="","",IF('Project Control'!G20="","",'Project Control'!G20))</x:f>
      </x:c>
      <x:c r="F20" t="str">
        <x:f>IF(A20="","",IF('Project Control'!I20="","",'Project Control'!I20))</x:f>
      </x:c>
      <x:c r="G20" s="8" t="str">
        <x:f>IF(A20="","",IF('Project Control'!J20="","",'Project Control'!J20))</x:f>
      </x:c>
      <x:c r="H20" s="8" t="str">
        <x:f>IF(A20="","",IF('Project Control'!K20="","",'Project Control'!K20))</x:f>
      </x:c>
      <x:c r="I20" t="str">
        <x:f>IF(A20="","",IF('Project Control'!L20="","",'Project Control'!L20))</x:f>
      </x:c>
      <x:c r="J20" s="8" t="str">
        <x:f>IF(A20="","",IF('Project Control'!O20="","",'Project Control'!O20))</x:f>
      </x:c>
      <x:c r="K20" s="25" t="str">
        <x:f>IF(A20="","","OPERATIONAL CONTROL; NO RECEIPT, LIABILITY OR PAYMENT INFERENCE")</x:f>
      </x:c>
    </x:row>
    <x:row r="21">
      <x:c r="A21" t="str">
        <x:f>IF('Project Control'!A21="","",'Project Control'!A21)</x:f>
      </x:c>
      <x:c r="B21" t="str">
        <x:f>IF(A21="","",IF('Project Control'!D21="","",'Project Control'!D21))</x:f>
      </x:c>
      <x:c r="C21" s="8" t="str">
        <x:f>IF(A21="","",IF('Project Control'!E21="","",'Project Control'!E21))</x:f>
      </x:c>
      <x:c r="D21" t="str">
        <x:f>IF(A21="","",IF('Project Control'!F21="","",'Project Control'!F21))</x:f>
      </x:c>
      <x:c r="E21" t="str">
        <x:f>IF(A21="","",IF('Project Control'!G21="","",'Project Control'!G21))</x:f>
      </x:c>
      <x:c r="F21" t="str">
        <x:f>IF(A21="","",IF('Project Control'!I21="","",'Project Control'!I21))</x:f>
      </x:c>
      <x:c r="G21" s="8" t="str">
        <x:f>IF(A21="","",IF('Project Control'!J21="","",'Project Control'!J21))</x:f>
      </x:c>
      <x:c r="H21" s="8" t="str">
        <x:f>IF(A21="","",IF('Project Control'!K21="","",'Project Control'!K21))</x:f>
      </x:c>
      <x:c r="I21" t="str">
        <x:f>IF(A21="","",IF('Project Control'!L21="","",'Project Control'!L21))</x:f>
      </x:c>
      <x:c r="J21" s="8" t="str">
        <x:f>IF(A21="","",IF('Project Control'!O21="","",'Project Control'!O21))</x:f>
      </x:c>
      <x:c r="K21" s="25" t="str">
        <x:f>IF(A21="","","OPERATIONAL CONTROL; NO RECEIPT, LIABILITY OR PAYMENT INFERENCE")</x:f>
      </x:c>
    </x:row>
    <x:row r="22">
      <x:c r="A22" t="str">
        <x:f>IF('Project Control'!A22="","",'Project Control'!A22)</x:f>
      </x:c>
      <x:c r="B22" t="str">
        <x:f>IF(A22="","",IF('Project Control'!D22="","",'Project Control'!D22))</x:f>
      </x:c>
      <x:c r="C22" s="8" t="str">
        <x:f>IF(A22="","",IF('Project Control'!E22="","",'Project Control'!E22))</x:f>
      </x:c>
      <x:c r="D22" t="str">
        <x:f>IF(A22="","",IF('Project Control'!F22="","",'Project Control'!F22))</x:f>
      </x:c>
      <x:c r="E22" t="str">
        <x:f>IF(A22="","",IF('Project Control'!G22="","",'Project Control'!G22))</x:f>
      </x:c>
      <x:c r="F22" t="str">
        <x:f>IF(A22="","",IF('Project Control'!I22="","",'Project Control'!I22))</x:f>
      </x:c>
      <x:c r="G22" s="8" t="str">
        <x:f>IF(A22="","",IF('Project Control'!J22="","",'Project Control'!J22))</x:f>
      </x:c>
      <x:c r="H22" s="8" t="str">
        <x:f>IF(A22="","",IF('Project Control'!K22="","",'Project Control'!K22))</x:f>
      </x:c>
      <x:c r="I22" t="str">
        <x:f>IF(A22="","",IF('Project Control'!L22="","",'Project Control'!L22))</x:f>
      </x:c>
      <x:c r="J22" s="8" t="str">
        <x:f>IF(A22="","",IF('Project Control'!O22="","",'Project Control'!O22))</x:f>
      </x:c>
      <x:c r="K22" s="25" t="str">
        <x:f>IF(A22="","","OPERATIONAL CONTROL; NO RECEIPT, LIABILITY OR PAYMENT INFERENCE")</x:f>
      </x:c>
    </x:row>
    <x:row r="23">
      <x:c r="A23" t="str">
        <x:f>IF('Project Control'!A23="","",'Project Control'!A23)</x:f>
      </x:c>
      <x:c r="B23" t="str">
        <x:f>IF(A23="","",IF('Project Control'!D23="","",'Project Control'!D23))</x:f>
      </x:c>
      <x:c r="C23" s="8" t="str">
        <x:f>IF(A23="","",IF('Project Control'!E23="","",'Project Control'!E23))</x:f>
      </x:c>
      <x:c r="D23" t="str">
        <x:f>IF(A23="","",IF('Project Control'!F23="","",'Project Control'!F23))</x:f>
      </x:c>
      <x:c r="E23" t="str">
        <x:f>IF(A23="","",IF('Project Control'!G23="","",'Project Control'!G23))</x:f>
      </x:c>
      <x:c r="F23" t="str">
        <x:f>IF(A23="","",IF('Project Control'!I23="","",'Project Control'!I23))</x:f>
      </x:c>
      <x:c r="G23" s="8" t="str">
        <x:f>IF(A23="","",IF('Project Control'!J23="","",'Project Control'!J23))</x:f>
      </x:c>
      <x:c r="H23" s="8" t="str">
        <x:f>IF(A23="","",IF('Project Control'!K23="","",'Project Control'!K23))</x:f>
      </x:c>
      <x:c r="I23" t="str">
        <x:f>IF(A23="","",IF('Project Control'!L23="","",'Project Control'!L23))</x:f>
      </x:c>
      <x:c r="J23" s="8" t="str">
        <x:f>IF(A23="","",IF('Project Control'!O23="","",'Project Control'!O23))</x:f>
      </x:c>
      <x:c r="K23" s="25" t="str">
        <x:f>IF(A23="","","OPERATIONAL CONTROL; NO RECEIPT, LIABILITY OR PAYMENT INFERENCE")</x:f>
      </x:c>
    </x:row>
    <x:row r="24">
      <x:c r="A24" t="str">
        <x:f>IF('Project Control'!A24="","",'Project Control'!A24)</x:f>
      </x:c>
      <x:c r="B24" t="str">
        <x:f>IF(A24="","",IF('Project Control'!D24="","",'Project Control'!D24))</x:f>
      </x:c>
      <x:c r="C24" s="8" t="str">
        <x:f>IF(A24="","",IF('Project Control'!E24="","",'Project Control'!E24))</x:f>
      </x:c>
      <x:c r="D24" t="str">
        <x:f>IF(A24="","",IF('Project Control'!F24="","",'Project Control'!F24))</x:f>
      </x:c>
      <x:c r="E24" t="str">
        <x:f>IF(A24="","",IF('Project Control'!G24="","",'Project Control'!G24))</x:f>
      </x:c>
      <x:c r="F24" t="str">
        <x:f>IF(A24="","",IF('Project Control'!I24="","",'Project Control'!I24))</x:f>
      </x:c>
      <x:c r="G24" s="8" t="str">
        <x:f>IF(A24="","",IF('Project Control'!J24="","",'Project Control'!J24))</x:f>
      </x:c>
      <x:c r="H24" s="8" t="str">
        <x:f>IF(A24="","",IF('Project Control'!K24="","",'Project Control'!K24))</x:f>
      </x:c>
      <x:c r="I24" t="str">
        <x:f>IF(A24="","",IF('Project Control'!L24="","",'Project Control'!L24))</x:f>
      </x:c>
      <x:c r="J24" s="8" t="str">
        <x:f>IF(A24="","",IF('Project Control'!O24="","",'Project Control'!O24))</x:f>
      </x:c>
      <x:c r="K24" s="25" t="str">
        <x:f>IF(A24="","","OPERATIONAL CONTROL; NO RECEIPT, LIABILITY OR PAYMENT INFERENCE")</x:f>
      </x:c>
    </x:row>
    <x:row r="25">
      <x:c r="A25" t="str">
        <x:f>IF('Project Control'!A25="","",'Project Control'!A25)</x:f>
      </x:c>
      <x:c r="B25" t="str">
        <x:f>IF(A25="","",IF('Project Control'!D25="","",'Project Control'!D25))</x:f>
      </x:c>
      <x:c r="C25" s="8" t="str">
        <x:f>IF(A25="","",IF('Project Control'!E25="","",'Project Control'!E25))</x:f>
      </x:c>
      <x:c r="D25" t="str">
        <x:f>IF(A25="","",IF('Project Control'!F25="","",'Project Control'!F25))</x:f>
      </x:c>
      <x:c r="E25" t="str">
        <x:f>IF(A25="","",IF('Project Control'!G25="","",'Project Control'!G25))</x:f>
      </x:c>
      <x:c r="F25" t="str">
        <x:f>IF(A25="","",IF('Project Control'!I25="","",'Project Control'!I25))</x:f>
      </x:c>
      <x:c r="G25" s="8" t="str">
        <x:f>IF(A25="","",IF('Project Control'!J25="","",'Project Control'!J25))</x:f>
      </x:c>
      <x:c r="H25" s="8" t="str">
        <x:f>IF(A25="","",IF('Project Control'!K25="","",'Project Control'!K25))</x:f>
      </x:c>
      <x:c r="I25" t="str">
        <x:f>IF(A25="","",IF('Project Control'!L25="","",'Project Control'!L25))</x:f>
      </x:c>
      <x:c r="J25" s="8" t="str">
        <x:f>IF(A25="","",IF('Project Control'!O25="","",'Project Control'!O25))</x:f>
      </x:c>
      <x:c r="K25" s="25" t="str">
        <x:f>IF(A25="","","OPERATIONAL CONTROL; NO RECEIPT, LIABILITY OR PAYMENT INFERENCE")</x:f>
      </x:c>
    </x:row>
    <x:row r="26">
      <x:c r="A26" t="str">
        <x:f>IF('Project Control'!A26="","",'Project Control'!A26)</x:f>
      </x:c>
      <x:c r="B26" t="str">
        <x:f>IF(A26="","",IF('Project Control'!D26="","",'Project Control'!D26))</x:f>
      </x:c>
      <x:c r="C26" s="8" t="str">
        <x:f>IF(A26="","",IF('Project Control'!E26="","",'Project Control'!E26))</x:f>
      </x:c>
      <x:c r="D26" t="str">
        <x:f>IF(A26="","",IF('Project Control'!F26="","",'Project Control'!F26))</x:f>
      </x:c>
      <x:c r="E26" t="str">
        <x:f>IF(A26="","",IF('Project Control'!G26="","",'Project Control'!G26))</x:f>
      </x:c>
      <x:c r="F26" t="str">
        <x:f>IF(A26="","",IF('Project Control'!I26="","",'Project Control'!I26))</x:f>
      </x:c>
      <x:c r="G26" s="8" t="str">
        <x:f>IF(A26="","",IF('Project Control'!J26="","",'Project Control'!J26))</x:f>
      </x:c>
      <x:c r="H26" s="8" t="str">
        <x:f>IF(A26="","",IF('Project Control'!K26="","",'Project Control'!K26))</x:f>
      </x:c>
      <x:c r="I26" t="str">
        <x:f>IF(A26="","",IF('Project Control'!L26="","",'Project Control'!L26))</x:f>
      </x:c>
      <x:c r="J26" s="8" t="str">
        <x:f>IF(A26="","",IF('Project Control'!O26="","",'Project Control'!O26))</x:f>
      </x:c>
      <x:c r="K26" s="25" t="str">
        <x:f>IF(A26="","","OPERATIONAL CONTROL; NO RECEIPT, LIABILITY OR PAYMENT INFERENCE")</x:f>
      </x:c>
    </x:row>
    <x:row r="27">
      <x:c r="A27" t="str">
        <x:f>IF('Project Control'!A27="","",'Project Control'!A27)</x:f>
      </x:c>
      <x:c r="B27" t="str">
        <x:f>IF(A27="","",IF('Project Control'!D27="","",'Project Control'!D27))</x:f>
      </x:c>
      <x:c r="C27" s="8" t="str">
        <x:f>IF(A27="","",IF('Project Control'!E27="","",'Project Control'!E27))</x:f>
      </x:c>
      <x:c r="D27" t="str">
        <x:f>IF(A27="","",IF('Project Control'!F27="","",'Project Control'!F27))</x:f>
      </x:c>
      <x:c r="E27" t="str">
        <x:f>IF(A27="","",IF('Project Control'!G27="","",'Project Control'!G27))</x:f>
      </x:c>
      <x:c r="F27" t="str">
        <x:f>IF(A27="","",IF('Project Control'!I27="","",'Project Control'!I27))</x:f>
      </x:c>
      <x:c r="G27" s="8" t="str">
        <x:f>IF(A27="","",IF('Project Control'!J27="","",'Project Control'!J27))</x:f>
      </x:c>
      <x:c r="H27" s="8" t="str">
        <x:f>IF(A27="","",IF('Project Control'!K27="","",'Project Control'!K27))</x:f>
      </x:c>
      <x:c r="I27" t="str">
        <x:f>IF(A27="","",IF('Project Control'!L27="","",'Project Control'!L27))</x:f>
      </x:c>
      <x:c r="J27" s="8" t="str">
        <x:f>IF(A27="","",IF('Project Control'!O27="","",'Project Control'!O27))</x:f>
      </x:c>
      <x:c r="K27" s="25" t="str">
        <x:f>IF(A27="","","OPERATIONAL CONTROL; NO RECEIPT, LIABILITY OR PAYMENT INFERENCE")</x:f>
      </x:c>
    </x:row>
    <x:row r="28">
      <x:c r="A28" t="str">
        <x:f>IF('Project Control'!A28="","",'Project Control'!A28)</x:f>
      </x:c>
      <x:c r="B28" t="str">
        <x:f>IF(A28="","",IF('Project Control'!D28="","",'Project Control'!D28))</x:f>
      </x:c>
      <x:c r="C28" s="8" t="str">
        <x:f>IF(A28="","",IF('Project Control'!E28="","",'Project Control'!E28))</x:f>
      </x:c>
      <x:c r="D28" t="str">
        <x:f>IF(A28="","",IF('Project Control'!F28="","",'Project Control'!F28))</x:f>
      </x:c>
      <x:c r="E28" t="str">
        <x:f>IF(A28="","",IF('Project Control'!G28="","",'Project Control'!G28))</x:f>
      </x:c>
      <x:c r="F28" t="str">
        <x:f>IF(A28="","",IF('Project Control'!I28="","",'Project Control'!I28))</x:f>
      </x:c>
      <x:c r="G28" s="8" t="str">
        <x:f>IF(A28="","",IF('Project Control'!J28="","",'Project Control'!J28))</x:f>
      </x:c>
      <x:c r="H28" s="8" t="str">
        <x:f>IF(A28="","",IF('Project Control'!K28="","",'Project Control'!K28))</x:f>
      </x:c>
      <x:c r="I28" t="str">
        <x:f>IF(A28="","",IF('Project Control'!L28="","",'Project Control'!L28))</x:f>
      </x:c>
      <x:c r="J28" s="8" t="str">
        <x:f>IF(A28="","",IF('Project Control'!O28="","",'Project Control'!O28))</x:f>
      </x:c>
      <x:c r="K28" s="25" t="str">
        <x:f>IF(A28="","","OPERATIONAL CONTROL; NO RECEIPT, LIABILITY OR PAYMENT INFERENCE")</x:f>
      </x:c>
    </x:row>
    <x:row r="29">
      <x:c r="A29" t="str">
        <x:f>IF('Project Control'!A29="","",'Project Control'!A29)</x:f>
      </x:c>
      <x:c r="B29" t="str">
        <x:f>IF(A29="","",IF('Project Control'!D29="","",'Project Control'!D29))</x:f>
      </x:c>
      <x:c r="C29" s="8" t="str">
        <x:f>IF(A29="","",IF('Project Control'!E29="","",'Project Control'!E29))</x:f>
      </x:c>
      <x:c r="D29" t="str">
        <x:f>IF(A29="","",IF('Project Control'!F29="","",'Project Control'!F29))</x:f>
      </x:c>
      <x:c r="E29" t="str">
        <x:f>IF(A29="","",IF('Project Control'!G29="","",'Project Control'!G29))</x:f>
      </x:c>
      <x:c r="F29" t="str">
        <x:f>IF(A29="","",IF('Project Control'!I29="","",'Project Control'!I29))</x:f>
      </x:c>
      <x:c r="G29" s="8" t="str">
        <x:f>IF(A29="","",IF('Project Control'!J29="","",'Project Control'!J29))</x:f>
      </x:c>
      <x:c r="H29" s="8" t="str">
        <x:f>IF(A29="","",IF('Project Control'!K29="","",'Project Control'!K29))</x:f>
      </x:c>
      <x:c r="I29" t="str">
        <x:f>IF(A29="","",IF('Project Control'!L29="","",'Project Control'!L29))</x:f>
      </x:c>
      <x:c r="J29" s="8" t="str">
        <x:f>IF(A29="","",IF('Project Control'!O29="","",'Project Control'!O29))</x:f>
      </x:c>
      <x:c r="K29" s="25" t="str">
        <x:f>IF(A29="","","OPERATIONAL CONTROL; NO RECEIPT, LIABILITY OR PAYMENT INFERENCE")</x:f>
      </x:c>
    </x:row>
    <x:row r="30">
      <x:c r="A30" t="str">
        <x:f>IF('Project Control'!A30="","",'Project Control'!A30)</x:f>
      </x:c>
      <x:c r="B30" t="str">
        <x:f>IF(A30="","",IF('Project Control'!D30="","",'Project Control'!D30))</x:f>
      </x:c>
      <x:c r="C30" s="8" t="str">
        <x:f>IF(A30="","",IF('Project Control'!E30="","",'Project Control'!E30))</x:f>
      </x:c>
      <x:c r="D30" t="str">
        <x:f>IF(A30="","",IF('Project Control'!F30="","",'Project Control'!F30))</x:f>
      </x:c>
      <x:c r="E30" t="str">
        <x:f>IF(A30="","",IF('Project Control'!G30="","",'Project Control'!G30))</x:f>
      </x:c>
      <x:c r="F30" t="str">
        <x:f>IF(A30="","",IF('Project Control'!I30="","",'Project Control'!I30))</x:f>
      </x:c>
      <x:c r="G30" s="8" t="str">
        <x:f>IF(A30="","",IF('Project Control'!J30="","",'Project Control'!J30))</x:f>
      </x:c>
      <x:c r="H30" s="8" t="str">
        <x:f>IF(A30="","",IF('Project Control'!K30="","",'Project Control'!K30))</x:f>
      </x:c>
      <x:c r="I30" t="str">
        <x:f>IF(A30="","",IF('Project Control'!L30="","",'Project Control'!L30))</x:f>
      </x:c>
      <x:c r="J30" s="8" t="str">
        <x:f>IF(A30="","",IF('Project Control'!O30="","",'Project Control'!O30))</x:f>
      </x:c>
      <x:c r="K30" s="25" t="str">
        <x:f>IF(A30="","","OPERATIONAL CONTROL; NO RECEIPT, LIABILITY OR PAYMENT INFERENCE")</x:f>
      </x:c>
    </x:row>
    <x:row r="31">
      <x:c r="A31" t="str">
        <x:f>IF('Project Control'!A31="","",'Project Control'!A31)</x:f>
      </x:c>
      <x:c r="B31" t="str">
        <x:f>IF(A31="","",IF('Project Control'!D31="","",'Project Control'!D31))</x:f>
      </x:c>
      <x:c r="C31" s="8" t="str">
        <x:f>IF(A31="","",IF('Project Control'!E31="","",'Project Control'!E31))</x:f>
      </x:c>
      <x:c r="D31" t="str">
        <x:f>IF(A31="","",IF('Project Control'!F31="","",'Project Control'!F31))</x:f>
      </x:c>
      <x:c r="E31" t="str">
        <x:f>IF(A31="","",IF('Project Control'!G31="","",'Project Control'!G31))</x:f>
      </x:c>
      <x:c r="F31" t="str">
        <x:f>IF(A31="","",IF('Project Control'!I31="","",'Project Control'!I31))</x:f>
      </x:c>
      <x:c r="G31" s="8" t="str">
        <x:f>IF(A31="","",IF('Project Control'!J31="","",'Project Control'!J31))</x:f>
      </x:c>
      <x:c r="H31" s="8" t="str">
        <x:f>IF(A31="","",IF('Project Control'!K31="","",'Project Control'!K31))</x:f>
      </x:c>
      <x:c r="I31" t="str">
        <x:f>IF(A31="","",IF('Project Control'!L31="","",'Project Control'!L31))</x:f>
      </x:c>
      <x:c r="J31" s="8" t="str">
        <x:f>IF(A31="","",IF('Project Control'!O31="","",'Project Control'!O31))</x:f>
      </x:c>
      <x:c r="K31" s="25" t="str">
        <x:f>IF(A31="","","OPERATIONAL CONTROL; NO RECEIPT, LIABILITY OR PAYMENT INFERENCE")</x:f>
      </x:c>
    </x:row>
    <x:row r="32">
      <x:c r="A32" t="str">
        <x:f>IF('Project Control'!A32="","",'Project Control'!A32)</x:f>
      </x:c>
      <x:c r="B32" t="str">
        <x:f>IF(A32="","",IF('Project Control'!D32="","",'Project Control'!D32))</x:f>
      </x:c>
      <x:c r="C32" s="8" t="str">
        <x:f>IF(A32="","",IF('Project Control'!E32="","",'Project Control'!E32))</x:f>
      </x:c>
      <x:c r="D32" t="str">
        <x:f>IF(A32="","",IF('Project Control'!F32="","",'Project Control'!F32))</x:f>
      </x:c>
      <x:c r="E32" t="str">
        <x:f>IF(A32="","",IF('Project Control'!G32="","",'Project Control'!G32))</x:f>
      </x:c>
      <x:c r="F32" t="str">
        <x:f>IF(A32="","",IF('Project Control'!I32="","",'Project Control'!I32))</x:f>
      </x:c>
      <x:c r="G32" s="8" t="str">
        <x:f>IF(A32="","",IF('Project Control'!J32="","",'Project Control'!J32))</x:f>
      </x:c>
      <x:c r="H32" s="8" t="str">
        <x:f>IF(A32="","",IF('Project Control'!K32="","",'Project Control'!K32))</x:f>
      </x:c>
      <x:c r="I32" t="str">
        <x:f>IF(A32="","",IF('Project Control'!L32="","",'Project Control'!L32))</x:f>
      </x:c>
      <x:c r="J32" s="8" t="str">
        <x:f>IF(A32="","",IF('Project Control'!O32="","",'Project Control'!O32))</x:f>
      </x:c>
      <x:c r="K32" s="25" t="str">
        <x:f>IF(A32="","","OPERATIONAL CONTROL; NO RECEIPT, LIABILITY OR PAYMENT INFERENCE")</x:f>
      </x:c>
    </x:row>
    <x:row r="33">
      <x:c r="A33" t="str">
        <x:f>IF('Project Control'!A33="","",'Project Control'!A33)</x:f>
      </x:c>
      <x:c r="B33" t="str">
        <x:f>IF(A33="","",IF('Project Control'!D33="","",'Project Control'!D33))</x:f>
      </x:c>
      <x:c r="C33" s="8" t="str">
        <x:f>IF(A33="","",IF('Project Control'!E33="","",'Project Control'!E33))</x:f>
      </x:c>
      <x:c r="D33" t="str">
        <x:f>IF(A33="","",IF('Project Control'!F33="","",'Project Control'!F33))</x:f>
      </x:c>
      <x:c r="E33" t="str">
        <x:f>IF(A33="","",IF('Project Control'!G33="","",'Project Control'!G33))</x:f>
      </x:c>
      <x:c r="F33" t="str">
        <x:f>IF(A33="","",IF('Project Control'!I33="","",'Project Control'!I33))</x:f>
      </x:c>
      <x:c r="G33" s="8" t="str">
        <x:f>IF(A33="","",IF('Project Control'!J33="","",'Project Control'!J33))</x:f>
      </x:c>
      <x:c r="H33" s="8" t="str">
        <x:f>IF(A33="","",IF('Project Control'!K33="","",'Project Control'!K33))</x:f>
      </x:c>
      <x:c r="I33" t="str">
        <x:f>IF(A33="","",IF('Project Control'!L33="","",'Project Control'!L33))</x:f>
      </x:c>
      <x:c r="J33" s="8" t="str">
        <x:f>IF(A33="","",IF('Project Control'!O33="","",'Project Control'!O33))</x:f>
      </x:c>
      <x:c r="K33" s="25" t="str">
        <x:f>IF(A33="","","OPERATIONAL CONTROL; NO RECEIPT, LIABILITY OR PAYMENT INFERENCE")</x:f>
      </x:c>
    </x:row>
    <x:row r="34">
      <x:c r="A34" t="str">
        <x:f>IF('Project Control'!A34="","",'Project Control'!A34)</x:f>
      </x:c>
      <x:c r="B34" t="str">
        <x:f>IF(A34="","",IF('Project Control'!D34="","",'Project Control'!D34))</x:f>
      </x:c>
      <x:c r="C34" s="8" t="str">
        <x:f>IF(A34="","",IF('Project Control'!E34="","",'Project Control'!E34))</x:f>
      </x:c>
      <x:c r="D34" t="str">
        <x:f>IF(A34="","",IF('Project Control'!F34="","",'Project Control'!F34))</x:f>
      </x:c>
      <x:c r="E34" t="str">
        <x:f>IF(A34="","",IF('Project Control'!G34="","",'Project Control'!G34))</x:f>
      </x:c>
      <x:c r="F34" t="str">
        <x:f>IF(A34="","",IF('Project Control'!I34="","",'Project Control'!I34))</x:f>
      </x:c>
      <x:c r="G34" s="8" t="str">
        <x:f>IF(A34="","",IF('Project Control'!J34="","",'Project Control'!J34))</x:f>
      </x:c>
      <x:c r="H34" s="8" t="str">
        <x:f>IF(A34="","",IF('Project Control'!K34="","",'Project Control'!K34))</x:f>
      </x:c>
      <x:c r="I34" t="str">
        <x:f>IF(A34="","",IF('Project Control'!L34="","",'Project Control'!L34))</x:f>
      </x:c>
      <x:c r="J34" s="8" t="str">
        <x:f>IF(A34="","",IF('Project Control'!O34="","",'Project Control'!O34))</x:f>
      </x:c>
      <x:c r="K34" s="25" t="str">
        <x:f>IF(A34="","","OPERATIONAL CONTROL; NO RECEIPT, LIABILITY OR PAYMENT INFERENCE")</x:f>
      </x:c>
    </x:row>
    <x:row r="35">
      <x:c r="A35" t="str">
        <x:f>IF('Project Control'!A35="","",'Project Control'!A35)</x:f>
      </x:c>
      <x:c r="B35" t="str">
        <x:f>IF(A35="","",IF('Project Control'!D35="","",'Project Control'!D35))</x:f>
      </x:c>
      <x:c r="C35" s="8" t="str">
        <x:f>IF(A35="","",IF('Project Control'!E35="","",'Project Control'!E35))</x:f>
      </x:c>
      <x:c r="D35" t="str">
        <x:f>IF(A35="","",IF('Project Control'!F35="","",'Project Control'!F35))</x:f>
      </x:c>
      <x:c r="E35" t="str">
        <x:f>IF(A35="","",IF('Project Control'!G35="","",'Project Control'!G35))</x:f>
      </x:c>
      <x:c r="F35" t="str">
        <x:f>IF(A35="","",IF('Project Control'!I35="","",'Project Control'!I35))</x:f>
      </x:c>
      <x:c r="G35" s="8" t="str">
        <x:f>IF(A35="","",IF('Project Control'!J35="","",'Project Control'!J35))</x:f>
      </x:c>
      <x:c r="H35" s="8" t="str">
        <x:f>IF(A35="","",IF('Project Control'!K35="","",'Project Control'!K35))</x:f>
      </x:c>
      <x:c r="I35" t="str">
        <x:f>IF(A35="","",IF('Project Control'!L35="","",'Project Control'!L35))</x:f>
      </x:c>
      <x:c r="J35" s="8" t="str">
        <x:f>IF(A35="","",IF('Project Control'!O35="","",'Project Control'!O35))</x:f>
      </x:c>
      <x:c r="K35" s="25" t="str">
        <x:f>IF(A35="","","OPERATIONAL CONTROL; NO RECEIPT, LIABILITY OR PAYMENT INFERENCE")</x:f>
      </x:c>
    </x:row>
    <x:row r="36">
      <x:c r="A36" t="str">
        <x:f>IF('Project Control'!A36="","",'Project Control'!A36)</x:f>
      </x:c>
      <x:c r="B36" t="str">
        <x:f>IF(A36="","",IF('Project Control'!D36="","",'Project Control'!D36))</x:f>
      </x:c>
      <x:c r="C36" s="8" t="str">
        <x:f>IF(A36="","",IF('Project Control'!E36="","",'Project Control'!E36))</x:f>
      </x:c>
      <x:c r="D36" t="str">
        <x:f>IF(A36="","",IF('Project Control'!F36="","",'Project Control'!F36))</x:f>
      </x:c>
      <x:c r="E36" t="str">
        <x:f>IF(A36="","",IF('Project Control'!G36="","",'Project Control'!G36))</x:f>
      </x:c>
      <x:c r="F36" t="str">
        <x:f>IF(A36="","",IF('Project Control'!I36="","",'Project Control'!I36))</x:f>
      </x:c>
      <x:c r="G36" s="8" t="str">
        <x:f>IF(A36="","",IF('Project Control'!J36="","",'Project Control'!J36))</x:f>
      </x:c>
      <x:c r="H36" s="8" t="str">
        <x:f>IF(A36="","",IF('Project Control'!K36="","",'Project Control'!K36))</x:f>
      </x:c>
      <x:c r="I36" t="str">
        <x:f>IF(A36="","",IF('Project Control'!L36="","",'Project Control'!L36))</x:f>
      </x:c>
      <x:c r="J36" s="8" t="str">
        <x:f>IF(A36="","",IF('Project Control'!O36="","",'Project Control'!O36))</x:f>
      </x:c>
      <x:c r="K36" s="25" t="str">
        <x:f>IF(A36="","","OPERATIONAL CONTROL; NO RECEIPT, LIABILITY OR PAYMENT INFERENCE")</x:f>
      </x:c>
    </x:row>
    <x:row r="37">
      <x:c r="A37" t="str">
        <x:f>IF('Project Control'!A37="","",'Project Control'!A37)</x:f>
      </x:c>
      <x:c r="B37" t="str">
        <x:f>IF(A37="","",IF('Project Control'!D37="","",'Project Control'!D37))</x:f>
      </x:c>
      <x:c r="C37" s="8" t="str">
        <x:f>IF(A37="","",IF('Project Control'!E37="","",'Project Control'!E37))</x:f>
      </x:c>
      <x:c r="D37" t="str">
        <x:f>IF(A37="","",IF('Project Control'!F37="","",'Project Control'!F37))</x:f>
      </x:c>
      <x:c r="E37" t="str">
        <x:f>IF(A37="","",IF('Project Control'!G37="","",'Project Control'!G37))</x:f>
      </x:c>
      <x:c r="F37" t="str">
        <x:f>IF(A37="","",IF('Project Control'!I37="","",'Project Control'!I37))</x:f>
      </x:c>
      <x:c r="G37" s="8" t="str">
        <x:f>IF(A37="","",IF('Project Control'!J37="","",'Project Control'!J37))</x:f>
      </x:c>
      <x:c r="H37" s="8" t="str">
        <x:f>IF(A37="","",IF('Project Control'!K37="","",'Project Control'!K37))</x:f>
      </x:c>
      <x:c r="I37" t="str">
        <x:f>IF(A37="","",IF('Project Control'!L37="","",'Project Control'!L37))</x:f>
      </x:c>
      <x:c r="J37" s="8" t="str">
        <x:f>IF(A37="","",IF('Project Control'!O37="","",'Project Control'!O37))</x:f>
      </x:c>
      <x:c r="K37" s="25" t="str">
        <x:f>IF(A37="","","OPERATIONAL CONTROL; NO RECEIPT, LIABILITY OR PAYMENT INFERENCE")</x:f>
      </x:c>
    </x:row>
    <x:row r="38">
      <x:c r="A38" t="str">
        <x:f>IF('Project Control'!A38="","",'Project Control'!A38)</x:f>
      </x:c>
      <x:c r="B38" t="str">
        <x:f>IF(A38="","",IF('Project Control'!D38="","",'Project Control'!D38))</x:f>
      </x:c>
      <x:c r="C38" s="8" t="str">
        <x:f>IF(A38="","",IF('Project Control'!E38="","",'Project Control'!E38))</x:f>
      </x:c>
      <x:c r="D38" t="str">
        <x:f>IF(A38="","",IF('Project Control'!F38="","",'Project Control'!F38))</x:f>
      </x:c>
      <x:c r="E38" t="str">
        <x:f>IF(A38="","",IF('Project Control'!G38="","",'Project Control'!G38))</x:f>
      </x:c>
      <x:c r="F38" t="str">
        <x:f>IF(A38="","",IF('Project Control'!I38="","",'Project Control'!I38))</x:f>
      </x:c>
      <x:c r="G38" s="8" t="str">
        <x:f>IF(A38="","",IF('Project Control'!J38="","",'Project Control'!J38))</x:f>
      </x:c>
      <x:c r="H38" s="8" t="str">
        <x:f>IF(A38="","",IF('Project Control'!K38="","",'Project Control'!K38))</x:f>
      </x:c>
      <x:c r="I38" t="str">
        <x:f>IF(A38="","",IF('Project Control'!L38="","",'Project Control'!L38))</x:f>
      </x:c>
      <x:c r="J38" s="8" t="str">
        <x:f>IF(A38="","",IF('Project Control'!O38="","",'Project Control'!O38))</x:f>
      </x:c>
      <x:c r="K38" s="25" t="str">
        <x:f>IF(A38="","","OPERATIONAL CONTROL; NO RECEIPT, LIABILITY OR PAYMENT INFERENCE")</x:f>
      </x:c>
    </x:row>
    <x:row r="39">
      <x:c r="A39" t="str">
        <x:f>IF('Project Control'!A39="","",'Project Control'!A39)</x:f>
      </x:c>
      <x:c r="B39" t="str">
        <x:f>IF(A39="","",IF('Project Control'!D39="","",'Project Control'!D39))</x:f>
      </x:c>
      <x:c r="C39" s="8" t="str">
        <x:f>IF(A39="","",IF('Project Control'!E39="","",'Project Control'!E39))</x:f>
      </x:c>
      <x:c r="D39" t="str">
        <x:f>IF(A39="","",IF('Project Control'!F39="","",'Project Control'!F39))</x:f>
      </x:c>
      <x:c r="E39" t="str">
        <x:f>IF(A39="","",IF('Project Control'!G39="","",'Project Control'!G39))</x:f>
      </x:c>
      <x:c r="F39" t="str">
        <x:f>IF(A39="","",IF('Project Control'!I39="","",'Project Control'!I39))</x:f>
      </x:c>
      <x:c r="G39" s="8" t="str">
        <x:f>IF(A39="","",IF('Project Control'!J39="","",'Project Control'!J39))</x:f>
      </x:c>
      <x:c r="H39" s="8" t="str">
        <x:f>IF(A39="","",IF('Project Control'!K39="","",'Project Control'!K39))</x:f>
      </x:c>
      <x:c r="I39" t="str">
        <x:f>IF(A39="","",IF('Project Control'!L39="","",'Project Control'!L39))</x:f>
      </x:c>
      <x:c r="J39" s="8" t="str">
        <x:f>IF(A39="","",IF('Project Control'!O39="","",'Project Control'!O39))</x:f>
      </x:c>
      <x:c r="K39" s="25" t="str">
        <x:f>IF(A39="","","OPERATIONAL CONTROL; NO RECEIPT, LIABILITY OR PAYMENT INFERENCE")</x:f>
      </x:c>
    </x:row>
    <x:row r="40">
      <x:c r="A40" t="str">
        <x:f>IF('Project Control'!A40="","",'Project Control'!A40)</x:f>
      </x:c>
      <x:c r="B40" t="str">
        <x:f>IF(A40="","",IF('Project Control'!D40="","",'Project Control'!D40))</x:f>
      </x:c>
      <x:c r="C40" s="8" t="str">
        <x:f>IF(A40="","",IF('Project Control'!E40="","",'Project Control'!E40))</x:f>
      </x:c>
      <x:c r="D40" t="str">
        <x:f>IF(A40="","",IF('Project Control'!F40="","",'Project Control'!F40))</x:f>
      </x:c>
      <x:c r="E40" t="str">
        <x:f>IF(A40="","",IF('Project Control'!G40="","",'Project Control'!G40))</x:f>
      </x:c>
      <x:c r="F40" t="str">
        <x:f>IF(A40="","",IF('Project Control'!I40="","",'Project Control'!I40))</x:f>
      </x:c>
      <x:c r="G40" s="8" t="str">
        <x:f>IF(A40="","",IF('Project Control'!J40="","",'Project Control'!J40))</x:f>
      </x:c>
      <x:c r="H40" s="8" t="str">
        <x:f>IF(A40="","",IF('Project Control'!K40="","",'Project Control'!K40))</x:f>
      </x:c>
      <x:c r="I40" t="str">
        <x:f>IF(A40="","",IF('Project Control'!L40="","",'Project Control'!L40))</x:f>
      </x:c>
      <x:c r="J40" s="8" t="str">
        <x:f>IF(A40="","",IF('Project Control'!O40="","",'Project Control'!O40))</x:f>
      </x:c>
      <x:c r="K40" s="25" t="str">
        <x:f>IF(A40="","","OPERATIONAL CONTROL; NO RECEIPT, LIABILITY OR PAYMENT INFERENCE")</x:f>
      </x:c>
    </x:row>
    <x:row r="41">
      <x:c r="A41" t="str">
        <x:f>IF('Project Control'!A41="","",'Project Control'!A41)</x:f>
      </x:c>
      <x:c r="B41" t="str">
        <x:f>IF(A41="","",IF('Project Control'!D41="","",'Project Control'!D41))</x:f>
      </x:c>
      <x:c r="C41" s="8" t="str">
        <x:f>IF(A41="","",IF('Project Control'!E41="","",'Project Control'!E41))</x:f>
      </x:c>
      <x:c r="D41" t="str">
        <x:f>IF(A41="","",IF('Project Control'!F41="","",'Project Control'!F41))</x:f>
      </x:c>
      <x:c r="E41" t="str">
        <x:f>IF(A41="","",IF('Project Control'!G41="","",'Project Control'!G41))</x:f>
      </x:c>
      <x:c r="F41" t="str">
        <x:f>IF(A41="","",IF('Project Control'!I41="","",'Project Control'!I41))</x:f>
      </x:c>
      <x:c r="G41" s="8" t="str">
        <x:f>IF(A41="","",IF('Project Control'!J41="","",'Project Control'!J41))</x:f>
      </x:c>
      <x:c r="H41" s="8" t="str">
        <x:f>IF(A41="","",IF('Project Control'!K41="","",'Project Control'!K41))</x:f>
      </x:c>
      <x:c r="I41" t="str">
        <x:f>IF(A41="","",IF('Project Control'!L41="","",'Project Control'!L41))</x:f>
      </x:c>
      <x:c r="J41" s="8" t="str">
        <x:f>IF(A41="","",IF('Project Control'!O41="","",'Project Control'!O41))</x:f>
      </x:c>
      <x:c r="K41" s="25" t="str">
        <x:f>IF(A41="","","OPERATIONAL CONTROL; NO RECEIPT, LIABILITY OR PAYMENT INFERENCE")</x:f>
      </x:c>
    </x:row>
    <x:row r="42">
      <x:c r="A42" t="str">
        <x:f>IF('Project Control'!A42="","",'Project Control'!A42)</x:f>
      </x:c>
      <x:c r="B42" t="str">
        <x:f>IF(A42="","",IF('Project Control'!D42="","",'Project Control'!D42))</x:f>
      </x:c>
      <x:c r="C42" s="8" t="str">
        <x:f>IF(A42="","",IF('Project Control'!E42="","",'Project Control'!E42))</x:f>
      </x:c>
      <x:c r="D42" t="str">
        <x:f>IF(A42="","",IF('Project Control'!F42="","",'Project Control'!F42))</x:f>
      </x:c>
      <x:c r="E42" t="str">
        <x:f>IF(A42="","",IF('Project Control'!G42="","",'Project Control'!G42))</x:f>
      </x:c>
      <x:c r="F42" t="str">
        <x:f>IF(A42="","",IF('Project Control'!I42="","",'Project Control'!I42))</x:f>
      </x:c>
      <x:c r="G42" s="8" t="str">
        <x:f>IF(A42="","",IF('Project Control'!J42="","",'Project Control'!J42))</x:f>
      </x:c>
      <x:c r="H42" s="8" t="str">
        <x:f>IF(A42="","",IF('Project Control'!K42="","",'Project Control'!K42))</x:f>
      </x:c>
      <x:c r="I42" t="str">
        <x:f>IF(A42="","",IF('Project Control'!L42="","",'Project Control'!L42))</x:f>
      </x:c>
      <x:c r="J42" s="8" t="str">
        <x:f>IF(A42="","",IF('Project Control'!O42="","",'Project Control'!O42))</x:f>
      </x:c>
      <x:c r="K42" s="25" t="str">
        <x:f>IF(A42="","","OPERATIONAL CONTROL; NO RECEIPT, LIABILITY OR PAYMENT INFERENCE")</x:f>
      </x:c>
    </x:row>
    <x:row r="43">
      <x:c r="A43" t="str">
        <x:f>IF('Project Control'!A43="","",'Project Control'!A43)</x:f>
      </x:c>
      <x:c r="B43" t="str">
        <x:f>IF(A43="","",IF('Project Control'!D43="","",'Project Control'!D43))</x:f>
      </x:c>
      <x:c r="C43" s="8" t="str">
        <x:f>IF(A43="","",IF('Project Control'!E43="","",'Project Control'!E43))</x:f>
      </x:c>
      <x:c r="D43" t="str">
        <x:f>IF(A43="","",IF('Project Control'!F43="","",'Project Control'!F43))</x:f>
      </x:c>
      <x:c r="E43" t="str">
        <x:f>IF(A43="","",IF('Project Control'!G43="","",'Project Control'!G43))</x:f>
      </x:c>
      <x:c r="F43" t="str">
        <x:f>IF(A43="","",IF('Project Control'!I43="","",'Project Control'!I43))</x:f>
      </x:c>
      <x:c r="G43" s="8" t="str">
        <x:f>IF(A43="","",IF('Project Control'!J43="","",'Project Control'!J43))</x:f>
      </x:c>
      <x:c r="H43" s="8" t="str">
        <x:f>IF(A43="","",IF('Project Control'!K43="","",'Project Control'!K43))</x:f>
      </x:c>
      <x:c r="I43" t="str">
        <x:f>IF(A43="","",IF('Project Control'!L43="","",'Project Control'!L43))</x:f>
      </x:c>
      <x:c r="J43" s="8" t="str">
        <x:f>IF(A43="","",IF('Project Control'!O43="","",'Project Control'!O43))</x:f>
      </x:c>
      <x:c r="K43" s="25" t="str">
        <x:f>IF(A43="","","OPERATIONAL CONTROL; NO RECEIPT, LIABILITY OR PAYMENT INFERENCE")</x:f>
      </x:c>
    </x:row>
    <x:row r="44">
      <x:c r="A44" t="str">
        <x:f>IF('Project Control'!A44="","",'Project Control'!A44)</x:f>
      </x:c>
      <x:c r="B44" t="str">
        <x:f>IF(A44="","",IF('Project Control'!D44="","",'Project Control'!D44))</x:f>
      </x:c>
      <x:c r="C44" s="8" t="str">
        <x:f>IF(A44="","",IF('Project Control'!E44="","",'Project Control'!E44))</x:f>
      </x:c>
      <x:c r="D44" t="str">
        <x:f>IF(A44="","",IF('Project Control'!F44="","",'Project Control'!F44))</x:f>
      </x:c>
      <x:c r="E44" t="str">
        <x:f>IF(A44="","",IF('Project Control'!G44="","",'Project Control'!G44))</x:f>
      </x:c>
      <x:c r="F44" t="str">
        <x:f>IF(A44="","",IF('Project Control'!I44="","",'Project Control'!I44))</x:f>
      </x:c>
      <x:c r="G44" s="8" t="str">
        <x:f>IF(A44="","",IF('Project Control'!J44="","",'Project Control'!J44))</x:f>
      </x:c>
      <x:c r="H44" s="8" t="str">
        <x:f>IF(A44="","",IF('Project Control'!K44="","",'Project Control'!K44))</x:f>
      </x:c>
      <x:c r="I44" t="str">
        <x:f>IF(A44="","",IF('Project Control'!L44="","",'Project Control'!L44))</x:f>
      </x:c>
      <x:c r="J44" s="8" t="str">
        <x:f>IF(A44="","",IF('Project Control'!O44="","",'Project Control'!O44))</x:f>
      </x:c>
      <x:c r="K44" s="25" t="str">
        <x:f>IF(A44="","","OPERATIONAL CONTROL; NO RECEIPT, LIABILITY OR PAYMENT INFERENCE")</x:f>
      </x:c>
    </x:row>
    <x:row r="45">
      <x:c r="A45" t="str">
        <x:f>IF('Project Control'!A45="","",'Project Control'!A45)</x:f>
      </x:c>
      <x:c r="B45" t="str">
        <x:f>IF(A45="","",IF('Project Control'!D45="","",'Project Control'!D45))</x:f>
      </x:c>
      <x:c r="C45" s="8" t="str">
        <x:f>IF(A45="","",IF('Project Control'!E45="","",'Project Control'!E45))</x:f>
      </x:c>
      <x:c r="D45" t="str">
        <x:f>IF(A45="","",IF('Project Control'!F45="","",'Project Control'!F45))</x:f>
      </x:c>
      <x:c r="E45" t="str">
        <x:f>IF(A45="","",IF('Project Control'!G45="","",'Project Control'!G45))</x:f>
      </x:c>
      <x:c r="F45" t="str">
        <x:f>IF(A45="","",IF('Project Control'!I45="","",'Project Control'!I45))</x:f>
      </x:c>
      <x:c r="G45" s="8" t="str">
        <x:f>IF(A45="","",IF('Project Control'!J45="","",'Project Control'!J45))</x:f>
      </x:c>
      <x:c r="H45" s="8" t="str">
        <x:f>IF(A45="","",IF('Project Control'!K45="","",'Project Control'!K45))</x:f>
      </x:c>
      <x:c r="I45" t="str">
        <x:f>IF(A45="","",IF('Project Control'!L45="","",'Project Control'!L45))</x:f>
      </x:c>
      <x:c r="J45" s="8" t="str">
        <x:f>IF(A45="","",IF('Project Control'!O45="","",'Project Control'!O45))</x:f>
      </x:c>
      <x:c r="K45" s="25" t="str">
        <x:f>IF(A45="","","OPERATIONAL CONTROL; NO RECEIPT, LIABILITY OR PAYMENT INFERENCE")</x:f>
      </x:c>
    </x:row>
    <x:row r="46">
      <x:c r="A46" t="str">
        <x:f>IF('Project Control'!A46="","",'Project Control'!A46)</x:f>
      </x:c>
      <x:c r="B46" t="str">
        <x:f>IF(A46="","",IF('Project Control'!D46="","",'Project Control'!D46))</x:f>
      </x:c>
      <x:c r="C46" s="8" t="str">
        <x:f>IF(A46="","",IF('Project Control'!E46="","",'Project Control'!E46))</x:f>
      </x:c>
      <x:c r="D46" t="str">
        <x:f>IF(A46="","",IF('Project Control'!F46="","",'Project Control'!F46))</x:f>
      </x:c>
      <x:c r="E46" t="str">
        <x:f>IF(A46="","",IF('Project Control'!G46="","",'Project Control'!G46))</x:f>
      </x:c>
      <x:c r="F46" t="str">
        <x:f>IF(A46="","",IF('Project Control'!I46="","",'Project Control'!I46))</x:f>
      </x:c>
      <x:c r="G46" s="8" t="str">
        <x:f>IF(A46="","",IF('Project Control'!J46="","",'Project Control'!J46))</x:f>
      </x:c>
      <x:c r="H46" s="8" t="str">
        <x:f>IF(A46="","",IF('Project Control'!K46="","",'Project Control'!K46))</x:f>
      </x:c>
      <x:c r="I46" t="str">
        <x:f>IF(A46="","",IF('Project Control'!L46="","",'Project Control'!L46))</x:f>
      </x:c>
      <x:c r="J46" s="8" t="str">
        <x:f>IF(A46="","",IF('Project Control'!O46="","",'Project Control'!O46))</x:f>
      </x:c>
      <x:c r="K46" s="25" t="str">
        <x:f>IF(A46="","","OPERATIONAL CONTROL; NO RECEIPT, LIABILITY OR PAYMENT INFERENCE")</x:f>
      </x:c>
    </x:row>
    <x:row r="47">
      <x:c r="A47" t="str">
        <x:f>IF('Project Control'!A47="","",'Project Control'!A47)</x:f>
      </x:c>
      <x:c r="B47" t="str">
        <x:f>IF(A47="","",IF('Project Control'!D47="","",'Project Control'!D47))</x:f>
      </x:c>
      <x:c r="C47" s="8" t="str">
        <x:f>IF(A47="","",IF('Project Control'!E47="","",'Project Control'!E47))</x:f>
      </x:c>
      <x:c r="D47" t="str">
        <x:f>IF(A47="","",IF('Project Control'!F47="","",'Project Control'!F47))</x:f>
      </x:c>
      <x:c r="E47" t="str">
        <x:f>IF(A47="","",IF('Project Control'!G47="","",'Project Control'!G47))</x:f>
      </x:c>
      <x:c r="F47" t="str">
        <x:f>IF(A47="","",IF('Project Control'!I47="","",'Project Control'!I47))</x:f>
      </x:c>
      <x:c r="G47" s="8" t="str">
        <x:f>IF(A47="","",IF('Project Control'!J47="","",'Project Control'!J47))</x:f>
      </x:c>
      <x:c r="H47" s="8" t="str">
        <x:f>IF(A47="","",IF('Project Control'!K47="","",'Project Control'!K47))</x:f>
      </x:c>
      <x:c r="I47" t="str">
        <x:f>IF(A47="","",IF('Project Control'!L47="","",'Project Control'!L47))</x:f>
      </x:c>
      <x:c r="J47" s="8" t="str">
        <x:f>IF(A47="","",IF('Project Control'!O47="","",'Project Control'!O47))</x:f>
      </x:c>
      <x:c r="K47" s="25" t="str">
        <x:f>IF(A47="","","OPERATIONAL CONTROL; NO RECEIPT, LIABILITY OR PAYMENT INFERENCE")</x:f>
      </x:c>
    </x:row>
    <x:row r="48">
      <x:c r="A48" t="str">
        <x:f>IF('Project Control'!A48="","",'Project Control'!A48)</x:f>
      </x:c>
      <x:c r="B48" t="str">
        <x:f>IF(A48="","",IF('Project Control'!D48="","",'Project Control'!D48))</x:f>
      </x:c>
      <x:c r="C48" s="8" t="str">
        <x:f>IF(A48="","",IF('Project Control'!E48="","",'Project Control'!E48))</x:f>
      </x:c>
      <x:c r="D48" t="str">
        <x:f>IF(A48="","",IF('Project Control'!F48="","",'Project Control'!F48))</x:f>
      </x:c>
      <x:c r="E48" t="str">
        <x:f>IF(A48="","",IF('Project Control'!G48="","",'Project Control'!G48))</x:f>
      </x:c>
      <x:c r="F48" t="str">
        <x:f>IF(A48="","",IF('Project Control'!I48="","",'Project Control'!I48))</x:f>
      </x:c>
      <x:c r="G48" s="8" t="str">
        <x:f>IF(A48="","",IF('Project Control'!J48="","",'Project Control'!J48))</x:f>
      </x:c>
      <x:c r="H48" s="8" t="str">
        <x:f>IF(A48="","",IF('Project Control'!K48="","",'Project Control'!K48))</x:f>
      </x:c>
      <x:c r="I48" t="str">
        <x:f>IF(A48="","",IF('Project Control'!L48="","",'Project Control'!L48))</x:f>
      </x:c>
      <x:c r="J48" s="8" t="str">
        <x:f>IF(A48="","",IF('Project Control'!O48="","",'Project Control'!O48))</x:f>
      </x:c>
      <x:c r="K48" s="25" t="str">
        <x:f>IF(A48="","","OPERATIONAL CONTROL; NO RECEIPT, LIABILITY OR PAYMENT INFERENCE")</x:f>
      </x:c>
    </x:row>
    <x:row r="49">
      <x:c r="A49" t="str">
        <x:f>IF('Project Control'!A49="","",'Project Control'!A49)</x:f>
      </x:c>
      <x:c r="B49" t="str">
        <x:f>IF(A49="","",IF('Project Control'!D49="","",'Project Control'!D49))</x:f>
      </x:c>
      <x:c r="C49" s="8" t="str">
        <x:f>IF(A49="","",IF('Project Control'!E49="","",'Project Control'!E49))</x:f>
      </x:c>
      <x:c r="D49" t="str">
        <x:f>IF(A49="","",IF('Project Control'!F49="","",'Project Control'!F49))</x:f>
      </x:c>
      <x:c r="E49" t="str">
        <x:f>IF(A49="","",IF('Project Control'!G49="","",'Project Control'!G49))</x:f>
      </x:c>
      <x:c r="F49" t="str">
        <x:f>IF(A49="","",IF('Project Control'!I49="","",'Project Control'!I49))</x:f>
      </x:c>
      <x:c r="G49" s="8" t="str">
        <x:f>IF(A49="","",IF('Project Control'!J49="","",'Project Control'!J49))</x:f>
      </x:c>
      <x:c r="H49" s="8" t="str">
        <x:f>IF(A49="","",IF('Project Control'!K49="","",'Project Control'!K49))</x:f>
      </x:c>
      <x:c r="I49" t="str">
        <x:f>IF(A49="","",IF('Project Control'!L49="","",'Project Control'!L49))</x:f>
      </x:c>
      <x:c r="J49" s="8" t="str">
        <x:f>IF(A49="","",IF('Project Control'!O49="","",'Project Control'!O49))</x:f>
      </x:c>
      <x:c r="K49" s="25" t="str">
        <x:f>IF(A49="","","OPERATIONAL CONTROL; NO RECEIPT, LIABILITY OR PAYMENT INFERENCE")</x:f>
      </x:c>
    </x:row>
    <x:row r="50">
      <x:c r="A50" t="str">
        <x:f>IF('Project Control'!A50="","",'Project Control'!A50)</x:f>
      </x:c>
      <x:c r="B50" t="str">
        <x:f>IF(A50="","",IF('Project Control'!D50="","",'Project Control'!D50))</x:f>
      </x:c>
      <x:c r="C50" s="8" t="str">
        <x:f>IF(A50="","",IF('Project Control'!E50="","",'Project Control'!E50))</x:f>
      </x:c>
      <x:c r="D50" t="str">
        <x:f>IF(A50="","",IF('Project Control'!F50="","",'Project Control'!F50))</x:f>
      </x:c>
      <x:c r="E50" t="str">
        <x:f>IF(A50="","",IF('Project Control'!G50="","",'Project Control'!G50))</x:f>
      </x:c>
      <x:c r="F50" t="str">
        <x:f>IF(A50="","",IF('Project Control'!I50="","",'Project Control'!I50))</x:f>
      </x:c>
      <x:c r="G50" s="8" t="str">
        <x:f>IF(A50="","",IF('Project Control'!J50="","",'Project Control'!J50))</x:f>
      </x:c>
      <x:c r="H50" s="8" t="str">
        <x:f>IF(A50="","",IF('Project Control'!K50="","",'Project Control'!K50))</x:f>
      </x:c>
      <x:c r="I50" t="str">
        <x:f>IF(A50="","",IF('Project Control'!L50="","",'Project Control'!L50))</x:f>
      </x:c>
      <x:c r="J50" s="8" t="str">
        <x:f>IF(A50="","",IF('Project Control'!O50="","",'Project Control'!O50))</x:f>
      </x:c>
      <x:c r="K50" s="25" t="str">
        <x:f>IF(A50="","","OPERATIONAL CONTROL; NO RECEIPT, LIABILITY OR PAYMENT INFERENCE")</x:f>
      </x:c>
    </x:row>
    <x:row r="51">
      <x:c r="A51" t="str">
        <x:f>IF('Project Control'!A51="","",'Project Control'!A51)</x:f>
      </x:c>
      <x:c r="B51" t="str">
        <x:f>IF(A51="","",IF('Project Control'!D51="","",'Project Control'!D51))</x:f>
      </x:c>
      <x:c r="C51" s="8" t="str">
        <x:f>IF(A51="","",IF('Project Control'!E51="","",'Project Control'!E51))</x:f>
      </x:c>
      <x:c r="D51" t="str">
        <x:f>IF(A51="","",IF('Project Control'!F51="","",'Project Control'!F51))</x:f>
      </x:c>
      <x:c r="E51" t="str">
        <x:f>IF(A51="","",IF('Project Control'!G51="","",'Project Control'!G51))</x:f>
      </x:c>
      <x:c r="F51" t="str">
        <x:f>IF(A51="","",IF('Project Control'!I51="","",'Project Control'!I51))</x:f>
      </x:c>
      <x:c r="G51" s="8" t="str">
        <x:f>IF(A51="","",IF('Project Control'!J51="","",'Project Control'!J51))</x:f>
      </x:c>
      <x:c r="H51" s="8" t="str">
        <x:f>IF(A51="","",IF('Project Control'!K51="","",'Project Control'!K51))</x:f>
      </x:c>
      <x:c r="I51" t="str">
        <x:f>IF(A51="","",IF('Project Control'!L51="","",'Project Control'!L51))</x:f>
      </x:c>
      <x:c r="J51" s="8" t="str">
        <x:f>IF(A51="","",IF('Project Control'!O51="","",'Project Control'!O51))</x:f>
      </x:c>
      <x:c r="K51" s="25" t="str">
        <x:f>IF(A51="","","OPERATIONAL CONTROL; NO RECEIPT, LIABILITY OR PAYMENT INFERENCE")</x:f>
      </x:c>
    </x:row>
    <x:row r="52">
      <x:c r="A52" t="str">
        <x:f>IF('Project Control'!A52="","",'Project Control'!A52)</x:f>
      </x:c>
      <x:c r="B52" t="str">
        <x:f>IF(A52="","",IF('Project Control'!D52="","",'Project Control'!D52))</x:f>
      </x:c>
      <x:c r="C52" s="8" t="str">
        <x:f>IF(A52="","",IF('Project Control'!E52="","",'Project Control'!E52))</x:f>
      </x:c>
      <x:c r="D52" t="str">
        <x:f>IF(A52="","",IF('Project Control'!F52="","",'Project Control'!F52))</x:f>
      </x:c>
      <x:c r="E52" t="str">
        <x:f>IF(A52="","",IF('Project Control'!G52="","",'Project Control'!G52))</x:f>
      </x:c>
      <x:c r="F52" t="str">
        <x:f>IF(A52="","",IF('Project Control'!I52="","",'Project Control'!I52))</x:f>
      </x:c>
      <x:c r="G52" s="8" t="str">
        <x:f>IF(A52="","",IF('Project Control'!J52="","",'Project Control'!J52))</x:f>
      </x:c>
      <x:c r="H52" s="8" t="str">
        <x:f>IF(A52="","",IF('Project Control'!K52="","",'Project Control'!K52))</x:f>
      </x:c>
      <x:c r="I52" t="str">
        <x:f>IF(A52="","",IF('Project Control'!L52="","",'Project Control'!L52))</x:f>
      </x:c>
      <x:c r="J52" s="8" t="str">
        <x:f>IF(A52="","",IF('Project Control'!O52="","",'Project Control'!O52))</x:f>
      </x:c>
      <x:c r="K52" s="25" t="str">
        <x:f>IF(A52="","","OPERATIONAL CONTROL; NO RECEIPT, LIABILITY OR PAYMENT INFERENCE")</x:f>
      </x:c>
    </x:row>
    <x:row r="53">
      <x:c r="A53" t="str">
        <x:f>IF('Project Control'!A53="","",'Project Control'!A53)</x:f>
      </x:c>
      <x:c r="B53" t="str">
        <x:f>IF(A53="","",IF('Project Control'!D53="","",'Project Control'!D53))</x:f>
      </x:c>
      <x:c r="C53" s="8" t="str">
        <x:f>IF(A53="","",IF('Project Control'!E53="","",'Project Control'!E53))</x:f>
      </x:c>
      <x:c r="D53" t="str">
        <x:f>IF(A53="","",IF('Project Control'!F53="","",'Project Control'!F53))</x:f>
      </x:c>
      <x:c r="E53" t="str">
        <x:f>IF(A53="","",IF('Project Control'!G53="","",'Project Control'!G53))</x:f>
      </x:c>
      <x:c r="F53" t="str">
        <x:f>IF(A53="","",IF('Project Control'!I53="","",'Project Control'!I53))</x:f>
      </x:c>
      <x:c r="G53" s="8" t="str">
        <x:f>IF(A53="","",IF('Project Control'!J53="","",'Project Control'!J53))</x:f>
      </x:c>
      <x:c r="H53" s="8" t="str">
        <x:f>IF(A53="","",IF('Project Control'!K53="","",'Project Control'!K53))</x:f>
      </x:c>
      <x:c r="I53" t="str">
        <x:f>IF(A53="","",IF('Project Control'!L53="","",'Project Control'!L53))</x:f>
      </x:c>
      <x:c r="J53" s="8" t="str">
        <x:f>IF(A53="","",IF('Project Control'!O53="","",'Project Control'!O53))</x:f>
      </x:c>
      <x:c r="K53" s="25" t="str">
        <x:f>IF(A53="","","OPERATIONAL CONTROL; NO RECEIPT, LIABILITY OR PAYMENT INFERENCE")</x:f>
      </x:c>
    </x:row>
    <x:row r="54">
      <x:c r="A54" t="str">
        <x:f>IF('Project Control'!A54="","",'Project Control'!A54)</x:f>
      </x:c>
      <x:c r="B54" t="str">
        <x:f>IF(A54="","",IF('Project Control'!D54="","",'Project Control'!D54))</x:f>
      </x:c>
      <x:c r="C54" s="8" t="str">
        <x:f>IF(A54="","",IF('Project Control'!E54="","",'Project Control'!E54))</x:f>
      </x:c>
      <x:c r="D54" t="str">
        <x:f>IF(A54="","",IF('Project Control'!F54="","",'Project Control'!F54))</x:f>
      </x:c>
      <x:c r="E54" t="str">
        <x:f>IF(A54="","",IF('Project Control'!G54="","",'Project Control'!G54))</x:f>
      </x:c>
      <x:c r="F54" t="str">
        <x:f>IF(A54="","",IF('Project Control'!I54="","",'Project Control'!I54))</x:f>
      </x:c>
      <x:c r="G54" s="8" t="str">
        <x:f>IF(A54="","",IF('Project Control'!J54="","",'Project Control'!J54))</x:f>
      </x:c>
      <x:c r="H54" s="8" t="str">
        <x:f>IF(A54="","",IF('Project Control'!K54="","",'Project Control'!K54))</x:f>
      </x:c>
      <x:c r="I54" t="str">
        <x:f>IF(A54="","",IF('Project Control'!L54="","",'Project Control'!L54))</x:f>
      </x:c>
      <x:c r="J54" s="8" t="str">
        <x:f>IF(A54="","",IF('Project Control'!O54="","",'Project Control'!O54))</x:f>
      </x:c>
      <x:c r="K54" s="25" t="str">
        <x:f>IF(A54="","","OPERATIONAL CONTROL; NO RECEIPT, LIABILITY OR PAYMENT INFERENCE")</x:f>
      </x:c>
    </x:row>
    <x:row r="55">
      <x:c r="A55" t="str">
        <x:f>IF('Project Control'!A55="","",'Project Control'!A55)</x:f>
      </x:c>
      <x:c r="B55" t="str">
        <x:f>IF(A55="","",IF('Project Control'!D55="","",'Project Control'!D55))</x:f>
      </x:c>
      <x:c r="C55" s="8" t="str">
        <x:f>IF(A55="","",IF('Project Control'!E55="","",'Project Control'!E55))</x:f>
      </x:c>
      <x:c r="D55" t="str">
        <x:f>IF(A55="","",IF('Project Control'!F55="","",'Project Control'!F55))</x:f>
      </x:c>
      <x:c r="E55" t="str">
        <x:f>IF(A55="","",IF('Project Control'!G55="","",'Project Control'!G55))</x:f>
      </x:c>
      <x:c r="F55" t="str">
        <x:f>IF(A55="","",IF('Project Control'!I55="","",'Project Control'!I55))</x:f>
      </x:c>
      <x:c r="G55" s="8" t="str">
        <x:f>IF(A55="","",IF('Project Control'!J55="","",'Project Control'!J55))</x:f>
      </x:c>
      <x:c r="H55" s="8" t="str">
        <x:f>IF(A55="","",IF('Project Control'!K55="","",'Project Control'!K55))</x:f>
      </x:c>
      <x:c r="I55" t="str">
        <x:f>IF(A55="","",IF('Project Control'!L55="","",'Project Control'!L55))</x:f>
      </x:c>
      <x:c r="J55" s="8" t="str">
        <x:f>IF(A55="","",IF('Project Control'!O55="","",'Project Control'!O55))</x:f>
      </x:c>
      <x:c r="K55" s="25" t="str">
        <x:f>IF(A55="","","OPERATIONAL CONTROL; NO RECEIPT, LIABILITY OR PAYMENT INFERENCE")</x:f>
      </x:c>
    </x:row>
    <x:row r="56">
      <x:c r="A56" t="str">
        <x:f>IF('Project Control'!A56="","",'Project Control'!A56)</x:f>
      </x:c>
      <x:c r="B56" t="str">
        <x:f>IF(A56="","",IF('Project Control'!D56="","",'Project Control'!D56))</x:f>
      </x:c>
      <x:c r="C56" s="8" t="str">
        <x:f>IF(A56="","",IF('Project Control'!E56="","",'Project Control'!E56))</x:f>
      </x:c>
      <x:c r="D56" t="str">
        <x:f>IF(A56="","",IF('Project Control'!F56="","",'Project Control'!F56))</x:f>
      </x:c>
      <x:c r="E56" t="str">
        <x:f>IF(A56="","",IF('Project Control'!G56="","",'Project Control'!G56))</x:f>
      </x:c>
      <x:c r="F56" t="str">
        <x:f>IF(A56="","",IF('Project Control'!I56="","",'Project Control'!I56))</x:f>
      </x:c>
      <x:c r="G56" s="8" t="str">
        <x:f>IF(A56="","",IF('Project Control'!J56="","",'Project Control'!J56))</x:f>
      </x:c>
      <x:c r="H56" s="8" t="str">
        <x:f>IF(A56="","",IF('Project Control'!K56="","",'Project Control'!K56))</x:f>
      </x:c>
      <x:c r="I56" t="str">
        <x:f>IF(A56="","",IF('Project Control'!L56="","",'Project Control'!L56))</x:f>
      </x:c>
      <x:c r="J56" s="8" t="str">
        <x:f>IF(A56="","",IF('Project Control'!O56="","",'Project Control'!O56))</x:f>
      </x:c>
      <x:c r="K56" s="25" t="str">
        <x:f>IF(A56="","","OPERATIONAL CONTROL; NO RECEIPT, LIABILITY OR PAYMENT INFERENCE")</x:f>
      </x:c>
    </x:row>
    <x:row r="57">
      <x:c r="A57" t="str">
        <x:f>IF('Project Control'!A57="","",'Project Control'!A57)</x:f>
      </x:c>
      <x:c r="B57" t="str">
        <x:f>IF(A57="","",IF('Project Control'!D57="","",'Project Control'!D57))</x:f>
      </x:c>
      <x:c r="C57" s="8" t="str">
        <x:f>IF(A57="","",IF('Project Control'!E57="","",'Project Control'!E57))</x:f>
      </x:c>
      <x:c r="D57" t="str">
        <x:f>IF(A57="","",IF('Project Control'!F57="","",'Project Control'!F57))</x:f>
      </x:c>
      <x:c r="E57" t="str">
        <x:f>IF(A57="","",IF('Project Control'!G57="","",'Project Control'!G57))</x:f>
      </x:c>
      <x:c r="F57" t="str">
        <x:f>IF(A57="","",IF('Project Control'!I57="","",'Project Control'!I57))</x:f>
      </x:c>
      <x:c r="G57" s="8" t="str">
        <x:f>IF(A57="","",IF('Project Control'!J57="","",'Project Control'!J57))</x:f>
      </x:c>
      <x:c r="H57" s="8" t="str">
        <x:f>IF(A57="","",IF('Project Control'!K57="","",'Project Control'!K57))</x:f>
      </x:c>
      <x:c r="I57" t="str">
        <x:f>IF(A57="","",IF('Project Control'!L57="","",'Project Control'!L57))</x:f>
      </x:c>
      <x:c r="J57" s="8" t="str">
        <x:f>IF(A57="","",IF('Project Control'!O57="","",'Project Control'!O57))</x:f>
      </x:c>
      <x:c r="K57" s="25" t="str">
        <x:f>IF(A57="","","OPERATIONAL CONTROL; NO RECEIPT, LIABILITY OR PAYMENT INFERENCE")</x:f>
      </x:c>
    </x:row>
    <x:row r="58">
      <x:c r="A58" t="str">
        <x:f>IF('Project Control'!A58="","",'Project Control'!A58)</x:f>
      </x:c>
      <x:c r="B58" t="str">
        <x:f>IF(A58="","",IF('Project Control'!D58="","",'Project Control'!D58))</x:f>
      </x:c>
      <x:c r="C58" s="8" t="str">
        <x:f>IF(A58="","",IF('Project Control'!E58="","",'Project Control'!E58))</x:f>
      </x:c>
      <x:c r="D58" t="str">
        <x:f>IF(A58="","",IF('Project Control'!F58="","",'Project Control'!F58))</x:f>
      </x:c>
      <x:c r="E58" t="str">
        <x:f>IF(A58="","",IF('Project Control'!G58="","",'Project Control'!G58))</x:f>
      </x:c>
      <x:c r="F58" t="str">
        <x:f>IF(A58="","",IF('Project Control'!I58="","",'Project Control'!I58))</x:f>
      </x:c>
      <x:c r="G58" s="8" t="str">
        <x:f>IF(A58="","",IF('Project Control'!J58="","",'Project Control'!J58))</x:f>
      </x:c>
      <x:c r="H58" s="8" t="str">
        <x:f>IF(A58="","",IF('Project Control'!K58="","",'Project Control'!K58))</x:f>
      </x:c>
      <x:c r="I58" t="str">
        <x:f>IF(A58="","",IF('Project Control'!L58="","",'Project Control'!L58))</x:f>
      </x:c>
      <x:c r="J58" s="8" t="str">
        <x:f>IF(A58="","",IF('Project Control'!O58="","",'Project Control'!O58))</x:f>
      </x:c>
      <x:c r="K58" s="25" t="str">
        <x:f>IF(A58="","","OPERATIONAL CONTROL; NO RECEIPT, LIABILITY OR PAYMENT INFERENCE")</x:f>
      </x:c>
    </x:row>
    <x:row r="59">
      <x:c r="A59" t="str">
        <x:f>IF('Project Control'!A59="","",'Project Control'!A59)</x:f>
      </x:c>
      <x:c r="B59" t="str">
        <x:f>IF(A59="","",IF('Project Control'!D59="","",'Project Control'!D59))</x:f>
      </x:c>
      <x:c r="C59" s="8" t="str">
        <x:f>IF(A59="","",IF('Project Control'!E59="","",'Project Control'!E59))</x:f>
      </x:c>
      <x:c r="D59" t="str">
        <x:f>IF(A59="","",IF('Project Control'!F59="","",'Project Control'!F59))</x:f>
      </x:c>
      <x:c r="E59" t="str">
        <x:f>IF(A59="","",IF('Project Control'!G59="","",'Project Control'!G59))</x:f>
      </x:c>
      <x:c r="F59" t="str">
        <x:f>IF(A59="","",IF('Project Control'!I59="","",'Project Control'!I59))</x:f>
      </x:c>
      <x:c r="G59" s="8" t="str">
        <x:f>IF(A59="","",IF('Project Control'!J59="","",'Project Control'!J59))</x:f>
      </x:c>
      <x:c r="H59" s="8" t="str">
        <x:f>IF(A59="","",IF('Project Control'!K59="","",'Project Control'!K59))</x:f>
      </x:c>
      <x:c r="I59" t="str">
        <x:f>IF(A59="","",IF('Project Control'!L59="","",'Project Control'!L59))</x:f>
      </x:c>
      <x:c r="J59" s="8" t="str">
        <x:f>IF(A59="","",IF('Project Control'!O59="","",'Project Control'!O59))</x:f>
      </x:c>
      <x:c r="K59" s="25" t="str">
        <x:f>IF(A59="","","OPERATIONAL CONTROL; NO RECEIPT, LIABILITY OR PAYMENT INFERENCE")</x:f>
      </x:c>
    </x:row>
    <x:row r="60">
      <x:c r="A60" t="str">
        <x:f>IF('Project Control'!A60="","",'Project Control'!A60)</x:f>
      </x:c>
      <x:c r="B60" t="str">
        <x:f>IF(A60="","",IF('Project Control'!D60="","",'Project Control'!D60))</x:f>
      </x:c>
      <x:c r="C60" s="8" t="str">
        <x:f>IF(A60="","",IF('Project Control'!E60="","",'Project Control'!E60))</x:f>
      </x:c>
      <x:c r="D60" t="str">
        <x:f>IF(A60="","",IF('Project Control'!F60="","",'Project Control'!F60))</x:f>
      </x:c>
      <x:c r="E60" t="str">
        <x:f>IF(A60="","",IF('Project Control'!G60="","",'Project Control'!G60))</x:f>
      </x:c>
      <x:c r="F60" t="str">
        <x:f>IF(A60="","",IF('Project Control'!I60="","",'Project Control'!I60))</x:f>
      </x:c>
      <x:c r="G60" s="8" t="str">
        <x:f>IF(A60="","",IF('Project Control'!J60="","",'Project Control'!J60))</x:f>
      </x:c>
      <x:c r="H60" s="8" t="str">
        <x:f>IF(A60="","",IF('Project Control'!K60="","",'Project Control'!K60))</x:f>
      </x:c>
      <x:c r="I60" t="str">
        <x:f>IF(A60="","",IF('Project Control'!L60="","",'Project Control'!L60))</x:f>
      </x:c>
      <x:c r="J60" s="8" t="str">
        <x:f>IF(A60="","",IF('Project Control'!O60="","",'Project Control'!O60))</x:f>
      </x:c>
      <x:c r="K60" s="25" t="str">
        <x:f>IF(A60="","","OPERATIONAL CONTROL; NO RECEIPT, LIABILITY OR PAYMENT INFERENCE")</x:f>
      </x:c>
    </x:row>
    <x:row r="61">
      <x:c r="A61" t="str">
        <x:f>IF('Project Control'!A61="","",'Project Control'!A61)</x:f>
      </x:c>
      <x:c r="B61" t="str">
        <x:f>IF(A61="","",IF('Project Control'!D61="","",'Project Control'!D61))</x:f>
      </x:c>
      <x:c r="C61" s="8" t="str">
        <x:f>IF(A61="","",IF('Project Control'!E61="","",'Project Control'!E61))</x:f>
      </x:c>
      <x:c r="D61" t="str">
        <x:f>IF(A61="","",IF('Project Control'!F61="","",'Project Control'!F61))</x:f>
      </x:c>
      <x:c r="E61" t="str">
        <x:f>IF(A61="","",IF('Project Control'!G61="","",'Project Control'!G61))</x:f>
      </x:c>
      <x:c r="F61" t="str">
        <x:f>IF(A61="","",IF('Project Control'!I61="","",'Project Control'!I61))</x:f>
      </x:c>
      <x:c r="G61" s="8" t="str">
        <x:f>IF(A61="","",IF('Project Control'!J61="","",'Project Control'!J61))</x:f>
      </x:c>
      <x:c r="H61" s="8" t="str">
        <x:f>IF(A61="","",IF('Project Control'!K61="","",'Project Control'!K61))</x:f>
      </x:c>
      <x:c r="I61" t="str">
        <x:f>IF(A61="","",IF('Project Control'!L61="","",'Project Control'!L61))</x:f>
      </x:c>
      <x:c r="J61" s="8" t="str">
        <x:f>IF(A61="","",IF('Project Control'!O61="","",'Project Control'!O61))</x:f>
      </x:c>
      <x:c r="K61" s="25" t="str">
        <x:f>IF(A61="","","OPERATIONAL CONTROL; NO RECEIPT, LIABILITY OR PAYMENT INFERENCE")</x:f>
      </x:c>
    </x:row>
    <x:row r="62">
      <x:c r="A62" t="str">
        <x:f>IF('Project Control'!A62="","",'Project Control'!A62)</x:f>
      </x:c>
      <x:c r="B62" t="str">
        <x:f>IF(A62="","",IF('Project Control'!D62="","",'Project Control'!D62))</x:f>
      </x:c>
      <x:c r="C62" s="8" t="str">
        <x:f>IF(A62="","",IF('Project Control'!E62="","",'Project Control'!E62))</x:f>
      </x:c>
      <x:c r="D62" t="str">
        <x:f>IF(A62="","",IF('Project Control'!F62="","",'Project Control'!F62))</x:f>
      </x:c>
      <x:c r="E62" t="str">
        <x:f>IF(A62="","",IF('Project Control'!G62="","",'Project Control'!G62))</x:f>
      </x:c>
      <x:c r="F62" t="str">
        <x:f>IF(A62="","",IF('Project Control'!I62="","",'Project Control'!I62))</x:f>
      </x:c>
      <x:c r="G62" s="8" t="str">
        <x:f>IF(A62="","",IF('Project Control'!J62="","",'Project Control'!J62))</x:f>
      </x:c>
      <x:c r="H62" s="8" t="str">
        <x:f>IF(A62="","",IF('Project Control'!K62="","",'Project Control'!K62))</x:f>
      </x:c>
      <x:c r="I62" t="str">
        <x:f>IF(A62="","",IF('Project Control'!L62="","",'Project Control'!L62))</x:f>
      </x:c>
      <x:c r="J62" s="8" t="str">
        <x:f>IF(A62="","",IF('Project Control'!O62="","",'Project Control'!O62))</x:f>
      </x:c>
      <x:c r="K62" s="25" t="str">
        <x:f>IF(A62="","","OPERATIONAL CONTROL; NO RECEIPT, LIABILITY OR PAYMENT INFERENCE")</x:f>
      </x:c>
    </x:row>
    <x:row r="63">
      <x:c r="A63" t="str">
        <x:f>IF('Project Control'!A63="","",'Project Control'!A63)</x:f>
      </x:c>
      <x:c r="B63" t="str">
        <x:f>IF(A63="","",IF('Project Control'!D63="","",'Project Control'!D63))</x:f>
      </x:c>
      <x:c r="C63" s="8" t="str">
        <x:f>IF(A63="","",IF('Project Control'!E63="","",'Project Control'!E63))</x:f>
      </x:c>
      <x:c r="D63" t="str">
        <x:f>IF(A63="","",IF('Project Control'!F63="","",'Project Control'!F63))</x:f>
      </x:c>
      <x:c r="E63" t="str">
        <x:f>IF(A63="","",IF('Project Control'!G63="","",'Project Control'!G63))</x:f>
      </x:c>
      <x:c r="F63" t="str">
        <x:f>IF(A63="","",IF('Project Control'!I63="","",'Project Control'!I63))</x:f>
      </x:c>
      <x:c r="G63" s="8" t="str">
        <x:f>IF(A63="","",IF('Project Control'!J63="","",'Project Control'!J63))</x:f>
      </x:c>
      <x:c r="H63" s="8" t="str">
        <x:f>IF(A63="","",IF('Project Control'!K63="","",'Project Control'!K63))</x:f>
      </x:c>
      <x:c r="I63" t="str">
        <x:f>IF(A63="","",IF('Project Control'!L63="","",'Project Control'!L63))</x:f>
      </x:c>
      <x:c r="J63" s="8" t="str">
        <x:f>IF(A63="","",IF('Project Control'!O63="","",'Project Control'!O63))</x:f>
      </x:c>
      <x:c r="K63" s="25" t="str">
        <x:f>IF(A63="","","OPERATIONAL CONTROL; NO RECEIPT, LIABILITY OR PAYMENT INFERENCE")</x:f>
      </x:c>
    </x:row>
    <x:row r="64">
      <x:c r="A64" t="str">
        <x:f>IF('Project Control'!A64="","",'Project Control'!A64)</x:f>
      </x:c>
      <x:c r="B64" t="str">
        <x:f>IF(A64="","",IF('Project Control'!D64="","",'Project Control'!D64))</x:f>
      </x:c>
      <x:c r="C64" s="8" t="str">
        <x:f>IF(A64="","",IF('Project Control'!E64="","",'Project Control'!E64))</x:f>
      </x:c>
      <x:c r="D64" t="str">
        <x:f>IF(A64="","",IF('Project Control'!F64="","",'Project Control'!F64))</x:f>
      </x:c>
      <x:c r="E64" t="str">
        <x:f>IF(A64="","",IF('Project Control'!G64="","",'Project Control'!G64))</x:f>
      </x:c>
      <x:c r="F64" t="str">
        <x:f>IF(A64="","",IF('Project Control'!I64="","",'Project Control'!I64))</x:f>
      </x:c>
      <x:c r="G64" s="8" t="str">
        <x:f>IF(A64="","",IF('Project Control'!J64="","",'Project Control'!J64))</x:f>
      </x:c>
      <x:c r="H64" s="8" t="str">
        <x:f>IF(A64="","",IF('Project Control'!K64="","",'Project Control'!K64))</x:f>
      </x:c>
      <x:c r="I64" t="str">
        <x:f>IF(A64="","",IF('Project Control'!L64="","",'Project Control'!L64))</x:f>
      </x:c>
      <x:c r="J64" s="8" t="str">
        <x:f>IF(A64="","",IF('Project Control'!O64="","",'Project Control'!O64))</x:f>
      </x:c>
      <x:c r="K64" s="25" t="str">
        <x:f>IF(A64="","","OPERATIONAL CONTROL; NO RECEIPT, LIABILITY OR PAYMENT INFERENCE")</x:f>
      </x:c>
    </x:row>
    <x:row r="65">
      <x:c r="A65" t="str">
        <x:f>IF('Project Control'!A65="","",'Project Control'!A65)</x:f>
      </x:c>
      <x:c r="B65" t="str">
        <x:f>IF(A65="","",IF('Project Control'!D65="","",'Project Control'!D65))</x:f>
      </x:c>
      <x:c r="C65" s="8" t="str">
        <x:f>IF(A65="","",IF('Project Control'!E65="","",'Project Control'!E65))</x:f>
      </x:c>
      <x:c r="D65" t="str">
        <x:f>IF(A65="","",IF('Project Control'!F65="","",'Project Control'!F65))</x:f>
      </x:c>
      <x:c r="E65" t="str">
        <x:f>IF(A65="","",IF('Project Control'!G65="","",'Project Control'!G65))</x:f>
      </x:c>
      <x:c r="F65" t="str">
        <x:f>IF(A65="","",IF('Project Control'!I65="","",'Project Control'!I65))</x:f>
      </x:c>
      <x:c r="G65" s="8" t="str">
        <x:f>IF(A65="","",IF('Project Control'!J65="","",'Project Control'!J65))</x:f>
      </x:c>
      <x:c r="H65" s="8" t="str">
        <x:f>IF(A65="","",IF('Project Control'!K65="","",'Project Control'!K65))</x:f>
      </x:c>
      <x:c r="I65" t="str">
        <x:f>IF(A65="","",IF('Project Control'!L65="","",'Project Control'!L65))</x:f>
      </x:c>
      <x:c r="J65" s="8" t="str">
        <x:f>IF(A65="","",IF('Project Control'!O65="","",'Project Control'!O65))</x:f>
      </x:c>
      <x:c r="K65" s="25" t="str">
        <x:f>IF(A65="","","OPERATIONAL CONTROL; NO RECEIPT, LIABILITY OR PAYMENT INFERENCE")</x:f>
      </x:c>
    </x:row>
    <x:row r="66">
      <x:c r="A66" t="str">
        <x:f>IF('Project Control'!A66="","",'Project Control'!A66)</x:f>
      </x:c>
      <x:c r="B66" t="str">
        <x:f>IF(A66="","",IF('Project Control'!D66="","",'Project Control'!D66))</x:f>
      </x:c>
      <x:c r="C66" s="8" t="str">
        <x:f>IF(A66="","",IF('Project Control'!E66="","",'Project Control'!E66))</x:f>
      </x:c>
      <x:c r="D66" t="str">
        <x:f>IF(A66="","",IF('Project Control'!F66="","",'Project Control'!F66))</x:f>
      </x:c>
      <x:c r="E66" t="str">
        <x:f>IF(A66="","",IF('Project Control'!G66="","",'Project Control'!G66))</x:f>
      </x:c>
      <x:c r="F66" t="str">
        <x:f>IF(A66="","",IF('Project Control'!I66="","",'Project Control'!I66))</x:f>
      </x:c>
      <x:c r="G66" s="8" t="str">
        <x:f>IF(A66="","",IF('Project Control'!J66="","",'Project Control'!J66))</x:f>
      </x:c>
      <x:c r="H66" s="8" t="str">
        <x:f>IF(A66="","",IF('Project Control'!K66="","",'Project Control'!K66))</x:f>
      </x:c>
      <x:c r="I66" t="str">
        <x:f>IF(A66="","",IF('Project Control'!L66="","",'Project Control'!L66))</x:f>
      </x:c>
      <x:c r="J66" s="8" t="str">
        <x:f>IF(A66="","",IF('Project Control'!O66="","",'Project Control'!O66))</x:f>
      </x:c>
      <x:c r="K66" s="25" t="str">
        <x:f>IF(A66="","","OPERATIONAL CONTROL; NO RECEIPT, LIABILITY OR PAYMENT INFERENCE")</x:f>
      </x:c>
    </x:row>
    <x:row r="67">
      <x:c r="A67" t="str">
        <x:f>IF('Project Control'!A67="","",'Project Control'!A67)</x:f>
      </x:c>
      <x:c r="B67" t="str">
        <x:f>IF(A67="","",IF('Project Control'!D67="","",'Project Control'!D67))</x:f>
      </x:c>
      <x:c r="C67" s="8" t="str">
        <x:f>IF(A67="","",IF('Project Control'!E67="","",'Project Control'!E67))</x:f>
      </x:c>
      <x:c r="D67" t="str">
        <x:f>IF(A67="","",IF('Project Control'!F67="","",'Project Control'!F67))</x:f>
      </x:c>
      <x:c r="E67" t="str">
        <x:f>IF(A67="","",IF('Project Control'!G67="","",'Project Control'!G67))</x:f>
      </x:c>
      <x:c r="F67" t="str">
        <x:f>IF(A67="","",IF('Project Control'!I67="","",'Project Control'!I67))</x:f>
      </x:c>
      <x:c r="G67" s="8" t="str">
        <x:f>IF(A67="","",IF('Project Control'!J67="","",'Project Control'!J67))</x:f>
      </x:c>
      <x:c r="H67" s="8" t="str">
        <x:f>IF(A67="","",IF('Project Control'!K67="","",'Project Control'!K67))</x:f>
      </x:c>
      <x:c r="I67" t="str">
        <x:f>IF(A67="","",IF('Project Control'!L67="","",'Project Control'!L67))</x:f>
      </x:c>
      <x:c r="J67" s="8" t="str">
        <x:f>IF(A67="","",IF('Project Control'!O67="","",'Project Control'!O67))</x:f>
      </x:c>
      <x:c r="K67" s="25" t="str">
        <x:f>IF(A67="","","OPERATIONAL CONTROL; NO RECEIPT, LIABILITY OR PAYMENT INFERENCE")</x:f>
      </x:c>
    </x:row>
    <x:row r="68">
      <x:c r="A68" t="str">
        <x:f>IF('Project Control'!A68="","",'Project Control'!A68)</x:f>
      </x:c>
      <x:c r="B68" t="str">
        <x:f>IF(A68="","",IF('Project Control'!D68="","",'Project Control'!D68))</x:f>
      </x:c>
      <x:c r="C68" s="8" t="str">
        <x:f>IF(A68="","",IF('Project Control'!E68="","",'Project Control'!E68))</x:f>
      </x:c>
      <x:c r="D68" t="str">
        <x:f>IF(A68="","",IF('Project Control'!F68="","",'Project Control'!F68))</x:f>
      </x:c>
      <x:c r="E68" t="str">
        <x:f>IF(A68="","",IF('Project Control'!G68="","",'Project Control'!G68))</x:f>
      </x:c>
      <x:c r="F68" t="str">
        <x:f>IF(A68="","",IF('Project Control'!I68="","",'Project Control'!I68))</x:f>
      </x:c>
      <x:c r="G68" s="8" t="str">
        <x:f>IF(A68="","",IF('Project Control'!J68="","",'Project Control'!J68))</x:f>
      </x:c>
      <x:c r="H68" s="8" t="str">
        <x:f>IF(A68="","",IF('Project Control'!K68="","",'Project Control'!K68))</x:f>
      </x:c>
      <x:c r="I68" t="str">
        <x:f>IF(A68="","",IF('Project Control'!L68="","",'Project Control'!L68))</x:f>
      </x:c>
      <x:c r="J68" s="8" t="str">
        <x:f>IF(A68="","",IF('Project Control'!O68="","",'Project Control'!O68))</x:f>
      </x:c>
      <x:c r="K68" s="25" t="str">
        <x:f>IF(A68="","","OPERATIONAL CONTROL; NO RECEIPT, LIABILITY OR PAYMENT INFERENCE")</x:f>
      </x:c>
    </x:row>
    <x:row r="69">
      <x:c r="A69" t="str">
        <x:f>IF('Project Control'!A69="","",'Project Control'!A69)</x:f>
      </x:c>
      <x:c r="B69" t="str">
        <x:f>IF(A69="","",IF('Project Control'!D69="","",'Project Control'!D69))</x:f>
      </x:c>
      <x:c r="C69" s="8" t="str">
        <x:f>IF(A69="","",IF('Project Control'!E69="","",'Project Control'!E69))</x:f>
      </x:c>
      <x:c r="D69" t="str">
        <x:f>IF(A69="","",IF('Project Control'!F69="","",'Project Control'!F69))</x:f>
      </x:c>
      <x:c r="E69" t="str">
        <x:f>IF(A69="","",IF('Project Control'!G69="","",'Project Control'!G69))</x:f>
      </x:c>
      <x:c r="F69" t="str">
        <x:f>IF(A69="","",IF('Project Control'!I69="","",'Project Control'!I69))</x:f>
      </x:c>
      <x:c r="G69" s="8" t="str">
        <x:f>IF(A69="","",IF('Project Control'!J69="","",'Project Control'!J69))</x:f>
      </x:c>
      <x:c r="H69" s="8" t="str">
        <x:f>IF(A69="","",IF('Project Control'!K69="","",'Project Control'!K69))</x:f>
      </x:c>
      <x:c r="I69" t="str">
        <x:f>IF(A69="","",IF('Project Control'!L69="","",'Project Control'!L69))</x:f>
      </x:c>
      <x:c r="J69" s="8" t="str">
        <x:f>IF(A69="","",IF('Project Control'!O69="","",'Project Control'!O69))</x:f>
      </x:c>
      <x:c r="K69" s="25" t="str">
        <x:f>IF(A69="","","OPERATIONAL CONTROL; NO RECEIPT, LIABILITY OR PAYMENT INFERENCE")</x:f>
      </x:c>
    </x:row>
    <x:row r="70">
      <x:c r="A70" t="str">
        <x:f>IF('Project Control'!A70="","",'Project Control'!A70)</x:f>
      </x:c>
      <x:c r="B70" t="str">
        <x:f>IF(A70="","",IF('Project Control'!D70="","",'Project Control'!D70))</x:f>
      </x:c>
      <x:c r="C70" s="8" t="str">
        <x:f>IF(A70="","",IF('Project Control'!E70="","",'Project Control'!E70))</x:f>
      </x:c>
      <x:c r="D70" t="str">
        <x:f>IF(A70="","",IF('Project Control'!F70="","",'Project Control'!F70))</x:f>
      </x:c>
      <x:c r="E70" t="str">
        <x:f>IF(A70="","",IF('Project Control'!G70="","",'Project Control'!G70))</x:f>
      </x:c>
      <x:c r="F70" t="str">
        <x:f>IF(A70="","",IF('Project Control'!I70="","",'Project Control'!I70))</x:f>
      </x:c>
      <x:c r="G70" s="8" t="str">
        <x:f>IF(A70="","",IF('Project Control'!J70="","",'Project Control'!J70))</x:f>
      </x:c>
      <x:c r="H70" s="8" t="str">
        <x:f>IF(A70="","",IF('Project Control'!K70="","",'Project Control'!K70))</x:f>
      </x:c>
      <x:c r="I70" t="str">
        <x:f>IF(A70="","",IF('Project Control'!L70="","",'Project Control'!L70))</x:f>
      </x:c>
      <x:c r="J70" s="8" t="str">
        <x:f>IF(A70="","",IF('Project Control'!O70="","",'Project Control'!O70))</x:f>
      </x:c>
      <x:c r="K70" s="25" t="str">
        <x:f>IF(A70="","","OPERATIONAL CONTROL; NO RECEIPT, LIABILITY OR PAYMENT INFERENCE")</x:f>
      </x:c>
    </x:row>
    <x:row r="71">
      <x:c r="A71" t="str">
        <x:f>IF('Project Control'!A71="","",'Project Control'!A71)</x:f>
      </x:c>
      <x:c r="B71" t="str">
        <x:f>IF(A71="","",IF('Project Control'!D71="","",'Project Control'!D71))</x:f>
      </x:c>
      <x:c r="C71" s="8" t="str">
        <x:f>IF(A71="","",IF('Project Control'!E71="","",'Project Control'!E71))</x:f>
      </x:c>
      <x:c r="D71" t="str">
        <x:f>IF(A71="","",IF('Project Control'!F71="","",'Project Control'!F71))</x:f>
      </x:c>
      <x:c r="E71" t="str">
        <x:f>IF(A71="","",IF('Project Control'!G71="","",'Project Control'!G71))</x:f>
      </x:c>
      <x:c r="F71" t="str">
        <x:f>IF(A71="","",IF('Project Control'!I71="","",'Project Control'!I71))</x:f>
      </x:c>
      <x:c r="G71" s="8" t="str">
        <x:f>IF(A71="","",IF('Project Control'!J71="","",'Project Control'!J71))</x:f>
      </x:c>
      <x:c r="H71" s="8" t="str">
        <x:f>IF(A71="","",IF('Project Control'!K71="","",'Project Control'!K71))</x:f>
      </x:c>
      <x:c r="I71" t="str">
        <x:f>IF(A71="","",IF('Project Control'!L71="","",'Project Control'!L71))</x:f>
      </x:c>
      <x:c r="J71" s="8" t="str">
        <x:f>IF(A71="","",IF('Project Control'!O71="","",'Project Control'!O71))</x:f>
      </x:c>
      <x:c r="K71" s="25" t="str">
        <x:f>IF(A71="","","OPERATIONAL CONTROL; NO RECEIPT, LIABILITY OR PAYMENT INFERENCE")</x:f>
      </x:c>
    </x:row>
    <x:row r="72">
      <x:c r="A72" t="str">
        <x:f>IF('Project Control'!A72="","",'Project Control'!A72)</x:f>
      </x:c>
      <x:c r="B72" t="str">
        <x:f>IF(A72="","",IF('Project Control'!D72="","",'Project Control'!D72))</x:f>
      </x:c>
      <x:c r="C72" s="8" t="str">
        <x:f>IF(A72="","",IF('Project Control'!E72="","",'Project Control'!E72))</x:f>
      </x:c>
      <x:c r="D72" t="str">
        <x:f>IF(A72="","",IF('Project Control'!F72="","",'Project Control'!F72))</x:f>
      </x:c>
      <x:c r="E72" t="str">
        <x:f>IF(A72="","",IF('Project Control'!G72="","",'Project Control'!G72))</x:f>
      </x:c>
      <x:c r="F72" t="str">
        <x:f>IF(A72="","",IF('Project Control'!I72="","",'Project Control'!I72))</x:f>
      </x:c>
      <x:c r="G72" s="8" t="str">
        <x:f>IF(A72="","",IF('Project Control'!J72="","",'Project Control'!J72))</x:f>
      </x:c>
      <x:c r="H72" s="8" t="str">
        <x:f>IF(A72="","",IF('Project Control'!K72="","",'Project Control'!K72))</x:f>
      </x:c>
      <x:c r="I72" t="str">
        <x:f>IF(A72="","",IF('Project Control'!L72="","",'Project Control'!L72))</x:f>
      </x:c>
      <x:c r="J72" s="8" t="str">
        <x:f>IF(A72="","",IF('Project Control'!O72="","",'Project Control'!O72))</x:f>
      </x:c>
      <x:c r="K72" s="25" t="str">
        <x:f>IF(A72="","","OPERATIONAL CONTROL; NO RECEIPT, LIABILITY OR PAYMENT INFERENCE")</x:f>
      </x:c>
    </x:row>
    <x:row r="73">
      <x:c r="A73" t="str">
        <x:f>IF('Project Control'!A73="","",'Project Control'!A73)</x:f>
      </x:c>
      <x:c r="B73" t="str">
        <x:f>IF(A73="","",IF('Project Control'!D73="","",'Project Control'!D73))</x:f>
      </x:c>
      <x:c r="C73" s="8" t="str">
        <x:f>IF(A73="","",IF('Project Control'!E73="","",'Project Control'!E73))</x:f>
      </x:c>
      <x:c r="D73" t="str">
        <x:f>IF(A73="","",IF('Project Control'!F73="","",'Project Control'!F73))</x:f>
      </x:c>
      <x:c r="E73" t="str">
        <x:f>IF(A73="","",IF('Project Control'!G73="","",'Project Control'!G73))</x:f>
      </x:c>
      <x:c r="F73" t="str">
        <x:f>IF(A73="","",IF('Project Control'!I73="","",'Project Control'!I73))</x:f>
      </x:c>
      <x:c r="G73" s="8" t="str">
        <x:f>IF(A73="","",IF('Project Control'!J73="","",'Project Control'!J73))</x:f>
      </x:c>
      <x:c r="H73" s="8" t="str">
        <x:f>IF(A73="","",IF('Project Control'!K73="","",'Project Control'!K73))</x:f>
      </x:c>
      <x:c r="I73" t="str">
        <x:f>IF(A73="","",IF('Project Control'!L73="","",'Project Control'!L73))</x:f>
      </x:c>
      <x:c r="J73" s="8" t="str">
        <x:f>IF(A73="","",IF('Project Control'!O73="","",'Project Control'!O73))</x:f>
      </x:c>
      <x:c r="K73" s="25" t="str">
        <x:f>IF(A73="","","OPERATIONAL CONTROL; NO RECEIPT, LIABILITY OR PAYMENT INFERENCE")</x:f>
      </x:c>
    </x:row>
    <x:row r="74">
      <x:c r="A74" t="str">
        <x:f>IF('Project Control'!A74="","",'Project Control'!A74)</x:f>
      </x:c>
      <x:c r="B74" t="str">
        <x:f>IF(A74="","",IF('Project Control'!D74="","",'Project Control'!D74))</x:f>
      </x:c>
      <x:c r="C74" s="8" t="str">
        <x:f>IF(A74="","",IF('Project Control'!E74="","",'Project Control'!E74))</x:f>
      </x:c>
      <x:c r="D74" t="str">
        <x:f>IF(A74="","",IF('Project Control'!F74="","",'Project Control'!F74))</x:f>
      </x:c>
      <x:c r="E74" t="str">
        <x:f>IF(A74="","",IF('Project Control'!G74="","",'Project Control'!G74))</x:f>
      </x:c>
      <x:c r="F74" t="str">
        <x:f>IF(A74="","",IF('Project Control'!I74="","",'Project Control'!I74))</x:f>
      </x:c>
      <x:c r="G74" s="8" t="str">
        <x:f>IF(A74="","",IF('Project Control'!J74="","",'Project Control'!J74))</x:f>
      </x:c>
      <x:c r="H74" s="8" t="str">
        <x:f>IF(A74="","",IF('Project Control'!K74="","",'Project Control'!K74))</x:f>
      </x:c>
      <x:c r="I74" t="str">
        <x:f>IF(A74="","",IF('Project Control'!L74="","",'Project Control'!L74))</x:f>
      </x:c>
      <x:c r="J74" s="8" t="str">
        <x:f>IF(A74="","",IF('Project Control'!O74="","",'Project Control'!O74))</x:f>
      </x:c>
      <x:c r="K74" s="25" t="str">
        <x:f>IF(A74="","","OPERATIONAL CONTROL; NO RECEIPT, LIABILITY OR PAYMENT INFERENCE")</x:f>
      </x:c>
    </x:row>
    <x:row r="75">
      <x:c r="A75" t="str">
        <x:f>IF('Project Control'!A75="","",'Project Control'!A75)</x:f>
      </x:c>
      <x:c r="B75" t="str">
        <x:f>IF(A75="","",IF('Project Control'!D75="","",'Project Control'!D75))</x:f>
      </x:c>
      <x:c r="C75" s="8" t="str">
        <x:f>IF(A75="","",IF('Project Control'!E75="","",'Project Control'!E75))</x:f>
      </x:c>
      <x:c r="D75" t="str">
        <x:f>IF(A75="","",IF('Project Control'!F75="","",'Project Control'!F75))</x:f>
      </x:c>
      <x:c r="E75" t="str">
        <x:f>IF(A75="","",IF('Project Control'!G75="","",'Project Control'!G75))</x:f>
      </x:c>
      <x:c r="F75" t="str">
        <x:f>IF(A75="","",IF('Project Control'!I75="","",'Project Control'!I75))</x:f>
      </x:c>
      <x:c r="G75" s="8" t="str">
        <x:f>IF(A75="","",IF('Project Control'!J75="","",'Project Control'!J75))</x:f>
      </x:c>
      <x:c r="H75" s="8" t="str">
        <x:f>IF(A75="","",IF('Project Control'!K75="","",'Project Control'!K75))</x:f>
      </x:c>
      <x:c r="I75" t="str">
        <x:f>IF(A75="","",IF('Project Control'!L75="","",'Project Control'!L75))</x:f>
      </x:c>
      <x:c r="J75" s="8" t="str">
        <x:f>IF(A75="","",IF('Project Control'!O75="","",'Project Control'!O75))</x:f>
      </x:c>
      <x:c r="K75" s="25" t="str">
        <x:f>IF(A75="","","OPERATIONAL CONTROL; NO RECEIPT, LIABILITY OR PAYMENT INFERENCE")</x:f>
      </x:c>
    </x:row>
    <x:row r="76">
      <x:c r="A76" t="str">
        <x:f>IF('Project Control'!A76="","",'Project Control'!A76)</x:f>
      </x:c>
      <x:c r="B76" t="str">
        <x:f>IF(A76="","",IF('Project Control'!D76="","",'Project Control'!D76))</x:f>
      </x:c>
      <x:c r="C76" s="8" t="str">
        <x:f>IF(A76="","",IF('Project Control'!E76="","",'Project Control'!E76))</x:f>
      </x:c>
      <x:c r="D76" t="str">
        <x:f>IF(A76="","",IF('Project Control'!F76="","",'Project Control'!F76))</x:f>
      </x:c>
      <x:c r="E76" t="str">
        <x:f>IF(A76="","",IF('Project Control'!G76="","",'Project Control'!G76))</x:f>
      </x:c>
      <x:c r="F76" t="str">
        <x:f>IF(A76="","",IF('Project Control'!I76="","",'Project Control'!I76))</x:f>
      </x:c>
      <x:c r="G76" s="8" t="str">
        <x:f>IF(A76="","",IF('Project Control'!J76="","",'Project Control'!J76))</x:f>
      </x:c>
      <x:c r="H76" s="8" t="str">
        <x:f>IF(A76="","",IF('Project Control'!K76="","",'Project Control'!K76))</x:f>
      </x:c>
      <x:c r="I76" t="str">
        <x:f>IF(A76="","",IF('Project Control'!L76="","",'Project Control'!L76))</x:f>
      </x:c>
      <x:c r="J76" s="8" t="str">
        <x:f>IF(A76="","",IF('Project Control'!O76="","",'Project Control'!O76))</x:f>
      </x:c>
      <x:c r="K76" s="25" t="str">
        <x:f>IF(A76="","","OPERATIONAL CONTROL; NO RECEIPT, LIABILITY OR PAYMENT INFERENCE")</x:f>
      </x:c>
    </x:row>
    <x:row r="77">
      <x:c r="A77" t="str">
        <x:f>IF('Project Control'!A77="","",'Project Control'!A77)</x:f>
      </x:c>
      <x:c r="B77" t="str">
        <x:f>IF(A77="","",IF('Project Control'!D77="","",'Project Control'!D77))</x:f>
      </x:c>
      <x:c r="C77" s="8" t="str">
        <x:f>IF(A77="","",IF('Project Control'!E77="","",'Project Control'!E77))</x:f>
      </x:c>
      <x:c r="D77" t="str">
        <x:f>IF(A77="","",IF('Project Control'!F77="","",'Project Control'!F77))</x:f>
      </x:c>
      <x:c r="E77" t="str">
        <x:f>IF(A77="","",IF('Project Control'!G77="","",'Project Control'!G77))</x:f>
      </x:c>
      <x:c r="F77" t="str">
        <x:f>IF(A77="","",IF('Project Control'!I77="","",'Project Control'!I77))</x:f>
      </x:c>
      <x:c r="G77" s="8" t="str">
        <x:f>IF(A77="","",IF('Project Control'!J77="","",'Project Control'!J77))</x:f>
      </x:c>
      <x:c r="H77" s="8" t="str">
        <x:f>IF(A77="","",IF('Project Control'!K77="","",'Project Control'!K77))</x:f>
      </x:c>
      <x:c r="I77" t="str">
        <x:f>IF(A77="","",IF('Project Control'!L77="","",'Project Control'!L77))</x:f>
      </x:c>
      <x:c r="J77" s="8" t="str">
        <x:f>IF(A77="","",IF('Project Control'!O77="","",'Project Control'!O77))</x:f>
      </x:c>
      <x:c r="K77" s="25" t="str">
        <x:f>IF(A77="","","OPERATIONAL CONTROL; NO RECEIPT, LIABILITY OR PAYMENT INFERENCE")</x:f>
      </x:c>
    </x:row>
    <x:row r="78">
      <x:c r="A78" t="str">
        <x:f>IF('Project Control'!A78="","",'Project Control'!A78)</x:f>
      </x:c>
      <x:c r="B78" t="str">
        <x:f>IF(A78="","",IF('Project Control'!D78="","",'Project Control'!D78))</x:f>
      </x:c>
      <x:c r="C78" s="8" t="str">
        <x:f>IF(A78="","",IF('Project Control'!E78="","",'Project Control'!E78))</x:f>
      </x:c>
      <x:c r="D78" t="str">
        <x:f>IF(A78="","",IF('Project Control'!F78="","",'Project Control'!F78))</x:f>
      </x:c>
      <x:c r="E78" t="str">
        <x:f>IF(A78="","",IF('Project Control'!G78="","",'Project Control'!G78))</x:f>
      </x:c>
      <x:c r="F78" t="str">
        <x:f>IF(A78="","",IF('Project Control'!I78="","",'Project Control'!I78))</x:f>
      </x:c>
      <x:c r="G78" s="8" t="str">
        <x:f>IF(A78="","",IF('Project Control'!J78="","",'Project Control'!J78))</x:f>
      </x:c>
      <x:c r="H78" s="8" t="str">
        <x:f>IF(A78="","",IF('Project Control'!K78="","",'Project Control'!K78))</x:f>
      </x:c>
      <x:c r="I78" t="str">
        <x:f>IF(A78="","",IF('Project Control'!L78="","",'Project Control'!L78))</x:f>
      </x:c>
      <x:c r="J78" s="8" t="str">
        <x:f>IF(A78="","",IF('Project Control'!O78="","",'Project Control'!O78))</x:f>
      </x:c>
      <x:c r="K78" s="25" t="str">
        <x:f>IF(A78="","","OPERATIONAL CONTROL; NO RECEIPT, LIABILITY OR PAYMENT INFERENCE")</x:f>
      </x:c>
    </x:row>
    <x:row r="79">
      <x:c r="A79" t="str">
        <x:f>IF('Project Control'!A79="","",'Project Control'!A79)</x:f>
      </x:c>
      <x:c r="B79" t="str">
        <x:f>IF(A79="","",IF('Project Control'!D79="","",'Project Control'!D79))</x:f>
      </x:c>
      <x:c r="C79" s="8" t="str">
        <x:f>IF(A79="","",IF('Project Control'!E79="","",'Project Control'!E79))</x:f>
      </x:c>
      <x:c r="D79" t="str">
        <x:f>IF(A79="","",IF('Project Control'!F79="","",'Project Control'!F79))</x:f>
      </x:c>
      <x:c r="E79" t="str">
        <x:f>IF(A79="","",IF('Project Control'!G79="","",'Project Control'!G79))</x:f>
      </x:c>
      <x:c r="F79" t="str">
        <x:f>IF(A79="","",IF('Project Control'!I79="","",'Project Control'!I79))</x:f>
      </x:c>
      <x:c r="G79" s="8" t="str">
        <x:f>IF(A79="","",IF('Project Control'!J79="","",'Project Control'!J79))</x:f>
      </x:c>
      <x:c r="H79" s="8" t="str">
        <x:f>IF(A79="","",IF('Project Control'!K79="","",'Project Control'!K79))</x:f>
      </x:c>
      <x:c r="I79" t="str">
        <x:f>IF(A79="","",IF('Project Control'!L79="","",'Project Control'!L79))</x:f>
      </x:c>
      <x:c r="J79" s="8" t="str">
        <x:f>IF(A79="","",IF('Project Control'!O79="","",'Project Control'!O79))</x:f>
      </x:c>
      <x:c r="K79" s="25" t="str">
        <x:f>IF(A79="","","OPERATIONAL CONTROL; NO RECEIPT, LIABILITY OR PAYMENT INFERENCE")</x:f>
      </x:c>
    </x:row>
    <x:row r="80">
      <x:c r="A80" t="str">
        <x:f>IF('Project Control'!A80="","",'Project Control'!A80)</x:f>
      </x:c>
      <x:c r="B80" t="str">
        <x:f>IF(A80="","",IF('Project Control'!D80="","",'Project Control'!D80))</x:f>
      </x:c>
      <x:c r="C80" s="8" t="str">
        <x:f>IF(A80="","",IF('Project Control'!E80="","",'Project Control'!E80))</x:f>
      </x:c>
      <x:c r="D80" t="str">
        <x:f>IF(A80="","",IF('Project Control'!F80="","",'Project Control'!F80))</x:f>
      </x:c>
      <x:c r="E80" t="str">
        <x:f>IF(A80="","",IF('Project Control'!G80="","",'Project Control'!G80))</x:f>
      </x:c>
      <x:c r="F80" t="str">
        <x:f>IF(A80="","",IF('Project Control'!I80="","",'Project Control'!I80))</x:f>
      </x:c>
      <x:c r="G80" s="8" t="str">
        <x:f>IF(A80="","",IF('Project Control'!J80="","",'Project Control'!J80))</x:f>
      </x:c>
      <x:c r="H80" s="8" t="str">
        <x:f>IF(A80="","",IF('Project Control'!K80="","",'Project Control'!K80))</x:f>
      </x:c>
      <x:c r="I80" t="str">
        <x:f>IF(A80="","",IF('Project Control'!L80="","",'Project Control'!L80))</x:f>
      </x:c>
      <x:c r="J80" s="8" t="str">
        <x:f>IF(A80="","",IF('Project Control'!O80="","",'Project Control'!O80))</x:f>
      </x:c>
      <x:c r="K80" s="25" t="str">
        <x:f>IF(A80="","","OPERATIONAL CONTROL; NO RECEIPT, LIABILITY OR PAYMENT INFERENCE")</x:f>
      </x:c>
    </x:row>
    <x:row r="81">
      <x:c r="A81" t="str">
        <x:f>IF('Project Control'!A81="","",'Project Control'!A81)</x:f>
      </x:c>
      <x:c r="B81" t="str">
        <x:f>IF(A81="","",IF('Project Control'!D81="","",'Project Control'!D81))</x:f>
      </x:c>
      <x:c r="C81" s="8" t="str">
        <x:f>IF(A81="","",IF('Project Control'!E81="","",'Project Control'!E81))</x:f>
      </x:c>
      <x:c r="D81" t="str">
        <x:f>IF(A81="","",IF('Project Control'!F81="","",'Project Control'!F81))</x:f>
      </x:c>
      <x:c r="E81" t="str">
        <x:f>IF(A81="","",IF('Project Control'!G81="","",'Project Control'!G81))</x:f>
      </x:c>
      <x:c r="F81" t="str">
        <x:f>IF(A81="","",IF('Project Control'!I81="","",'Project Control'!I81))</x:f>
      </x:c>
      <x:c r="G81" s="8" t="str">
        <x:f>IF(A81="","",IF('Project Control'!J81="","",'Project Control'!J81))</x:f>
      </x:c>
      <x:c r="H81" s="8" t="str">
        <x:f>IF(A81="","",IF('Project Control'!K81="","",'Project Control'!K81))</x:f>
      </x:c>
      <x:c r="I81" t="str">
        <x:f>IF(A81="","",IF('Project Control'!L81="","",'Project Control'!L81))</x:f>
      </x:c>
      <x:c r="J81" s="8" t="str">
        <x:f>IF(A81="","",IF('Project Control'!O81="","",'Project Control'!O81))</x:f>
      </x:c>
      <x:c r="K81" s="25" t="str">
        <x:f>IF(A81="","","OPERATIONAL CONTROL; NO RECEIPT, LIABILITY OR PAYMENT INFERENCE")</x:f>
      </x:c>
    </x:row>
    <x:row r="82">
      <x:c r="A82" t="str">
        <x:f>IF('Project Control'!A82="","",'Project Control'!A82)</x:f>
      </x:c>
      <x:c r="B82" t="str">
        <x:f>IF(A82="","",IF('Project Control'!D82="","",'Project Control'!D82))</x:f>
      </x:c>
      <x:c r="C82" s="8" t="str">
        <x:f>IF(A82="","",IF('Project Control'!E82="","",'Project Control'!E82))</x:f>
      </x:c>
      <x:c r="D82" t="str">
        <x:f>IF(A82="","",IF('Project Control'!F82="","",'Project Control'!F82))</x:f>
      </x:c>
      <x:c r="E82" t="str">
        <x:f>IF(A82="","",IF('Project Control'!G82="","",'Project Control'!G82))</x:f>
      </x:c>
      <x:c r="F82" t="str">
        <x:f>IF(A82="","",IF('Project Control'!I82="","",'Project Control'!I82))</x:f>
      </x:c>
      <x:c r="G82" s="8" t="str">
        <x:f>IF(A82="","",IF('Project Control'!J82="","",'Project Control'!J82))</x:f>
      </x:c>
      <x:c r="H82" s="8" t="str">
        <x:f>IF(A82="","",IF('Project Control'!K82="","",'Project Control'!K82))</x:f>
      </x:c>
      <x:c r="I82" t="str">
        <x:f>IF(A82="","",IF('Project Control'!L82="","",'Project Control'!L82))</x:f>
      </x:c>
      <x:c r="J82" s="8" t="str">
        <x:f>IF(A82="","",IF('Project Control'!O82="","",'Project Control'!O82))</x:f>
      </x:c>
      <x:c r="K82" s="25" t="str">
        <x:f>IF(A82="","","OPERATIONAL CONTROL; NO RECEIPT, LIABILITY OR PAYMENT INFERENCE")</x:f>
      </x:c>
    </x:row>
    <x:row r="83">
      <x:c r="A83" t="str">
        <x:f>IF('Project Control'!A83="","",'Project Control'!A83)</x:f>
      </x:c>
      <x:c r="B83" t="str">
        <x:f>IF(A83="","",IF('Project Control'!D83="","",'Project Control'!D83))</x:f>
      </x:c>
      <x:c r="C83" s="8" t="str">
        <x:f>IF(A83="","",IF('Project Control'!E83="","",'Project Control'!E83))</x:f>
      </x:c>
      <x:c r="D83" t="str">
        <x:f>IF(A83="","",IF('Project Control'!F83="","",'Project Control'!F83))</x:f>
      </x:c>
      <x:c r="E83" t="str">
        <x:f>IF(A83="","",IF('Project Control'!G83="","",'Project Control'!G83))</x:f>
      </x:c>
      <x:c r="F83" t="str">
        <x:f>IF(A83="","",IF('Project Control'!I83="","",'Project Control'!I83))</x:f>
      </x:c>
      <x:c r="G83" s="8" t="str">
        <x:f>IF(A83="","",IF('Project Control'!J83="","",'Project Control'!J83))</x:f>
      </x:c>
      <x:c r="H83" s="8" t="str">
        <x:f>IF(A83="","",IF('Project Control'!K83="","",'Project Control'!K83))</x:f>
      </x:c>
      <x:c r="I83" t="str">
        <x:f>IF(A83="","",IF('Project Control'!L83="","",'Project Control'!L83))</x:f>
      </x:c>
      <x:c r="J83" s="8" t="str">
        <x:f>IF(A83="","",IF('Project Control'!O83="","",'Project Control'!O83))</x:f>
      </x:c>
      <x:c r="K83" s="25" t="str">
        <x:f>IF(A83="","","OPERATIONAL CONTROL; NO RECEIPT, LIABILITY OR PAYMENT INFERENCE")</x:f>
      </x:c>
    </x:row>
    <x:row r="84">
      <x:c r="A84" t="str">
        <x:f>IF('Project Control'!A84="","",'Project Control'!A84)</x:f>
      </x:c>
      <x:c r="B84" t="str">
        <x:f>IF(A84="","",IF('Project Control'!D84="","",'Project Control'!D84))</x:f>
      </x:c>
      <x:c r="C84" s="8" t="str">
        <x:f>IF(A84="","",IF('Project Control'!E84="","",'Project Control'!E84))</x:f>
      </x:c>
      <x:c r="D84" t="str">
        <x:f>IF(A84="","",IF('Project Control'!F84="","",'Project Control'!F84))</x:f>
      </x:c>
      <x:c r="E84" t="str">
        <x:f>IF(A84="","",IF('Project Control'!G84="","",'Project Control'!G84))</x:f>
      </x:c>
      <x:c r="F84" t="str">
        <x:f>IF(A84="","",IF('Project Control'!I84="","",'Project Control'!I84))</x:f>
      </x:c>
      <x:c r="G84" s="8" t="str">
        <x:f>IF(A84="","",IF('Project Control'!J84="","",'Project Control'!J84))</x:f>
      </x:c>
      <x:c r="H84" s="8" t="str">
        <x:f>IF(A84="","",IF('Project Control'!K84="","",'Project Control'!K84))</x:f>
      </x:c>
      <x:c r="I84" t="str">
        <x:f>IF(A84="","",IF('Project Control'!L84="","",'Project Control'!L84))</x:f>
      </x:c>
      <x:c r="J84" s="8" t="str">
        <x:f>IF(A84="","",IF('Project Control'!O84="","",'Project Control'!O84))</x:f>
      </x:c>
      <x:c r="K84" s="25" t="str">
        <x:f>IF(A84="","","OPERATIONAL CONTROL; NO RECEIPT, LIABILITY OR PAYMENT INFERENCE")</x:f>
      </x:c>
    </x:row>
    <x:row r="85">
      <x:c r="A85" t="str">
        <x:f>IF('Project Control'!A85="","",'Project Control'!A85)</x:f>
      </x:c>
      <x:c r="B85" t="str">
        <x:f>IF(A85="","",IF('Project Control'!D85="","",'Project Control'!D85))</x:f>
      </x:c>
      <x:c r="C85" s="8" t="str">
        <x:f>IF(A85="","",IF('Project Control'!E85="","",'Project Control'!E85))</x:f>
      </x:c>
      <x:c r="D85" t="str">
        <x:f>IF(A85="","",IF('Project Control'!F85="","",'Project Control'!F85))</x:f>
      </x:c>
      <x:c r="E85" t="str">
        <x:f>IF(A85="","",IF('Project Control'!G85="","",'Project Control'!G85))</x:f>
      </x:c>
      <x:c r="F85" t="str">
        <x:f>IF(A85="","",IF('Project Control'!I85="","",'Project Control'!I85))</x:f>
      </x:c>
      <x:c r="G85" s="8" t="str">
        <x:f>IF(A85="","",IF('Project Control'!J85="","",'Project Control'!J85))</x:f>
      </x:c>
      <x:c r="H85" s="8" t="str">
        <x:f>IF(A85="","",IF('Project Control'!K85="","",'Project Control'!K85))</x:f>
      </x:c>
      <x:c r="I85" t="str">
        <x:f>IF(A85="","",IF('Project Control'!L85="","",'Project Control'!L85))</x:f>
      </x:c>
      <x:c r="J85" s="8" t="str">
        <x:f>IF(A85="","",IF('Project Control'!O85="","",'Project Control'!O85))</x:f>
      </x:c>
      <x:c r="K85" s="25" t="str">
        <x:f>IF(A85="","","OPERATIONAL CONTROL; NO RECEIPT, LIABILITY OR PAYMENT INFERENCE")</x:f>
      </x:c>
    </x:row>
    <x:row r="86">
      <x:c r="A86" t="str">
        <x:f>IF('Project Control'!A86="","",'Project Control'!A86)</x:f>
      </x:c>
      <x:c r="B86" t="str">
        <x:f>IF(A86="","",IF('Project Control'!D86="","",'Project Control'!D86))</x:f>
      </x:c>
      <x:c r="C86" s="8" t="str">
        <x:f>IF(A86="","",IF('Project Control'!E86="","",'Project Control'!E86))</x:f>
      </x:c>
      <x:c r="D86" t="str">
        <x:f>IF(A86="","",IF('Project Control'!F86="","",'Project Control'!F86))</x:f>
      </x:c>
      <x:c r="E86" t="str">
        <x:f>IF(A86="","",IF('Project Control'!G86="","",'Project Control'!G86))</x:f>
      </x:c>
      <x:c r="F86" t="str">
        <x:f>IF(A86="","",IF('Project Control'!I86="","",'Project Control'!I86))</x:f>
      </x:c>
      <x:c r="G86" s="8" t="str">
        <x:f>IF(A86="","",IF('Project Control'!J86="","",'Project Control'!J86))</x:f>
      </x:c>
      <x:c r="H86" s="8" t="str">
        <x:f>IF(A86="","",IF('Project Control'!K86="","",'Project Control'!K86))</x:f>
      </x:c>
      <x:c r="I86" t="str">
        <x:f>IF(A86="","",IF('Project Control'!L86="","",'Project Control'!L86))</x:f>
      </x:c>
      <x:c r="J86" s="8" t="str">
        <x:f>IF(A86="","",IF('Project Control'!O86="","",'Project Control'!O86))</x:f>
      </x:c>
      <x:c r="K86" s="25" t="str">
        <x:f>IF(A86="","","OPERATIONAL CONTROL; NO RECEIPT, LIABILITY OR PAYMENT INFERENCE")</x:f>
      </x:c>
    </x:row>
    <x:row r="87">
      <x:c r="A87" t="str">
        <x:f>IF('Project Control'!A87="","",'Project Control'!A87)</x:f>
      </x:c>
      <x:c r="B87" t="str">
        <x:f>IF(A87="","",IF('Project Control'!D87="","",'Project Control'!D87))</x:f>
      </x:c>
      <x:c r="C87" s="8" t="str">
        <x:f>IF(A87="","",IF('Project Control'!E87="","",'Project Control'!E87))</x:f>
      </x:c>
      <x:c r="D87" t="str">
        <x:f>IF(A87="","",IF('Project Control'!F87="","",'Project Control'!F87))</x:f>
      </x:c>
      <x:c r="E87" t="str">
        <x:f>IF(A87="","",IF('Project Control'!G87="","",'Project Control'!G87))</x:f>
      </x:c>
      <x:c r="F87" t="str">
        <x:f>IF(A87="","",IF('Project Control'!I87="","",'Project Control'!I87))</x:f>
      </x:c>
      <x:c r="G87" s="8" t="str">
        <x:f>IF(A87="","",IF('Project Control'!J87="","",'Project Control'!J87))</x:f>
      </x:c>
      <x:c r="H87" s="8" t="str">
        <x:f>IF(A87="","",IF('Project Control'!K87="","",'Project Control'!K87))</x:f>
      </x:c>
      <x:c r="I87" t="str">
        <x:f>IF(A87="","",IF('Project Control'!L87="","",'Project Control'!L87))</x:f>
      </x:c>
      <x:c r="J87" s="8" t="str">
        <x:f>IF(A87="","",IF('Project Control'!O87="","",'Project Control'!O87))</x:f>
      </x:c>
      <x:c r="K87" s="25" t="str">
        <x:f>IF(A87="","","OPERATIONAL CONTROL; NO RECEIPT, LIABILITY OR PAYMENT INFERENCE")</x:f>
      </x:c>
    </x:row>
    <x:row r="88">
      <x:c r="A88" t="str">
        <x:f>IF('Project Control'!A88="","",'Project Control'!A88)</x:f>
      </x:c>
      <x:c r="B88" t="str">
        <x:f>IF(A88="","",IF('Project Control'!D88="","",'Project Control'!D88))</x:f>
      </x:c>
      <x:c r="C88" s="8" t="str">
        <x:f>IF(A88="","",IF('Project Control'!E88="","",'Project Control'!E88))</x:f>
      </x:c>
      <x:c r="D88" t="str">
        <x:f>IF(A88="","",IF('Project Control'!F88="","",'Project Control'!F88))</x:f>
      </x:c>
      <x:c r="E88" t="str">
        <x:f>IF(A88="","",IF('Project Control'!G88="","",'Project Control'!G88))</x:f>
      </x:c>
      <x:c r="F88" t="str">
        <x:f>IF(A88="","",IF('Project Control'!I88="","",'Project Control'!I88))</x:f>
      </x:c>
      <x:c r="G88" s="8" t="str">
        <x:f>IF(A88="","",IF('Project Control'!J88="","",'Project Control'!J88))</x:f>
      </x:c>
      <x:c r="H88" s="8" t="str">
        <x:f>IF(A88="","",IF('Project Control'!K88="","",'Project Control'!K88))</x:f>
      </x:c>
      <x:c r="I88" t="str">
        <x:f>IF(A88="","",IF('Project Control'!L88="","",'Project Control'!L88))</x:f>
      </x:c>
      <x:c r="J88" s="8" t="str">
        <x:f>IF(A88="","",IF('Project Control'!O88="","",'Project Control'!O88))</x:f>
      </x:c>
      <x:c r="K88" s="25" t="str">
        <x:f>IF(A88="","","OPERATIONAL CONTROL; NO RECEIPT, LIABILITY OR PAYMENT INFERENCE")</x:f>
      </x:c>
    </x:row>
    <x:row r="89">
      <x:c r="A89" t="str">
        <x:f>IF('Project Control'!A89="","",'Project Control'!A89)</x:f>
      </x:c>
      <x:c r="B89" t="str">
        <x:f>IF(A89="","",IF('Project Control'!D89="","",'Project Control'!D89))</x:f>
      </x:c>
      <x:c r="C89" s="8" t="str">
        <x:f>IF(A89="","",IF('Project Control'!E89="","",'Project Control'!E89))</x:f>
      </x:c>
      <x:c r="D89" t="str">
        <x:f>IF(A89="","",IF('Project Control'!F89="","",'Project Control'!F89))</x:f>
      </x:c>
      <x:c r="E89" t="str">
        <x:f>IF(A89="","",IF('Project Control'!G89="","",'Project Control'!G89))</x:f>
      </x:c>
      <x:c r="F89" t="str">
        <x:f>IF(A89="","",IF('Project Control'!I89="","",'Project Control'!I89))</x:f>
      </x:c>
      <x:c r="G89" s="8" t="str">
        <x:f>IF(A89="","",IF('Project Control'!J89="","",'Project Control'!J89))</x:f>
      </x:c>
      <x:c r="H89" s="8" t="str">
        <x:f>IF(A89="","",IF('Project Control'!K89="","",'Project Control'!K89))</x:f>
      </x:c>
      <x:c r="I89" t="str">
        <x:f>IF(A89="","",IF('Project Control'!L89="","",'Project Control'!L89))</x:f>
      </x:c>
      <x:c r="J89" s="8" t="str">
        <x:f>IF(A89="","",IF('Project Control'!O89="","",'Project Control'!O89))</x:f>
      </x:c>
      <x:c r="K89" s="25" t="str">
        <x:f>IF(A89="","","OPERATIONAL CONTROL; NO RECEIPT, LIABILITY OR PAYMENT INFERENCE")</x:f>
      </x:c>
    </x:row>
    <x:row r="90">
      <x:c r="A90" t="str">
        <x:f>IF('Project Control'!A90="","",'Project Control'!A90)</x:f>
      </x:c>
      <x:c r="B90" t="str">
        <x:f>IF(A90="","",IF('Project Control'!D90="","",'Project Control'!D90))</x:f>
      </x:c>
      <x:c r="C90" s="8" t="str">
        <x:f>IF(A90="","",IF('Project Control'!E90="","",'Project Control'!E90))</x:f>
      </x:c>
      <x:c r="D90" t="str">
        <x:f>IF(A90="","",IF('Project Control'!F90="","",'Project Control'!F90))</x:f>
      </x:c>
      <x:c r="E90" t="str">
        <x:f>IF(A90="","",IF('Project Control'!G90="","",'Project Control'!G90))</x:f>
      </x:c>
      <x:c r="F90" t="str">
        <x:f>IF(A90="","",IF('Project Control'!I90="","",'Project Control'!I90))</x:f>
      </x:c>
      <x:c r="G90" s="8" t="str">
        <x:f>IF(A90="","",IF('Project Control'!J90="","",'Project Control'!J90))</x:f>
      </x:c>
      <x:c r="H90" s="8" t="str">
        <x:f>IF(A90="","",IF('Project Control'!K90="","",'Project Control'!K90))</x:f>
      </x:c>
      <x:c r="I90" t="str">
        <x:f>IF(A90="","",IF('Project Control'!L90="","",'Project Control'!L90))</x:f>
      </x:c>
      <x:c r="J90" s="8" t="str">
        <x:f>IF(A90="","",IF('Project Control'!O90="","",'Project Control'!O90))</x:f>
      </x:c>
      <x:c r="K90" s="25" t="str">
        <x:f>IF(A90="","","OPERATIONAL CONTROL; NO RECEIPT, LIABILITY OR PAYMENT INFERENCE")</x:f>
      </x:c>
    </x:row>
    <x:row r="91">
      <x:c r="A91" t="str">
        <x:f>IF('Project Control'!A91="","",'Project Control'!A91)</x:f>
      </x:c>
      <x:c r="B91" t="str">
        <x:f>IF(A91="","",IF('Project Control'!D91="","",'Project Control'!D91))</x:f>
      </x:c>
      <x:c r="C91" s="8" t="str">
        <x:f>IF(A91="","",IF('Project Control'!E91="","",'Project Control'!E91))</x:f>
      </x:c>
      <x:c r="D91" t="str">
        <x:f>IF(A91="","",IF('Project Control'!F91="","",'Project Control'!F91))</x:f>
      </x:c>
      <x:c r="E91" t="str">
        <x:f>IF(A91="","",IF('Project Control'!G91="","",'Project Control'!G91))</x:f>
      </x:c>
      <x:c r="F91" t="str">
        <x:f>IF(A91="","",IF('Project Control'!I91="","",'Project Control'!I91))</x:f>
      </x:c>
      <x:c r="G91" s="8" t="str">
        <x:f>IF(A91="","",IF('Project Control'!J91="","",'Project Control'!J91))</x:f>
      </x:c>
      <x:c r="H91" s="8" t="str">
        <x:f>IF(A91="","",IF('Project Control'!K91="","",'Project Control'!K91))</x:f>
      </x:c>
      <x:c r="I91" t="str">
        <x:f>IF(A91="","",IF('Project Control'!L91="","",'Project Control'!L91))</x:f>
      </x:c>
      <x:c r="J91" s="8" t="str">
        <x:f>IF(A91="","",IF('Project Control'!O91="","",'Project Control'!O91))</x:f>
      </x:c>
      <x:c r="K91" s="25" t="str">
        <x:f>IF(A91="","","OPERATIONAL CONTROL; NO RECEIPT, LIABILITY OR PAYMENT INFERENCE")</x:f>
      </x:c>
    </x:row>
    <x:row r="92">
      <x:c r="A92" t="str">
        <x:f>IF('Project Control'!A92="","",'Project Control'!A92)</x:f>
      </x:c>
      <x:c r="B92" t="str">
        <x:f>IF(A92="","",IF('Project Control'!D92="","",'Project Control'!D92))</x:f>
      </x:c>
      <x:c r="C92" s="8" t="str">
        <x:f>IF(A92="","",IF('Project Control'!E92="","",'Project Control'!E92))</x:f>
      </x:c>
      <x:c r="D92" t="str">
        <x:f>IF(A92="","",IF('Project Control'!F92="","",'Project Control'!F92))</x:f>
      </x:c>
      <x:c r="E92" t="str">
        <x:f>IF(A92="","",IF('Project Control'!G92="","",'Project Control'!G92))</x:f>
      </x:c>
      <x:c r="F92" t="str">
        <x:f>IF(A92="","",IF('Project Control'!I92="","",'Project Control'!I92))</x:f>
      </x:c>
      <x:c r="G92" s="8" t="str">
        <x:f>IF(A92="","",IF('Project Control'!J92="","",'Project Control'!J92))</x:f>
      </x:c>
      <x:c r="H92" s="8" t="str">
        <x:f>IF(A92="","",IF('Project Control'!K92="","",'Project Control'!K92))</x:f>
      </x:c>
      <x:c r="I92" t="str">
        <x:f>IF(A92="","",IF('Project Control'!L92="","",'Project Control'!L92))</x:f>
      </x:c>
      <x:c r="J92" s="8" t="str">
        <x:f>IF(A92="","",IF('Project Control'!O92="","",'Project Control'!O92))</x:f>
      </x:c>
      <x:c r="K92" s="25" t="str">
        <x:f>IF(A92="","","OPERATIONAL CONTROL; NO RECEIPT, LIABILITY OR PAYMENT INFERENCE")</x:f>
      </x:c>
    </x:row>
    <x:row r="93">
      <x:c r="A93" t="str">
        <x:f>IF('Project Control'!A93="","",'Project Control'!A93)</x:f>
      </x:c>
      <x:c r="B93" t="str">
        <x:f>IF(A93="","",IF('Project Control'!D93="","",'Project Control'!D93))</x:f>
      </x:c>
      <x:c r="C93" s="8" t="str">
        <x:f>IF(A93="","",IF('Project Control'!E93="","",'Project Control'!E93))</x:f>
      </x:c>
      <x:c r="D93" t="str">
        <x:f>IF(A93="","",IF('Project Control'!F93="","",'Project Control'!F93))</x:f>
      </x:c>
      <x:c r="E93" t="str">
        <x:f>IF(A93="","",IF('Project Control'!G93="","",'Project Control'!G93))</x:f>
      </x:c>
      <x:c r="F93" t="str">
        <x:f>IF(A93="","",IF('Project Control'!I93="","",'Project Control'!I93))</x:f>
      </x:c>
      <x:c r="G93" s="8" t="str">
        <x:f>IF(A93="","",IF('Project Control'!J93="","",'Project Control'!J93))</x:f>
      </x:c>
      <x:c r="H93" s="8" t="str">
        <x:f>IF(A93="","",IF('Project Control'!K93="","",'Project Control'!K93))</x:f>
      </x:c>
      <x:c r="I93" t="str">
        <x:f>IF(A93="","",IF('Project Control'!L93="","",'Project Control'!L93))</x:f>
      </x:c>
      <x:c r="J93" s="8" t="str">
        <x:f>IF(A93="","",IF('Project Control'!O93="","",'Project Control'!O93))</x:f>
      </x:c>
      <x:c r="K93" s="25" t="str">
        <x:f>IF(A93="","","OPERATIONAL CONTROL; NO RECEIPT, LIABILITY OR PAYMENT INFERENCE")</x:f>
      </x:c>
    </x:row>
    <x:row r="94">
      <x:c r="A94" t="str">
        <x:f>IF('Project Control'!A94="","",'Project Control'!A94)</x:f>
      </x:c>
      <x:c r="B94" t="str">
        <x:f>IF(A94="","",IF('Project Control'!D94="","",'Project Control'!D94))</x:f>
      </x:c>
      <x:c r="C94" s="8" t="str">
        <x:f>IF(A94="","",IF('Project Control'!E94="","",'Project Control'!E94))</x:f>
      </x:c>
      <x:c r="D94" t="str">
        <x:f>IF(A94="","",IF('Project Control'!F94="","",'Project Control'!F94))</x:f>
      </x:c>
      <x:c r="E94" t="str">
        <x:f>IF(A94="","",IF('Project Control'!G94="","",'Project Control'!G94))</x:f>
      </x:c>
      <x:c r="F94" t="str">
        <x:f>IF(A94="","",IF('Project Control'!I94="","",'Project Control'!I94))</x:f>
      </x:c>
      <x:c r="G94" s="8" t="str">
        <x:f>IF(A94="","",IF('Project Control'!J94="","",'Project Control'!J94))</x:f>
      </x:c>
      <x:c r="H94" s="8" t="str">
        <x:f>IF(A94="","",IF('Project Control'!K94="","",'Project Control'!K94))</x:f>
      </x:c>
      <x:c r="I94" t="str">
        <x:f>IF(A94="","",IF('Project Control'!L94="","",'Project Control'!L94))</x:f>
      </x:c>
      <x:c r="J94" s="8" t="str">
        <x:f>IF(A94="","",IF('Project Control'!O94="","",'Project Control'!O94))</x:f>
      </x:c>
      <x:c r="K94" s="25" t="str">
        <x:f>IF(A94="","","OPERATIONAL CONTROL; NO RECEIPT, LIABILITY OR PAYMENT INFERENCE")</x:f>
      </x:c>
    </x:row>
    <x:row r="95">
      <x:c r="A95" t="str">
        <x:f>IF('Project Control'!A95="","",'Project Control'!A95)</x:f>
      </x:c>
      <x:c r="B95" t="str">
        <x:f>IF(A95="","",IF('Project Control'!D95="","",'Project Control'!D95))</x:f>
      </x:c>
      <x:c r="C95" s="8" t="str">
        <x:f>IF(A95="","",IF('Project Control'!E95="","",'Project Control'!E95))</x:f>
      </x:c>
      <x:c r="D95" t="str">
        <x:f>IF(A95="","",IF('Project Control'!F95="","",'Project Control'!F95))</x:f>
      </x:c>
      <x:c r="E95" t="str">
        <x:f>IF(A95="","",IF('Project Control'!G95="","",'Project Control'!G95))</x:f>
      </x:c>
      <x:c r="F95" t="str">
        <x:f>IF(A95="","",IF('Project Control'!I95="","",'Project Control'!I95))</x:f>
      </x:c>
      <x:c r="G95" s="8" t="str">
        <x:f>IF(A95="","",IF('Project Control'!J95="","",'Project Control'!J95))</x:f>
      </x:c>
      <x:c r="H95" s="8" t="str">
        <x:f>IF(A95="","",IF('Project Control'!K95="","",'Project Control'!K95))</x:f>
      </x:c>
      <x:c r="I95" t="str">
        <x:f>IF(A95="","",IF('Project Control'!L95="","",'Project Control'!L95))</x:f>
      </x:c>
      <x:c r="J95" s="8" t="str">
        <x:f>IF(A95="","",IF('Project Control'!O95="","",'Project Control'!O95))</x:f>
      </x:c>
      <x:c r="K95" s="25" t="str">
        <x:f>IF(A95="","","OPERATIONAL CONTROL; NO RECEIPT, LIABILITY OR PAYMENT INFERENCE")</x:f>
      </x:c>
    </x:row>
    <x:row r="96">
      <x:c r="A96" t="str">
        <x:f>IF('Project Control'!A96="","",'Project Control'!A96)</x:f>
      </x:c>
      <x:c r="B96" t="str">
        <x:f>IF(A96="","",IF('Project Control'!D96="","",'Project Control'!D96))</x:f>
      </x:c>
      <x:c r="C96" s="8" t="str">
        <x:f>IF(A96="","",IF('Project Control'!E96="","",'Project Control'!E96))</x:f>
      </x:c>
      <x:c r="D96" t="str">
        <x:f>IF(A96="","",IF('Project Control'!F96="","",'Project Control'!F96))</x:f>
      </x:c>
      <x:c r="E96" t="str">
        <x:f>IF(A96="","",IF('Project Control'!G96="","",'Project Control'!G96))</x:f>
      </x:c>
      <x:c r="F96" t="str">
        <x:f>IF(A96="","",IF('Project Control'!I96="","",'Project Control'!I96))</x:f>
      </x:c>
      <x:c r="G96" s="8" t="str">
        <x:f>IF(A96="","",IF('Project Control'!J96="","",'Project Control'!J96))</x:f>
      </x:c>
      <x:c r="H96" s="8" t="str">
        <x:f>IF(A96="","",IF('Project Control'!K96="","",'Project Control'!K96))</x:f>
      </x:c>
      <x:c r="I96" t="str">
        <x:f>IF(A96="","",IF('Project Control'!L96="","",'Project Control'!L96))</x:f>
      </x:c>
      <x:c r="J96" s="8" t="str">
        <x:f>IF(A96="","",IF('Project Control'!O96="","",'Project Control'!O96))</x:f>
      </x:c>
      <x:c r="K96" s="25" t="str">
        <x:f>IF(A96="","","OPERATIONAL CONTROL; NO RECEIPT, LIABILITY OR PAYMENT INFERENCE")</x:f>
      </x:c>
    </x:row>
    <x:row r="97">
      <x:c r="A97" t="str">
        <x:f>IF('Project Control'!A97="","",'Project Control'!A97)</x:f>
      </x:c>
      <x:c r="B97" t="str">
        <x:f>IF(A97="","",IF('Project Control'!D97="","",'Project Control'!D97))</x:f>
      </x:c>
      <x:c r="C97" s="8" t="str">
        <x:f>IF(A97="","",IF('Project Control'!E97="","",'Project Control'!E97))</x:f>
      </x:c>
      <x:c r="D97" t="str">
        <x:f>IF(A97="","",IF('Project Control'!F97="","",'Project Control'!F97))</x:f>
      </x:c>
      <x:c r="E97" t="str">
        <x:f>IF(A97="","",IF('Project Control'!G97="","",'Project Control'!G97))</x:f>
      </x:c>
      <x:c r="F97" t="str">
        <x:f>IF(A97="","",IF('Project Control'!I97="","",'Project Control'!I97))</x:f>
      </x:c>
      <x:c r="G97" s="8" t="str">
        <x:f>IF(A97="","",IF('Project Control'!J97="","",'Project Control'!J97))</x:f>
      </x:c>
      <x:c r="H97" s="8" t="str">
        <x:f>IF(A97="","",IF('Project Control'!K97="","",'Project Control'!K97))</x:f>
      </x:c>
      <x:c r="I97" t="str">
        <x:f>IF(A97="","",IF('Project Control'!L97="","",'Project Control'!L97))</x:f>
      </x:c>
      <x:c r="J97" s="8" t="str">
        <x:f>IF(A97="","",IF('Project Control'!O97="","",'Project Control'!O97))</x:f>
      </x:c>
      <x:c r="K97" s="25" t="str">
        <x:f>IF(A97="","","OPERATIONAL CONTROL; NO RECEIPT, LIABILITY OR PAYMENT INFERENCE")</x:f>
      </x:c>
    </x:row>
    <x:row r="98">
      <x:c r="A98" t="str">
        <x:f>IF('Project Control'!A98="","",'Project Control'!A98)</x:f>
      </x:c>
      <x:c r="B98" t="str">
        <x:f>IF(A98="","",IF('Project Control'!D98="","",'Project Control'!D98))</x:f>
      </x:c>
      <x:c r="C98" s="8" t="str">
        <x:f>IF(A98="","",IF('Project Control'!E98="","",'Project Control'!E98))</x:f>
      </x:c>
      <x:c r="D98" t="str">
        <x:f>IF(A98="","",IF('Project Control'!F98="","",'Project Control'!F98))</x:f>
      </x:c>
      <x:c r="E98" t="str">
        <x:f>IF(A98="","",IF('Project Control'!G98="","",'Project Control'!G98))</x:f>
      </x:c>
      <x:c r="F98" t="str">
        <x:f>IF(A98="","",IF('Project Control'!I98="","",'Project Control'!I98))</x:f>
      </x:c>
      <x:c r="G98" s="8" t="str">
        <x:f>IF(A98="","",IF('Project Control'!J98="","",'Project Control'!J98))</x:f>
      </x:c>
      <x:c r="H98" s="8" t="str">
        <x:f>IF(A98="","",IF('Project Control'!K98="","",'Project Control'!K98))</x:f>
      </x:c>
      <x:c r="I98" t="str">
        <x:f>IF(A98="","",IF('Project Control'!L98="","",'Project Control'!L98))</x:f>
      </x:c>
      <x:c r="J98" s="8" t="str">
        <x:f>IF(A98="","",IF('Project Control'!O98="","",'Project Control'!O98))</x:f>
      </x:c>
      <x:c r="K98" s="25" t="str">
        <x:f>IF(A98="","","OPERATIONAL CONTROL; NO RECEIPT, LIABILITY OR PAYMENT INFERENCE")</x:f>
      </x:c>
    </x:row>
    <x:row r="99">
      <x:c r="A99" t="str">
        <x:f>IF('Project Control'!A99="","",'Project Control'!A99)</x:f>
      </x:c>
      <x:c r="B99" t="str">
        <x:f>IF(A99="","",IF('Project Control'!D99="","",'Project Control'!D99))</x:f>
      </x:c>
      <x:c r="C99" s="8" t="str">
        <x:f>IF(A99="","",IF('Project Control'!E99="","",'Project Control'!E99))</x:f>
      </x:c>
      <x:c r="D99" t="str">
        <x:f>IF(A99="","",IF('Project Control'!F99="","",'Project Control'!F99))</x:f>
      </x:c>
      <x:c r="E99" t="str">
        <x:f>IF(A99="","",IF('Project Control'!G99="","",'Project Control'!G99))</x:f>
      </x:c>
      <x:c r="F99" t="str">
        <x:f>IF(A99="","",IF('Project Control'!I99="","",'Project Control'!I99))</x:f>
      </x:c>
      <x:c r="G99" s="8" t="str">
        <x:f>IF(A99="","",IF('Project Control'!J99="","",'Project Control'!J99))</x:f>
      </x:c>
      <x:c r="H99" s="8" t="str">
        <x:f>IF(A99="","",IF('Project Control'!K99="","",'Project Control'!K99))</x:f>
      </x:c>
      <x:c r="I99" t="str">
        <x:f>IF(A99="","",IF('Project Control'!L99="","",'Project Control'!L99))</x:f>
      </x:c>
      <x:c r="J99" s="8" t="str">
        <x:f>IF(A99="","",IF('Project Control'!O99="","",'Project Control'!O99))</x:f>
      </x:c>
      <x:c r="K99" s="25" t="str">
        <x:f>IF(A99="","","OPERATIONAL CONTROL; NO RECEIPT, LIABILITY OR PAYMENT INFERENCE")</x:f>
      </x:c>
    </x:row>
    <x:row r="100">
      <x:c r="A100" t="str">
        <x:f>IF('Project Control'!A100="","",'Project Control'!A100)</x:f>
      </x:c>
      <x:c r="B100" t="str">
        <x:f>IF(A100="","",IF('Project Control'!D100="","",'Project Control'!D100))</x:f>
      </x:c>
      <x:c r="C100" s="8" t="str">
        <x:f>IF(A100="","",IF('Project Control'!E100="","",'Project Control'!E100))</x:f>
      </x:c>
      <x:c r="D100" t="str">
        <x:f>IF(A100="","",IF('Project Control'!F100="","",'Project Control'!F100))</x:f>
      </x:c>
      <x:c r="E100" t="str">
        <x:f>IF(A100="","",IF('Project Control'!G100="","",'Project Control'!G100))</x:f>
      </x:c>
      <x:c r="F100" t="str">
        <x:f>IF(A100="","",IF('Project Control'!I100="","",'Project Control'!I100))</x:f>
      </x:c>
      <x:c r="G100" s="8" t="str">
        <x:f>IF(A100="","",IF('Project Control'!J100="","",'Project Control'!J100))</x:f>
      </x:c>
      <x:c r="H100" s="8" t="str">
        <x:f>IF(A100="","",IF('Project Control'!K100="","",'Project Control'!K100))</x:f>
      </x:c>
      <x:c r="I100" t="str">
        <x:f>IF(A100="","",IF('Project Control'!L100="","",'Project Control'!L100))</x:f>
      </x:c>
      <x:c r="J100" s="8" t="str">
        <x:f>IF(A100="","",IF('Project Control'!O100="","",'Project Control'!O100))</x:f>
      </x:c>
      <x:c r="K100" s="25" t="str">
        <x:f>IF(A100="","","OPERATIONAL CONTROL; NO RECEIPT, LIABILITY OR PAYMENT INFERENCE")</x:f>
      </x:c>
    </x:row>
    <x:row r="101">
      <x:c r="A101" t="str">
        <x:f>IF('Project Control'!A101="","",'Project Control'!A101)</x:f>
      </x:c>
      <x:c r="B101" t="str">
        <x:f>IF(A101="","",IF('Project Control'!D101="","",'Project Control'!D101))</x:f>
      </x:c>
      <x:c r="C101" s="8" t="str">
        <x:f>IF(A101="","",IF('Project Control'!E101="","",'Project Control'!E101))</x:f>
      </x:c>
      <x:c r="D101" t="str">
        <x:f>IF(A101="","",IF('Project Control'!F101="","",'Project Control'!F101))</x:f>
      </x:c>
      <x:c r="E101" t="str">
        <x:f>IF(A101="","",IF('Project Control'!G101="","",'Project Control'!G101))</x:f>
      </x:c>
      <x:c r="F101" t="str">
        <x:f>IF(A101="","",IF('Project Control'!I101="","",'Project Control'!I101))</x:f>
      </x:c>
      <x:c r="G101" s="8" t="str">
        <x:f>IF(A101="","",IF('Project Control'!J101="","",'Project Control'!J101))</x:f>
      </x:c>
      <x:c r="H101" s="8" t="str">
        <x:f>IF(A101="","",IF('Project Control'!K101="","",'Project Control'!K101))</x:f>
      </x:c>
      <x:c r="I101" t="str">
        <x:f>IF(A101="","",IF('Project Control'!L101="","",'Project Control'!L101))</x:f>
      </x:c>
      <x:c r="J101" s="8" t="str">
        <x:f>IF(A101="","",IF('Project Control'!O101="","",'Project Control'!O101))</x:f>
      </x:c>
      <x:c r="K101" s="25" t="str">
        <x:f>IF(A101="","","OPERATIONAL CONTROL; NO RECEIPT, LIABILITY OR PAYMENT INFERENCE")</x:f>
      </x:c>
    </x:row>
    <x:row r="103">
      <x:c r="A103" t="str">
        <x:v>CONTROL BASIS</x:v>
      </x:c>
      <x:c r="B103" t="str">
        <x:v>Authorized Customer PO and approved revisions govern project commercial value</x:v>
      </x:c>
    </x:row>
    <x:row r="104">
      <x:c r="A104" t="str">
        <x:v>COST BASIS</x:v>
      </x:c>
      <x:c r="B104" t="str">
        <x:v>ERP recognized costs + open unrecognized commitments; avoid overlap</x:v>
      </x:c>
    </x:row>
    <x:row r="105">
      <x:c r="A105" t="str">
        <x:v>LIMITATION</x:v>
      </x:c>
      <x:c r="B105" t="str">
        <x:v>PO less cost exposure is operational potential, not realized or final profit</x:v>
      </x:c>
    </x:row>
    <x:row r="106">
      <x:c r="A106" t="str">
        <x:v>QUOTE KPIS</x:v>
      </x:c>
      <x:c r="B106" t="str">
        <x:v>Removed: target markup, indicative quote, quote margin and quote profit</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9" hidden="0" customWidth="1"/>
    <x:col min="2" max="2" width="22" hidden="0" customWidth="1"/>
    <x:col min="3" max="3" width="64" hidden="0" customWidth="1"/>
    <x:col min="4" max="4" width="24" hidden="0" customWidth="1"/>
    <x:col min="5" max="5" width="24" hidden="0" customWidth="1"/>
    <x:col min="6" max="6" width="24" hidden="0" customWidth="1"/>
  </x:cols>
  <x:sheetData>
    <x:row r="1" ht="32" customHeight="1">
      <x:c r="A1" s="4" t="str">
        <x:v>BUD - PRUEBA SINTETICA</x:v>
      </x:c>
      <x:c r="B1" s="4" t="str">
        <x:v>Value</x:v>
      </x:c>
      <x:c r="C1" s="4" t="str">
        <x:v>Interpretation</x:v>
      </x:c>
      <x:c r="D1" s="64" t="str">
        <x:v>MONEDA ORIGINAL</x:v>
      </x:c>
      <x:c r="E1" s="64" t="str">
        <x:v>USD</x:v>
      </x:c>
      <x:c r="F1" s="64" t="str">
        <x:v>MXN</x:v>
      </x:c>
    </x:row>
    <x:row r="2">
      <x:c r="A2" t="str">
        <x:v>Projects in snapshot</x:v>
      </x:c>
      <x:c r="B2" t="n">
        <x:f>COUNTA('ERP Snapshot'!A2:A101)</x:f>
        <x:v>4</x:v>
      </x:c>
      <x:c r="C2" s="25" t="str">
        <x:v>Unique ERP Project IDs, one row each</x:v>
      </x:c>
      <x:c r="D2" s="25"/>
      <x:c r="E2" s="25"/>
      <x:c r="F2" s="25"/>
    </x:row>
    <x:row r="3" ht="42" customHeight="1">
      <x:c r="A3" t="str">
        <x:v>Authorized Customer PO USD</x:v>
      </x:c>
      <x:c r="B3" t="n">
        <x:f>SUM('Project Control'!D2:D101)</x:f>
        <x:v>149000</x:v>
      </x:c>
      <x:c r="C3" s="25" t="str">
        <x:v>Normalized USD may be partial during FX HOLD; original currencies are shown separately in E:F.</x:v>
      </x:c>
      <x:c r="D3" s="25" t="str">
        <x:v>Venta autorizada</x:v>
      </x:c>
      <x:c r="E3" s="65" t="n">
        <x:f>SUMIFS('PO Authorization'!$F$2:$F$101,'PO Authorization'!$I$2:$I$101,"USD")</x:f>
        <x:v>108000</x:v>
      </x:c>
      <x:c r="F3" s="65" t="n">
        <x:f>SUMIFS('PO Authorization'!$F$2:$F$101,'PO Authorization'!$I$2:$I$101,"MXN")</x:f>
        <x:v>820000</x:v>
      </x:c>
    </x:row>
    <x:row r="4" ht="42" customHeight="1">
      <x:c r="A4" t="str">
        <x:v>Invoiced amount USD</x:v>
      </x:c>
      <x:c r="B4" t="n">
        <x:f>SUM('Project Control'!E2:E101)</x:f>
        <x:v>81000</x:v>
      </x:c>
      <x:c r="C4" s="25" t="str">
        <x:v>Current snapshot billing, not the selected reporting month; original currencies E:F remain visible.</x:v>
      </x:c>
      <x:c r="D4" s="25" t="str">
        <x:v>Facturación al corte</x:v>
      </x:c>
      <x:c r="E4" s="65" t="n">
        <x:f>SUMIFS('ERP Snapshot'!$I$2:$I$101,'ERP Snapshot'!$D$2:$D$101,"USD")</x:f>
        <x:v>40000</x:v>
      </x:c>
      <x:c r="F4" s="65" t="n">
        <x:f>SUMIFS('ERP Snapshot'!$I$2:$I$101,'ERP Snapshot'!$D$2:$D$101,"MXN")</x:f>
        <x:v>820000</x:v>
      </x:c>
    </x:row>
    <x:row r="5" ht="42" customHeight="1">
      <x:c r="A5" t="str">
        <x:v>Uninvoiced value USD</x:v>
      </x:c>
      <x:c r="B5" t="n">
        <x:f>SUM('Project Control'!F2:F101)</x:f>
        <x:v>68000</x:v>
      </x:c>
      <x:c r="C5" s="25" t="str">
        <x:v>Authorized minus invoiced; negative requires review</x:v>
      </x:c>
      <x:c r="D5" s="25" t="str">
        <x:v>Pendiente de facturar</x:v>
      </x:c>
      <x:c r="E5" s="65" t="n">
        <x:f>E3-E4</x:f>
        <x:v>68000</x:v>
      </x:c>
      <x:c r="F5" s="65" t="n">
        <x:f>F3-F4</x:f>
        <x:v>0</x:v>
      </x:c>
    </x:row>
    <x:row r="6">
      <x:c r="A6" s="25" t="str">
        <x:v>Authorized operating budgets USD</x:v>
      </x:c>
      <x:c r="B6" s="25" t="n">
        <x:f>SUM('Project Control'!G2:G101)</x:f>
        <x:v>114000</x:v>
      </x:c>
      <x:c r="C6" s="25" t="str">
        <x:v>Authorized budget includes all operating expenses attributable to each project.</x:v>
      </x:c>
      <x:c r="D6" s="25"/>
      <x:c r="E6" s="25"/>
      <x:c r="F6" s="25"/>
    </x:row>
    <x:row r="7" ht="42" customHeight="1">
      <x:c r="A7" s="25" t="str">
        <x:v>Supplier PO authorized value USD</x:v>
      </x:c>
      <x:c r="B7" s="25" t="n">
        <x:f>IF(COUNT('Project Control'!I2:I101)=COUNTA('ERP Snapshot'!A2:A101),SUM('Project Control'!I2:I101),"PO DATA REQUIRED")</x:f>
        <x:v>68000</x:v>
      </x:c>
      <x:c r="C7" s="25" t="str">
        <x:v>Issued authorized supplier PO totals, including completed POs; amendments and cancellations reflected.</x:v>
      </x:c>
      <x:c r="D7" s="25"/>
      <x:c r="E7" s="25"/>
      <x:c r="F7" s="25"/>
    </x:row>
    <x:row r="8" ht="60" customHeight="1">
      <x:c r="A8" s="25" t="str">
        <x:v>Budget not committed via POs USD</x:v>
      </x:c>
      <x:c r="B8" s="25" t="n">
        <x:f>IF(AND(COUNT('Project Control'!I2:I101)=COUNTA('ERP Snapshot'!A2:A101),COUNT('Project Control'!G2:G101)=COUNTA('ERP Snapshot'!A2:A101)),SUM('Project Control'!J2:J101),"DATA REQUIRED")</x:f>
        <x:v>46000</x:v>
      </x:c>
      <x:c r="C8" s="25" t="str">
        <x:v>Budget minus authorized supplier POs. Does not deduct operating expenses incurred outside POs; not total available budget.</x:v>
      </x:c>
      <x:c r="D8" s="25"/>
      <x:c r="E8" s="25"/>
      <x:c r="F8" s="25"/>
    </x:row>
    <x:row r="9" ht="60" customHeight="1">
      <x:c r="A9" s="25" t="str">
        <x:v>Budget committed via POs %</x:v>
      </x:c>
      <x:c r="B9" s="67" t="n">
        <x:f>IF(AND(ISNUMBER(B6),B6&gt;0,ISNUMBER(B7)),B7/B6,"")</x:f>
        <x:v>0.5964912280701754</x:v>
      </x:c>
      <x:c r="C9" s="25" t="str">
        <x:v>Authorized supplier PO value / total operating budget. Measures only the portion committed through POs.</x:v>
      </x:c>
      <x:c r="D9" s="25"/>
      <x:c r="E9" s="25"/>
      <x:c r="F9" s="25"/>
    </x:row>
    <x:row r="10">
      <x:c r="A10" t="str">
        <x:v>Projects at / over budget</x:v>
      </x:c>
      <x:c r="B10" t="n">
        <x:f>IF(COUNT('Project Control'!I2:I101)=COUNTA('ERP Snapshot'!A2:A101),COUNTIFS('Project Control'!L2:L101,"OVER BUDGET")+COUNTIFS('Project Control'!L2:L101,"BUDGET EXHAUSTED"),"DATA REQUIRED")</x:f>
        <x:v>1</x:v>
      </x:c>
      <x:c r="C10" s="25" t="str">
        <x:v>Preventive threshold not counted here</x:v>
      </x:c>
      <x:c r="D10" s="25"/>
      <x:c r="E10" s="25"/>
      <x:c r="F10" s="25"/>
    </x:row>
    <x:row r="11">
      <x:c r="A11" t="str">
        <x:v>Projects at preventive threshold</x:v>
      </x:c>
      <x:c r="B11" t="n">
        <x:f>IF(COUNT('Project Control'!I2:I101)=COUNTA('ERP Snapshot'!A2:A101),COUNTIFS('Project Control'!L2:L101,"PREVENTIVE ALERT"),"DATA REQUIRED")</x:f>
        <x:v>0</x:v>
      </x:c>
      <x:c r="C11" s="25" t="str">
        <x:v>At threshold, below 100%</x:v>
      </x:c>
      <x:c r="D11" s="25"/>
      <x:c r="E11" s="25"/>
      <x:c r="F11" s="25"/>
    </x:row>
    <x:row r="12">
      <x:c r="A12" t="str">
        <x:v>Projects with pending supplier POs</x:v>
      </x:c>
      <x:c r="B12" t="n">
        <x:f>COUNTIF('Project Control'!M2:M101,"&gt;0")</x:f>
        <x:v>2</x:v>
      </x:c>
      <x:c r="C12" s="25" t="str">
        <x:v>ERP summary count, not individual lines</x:v>
      </x:c>
      <x:c r="D12" s="25"/>
      <x:c r="E12" s="25"/>
      <x:c r="F12" s="25"/>
    </x:row>
    <x:row r="13">
      <x:c r="A13" t="str">
        <x:v>Projects with open exceptions</x:v>
      </x:c>
      <x:c r="B13" t="n">
        <x:f>COUNTIF('Project Control'!N2:N101,"&gt;0")</x:f>
        <x:v>3</x:v>
      </x:c>
      <x:c r="C13" s="25" t="str">
        <x:v>Manual management exceptions</x:v>
      </x:c>
      <x:c r="D13" s="25"/>
      <x:c r="E13" s="25"/>
      <x:c r="F13" s="25"/>
    </x:row>
    <x:row r="14">
      <x:c r="A14" t="str">
        <x:v>Projects with outstanding invoicing</x:v>
      </x:c>
      <x:c r="B14" t="n">
        <x:f>COUNTIF('Project Control'!F2:F101,"&gt;0")</x:f>
        <x:v>3</x:v>
      </x:c>
      <x:c r="C14" s="25" t="str">
        <x:v>Customer PO authorized value not yet invoiced</x:v>
      </x:c>
      <x:c r="D14" s="25"/>
      <x:c r="E14" s="25"/>
      <x:c r="F14" s="25"/>
    </x:row>
    <x:row r="15">
      <x:c r="A15" t="str">
        <x:v>Projects with critical follow-up</x:v>
      </x:c>
      <x:c r="B15" t="n">
        <x:f>COUNTIF('Project Control'!P2:P101,"CRITICAL / REVIEW")</x:f>
        <x:v>2</x:v>
      </x:c>
      <x:c r="C15" s="25" t="str">
        <x:v>Operational critical flags and source-data follow-up.</x:v>
      </x:c>
      <x:c r="D15" s="25"/>
      <x:c r="E15" s="25"/>
      <x:c r="F15" s="25"/>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44" hidden="0" customWidth="1"/>
    <x:col min="7" max="7" width="44" hidden="0" customWidth="1"/>
  </x:cols>
  <x:sheetData>
    <x:row r="1" ht="40" customHeight="1">
      <x:c r="A1" s="4" t="str">
        <x:v>Update date</x:v>
      </x:c>
      <x:c r="B1" s="4" t="str">
        <x:v>Update type</x:v>
      </x:c>
      <x:c r="C1" s="4" t="str">
        <x:v>ERP export / source</x:v>
      </x:c>
      <x:c r="D1" s="4" t="str">
        <x:v>Projects refreshed</x:v>
      </x:c>
      <x:c r="E1" s="4" t="str">
        <x:v>Updated by</x:v>
      </x:c>
      <x:c r="F1" s="4" t="str">
        <x:v>Reason / critical incident</x:v>
      </x:c>
      <x:c r="G1" s="4" t="str">
        <x:v>Validation / notes</x:v>
      </x:c>
    </x:row>
    <x:row r="2">
      <x:c r="A2" s="68" t="str">
        <x:v>2026-10-16</x:v>
      </x:c>
      <x:c r="B2" t="str">
        <x:v>Weekly</x:v>
      </x:c>
      <x:c r="C2" t="str">
        <x:v>ERP-W42-001</x:v>
      </x:c>
      <x:c r="D2" t="n">
        <x:v>4</x:v>
      </x:c>
      <x:c r="E2" t="str">
        <x:v>Simulated user</x:v>
      </x:c>
      <x:c r="F2" t="str">
        <x:v>Baseline fictional snapshot</x:v>
      </x:c>
      <x:c r="G2" t="str">
        <x:v>No actual ERP connection; demonstration only</x:v>
      </x:c>
    </x:row>
    <x:row r="3">
      <x:c r="A3" s="68"/>
    </x:row>
    <x:row r="4">
      <x:c r="A4" s="68"/>
    </x:row>
    <x:row r="5">
      <x:c r="A5" s="68"/>
    </x:row>
    <x:row r="6">
      <x:c r="A6" s="68"/>
    </x:row>
    <x:row r="7">
      <x:c r="A7" s="68"/>
    </x:row>
    <x:row r="8">
      <x:c r="A8" s="68"/>
    </x:row>
    <x:row r="9">
      <x:c r="A9" s="68"/>
    </x:row>
    <x:row r="10">
      <x:c r="A10" s="68"/>
    </x:row>
    <x:row r="11">
      <x:c r="A11" s="68"/>
    </x:row>
    <x:row r="12">
      <x:c r="A12" s="68"/>
    </x:row>
    <x:row r="13">
      <x:c r="A13" s="68"/>
    </x:row>
    <x:row r="14">
      <x:c r="A14" s="68"/>
    </x:row>
    <x:row r="15">
      <x:c r="A15" s="68"/>
    </x:row>
    <x:row r="16">
      <x:c r="A16" s="68"/>
    </x:row>
    <x:row r="17">
      <x:c r="A17" s="68"/>
    </x:row>
    <x:row r="18">
      <x:c r="A18" s="68"/>
    </x:row>
    <x:row r="19">
      <x:c r="A19" s="68"/>
    </x:row>
    <x:row r="20">
      <x:c r="A20" s="68"/>
    </x:row>
    <x:row r="21">
      <x:c r="A21" s="68"/>
    </x:row>
    <x:row r="22">
      <x:c r="A22" s="68"/>
    </x:row>
    <x:row r="23">
      <x:c r="A23" s="68"/>
    </x:row>
    <x:row r="24">
      <x:c r="A24" s="68"/>
    </x:row>
    <x:row r="25">
      <x:c r="A25" s="68"/>
    </x:row>
    <x:row r="26">
      <x:c r="A26" s="68"/>
    </x:row>
    <x:row r="27">
      <x:c r="A27" s="68"/>
    </x:row>
    <x:row r="28">
      <x:c r="A28" s="68"/>
    </x:row>
    <x:row r="29">
      <x:c r="A29" s="68"/>
    </x:row>
    <x:row r="30">
      <x:c r="A30" s="68"/>
    </x:row>
    <x:row r="31">
      <x:c r="A31" s="68"/>
    </x:row>
    <x:row r="32">
      <x:c r="A32" s="68"/>
    </x:row>
    <x:row r="33">
      <x:c r="A33" s="68"/>
    </x:row>
    <x:row r="34">
      <x:c r="A34" s="68"/>
    </x:row>
    <x:row r="35">
      <x:c r="A35" s="68"/>
    </x:row>
    <x:row r="36">
      <x:c r="A36" s="68"/>
    </x:row>
    <x:row r="37">
      <x:c r="A37" s="68"/>
    </x:row>
    <x:row r="38">
      <x:c r="A38" s="68"/>
    </x:row>
    <x:row r="39">
      <x:c r="A39" s="68"/>
    </x:row>
    <x:row r="40">
      <x:c r="A40" s="68"/>
    </x:row>
    <x:row r="41">
      <x:c r="A41" s="68"/>
    </x:row>
    <x:row r="42">
      <x:c r="A42" s="68"/>
    </x:row>
    <x:row r="43">
      <x:c r="A43" s="68"/>
    </x:row>
    <x:row r="44">
      <x:c r="A44" s="68"/>
    </x:row>
    <x:row r="45">
      <x:c r="A45" s="68"/>
    </x:row>
    <x:row r="46">
      <x:c r="A46" s="68"/>
    </x:row>
    <x:row r="47">
      <x:c r="A47" s="68"/>
    </x:row>
    <x:row r="48">
      <x:c r="A48" s="68"/>
    </x:row>
    <x:row r="49">
      <x:c r="A49" s="68"/>
    </x:row>
    <x:row r="50">
      <x:c r="A50" s="68"/>
    </x:row>
    <x:row r="51">
      <x:c r="A51" s="68"/>
    </x:row>
    <x:row r="52">
      <x:c r="A52" s="68"/>
    </x:row>
    <x:row r="53">
      <x:c r="A53" s="68"/>
    </x:row>
    <x:row r="54">
      <x:c r="A54" s="68"/>
    </x:row>
    <x:row r="55">
      <x:c r="A55" s="68"/>
    </x:row>
    <x:row r="56">
      <x:c r="A56" s="68"/>
    </x:row>
    <x:row r="57">
      <x:c r="A57" s="68"/>
    </x:row>
    <x:row r="58">
      <x:c r="A58" s="68"/>
    </x:row>
    <x:row r="59">
      <x:c r="A59" s="68"/>
    </x:row>
    <x:row r="60">
      <x:c r="A60" s="68"/>
    </x:row>
    <x:row r="61">
      <x:c r="A61" s="68"/>
    </x:row>
    <x:row r="62">
      <x:c r="A62" s="68"/>
    </x:row>
    <x:row r="63">
      <x:c r="A63" s="68"/>
    </x:row>
    <x:row r="64">
      <x:c r="A64" s="68"/>
    </x:row>
    <x:row r="65">
      <x:c r="A65" s="68"/>
    </x:row>
    <x:row r="66">
      <x:c r="A66" s="68"/>
    </x:row>
    <x:row r="67">
      <x:c r="A67" s="68"/>
    </x:row>
    <x:row r="68">
      <x:c r="A68" s="68"/>
    </x:row>
    <x:row r="69">
      <x:c r="A69" s="68"/>
    </x:row>
    <x:row r="70">
      <x:c r="A70" s="68"/>
    </x:row>
    <x:row r="71">
      <x:c r="A71" s="68"/>
    </x:row>
    <x:row r="72">
      <x:c r="A72" s="68"/>
    </x:row>
    <x:row r="73">
      <x:c r="A73" s="68"/>
    </x:row>
    <x:row r="74">
      <x:c r="A74" s="68"/>
    </x:row>
    <x:row r="75">
      <x:c r="A75" s="68"/>
    </x:row>
    <x:row r="76">
      <x:c r="A76" s="68"/>
    </x:row>
    <x:row r="77">
      <x:c r="A77" s="68"/>
    </x:row>
    <x:row r="78">
      <x:c r="A78" s="68"/>
    </x:row>
    <x:row r="79">
      <x:c r="A79" s="68"/>
    </x:row>
    <x:row r="80">
      <x:c r="A80" s="68"/>
    </x:row>
    <x:row r="81">
      <x:c r="A81" s="68"/>
    </x:row>
    <x:row r="82">
      <x:c r="A82" s="68"/>
    </x:row>
    <x:row r="83">
      <x:c r="A83" s="68"/>
    </x:row>
    <x:row r="84">
      <x:c r="A84" s="68"/>
    </x:row>
    <x:row r="85">
      <x:c r="A85" s="68"/>
    </x:row>
    <x:row r="86">
      <x:c r="A86" s="68"/>
    </x:row>
    <x:row r="87">
      <x:c r="A87" s="68"/>
    </x:row>
    <x:row r="88">
      <x:c r="A88" s="68"/>
    </x:row>
    <x:row r="89">
      <x:c r="A89" s="68"/>
    </x:row>
    <x:row r="90">
      <x:c r="A90" s="68"/>
    </x:row>
    <x:row r="91">
      <x:c r="A91" s="68"/>
    </x:row>
    <x:row r="92">
      <x:c r="A92" s="68"/>
    </x:row>
    <x:row r="93">
      <x:c r="A93" s="68"/>
    </x:row>
    <x:row r="94">
      <x:c r="A94" s="68"/>
    </x:row>
    <x:row r="95">
      <x:c r="A95" s="68"/>
    </x:row>
    <x:row r="96">
      <x:c r="A96" s="68"/>
    </x:row>
    <x:row r="97">
      <x:c r="A97" s="68"/>
    </x:row>
    <x:row r="98">
      <x:c r="A98" s="68"/>
    </x:row>
    <x:row r="99">
      <x:c r="A99" s="68"/>
    </x:row>
    <x:row r="100">
      <x:c r="A100" s="68"/>
    </x:row>
    <x:row r="101">
      <x:c r="A101" s="68"/>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100" hidden="0" customWidth="1"/>
    <x:col min="4" max="4" width="22" hidden="0" customWidth="1"/>
  </x:cols>
  <x:sheetData>
    <x:row r="1" ht="15" hidden="0" customHeight="1">
      <x:c r="A1" s="4" t="str">
        <x:v>ID</x:v>
      </x:c>
      <x:c r="B1" s="4" t="str">
        <x:v>Topic</x:v>
      </x:c>
      <x:c r="C1" s="4" t="str">
        <x:v>Rule / open question</x:v>
      </x:c>
      <x:c r="D1" s="4" t="str">
        <x:v>Status</x:v>
      </x:c>
    </x:row>
    <x:row r="2" ht="15" hidden="0" customHeight="1">
      <x:c r="A2" s="25" t="str">
        <x:v>BR-001</x:v>
      </x:c>
      <x:c r="B2" s="25" t="str">
        <x:v>ERP system of record</x:v>
      </x:c>
      <x:c r="C2" s="25" t="str">
        <x:v>Project ID assigned by ERP. Excel never generates IDs; project summary only.</x:v>
      </x:c>
      <x:c r="D2" s="25" t="str">
        <x:v>APPROVED</x:v>
      </x:c>
    </x:row>
    <x:row r="3" ht="15" hidden="0" customHeight="1">
      <x:c r="A3" s="25" t="str">
        <x:v>BR-002</x:v>
      </x:c>
      <x:c r="B3" s="25" t="str">
        <x:v>Update cadence</x:v>
      </x:c>
      <x:c r="C3" s="25" t="str">
        <x:v>Weekly consolidated ERP snapshot; extraordinary refresh on critical incidents.</x:v>
      </x:c>
      <x:c r="D3" s="25" t="str">
        <x:v>APPROVED</x:v>
      </x:c>
    </x:row>
    <x:row r="4" ht="15" hidden="0" customHeight="1">
      <x:c r="A4" s="25" t="str">
        <x:v>BR-003</x:v>
      </x:c>
      <x:c r="B4" s="25" t="str">
        <x:v>Data entry ownership</x:v>
      </x:c>
      <x:c r="C4" s="25" t="str">
        <x:v>ERP provides transactional facts; manual edits only for management exceptions and update log.</x:v>
      </x:c>
      <x:c r="D4" s="25" t="str">
        <x:v>APPROVED</x:v>
      </x:c>
    </x:row>
    <x:row r="5" ht="15" hidden="0" customHeight="1">
      <x:c r="A5" s="25" t="str">
        <x:v>BR-004</x:v>
      </x:c>
      <x:c r="B5" s="25" t="str">
        <x:v>Customer PO</x:v>
      </x:c>
      <x:c r="C5" s="25" t="str">
        <x:v>Authorized PO total controls sales; no customer PO line replication.</x:v>
      </x:c>
      <x:c r="D5" s="25" t="str">
        <x:v>APPROVED</x:v>
      </x:c>
    </x:row>
    <x:row r="6" ht="15" hidden="0" customHeight="1">
      <x:c r="A6" s="25" t="str">
        <x:v>BR-005</x:v>
      </x:c>
      <x:c r="B6" s="25" t="str">
        <x:v>Supplier PO</x:v>
      </x:c>
      <x:c r="C6" s="25" t="str">
        <x:v>Only project-level counts and pending status; material details remain in ERP.</x:v>
      </x:c>
      <x:c r="D6" s="25" t="str">
        <x:v>APPROVED</x:v>
      </x:c>
    </x:row>
    <x:row r="7" ht="15" hidden="0" customHeight="1">
      <x:c r="A7" s="25" t="str">
        <x:v>BR-006</x:v>
      </x:c>
      <x:c r="B7" s="25" t="str">
        <x:v>Budget vs pricing</x:v>
      </x:c>
      <x:c r="C7" s="25" t="str">
        <x:v>Authorized budget includes all operating expenses of the project. Authorized customer PO sale remains a separate commercial measure.</x:v>
      </x:c>
      <x:c r="D7" s="25" t="str">
        <x:v>APPROVED</x:v>
      </x:c>
    </x:row>
    <x:row r="8" ht="52.79999923706055" hidden="0" customHeight="1">
      <x:c r="A8" s="25" t="str">
        <x:v>BR-007</x:v>
      </x:c>
      <x:c r="B8" s="25" t="str">
        <x:v>Conditional budget / supplier PO perimeter</x:v>
      </x:c>
      <x:c r="C8"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c r="D8" s="25" t="str">
        <x:v>ACCEPTED CONDITIONALLY; SOURCE UNVERIFIED</x:v>
      </x:c>
    </x:row>
    <x:row r="9" ht="15" hidden="0" customHeight="1">
      <x:c r="A9" s="25" t="str">
        <x:v>BR-008</x:v>
      </x:c>
      <x:c r="B9" s="25" t="str">
        <x:v>21-day buffer</x:v>
      </x:c>
      <x:c r="C9" s="25" t="str">
        <x:v>7 days processing + 7 days intermediary + 7 days final customer.</x:v>
      </x:c>
      <x:c r="D9" s="25" t="str">
        <x:v>APPROVED</x:v>
      </x:c>
    </x:row>
    <x:row r="10" ht="15" hidden="0" customHeight="1">
      <x:c r="A10" s="25" t="str">
        <x:v>PL-001</x:v>
      </x:c>
      <x:c r="B10" s="25" t="str">
        <x:v>FX policy</x:v>
      </x:c>
      <x:c r="C10" s="25" t="str">
        <x:v>Illustrative fixed FX in Settings. Finance/ERP policy on historical or ERP rates remains undecided.</x:v>
      </x:c>
      <x:c r="D10" s="25" t="str">
        <x:v>OPEN</x:v>
      </x:c>
    </x:row>
    <x:row r="11" ht="15" hidden="0" customHeight="1">
      <x:c r="A11" s="25" t="str">
        <x:v>PL-002</x:v>
      </x:c>
      <x:c r="B11" s="25" t="str">
        <x:v>Over-PO invoicing</x:v>
      </x:c>
      <x:c r="C11" s="25" t="str">
        <x:v>Flag when invoicing exceeds authorized Customer PO; escalation and ERP correction policy pending.</x:v>
      </x:c>
      <x:c r="D11" s="25" t="str">
        <x:v>OPEN</x:v>
      </x:c>
    </x:row>
    <x:row r="12" ht="15" hidden="0" customHeight="1">
      <x:c r="A12" s="25" t="str">
        <x:v>PL-003</x:v>
      </x:c>
      <x:c r="B12" s="25" t="str">
        <x:v>ERP export mapping</x:v>
      </x:c>
      <x:c r="C12" s="25" t="str">
        <x:v>Confirm actual ERP export fields and extraction method before real-world use.</x:v>
      </x:c>
      <x:c r="D12" s="25" t="str">
        <x:v>OPEN</x:v>
      </x:c>
    </x:row>
    <x:row r="13" ht="15" hidden="0" customHeight="1">
      <x:c r="A13" s="25" t="str">
        <x:v>PL-004</x:v>
      </x:c>
      <x:c r="B13" s="25" t="str">
        <x:v>Critical incident trigger</x:v>
      </x:c>
      <x:c r="C13" s="25" t="str">
        <x:v>Define operational severity criteria and responsible approver for extraordinary refresh.</x:v>
      </x:c>
      <x:c r="D13" s="25" t="str">
        <x:v>OPEN</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53" hidden="0" customWidth="1"/>
  </x:cols>
  <x:sheetData>
    <x:row r="1" ht="42" customHeight="1">
      <x:c r="A1" s="13" t="str">
        <x:v>Business Unit</x:v>
      </x:c>
      <x:c r="B1" s="13" t="str">
        <x:v>Brand / Line</x:v>
      </x:c>
      <x:c r="C1" s="13" t="str">
        <x:v>Active</x:v>
      </x:c>
      <x:c r="D1" s="13" t="str">
        <x:v>Scope</x:v>
      </x:c>
      <x:c r="E1" s="13" t="str">
        <x:v>Guidance</x:v>
      </x:c>
    </x:row>
    <x:row r="2">
      <x:c r="A2" t="str">
        <x:v>Strategic Services</x:v>
      </x:c>
      <x:c r="B2" t="str">
        <x:v>N/A</x:v>
      </x:c>
      <x:c r="C2" t="str">
        <x:v>YES</x:v>
      </x:c>
      <x:c r="D2" t="str">
        <x:v>IN SCOPE</x:v>
      </x:c>
      <x:c r="E2" t="str">
        <x:v>Project-based strategic services</x:v>
      </x:c>
    </x:row>
    <x:row r="3">
      <x:c r="A3" t="str">
        <x:v>Brands</x:v>
      </x:c>
      <x:c r="B3" t="str">
        <x:v>Desoutter</x:v>
      </x:c>
      <x:c r="C3" t="str">
        <x:v>YES</x:v>
      </x:c>
      <x:c r="D3" t="str">
        <x:v>IN SCOPE</x:v>
      </x:c>
      <x:c r="E3" t="str">
        <x:v>One brand per quotation</x:v>
      </x:c>
    </x:row>
    <x:row r="4">
      <x:c r="A4" t="str">
        <x:v>Brands</x:v>
      </x:c>
      <x:c r="B4" t="str">
        <x:v>Datalogic</x:v>
      </x:c>
      <x:c r="C4" t="str">
        <x:v>YES</x:v>
      </x:c>
      <x:c r="D4" t="str">
        <x:v>IN SCOPE</x:v>
      </x:c>
      <x:c r="E4" t="str">
        <x:v>One brand per quotation</x:v>
      </x:c>
    </x:row>
    <x:row r="5">
      <x:c r="A5" t="str">
        <x:v>Brands</x:v>
      </x:c>
      <x:c r="B5" t="str">
        <x:v>Graco</x:v>
      </x:c>
      <x:c r="C5" t="str">
        <x:v>YES</x:v>
      </x:c>
      <x:c r="D5" t="str">
        <x:v>IN SCOPE</x:v>
      </x:c>
      <x:c r="E5" t="str">
        <x:v>One brand per quotation</x:v>
      </x:c>
    </x:row>
    <x:row r="6">
      <x:c r="A6" t="str">
        <x:v>Brands</x:v>
      </x:c>
      <x:c r="B6" t="str">
        <x:v>Chicago Pneumatic</x:v>
      </x:c>
      <x:c r="C6" t="str">
        <x:v>YES</x:v>
      </x:c>
      <x:c r="D6" t="str">
        <x:v>IN SCOPE</x:v>
      </x:c>
      <x:c r="E6" t="str">
        <x:v>One brand per quotation</x:v>
      </x:c>
    </x:row>
    <x:row r="7">
      <x:c r="A7" t="str">
        <x:v>Brands</x:v>
      </x:c>
      <x:c r="B7" t="str">
        <x:v>Ohtake</x:v>
      </x:c>
      <x:c r="C7" t="str">
        <x:v>YES</x:v>
      </x:c>
      <x:c r="D7" t="str">
        <x:v>IN SCOPE</x:v>
      </x:c>
      <x:c r="E7" t="str">
        <x:v>One brand per quotation</x:v>
      </x:c>
    </x:row>
    <x:row r="8">
      <x:c r="A8" t="str">
        <x:v>Brands</x:v>
      </x:c>
      <x:c r="B8" t="str">
        <x:v>Other / configurable</x:v>
      </x:c>
      <x:c r="C8" t="str">
        <x:v>YES</x:v>
      </x:c>
      <x:c r="D8" t="str">
        <x:v>IN SCOPE</x:v>
      </x:c>
      <x:c r="E8" t="str">
        <x:v>Replace with actual new brand</x:v>
      </x:c>
    </x:row>
    <x:row r="9">
      <x:c r="A9" t="str">
        <x:v>Automation</x:v>
      </x:c>
      <x:c r="B9" t="str">
        <x:v>N/A</x:v>
      </x:c>
      <x:c r="C9" t="str">
        <x:v>YES</x:v>
      </x:c>
      <x:c r="D9" t="str">
        <x:v>OUT OF SCOPE</x:v>
      </x:c>
      <x:c r="E9" t="str">
        <x:v>Company BU; no user-attributed results</x:v>
      </x:c>
    </x:row>
    <x:row r="10">
      <x:c r="A10" t="str">
        <x:v>Machining</x:v>
      </x:c>
      <x:c r="B10" t="str">
        <x:v>N/A</x:v>
      </x:c>
      <x:c r="C10" t="str">
        <x:v>YES</x:v>
      </x:c>
      <x:c r="D10" t="str">
        <x:v>OUT OF SCOPE</x:v>
      </x:c>
      <x:c r="E10" t="str">
        <x:v>Company BU; no user-attributed results</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62" hidden="0" customWidth="1"/>
  </x:cols>
  <x:sheetData>
    <x:row r="1" ht="42" customHeight="1">
      <x:c r="A1" s="13" t="str">
        <x:v>Entity code</x:v>
      </x:c>
      <x:c r="B1" s="13" t="str">
        <x:v>Entity description</x:v>
      </x:c>
      <x:c r="C1" s="13" t="str">
        <x:v>Reporting currency</x:v>
      </x:c>
      <x:c r="D1" s="13" t="str">
        <x:v>Sales currencies</x:v>
      </x:c>
      <x:c r="E1" s="13" t="str">
        <x:v>Notes</x:v>
      </x:c>
    </x:row>
    <x:row r="2">
      <x:c r="A2" t="str">
        <x:v>MX</x:v>
      </x:c>
      <x:c r="B2" t="str">
        <x:v>Mexico selling entity</x:v>
      </x:c>
      <x:c r="C2" t="str">
        <x:v>USD</x:v>
      </x:c>
      <x:c r="D2" t="str">
        <x:v>MXN / USD</x:v>
      </x:c>
      <x:c r="E2" t="str">
        <x:v>ERP legal entity code to be mapped</x:v>
      </x:c>
    </x:row>
    <x:row r="3">
      <x:c r="A3" t="str">
        <x:v>US</x:v>
      </x:c>
      <x:c r="B3" t="str">
        <x:v>USA selling entity</x:v>
      </x:c>
      <x:c r="C3" t="str">
        <x:v>USD</x:v>
      </x:c>
      <x:c r="D3" t="str">
        <x:v>ERP-defined</x:v>
      </x:c>
      <x:c r="E3" t="str">
        <x:v>USA can act as intercompany supplier to MX</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42" customHeight="1">
      <x:c r="A1" s="13" t="str">
        <x:v>Project ID (ERP)</x:v>
      </x:c>
      <x:c r="B1" s="13" t="str">
        <x:v>Customer</x:v>
      </x:c>
      <x:c r="C1" s="13" t="str">
        <x:v>Business Unit</x:v>
      </x:c>
      <x:c r="D1" s="13" t="str">
        <x:v>Brand</x:v>
      </x:c>
      <x:c r="E1" s="13" t="str">
        <x:v>Selling Entity</x:v>
      </x:c>
      <x:c r="F1" s="13" t="str">
        <x:v>Sale currency</x:v>
      </x:c>
      <x:c r="G1" s="13" t="str">
        <x:v>Authorized PO USD</x:v>
      </x:c>
      <x:c r="H1" s="13" t="str">
        <x:v>Invoiced to date USD</x:v>
      </x:c>
      <x:c r="I1" s="13" t="str">
        <x:v>Uninvoiced USD</x:v>
      </x:c>
      <x:c r="J1" s="13" t="str">
        <x:v>Recognized cost USD</x:v>
      </x:c>
      <x:c r="K1" s="13" t="str">
        <x:v>Supplier PO authorized value USD</x:v>
      </x:c>
      <x:c r="L1" s="13" t="str">
        <x:v>Project status</x:v>
      </x:c>
    </x:row>
    <x:row r="2">
      <x:c r="A2" t="str">
        <x:f>IF('Project Control'!A2="","",'Project Control'!A2)</x:f>
        <x:v>100245</x:v>
      </x:c>
      <x:c r="B2" t="str">
        <x:f>IF(A2="","",'Project Control'!B2)</x:f>
        <x:v>Customer A</x:v>
      </x:c>
      <x:c r="C2" t="str">
        <x:f>IF(A2="","",'Project Control'!R2)</x:f>
        <x:v>Strategic Services</x:v>
      </x:c>
      <x:c r="D2" t="str">
        <x:f>IF(A2="","",'Project Control'!S2)</x:f>
        <x:v>N/A</x:v>
      </x:c>
      <x:c r="E2" t="str">
        <x:f>IF(A2="","",'Project Control'!T2)</x:f>
        <x:v>MX</x:v>
      </x:c>
      <x:c r="F2" t="str">
        <x:f>IF(A2="","",'Project Control'!C2)</x:f>
        <x:v>USD</x:v>
      </x:c>
      <x:c r="G2" t="n">
        <x:f>IF(A2="","",'Project Control'!D2)</x:f>
        <x:v>50000</x:v>
      </x:c>
      <x:c r="H2" t="n">
        <x:f>IF(A2="","",'Project Control'!E2)</x:f>
        <x:v>28000</x:v>
      </x:c>
      <x:c r="I2" t="n">
        <x:f>IF(A2="","",'Project Control'!F2)</x:f>
        <x:v>22000</x:v>
      </x:c>
      <x:c r="J2" t="n">
        <x:f>IF(A2="","",'Project Control'!H2)</x:f>
        <x:v>24000</x:v>
      </x:c>
      <x:c r="K2" t="n">
        <x:f>IF(A2="","",IF(ISNUMBER('Project Control'!I2),'Project Control'!I2,""))</x:f>
        <x:v>24000</x:v>
      </x:c>
      <x:c r="L2" t="str">
        <x:f>IF(A2="","",'Project Control'!O2)</x:f>
        <x:v>PARTIAL INVOICE</x:v>
      </x:c>
    </x:row>
    <x:row r="3">
      <x:c r="A3" t="str">
        <x:f>IF('Project Control'!A3="","",'Project Control'!A3)</x:f>
        <x:v>100246</x:v>
      </x:c>
      <x:c r="B3" t="str">
        <x:f>IF(A3="","",'Project Control'!B3)</x:f>
        <x:v>Customer B</x:v>
      </x:c>
      <x:c r="C3" t="str">
        <x:f>IF(A3="","",'Project Control'!R3)</x:f>
        <x:v>Brands</x:v>
      </x:c>
      <x:c r="D3" t="str">
        <x:f>IF(A3="","",'Project Control'!S3)</x:f>
        <x:v>Desoutter</x:v>
      </x:c>
      <x:c r="E3" t="str">
        <x:f>IF(A3="","",'Project Control'!T3)</x:f>
        <x:v>MX</x:v>
      </x:c>
      <x:c r="F3" t="str">
        <x:f>IF(A3="","",'Project Control'!C3)</x:f>
        <x:v>MXN</x:v>
      </x:c>
      <x:c r="G3" t="n">
        <x:f>IF(A3="","",'Project Control'!D3)</x:f>
        <x:v>41000</x:v>
      </x:c>
      <x:c r="H3" t="n">
        <x:f>IF(A3="","",'Project Control'!E3)</x:f>
        <x:v>41000</x:v>
      </x:c>
      <x:c r="I3" t="n">
        <x:f>IF(A3="","",'Project Control'!F3)</x:f>
        <x:v>0</x:v>
      </x:c>
      <x:c r="J3" t="n">
        <x:f>IF(A3="","",'Project Control'!H3)</x:f>
        <x:v>29000</x:v>
      </x:c>
      <x:c r="K3" t="n">
        <x:f>IF(A3="","",IF(ISNUMBER('Project Control'!I3),'Project Control'!I3,""))</x:f>
        <x:v>18000</x:v>
      </x:c>
      <x:c r="L3" t="str">
        <x:f>IF(A3="","",'Project Control'!O3)</x:f>
        <x:v>FULLY INVOICED</x:v>
      </x:c>
    </x:row>
    <x:row r="4">
      <x:c r="A4" t="str">
        <x:f>IF('Project Control'!A4="","",'Project Control'!A4)</x:f>
        <x:v>100247</x:v>
      </x:c>
      <x:c r="B4" t="str">
        <x:f>IF(A4="","",'Project Control'!B4)</x:f>
        <x:v>Customer C</x:v>
      </x:c>
      <x:c r="C4" t="str">
        <x:f>IF(A4="","",'Project Control'!R4)</x:f>
        <x:v>Brands</x:v>
      </x:c>
      <x:c r="D4" t="str">
        <x:f>IF(A4="","",'Project Control'!S4)</x:f>
        <x:v>Datalogic</x:v>
      </x:c>
      <x:c r="E4" t="str">
        <x:f>IF(A4="","",'Project Control'!T4)</x:f>
        <x:v>US</x:v>
      </x:c>
      <x:c r="F4" t="str">
        <x:f>IF(A4="","",'Project Control'!C4)</x:f>
        <x:v>USD</x:v>
      </x:c>
      <x:c r="G4" t="n">
        <x:f>IF(A4="","",'Project Control'!D4)</x:f>
        <x:v>34000</x:v>
      </x:c>
      <x:c r="H4" t="n">
        <x:f>IF(A4="","",'Project Control'!E4)</x:f>
        <x:v>12000</x:v>
      </x:c>
      <x:c r="I4" t="n">
        <x:f>IF(A4="","",'Project Control'!F4)</x:f>
        <x:v>22000</x:v>
      </x:c>
      <x:c r="J4" t="n">
        <x:f>IF(A4="","",'Project Control'!H4)</x:f>
        <x:v>21000</x:v>
      </x:c>
      <x:c r="K4" t="n">
        <x:f>IF(A4="","",IF(ISNUMBER('Project Control'!I4),'Project Control'!I4,""))</x:f>
        <x:v>26000</x:v>
      </x:c>
      <x:c r="L4" t="str">
        <x:f>IF(A4="","",'Project Control'!O4)</x:f>
        <x:v>PARTIAL INVOICE</x:v>
      </x:c>
    </x:row>
    <x:row r="5">
      <x:c r="A5" t="str">
        <x:f>IF('Project Control'!A5="","",'Project Control'!A5)</x:f>
        <x:v>100248</x:v>
      </x:c>
      <x:c r="B5" t="str">
        <x:f>IF(A5="","",'Project Control'!B5)</x:f>
        <x:v>Customer D</x:v>
      </x:c>
      <x:c r="C5" t="str">
        <x:f>IF(A5="","",'Project Control'!R5)</x:f>
        <x:v>Strategic Services</x:v>
      </x:c>
      <x:c r="D5" t="str">
        <x:f>IF(A5="","",'Project Control'!S5)</x:f>
        <x:v>N/A</x:v>
      </x:c>
      <x:c r="E5" t="str">
        <x:f>IF(A5="","",'Project Control'!T5)</x:f>
        <x:v>MX</x:v>
      </x:c>
      <x:c r="F5" t="str">
        <x:f>IF(A5="","",'Project Control'!C5)</x:f>
        <x:v>USD</x:v>
      </x:c>
      <x:c r="G5" t="n">
        <x:f>IF(A5="","",'Project Control'!D5)</x:f>
        <x:v>24000</x:v>
      </x:c>
      <x:c r="H5" t="n">
        <x:f>IF(A5="","",'Project Control'!E5)</x:f>
        <x:v>0</x:v>
      </x:c>
      <x:c r="I5" t="n">
        <x:f>IF(A5="","",'Project Control'!F5)</x:f>
        <x:v>24000</x:v>
      </x:c>
      <x:c r="J5" t="n">
        <x:f>IF(A5="","",'Project Control'!H5)</x:f>
        <x:v>12000</x:v>
      </x:c>
      <x:c r="K5" t="n">
        <x:f>IF(A5="","",IF(ISNUMBER('Project Control'!I5),'Project Control'!I5,""))</x:f>
        <x:v>0</x:v>
      </x:c>
      <x:c r="L5" t="str">
        <x:f>IF(A5="","",'Project Control'!O5)</x:f>
        <x:v>NOT INVOICED</x:v>
      </x:c>
    </x:row>
    <x:row r="6">
      <x:c r="A6" t="str">
        <x:f>IF('Project Control'!A6="","",'Project Control'!A6)</x:f>
      </x:c>
      <x:c r="B6" t="str">
        <x:f>IF(A6="","",'Project Control'!B6)</x:f>
      </x:c>
      <x:c r="C6" t="str">
        <x:f>IF(A6="","",'Project Control'!R6)</x:f>
      </x:c>
      <x:c r="D6" t="str">
        <x:f>IF(A6="","",'Project Control'!S6)</x:f>
      </x:c>
      <x:c r="E6" t="str">
        <x:f>IF(A6="","",'Project Control'!T6)</x:f>
      </x:c>
      <x:c r="F6" t="str">
        <x:f>IF(A6="","",'Project Control'!C6)</x:f>
      </x:c>
      <x:c r="G6" t="str">
        <x:f>IF(A6="","",'Project Control'!D6)</x:f>
      </x:c>
      <x:c r="H6" t="str">
        <x:f>IF(A6="","",'Project Control'!E6)</x:f>
      </x:c>
      <x:c r="I6" t="str">
        <x:f>IF(A6="","",'Project Control'!F6)</x:f>
      </x:c>
      <x:c r="J6" t="str">
        <x:f>IF(A6="","",'Project Control'!H6)</x:f>
      </x:c>
      <x:c r="K6" t="str">
        <x:f>IF(A6="","",IF(ISNUMBER('Project Control'!I6),'Project Control'!I6,""))</x:f>
      </x:c>
      <x:c r="L6" t="str">
        <x:f>IF(A6="","",'Project Control'!O6)</x:f>
      </x:c>
    </x:row>
    <x:row r="7">
      <x:c r="A7" t="str">
        <x:f>IF('Project Control'!A7="","",'Project Control'!A7)</x:f>
      </x:c>
      <x:c r="B7" t="str">
        <x:f>IF(A7="","",'Project Control'!B7)</x:f>
      </x:c>
      <x:c r="C7" t="str">
        <x:f>IF(A7="","",'Project Control'!R7)</x:f>
      </x:c>
      <x:c r="D7" t="str">
        <x:f>IF(A7="","",'Project Control'!S7)</x:f>
      </x:c>
      <x:c r="E7" t="str">
        <x:f>IF(A7="","",'Project Control'!T7)</x:f>
      </x:c>
      <x:c r="F7" t="str">
        <x:f>IF(A7="","",'Project Control'!C7)</x:f>
      </x:c>
      <x:c r="G7" t="str">
        <x:f>IF(A7="","",'Project Control'!D7)</x:f>
      </x:c>
      <x:c r="H7" t="str">
        <x:f>IF(A7="","",'Project Control'!E7)</x:f>
      </x:c>
      <x:c r="I7" t="str">
        <x:f>IF(A7="","",'Project Control'!F7)</x:f>
      </x:c>
      <x:c r="J7" t="str">
        <x:f>IF(A7="","",'Project Control'!H7)</x:f>
      </x:c>
      <x:c r="K7" t="str">
        <x:f>IF(A7="","",IF(ISNUMBER('Project Control'!I7),'Project Control'!I7,""))</x:f>
      </x:c>
      <x:c r="L7" t="str">
        <x:f>IF(A7="","",'Project Control'!O7)</x:f>
      </x:c>
    </x:row>
    <x:row r="8">
      <x:c r="A8" t="str">
        <x:f>IF('Project Control'!A8="","",'Project Control'!A8)</x:f>
      </x:c>
      <x:c r="B8" t="str">
        <x:f>IF(A8="","",'Project Control'!B8)</x:f>
      </x:c>
      <x:c r="C8" t="str">
        <x:f>IF(A8="","",'Project Control'!R8)</x:f>
      </x:c>
      <x:c r="D8" t="str">
        <x:f>IF(A8="","",'Project Control'!S8)</x:f>
      </x:c>
      <x:c r="E8" t="str">
        <x:f>IF(A8="","",'Project Control'!T8)</x:f>
      </x:c>
      <x:c r="F8" t="str">
        <x:f>IF(A8="","",'Project Control'!C8)</x:f>
      </x:c>
      <x:c r="G8" t="str">
        <x:f>IF(A8="","",'Project Control'!D8)</x:f>
      </x:c>
      <x:c r="H8" t="str">
        <x:f>IF(A8="","",'Project Control'!E8)</x:f>
      </x:c>
      <x:c r="I8" t="str">
        <x:f>IF(A8="","",'Project Control'!F8)</x:f>
      </x:c>
      <x:c r="J8" t="str">
        <x:f>IF(A8="","",'Project Control'!H8)</x:f>
      </x:c>
      <x:c r="K8" t="str">
        <x:f>IF(A8="","",IF(ISNUMBER('Project Control'!I8),'Project Control'!I8,""))</x:f>
      </x:c>
      <x:c r="L8" t="str">
        <x:f>IF(A8="","",'Project Control'!O8)</x:f>
      </x:c>
    </x:row>
    <x:row r="9">
      <x:c r="A9" t="str">
        <x:f>IF('Project Control'!A9="","",'Project Control'!A9)</x:f>
      </x:c>
      <x:c r="B9" t="str">
        <x:f>IF(A9="","",'Project Control'!B9)</x:f>
      </x:c>
      <x:c r="C9" t="str">
        <x:f>IF(A9="","",'Project Control'!R9)</x:f>
      </x:c>
      <x:c r="D9" t="str">
        <x:f>IF(A9="","",'Project Control'!S9)</x:f>
      </x:c>
      <x:c r="E9" t="str">
        <x:f>IF(A9="","",'Project Control'!T9)</x:f>
      </x:c>
      <x:c r="F9" t="str">
        <x:f>IF(A9="","",'Project Control'!C9)</x:f>
      </x:c>
      <x:c r="G9" t="str">
        <x:f>IF(A9="","",'Project Control'!D9)</x:f>
      </x:c>
      <x:c r="H9" t="str">
        <x:f>IF(A9="","",'Project Control'!E9)</x:f>
      </x:c>
      <x:c r="I9" t="str">
        <x:f>IF(A9="","",'Project Control'!F9)</x:f>
      </x:c>
      <x:c r="J9" t="str">
        <x:f>IF(A9="","",'Project Control'!H9)</x:f>
      </x:c>
      <x:c r="K9" t="str">
        <x:f>IF(A9="","",IF(ISNUMBER('Project Control'!I9),'Project Control'!I9,""))</x:f>
      </x:c>
      <x:c r="L9" t="str">
        <x:f>IF(A9="","",'Project Control'!O9)</x:f>
      </x:c>
    </x:row>
    <x:row r="10">
      <x:c r="A10" t="str">
        <x:f>IF('Project Control'!A10="","",'Project Control'!A10)</x:f>
      </x:c>
      <x:c r="B10" t="str">
        <x:f>IF(A10="","",'Project Control'!B10)</x:f>
      </x:c>
      <x:c r="C10" t="str">
        <x:f>IF(A10="","",'Project Control'!R10)</x:f>
      </x:c>
      <x:c r="D10" t="str">
        <x:f>IF(A10="","",'Project Control'!S10)</x:f>
      </x:c>
      <x:c r="E10" t="str">
        <x:f>IF(A10="","",'Project Control'!T10)</x:f>
      </x:c>
      <x:c r="F10" t="str">
        <x:f>IF(A10="","",'Project Control'!C10)</x:f>
      </x:c>
      <x:c r="G10" t="str">
        <x:f>IF(A10="","",'Project Control'!D10)</x:f>
      </x:c>
      <x:c r="H10" t="str">
        <x:f>IF(A10="","",'Project Control'!E10)</x:f>
      </x:c>
      <x:c r="I10" t="str">
        <x:f>IF(A10="","",'Project Control'!F10)</x:f>
      </x:c>
      <x:c r="J10" t="str">
        <x:f>IF(A10="","",'Project Control'!H10)</x:f>
      </x:c>
      <x:c r="K10" t="str">
        <x:f>IF(A10="","",IF(ISNUMBER('Project Control'!I10),'Project Control'!I10,""))</x:f>
      </x:c>
      <x:c r="L10" t="str">
        <x:f>IF(A10="","",'Project Control'!O10)</x:f>
      </x:c>
    </x:row>
    <x:row r="11">
      <x:c r="A11" t="str">
        <x:f>IF('Project Control'!A11="","",'Project Control'!A11)</x:f>
      </x:c>
      <x:c r="B11" t="str">
        <x:f>IF(A11="","",'Project Control'!B11)</x:f>
      </x:c>
      <x:c r="C11" t="str">
        <x:f>IF(A11="","",'Project Control'!R11)</x:f>
      </x:c>
      <x:c r="D11" t="str">
        <x:f>IF(A11="","",'Project Control'!S11)</x:f>
      </x:c>
      <x:c r="E11" t="str">
        <x:f>IF(A11="","",'Project Control'!T11)</x:f>
      </x:c>
      <x:c r="F11" t="str">
        <x:f>IF(A11="","",'Project Control'!C11)</x:f>
      </x:c>
      <x:c r="G11" t="str">
        <x:f>IF(A11="","",'Project Control'!D11)</x:f>
      </x:c>
      <x:c r="H11" t="str">
        <x:f>IF(A11="","",'Project Control'!E11)</x:f>
      </x:c>
      <x:c r="I11" t="str">
        <x:f>IF(A11="","",'Project Control'!F11)</x:f>
      </x:c>
      <x:c r="J11" t="str">
        <x:f>IF(A11="","",'Project Control'!H11)</x:f>
      </x:c>
      <x:c r="K11" t="str">
        <x:f>IF(A11="","",IF(ISNUMBER('Project Control'!I11),'Project Control'!I11,""))</x:f>
      </x:c>
      <x:c r="L11" t="str">
        <x:f>IF(A11="","",'Project Control'!O11)</x:f>
      </x:c>
    </x:row>
    <x:row r="12">
      <x:c r="A12" t="str">
        <x:f>IF('Project Control'!A12="","",'Project Control'!A12)</x:f>
      </x:c>
      <x:c r="B12" t="str">
        <x:f>IF(A12="","",'Project Control'!B12)</x:f>
      </x:c>
      <x:c r="C12" t="str">
        <x:f>IF(A12="","",'Project Control'!R12)</x:f>
      </x:c>
      <x:c r="D12" t="str">
        <x:f>IF(A12="","",'Project Control'!S12)</x:f>
      </x:c>
      <x:c r="E12" t="str">
        <x:f>IF(A12="","",'Project Control'!T12)</x:f>
      </x:c>
      <x:c r="F12" t="str">
        <x:f>IF(A12="","",'Project Control'!C12)</x:f>
      </x:c>
      <x:c r="G12" t="str">
        <x:f>IF(A12="","",'Project Control'!D12)</x:f>
      </x:c>
      <x:c r="H12" t="str">
        <x:f>IF(A12="","",'Project Control'!E12)</x:f>
      </x:c>
      <x:c r="I12" t="str">
        <x:f>IF(A12="","",'Project Control'!F12)</x:f>
      </x:c>
      <x:c r="J12" t="str">
        <x:f>IF(A12="","",'Project Control'!H12)</x:f>
      </x:c>
      <x:c r="K12" t="str">
        <x:f>IF(A12="","",IF(ISNUMBER('Project Control'!I12),'Project Control'!I12,""))</x:f>
      </x:c>
      <x:c r="L12" t="str">
        <x:f>IF(A12="","",'Project Control'!O12)</x:f>
      </x:c>
    </x:row>
    <x:row r="13">
      <x:c r="A13" t="str">
        <x:f>IF('Project Control'!A13="","",'Project Control'!A13)</x:f>
      </x:c>
      <x:c r="B13" t="str">
        <x:f>IF(A13="","",'Project Control'!B13)</x:f>
      </x:c>
      <x:c r="C13" t="str">
        <x:f>IF(A13="","",'Project Control'!R13)</x:f>
      </x:c>
      <x:c r="D13" t="str">
        <x:f>IF(A13="","",'Project Control'!S13)</x:f>
      </x:c>
      <x:c r="E13" t="str">
        <x:f>IF(A13="","",'Project Control'!T13)</x:f>
      </x:c>
      <x:c r="F13" t="str">
        <x:f>IF(A13="","",'Project Control'!C13)</x:f>
      </x:c>
      <x:c r="G13" t="str">
        <x:f>IF(A13="","",'Project Control'!D13)</x:f>
      </x:c>
      <x:c r="H13" t="str">
        <x:f>IF(A13="","",'Project Control'!E13)</x:f>
      </x:c>
      <x:c r="I13" t="str">
        <x:f>IF(A13="","",'Project Control'!F13)</x:f>
      </x:c>
      <x:c r="J13" t="str">
        <x:f>IF(A13="","",'Project Control'!H13)</x:f>
      </x:c>
      <x:c r="K13" t="str">
        <x:f>IF(A13="","",IF(ISNUMBER('Project Control'!I13),'Project Control'!I13,""))</x:f>
      </x:c>
      <x:c r="L13" t="str">
        <x:f>IF(A13="","",'Project Control'!O13)</x:f>
      </x:c>
    </x:row>
    <x:row r="14">
      <x:c r="A14" t="str">
        <x:f>IF('Project Control'!A14="","",'Project Control'!A14)</x:f>
      </x:c>
      <x:c r="B14" t="str">
        <x:f>IF(A14="","",'Project Control'!B14)</x:f>
      </x:c>
      <x:c r="C14" t="str">
        <x:f>IF(A14="","",'Project Control'!R14)</x:f>
      </x:c>
      <x:c r="D14" t="str">
        <x:f>IF(A14="","",'Project Control'!S14)</x:f>
      </x:c>
      <x:c r="E14" t="str">
        <x:f>IF(A14="","",'Project Control'!T14)</x:f>
      </x:c>
      <x:c r="F14" t="str">
        <x:f>IF(A14="","",'Project Control'!C14)</x:f>
      </x:c>
      <x:c r="G14" t="str">
        <x:f>IF(A14="","",'Project Control'!D14)</x:f>
      </x:c>
      <x:c r="H14" t="str">
        <x:f>IF(A14="","",'Project Control'!E14)</x:f>
      </x:c>
      <x:c r="I14" t="str">
        <x:f>IF(A14="","",'Project Control'!F14)</x:f>
      </x:c>
      <x:c r="J14" t="str">
        <x:f>IF(A14="","",'Project Control'!H14)</x:f>
      </x:c>
      <x:c r="K14" t="str">
        <x:f>IF(A14="","",IF(ISNUMBER('Project Control'!I14),'Project Control'!I14,""))</x:f>
      </x:c>
      <x:c r="L14" t="str">
        <x:f>IF(A14="","",'Project Control'!O14)</x:f>
      </x:c>
    </x:row>
    <x:row r="15">
      <x:c r="A15" t="str">
        <x:f>IF('Project Control'!A15="","",'Project Control'!A15)</x:f>
      </x:c>
      <x:c r="B15" t="str">
        <x:f>IF(A15="","",'Project Control'!B15)</x:f>
      </x:c>
      <x:c r="C15" t="str">
        <x:f>IF(A15="","",'Project Control'!R15)</x:f>
      </x:c>
      <x:c r="D15" t="str">
        <x:f>IF(A15="","",'Project Control'!S15)</x:f>
      </x:c>
      <x:c r="E15" t="str">
        <x:f>IF(A15="","",'Project Control'!T15)</x:f>
      </x:c>
      <x:c r="F15" t="str">
        <x:f>IF(A15="","",'Project Control'!C15)</x:f>
      </x:c>
      <x:c r="G15" t="str">
        <x:f>IF(A15="","",'Project Control'!D15)</x:f>
      </x:c>
      <x:c r="H15" t="str">
        <x:f>IF(A15="","",'Project Control'!E15)</x:f>
      </x:c>
      <x:c r="I15" t="str">
        <x:f>IF(A15="","",'Project Control'!F15)</x:f>
      </x:c>
      <x:c r="J15" t="str">
        <x:f>IF(A15="","",'Project Control'!H15)</x:f>
      </x:c>
      <x:c r="K15" t="str">
        <x:f>IF(A15="","",IF(ISNUMBER('Project Control'!I15),'Project Control'!I15,""))</x:f>
      </x:c>
      <x:c r="L15" t="str">
        <x:f>IF(A15="","",'Project Control'!O15)</x:f>
      </x:c>
    </x:row>
    <x:row r="16">
      <x:c r="A16" t="str">
        <x:f>IF('Project Control'!A16="","",'Project Control'!A16)</x:f>
      </x:c>
      <x:c r="B16" t="str">
        <x:f>IF(A16="","",'Project Control'!B16)</x:f>
      </x:c>
      <x:c r="C16" t="str">
        <x:f>IF(A16="","",'Project Control'!R16)</x:f>
      </x:c>
      <x:c r="D16" t="str">
        <x:f>IF(A16="","",'Project Control'!S16)</x:f>
      </x:c>
      <x:c r="E16" t="str">
        <x:f>IF(A16="","",'Project Control'!T16)</x:f>
      </x:c>
      <x:c r="F16" t="str">
        <x:f>IF(A16="","",'Project Control'!C16)</x:f>
      </x:c>
      <x:c r="G16" t="str">
        <x:f>IF(A16="","",'Project Control'!D16)</x:f>
      </x:c>
      <x:c r="H16" t="str">
        <x:f>IF(A16="","",'Project Control'!E16)</x:f>
      </x:c>
      <x:c r="I16" t="str">
        <x:f>IF(A16="","",'Project Control'!F16)</x:f>
      </x:c>
      <x:c r="J16" t="str">
        <x:f>IF(A16="","",'Project Control'!H16)</x:f>
      </x:c>
      <x:c r="K16" t="str">
        <x:f>IF(A16="","",IF(ISNUMBER('Project Control'!I16),'Project Control'!I16,""))</x:f>
      </x:c>
      <x:c r="L16" t="str">
        <x:f>IF(A16="","",'Project Control'!O16)</x:f>
      </x:c>
    </x:row>
    <x:row r="17">
      <x:c r="A17" t="str">
        <x:f>IF('Project Control'!A17="","",'Project Control'!A17)</x:f>
      </x:c>
      <x:c r="B17" t="str">
        <x:f>IF(A17="","",'Project Control'!B17)</x:f>
      </x:c>
      <x:c r="C17" t="str">
        <x:f>IF(A17="","",'Project Control'!R17)</x:f>
      </x:c>
      <x:c r="D17" t="str">
        <x:f>IF(A17="","",'Project Control'!S17)</x:f>
      </x:c>
      <x:c r="E17" t="str">
        <x:f>IF(A17="","",'Project Control'!T17)</x:f>
      </x:c>
      <x:c r="F17" t="str">
        <x:f>IF(A17="","",'Project Control'!C17)</x:f>
      </x:c>
      <x:c r="G17" t="str">
        <x:f>IF(A17="","",'Project Control'!D17)</x:f>
      </x:c>
      <x:c r="H17" t="str">
        <x:f>IF(A17="","",'Project Control'!E17)</x:f>
      </x:c>
      <x:c r="I17" t="str">
        <x:f>IF(A17="","",'Project Control'!F17)</x:f>
      </x:c>
      <x:c r="J17" t="str">
        <x:f>IF(A17="","",'Project Control'!H17)</x:f>
      </x:c>
      <x:c r="K17" t="str">
        <x:f>IF(A17="","",IF(ISNUMBER('Project Control'!I17),'Project Control'!I17,""))</x:f>
      </x:c>
      <x:c r="L17" t="str">
        <x:f>IF(A17="","",'Project Control'!O17)</x:f>
      </x:c>
    </x:row>
    <x:row r="18">
      <x:c r="A18" t="str">
        <x:f>IF('Project Control'!A18="","",'Project Control'!A18)</x:f>
      </x:c>
      <x:c r="B18" t="str">
        <x:f>IF(A18="","",'Project Control'!B18)</x:f>
      </x:c>
      <x:c r="C18" t="str">
        <x:f>IF(A18="","",'Project Control'!R18)</x:f>
      </x:c>
      <x:c r="D18" t="str">
        <x:f>IF(A18="","",'Project Control'!S18)</x:f>
      </x:c>
      <x:c r="E18" t="str">
        <x:f>IF(A18="","",'Project Control'!T18)</x:f>
      </x:c>
      <x:c r="F18" t="str">
        <x:f>IF(A18="","",'Project Control'!C18)</x:f>
      </x:c>
      <x:c r="G18" t="str">
        <x:f>IF(A18="","",'Project Control'!D18)</x:f>
      </x:c>
      <x:c r="H18" t="str">
        <x:f>IF(A18="","",'Project Control'!E18)</x:f>
      </x:c>
      <x:c r="I18" t="str">
        <x:f>IF(A18="","",'Project Control'!F18)</x:f>
      </x:c>
      <x:c r="J18" t="str">
        <x:f>IF(A18="","",'Project Control'!H18)</x:f>
      </x:c>
      <x:c r="K18" t="str">
        <x:f>IF(A18="","",IF(ISNUMBER('Project Control'!I18),'Project Control'!I18,""))</x:f>
      </x:c>
      <x:c r="L18" t="str">
        <x:f>IF(A18="","",'Project Control'!O18)</x:f>
      </x:c>
    </x:row>
    <x:row r="19">
      <x:c r="A19" t="str">
        <x:f>IF('Project Control'!A19="","",'Project Control'!A19)</x:f>
      </x:c>
      <x:c r="B19" t="str">
        <x:f>IF(A19="","",'Project Control'!B19)</x:f>
      </x:c>
      <x:c r="C19" t="str">
        <x:f>IF(A19="","",'Project Control'!R19)</x:f>
      </x:c>
      <x:c r="D19" t="str">
        <x:f>IF(A19="","",'Project Control'!S19)</x:f>
      </x:c>
      <x:c r="E19" t="str">
        <x:f>IF(A19="","",'Project Control'!T19)</x:f>
      </x:c>
      <x:c r="F19" t="str">
        <x:f>IF(A19="","",'Project Control'!C19)</x:f>
      </x:c>
      <x:c r="G19" t="str">
        <x:f>IF(A19="","",'Project Control'!D19)</x:f>
      </x:c>
      <x:c r="H19" t="str">
        <x:f>IF(A19="","",'Project Control'!E19)</x:f>
      </x:c>
      <x:c r="I19" t="str">
        <x:f>IF(A19="","",'Project Control'!F19)</x:f>
      </x:c>
      <x:c r="J19" t="str">
        <x:f>IF(A19="","",'Project Control'!H19)</x:f>
      </x:c>
      <x:c r="K19" t="str">
        <x:f>IF(A19="","",IF(ISNUMBER('Project Control'!I19),'Project Control'!I19,""))</x:f>
      </x:c>
      <x:c r="L19" t="str">
        <x:f>IF(A19="","",'Project Control'!O19)</x:f>
      </x:c>
    </x:row>
    <x:row r="20">
      <x:c r="A20" t="str">
        <x:f>IF('Project Control'!A20="","",'Project Control'!A20)</x:f>
      </x:c>
      <x:c r="B20" t="str">
        <x:f>IF(A20="","",'Project Control'!B20)</x:f>
      </x:c>
      <x:c r="C20" t="str">
        <x:f>IF(A20="","",'Project Control'!R20)</x:f>
      </x:c>
      <x:c r="D20" t="str">
        <x:f>IF(A20="","",'Project Control'!S20)</x:f>
      </x:c>
      <x:c r="E20" t="str">
        <x:f>IF(A20="","",'Project Control'!T20)</x:f>
      </x:c>
      <x:c r="F20" t="str">
        <x:f>IF(A20="","",'Project Control'!C20)</x:f>
      </x:c>
      <x:c r="G20" t="str">
        <x:f>IF(A20="","",'Project Control'!D20)</x:f>
      </x:c>
      <x:c r="H20" t="str">
        <x:f>IF(A20="","",'Project Control'!E20)</x:f>
      </x:c>
      <x:c r="I20" t="str">
        <x:f>IF(A20="","",'Project Control'!F20)</x:f>
      </x:c>
      <x:c r="J20" t="str">
        <x:f>IF(A20="","",'Project Control'!H20)</x:f>
      </x:c>
      <x:c r="K20" t="str">
        <x:f>IF(A20="","",IF(ISNUMBER('Project Control'!I20),'Project Control'!I20,""))</x:f>
      </x:c>
      <x:c r="L20" t="str">
        <x:f>IF(A20="","",'Project Control'!O20)</x:f>
      </x:c>
    </x:row>
    <x:row r="21">
      <x:c r="A21" t="str">
        <x:f>IF('Project Control'!A21="","",'Project Control'!A21)</x:f>
      </x:c>
      <x:c r="B21" t="str">
        <x:f>IF(A21="","",'Project Control'!B21)</x:f>
      </x:c>
      <x:c r="C21" t="str">
        <x:f>IF(A21="","",'Project Control'!R21)</x:f>
      </x:c>
      <x:c r="D21" t="str">
        <x:f>IF(A21="","",'Project Control'!S21)</x:f>
      </x:c>
      <x:c r="E21" t="str">
        <x:f>IF(A21="","",'Project Control'!T21)</x:f>
      </x:c>
      <x:c r="F21" t="str">
        <x:f>IF(A21="","",'Project Control'!C21)</x:f>
      </x:c>
      <x:c r="G21" t="str">
        <x:f>IF(A21="","",'Project Control'!D21)</x:f>
      </x:c>
      <x:c r="H21" t="str">
        <x:f>IF(A21="","",'Project Control'!E21)</x:f>
      </x:c>
      <x:c r="I21" t="str">
        <x:f>IF(A21="","",'Project Control'!F21)</x:f>
      </x:c>
      <x:c r="J21" t="str">
        <x:f>IF(A21="","",'Project Control'!H21)</x:f>
      </x:c>
      <x:c r="K21" t="str">
        <x:f>IF(A21="","",IF(ISNUMBER('Project Control'!I21),'Project Control'!I21,""))</x:f>
      </x:c>
      <x:c r="L21" t="str">
        <x:f>IF(A21="","",'Project Control'!O21)</x:f>
      </x:c>
    </x:row>
    <x:row r="22">
      <x:c r="A22" t="str">
        <x:f>IF('Project Control'!A22="","",'Project Control'!A22)</x:f>
      </x:c>
      <x:c r="B22" t="str">
        <x:f>IF(A22="","",'Project Control'!B22)</x:f>
      </x:c>
      <x:c r="C22" t="str">
        <x:f>IF(A22="","",'Project Control'!R22)</x:f>
      </x:c>
      <x:c r="D22" t="str">
        <x:f>IF(A22="","",'Project Control'!S22)</x:f>
      </x:c>
      <x:c r="E22" t="str">
        <x:f>IF(A22="","",'Project Control'!T22)</x:f>
      </x:c>
      <x:c r="F22" t="str">
        <x:f>IF(A22="","",'Project Control'!C22)</x:f>
      </x:c>
      <x:c r="G22" t="str">
        <x:f>IF(A22="","",'Project Control'!D22)</x:f>
      </x:c>
      <x:c r="H22" t="str">
        <x:f>IF(A22="","",'Project Control'!E22)</x:f>
      </x:c>
      <x:c r="I22" t="str">
        <x:f>IF(A22="","",'Project Control'!F22)</x:f>
      </x:c>
      <x:c r="J22" t="str">
        <x:f>IF(A22="","",'Project Control'!H22)</x:f>
      </x:c>
      <x:c r="K22" t="str">
        <x:f>IF(A22="","",IF(ISNUMBER('Project Control'!I22),'Project Control'!I22,""))</x:f>
      </x:c>
      <x:c r="L22" t="str">
        <x:f>IF(A22="","",'Project Control'!O22)</x:f>
      </x:c>
    </x:row>
    <x:row r="23">
      <x:c r="A23" t="str">
        <x:f>IF('Project Control'!A23="","",'Project Control'!A23)</x:f>
      </x:c>
      <x:c r="B23" t="str">
        <x:f>IF(A23="","",'Project Control'!B23)</x:f>
      </x:c>
      <x:c r="C23" t="str">
        <x:f>IF(A23="","",'Project Control'!R23)</x:f>
      </x:c>
      <x:c r="D23" t="str">
        <x:f>IF(A23="","",'Project Control'!S23)</x:f>
      </x:c>
      <x:c r="E23" t="str">
        <x:f>IF(A23="","",'Project Control'!T23)</x:f>
      </x:c>
      <x:c r="F23" t="str">
        <x:f>IF(A23="","",'Project Control'!C23)</x:f>
      </x:c>
      <x:c r="G23" t="str">
        <x:f>IF(A23="","",'Project Control'!D23)</x:f>
      </x:c>
      <x:c r="H23" t="str">
        <x:f>IF(A23="","",'Project Control'!E23)</x:f>
      </x:c>
      <x:c r="I23" t="str">
        <x:f>IF(A23="","",'Project Control'!F23)</x:f>
      </x:c>
      <x:c r="J23" t="str">
        <x:f>IF(A23="","",'Project Control'!H23)</x:f>
      </x:c>
      <x:c r="K23" t="str">
        <x:f>IF(A23="","",IF(ISNUMBER('Project Control'!I23),'Project Control'!I23,""))</x:f>
      </x:c>
      <x:c r="L23" t="str">
        <x:f>IF(A23="","",'Project Control'!O23)</x:f>
      </x:c>
    </x:row>
    <x:row r="24">
      <x:c r="A24" t="str">
        <x:f>IF('Project Control'!A24="","",'Project Control'!A24)</x:f>
      </x:c>
      <x:c r="B24" t="str">
        <x:f>IF(A24="","",'Project Control'!B24)</x:f>
      </x:c>
      <x:c r="C24" t="str">
        <x:f>IF(A24="","",'Project Control'!R24)</x:f>
      </x:c>
      <x:c r="D24" t="str">
        <x:f>IF(A24="","",'Project Control'!S24)</x:f>
      </x:c>
      <x:c r="E24" t="str">
        <x:f>IF(A24="","",'Project Control'!T24)</x:f>
      </x:c>
      <x:c r="F24" t="str">
        <x:f>IF(A24="","",'Project Control'!C24)</x:f>
      </x:c>
      <x:c r="G24" t="str">
        <x:f>IF(A24="","",'Project Control'!D24)</x:f>
      </x:c>
      <x:c r="H24" t="str">
        <x:f>IF(A24="","",'Project Control'!E24)</x:f>
      </x:c>
      <x:c r="I24" t="str">
        <x:f>IF(A24="","",'Project Control'!F24)</x:f>
      </x:c>
      <x:c r="J24" t="str">
        <x:f>IF(A24="","",'Project Control'!H24)</x:f>
      </x:c>
      <x:c r="K24" t="str">
        <x:f>IF(A24="","",IF(ISNUMBER('Project Control'!I24),'Project Control'!I24,""))</x:f>
      </x:c>
      <x:c r="L24" t="str">
        <x:f>IF(A24="","",'Project Control'!O24)</x:f>
      </x:c>
    </x:row>
    <x:row r="25">
      <x:c r="A25" t="str">
        <x:f>IF('Project Control'!A25="","",'Project Control'!A25)</x:f>
      </x:c>
      <x:c r="B25" t="str">
        <x:f>IF(A25="","",'Project Control'!B25)</x:f>
      </x:c>
      <x:c r="C25" t="str">
        <x:f>IF(A25="","",'Project Control'!R25)</x:f>
      </x:c>
      <x:c r="D25" t="str">
        <x:f>IF(A25="","",'Project Control'!S25)</x:f>
      </x:c>
      <x:c r="E25" t="str">
        <x:f>IF(A25="","",'Project Control'!T25)</x:f>
      </x:c>
      <x:c r="F25" t="str">
        <x:f>IF(A25="","",'Project Control'!C25)</x:f>
      </x:c>
      <x:c r="G25" t="str">
        <x:f>IF(A25="","",'Project Control'!D25)</x:f>
      </x:c>
      <x:c r="H25" t="str">
        <x:f>IF(A25="","",'Project Control'!E25)</x:f>
      </x:c>
      <x:c r="I25" t="str">
        <x:f>IF(A25="","",'Project Control'!F25)</x:f>
      </x:c>
      <x:c r="J25" t="str">
        <x:f>IF(A25="","",'Project Control'!H25)</x:f>
      </x:c>
      <x:c r="K25" t="str">
        <x:f>IF(A25="","",IF(ISNUMBER('Project Control'!I25),'Project Control'!I25,""))</x:f>
      </x:c>
      <x:c r="L25" t="str">
        <x:f>IF(A25="","",'Project Control'!O25)</x:f>
      </x:c>
    </x:row>
    <x:row r="26">
      <x:c r="A26" t="str">
        <x:f>IF('Project Control'!A26="","",'Project Control'!A26)</x:f>
      </x:c>
      <x:c r="B26" t="str">
        <x:f>IF(A26="","",'Project Control'!B26)</x:f>
      </x:c>
      <x:c r="C26" t="str">
        <x:f>IF(A26="","",'Project Control'!R26)</x:f>
      </x:c>
      <x:c r="D26" t="str">
        <x:f>IF(A26="","",'Project Control'!S26)</x:f>
      </x:c>
      <x:c r="E26" t="str">
        <x:f>IF(A26="","",'Project Control'!T26)</x:f>
      </x:c>
      <x:c r="F26" t="str">
        <x:f>IF(A26="","",'Project Control'!C26)</x:f>
      </x:c>
      <x:c r="G26" t="str">
        <x:f>IF(A26="","",'Project Control'!D26)</x:f>
      </x:c>
      <x:c r="H26" t="str">
        <x:f>IF(A26="","",'Project Control'!E26)</x:f>
      </x:c>
      <x:c r="I26" t="str">
        <x:f>IF(A26="","",'Project Control'!F26)</x:f>
      </x:c>
      <x:c r="J26" t="str">
        <x:f>IF(A26="","",'Project Control'!H26)</x:f>
      </x:c>
      <x:c r="K26" t="str">
        <x:f>IF(A26="","",IF(ISNUMBER('Project Control'!I26),'Project Control'!I26,""))</x:f>
      </x:c>
      <x:c r="L26" t="str">
        <x:f>IF(A26="","",'Project Control'!O26)</x:f>
      </x:c>
    </x:row>
    <x:row r="27">
      <x:c r="A27" t="str">
        <x:f>IF('Project Control'!A27="","",'Project Control'!A27)</x:f>
      </x:c>
      <x:c r="B27" t="str">
        <x:f>IF(A27="","",'Project Control'!B27)</x:f>
      </x:c>
      <x:c r="C27" t="str">
        <x:f>IF(A27="","",'Project Control'!R27)</x:f>
      </x:c>
      <x:c r="D27" t="str">
        <x:f>IF(A27="","",'Project Control'!S27)</x:f>
      </x:c>
      <x:c r="E27" t="str">
        <x:f>IF(A27="","",'Project Control'!T27)</x:f>
      </x:c>
      <x:c r="F27" t="str">
        <x:f>IF(A27="","",'Project Control'!C27)</x:f>
      </x:c>
      <x:c r="G27" t="str">
        <x:f>IF(A27="","",'Project Control'!D27)</x:f>
      </x:c>
      <x:c r="H27" t="str">
        <x:f>IF(A27="","",'Project Control'!E27)</x:f>
      </x:c>
      <x:c r="I27" t="str">
        <x:f>IF(A27="","",'Project Control'!F27)</x:f>
      </x:c>
      <x:c r="J27" t="str">
        <x:f>IF(A27="","",'Project Control'!H27)</x:f>
      </x:c>
      <x:c r="K27" t="str">
        <x:f>IF(A27="","",IF(ISNUMBER('Project Control'!I27),'Project Control'!I27,""))</x:f>
      </x:c>
      <x:c r="L27" t="str">
        <x:f>IF(A27="","",'Project Control'!O27)</x:f>
      </x:c>
    </x:row>
    <x:row r="28">
      <x:c r="A28" t="str">
        <x:f>IF('Project Control'!A28="","",'Project Control'!A28)</x:f>
      </x:c>
      <x:c r="B28" t="str">
        <x:f>IF(A28="","",'Project Control'!B28)</x:f>
      </x:c>
      <x:c r="C28" t="str">
        <x:f>IF(A28="","",'Project Control'!R28)</x:f>
      </x:c>
      <x:c r="D28" t="str">
        <x:f>IF(A28="","",'Project Control'!S28)</x:f>
      </x:c>
      <x:c r="E28" t="str">
        <x:f>IF(A28="","",'Project Control'!T28)</x:f>
      </x:c>
      <x:c r="F28" t="str">
        <x:f>IF(A28="","",'Project Control'!C28)</x:f>
      </x:c>
      <x:c r="G28" t="str">
        <x:f>IF(A28="","",'Project Control'!D28)</x:f>
      </x:c>
      <x:c r="H28" t="str">
        <x:f>IF(A28="","",'Project Control'!E28)</x:f>
      </x:c>
      <x:c r="I28" t="str">
        <x:f>IF(A28="","",'Project Control'!F28)</x:f>
      </x:c>
      <x:c r="J28" t="str">
        <x:f>IF(A28="","",'Project Control'!H28)</x:f>
      </x:c>
      <x:c r="K28" t="str">
        <x:f>IF(A28="","",IF(ISNUMBER('Project Control'!I28),'Project Control'!I28,""))</x:f>
      </x:c>
      <x:c r="L28" t="str">
        <x:f>IF(A28="","",'Project Control'!O28)</x:f>
      </x:c>
    </x:row>
    <x:row r="29">
      <x:c r="A29" t="str">
        <x:f>IF('Project Control'!A29="","",'Project Control'!A29)</x:f>
      </x:c>
      <x:c r="B29" t="str">
        <x:f>IF(A29="","",'Project Control'!B29)</x:f>
      </x:c>
      <x:c r="C29" t="str">
        <x:f>IF(A29="","",'Project Control'!R29)</x:f>
      </x:c>
      <x:c r="D29" t="str">
        <x:f>IF(A29="","",'Project Control'!S29)</x:f>
      </x:c>
      <x:c r="E29" t="str">
        <x:f>IF(A29="","",'Project Control'!T29)</x:f>
      </x:c>
      <x:c r="F29" t="str">
        <x:f>IF(A29="","",'Project Control'!C29)</x:f>
      </x:c>
      <x:c r="G29" t="str">
        <x:f>IF(A29="","",'Project Control'!D29)</x:f>
      </x:c>
      <x:c r="H29" t="str">
        <x:f>IF(A29="","",'Project Control'!E29)</x:f>
      </x:c>
      <x:c r="I29" t="str">
        <x:f>IF(A29="","",'Project Control'!F29)</x:f>
      </x:c>
      <x:c r="J29" t="str">
        <x:f>IF(A29="","",'Project Control'!H29)</x:f>
      </x:c>
      <x:c r="K29" t="str">
        <x:f>IF(A29="","",IF(ISNUMBER('Project Control'!I29),'Project Control'!I29,""))</x:f>
      </x:c>
      <x:c r="L29" t="str">
        <x:f>IF(A29="","",'Project Control'!O29)</x:f>
      </x:c>
    </x:row>
    <x:row r="30">
      <x:c r="A30" t="str">
        <x:f>IF('Project Control'!A30="","",'Project Control'!A30)</x:f>
      </x:c>
      <x:c r="B30" t="str">
        <x:f>IF(A30="","",'Project Control'!B30)</x:f>
      </x:c>
      <x:c r="C30" t="str">
        <x:f>IF(A30="","",'Project Control'!R30)</x:f>
      </x:c>
      <x:c r="D30" t="str">
        <x:f>IF(A30="","",'Project Control'!S30)</x:f>
      </x:c>
      <x:c r="E30" t="str">
        <x:f>IF(A30="","",'Project Control'!T30)</x:f>
      </x:c>
      <x:c r="F30" t="str">
        <x:f>IF(A30="","",'Project Control'!C30)</x:f>
      </x:c>
      <x:c r="G30" t="str">
        <x:f>IF(A30="","",'Project Control'!D30)</x:f>
      </x:c>
      <x:c r="H30" t="str">
        <x:f>IF(A30="","",'Project Control'!E30)</x:f>
      </x:c>
      <x:c r="I30" t="str">
        <x:f>IF(A30="","",'Project Control'!F30)</x:f>
      </x:c>
      <x:c r="J30" t="str">
        <x:f>IF(A30="","",'Project Control'!H30)</x:f>
      </x:c>
      <x:c r="K30" t="str">
        <x:f>IF(A30="","",IF(ISNUMBER('Project Control'!I30),'Project Control'!I30,""))</x:f>
      </x:c>
      <x:c r="L30" t="str">
        <x:f>IF(A30="","",'Project Control'!O30)</x:f>
      </x:c>
    </x:row>
    <x:row r="31">
      <x:c r="A31" t="str">
        <x:f>IF('Project Control'!A31="","",'Project Control'!A31)</x:f>
      </x:c>
      <x:c r="B31" t="str">
        <x:f>IF(A31="","",'Project Control'!B31)</x:f>
      </x:c>
      <x:c r="C31" t="str">
        <x:f>IF(A31="","",'Project Control'!R31)</x:f>
      </x:c>
      <x:c r="D31" t="str">
        <x:f>IF(A31="","",'Project Control'!S31)</x:f>
      </x:c>
      <x:c r="E31" t="str">
        <x:f>IF(A31="","",'Project Control'!T31)</x:f>
      </x:c>
      <x:c r="F31" t="str">
        <x:f>IF(A31="","",'Project Control'!C31)</x:f>
      </x:c>
      <x:c r="G31" t="str">
        <x:f>IF(A31="","",'Project Control'!D31)</x:f>
      </x:c>
      <x:c r="H31" t="str">
        <x:f>IF(A31="","",'Project Control'!E31)</x:f>
      </x:c>
      <x:c r="I31" t="str">
        <x:f>IF(A31="","",'Project Control'!F31)</x:f>
      </x:c>
      <x:c r="J31" t="str">
        <x:f>IF(A31="","",'Project Control'!H31)</x:f>
      </x:c>
      <x:c r="K31" t="str">
        <x:f>IF(A31="","",IF(ISNUMBER('Project Control'!I31),'Project Control'!I31,""))</x:f>
      </x:c>
      <x:c r="L31" t="str">
        <x:f>IF(A31="","",'Project Control'!O31)</x:f>
      </x:c>
    </x:row>
    <x:row r="32">
      <x:c r="A32" t="str">
        <x:f>IF('Project Control'!A32="","",'Project Control'!A32)</x:f>
      </x:c>
      <x:c r="B32" t="str">
        <x:f>IF(A32="","",'Project Control'!B32)</x:f>
      </x:c>
      <x:c r="C32" t="str">
        <x:f>IF(A32="","",'Project Control'!R32)</x:f>
      </x:c>
      <x:c r="D32" t="str">
        <x:f>IF(A32="","",'Project Control'!S32)</x:f>
      </x:c>
      <x:c r="E32" t="str">
        <x:f>IF(A32="","",'Project Control'!T32)</x:f>
      </x:c>
      <x:c r="F32" t="str">
        <x:f>IF(A32="","",'Project Control'!C32)</x:f>
      </x:c>
      <x:c r="G32" t="str">
        <x:f>IF(A32="","",'Project Control'!D32)</x:f>
      </x:c>
      <x:c r="H32" t="str">
        <x:f>IF(A32="","",'Project Control'!E32)</x:f>
      </x:c>
      <x:c r="I32" t="str">
        <x:f>IF(A32="","",'Project Control'!F32)</x:f>
      </x:c>
      <x:c r="J32" t="str">
        <x:f>IF(A32="","",'Project Control'!H32)</x:f>
      </x:c>
      <x:c r="K32" t="str">
        <x:f>IF(A32="","",IF(ISNUMBER('Project Control'!I32),'Project Control'!I32,""))</x:f>
      </x:c>
      <x:c r="L32" t="str">
        <x:f>IF(A32="","",'Project Control'!O32)</x:f>
      </x:c>
    </x:row>
    <x:row r="33">
      <x:c r="A33" t="str">
        <x:f>IF('Project Control'!A33="","",'Project Control'!A33)</x:f>
      </x:c>
      <x:c r="B33" t="str">
        <x:f>IF(A33="","",'Project Control'!B33)</x:f>
      </x:c>
      <x:c r="C33" t="str">
        <x:f>IF(A33="","",'Project Control'!R33)</x:f>
      </x:c>
      <x:c r="D33" t="str">
        <x:f>IF(A33="","",'Project Control'!S33)</x:f>
      </x:c>
      <x:c r="E33" t="str">
        <x:f>IF(A33="","",'Project Control'!T33)</x:f>
      </x:c>
      <x:c r="F33" t="str">
        <x:f>IF(A33="","",'Project Control'!C33)</x:f>
      </x:c>
      <x:c r="G33" t="str">
        <x:f>IF(A33="","",'Project Control'!D33)</x:f>
      </x:c>
      <x:c r="H33" t="str">
        <x:f>IF(A33="","",'Project Control'!E33)</x:f>
      </x:c>
      <x:c r="I33" t="str">
        <x:f>IF(A33="","",'Project Control'!F33)</x:f>
      </x:c>
      <x:c r="J33" t="str">
        <x:f>IF(A33="","",'Project Control'!H33)</x:f>
      </x:c>
      <x:c r="K33" t="str">
        <x:f>IF(A33="","",IF(ISNUMBER('Project Control'!I33),'Project Control'!I33,""))</x:f>
      </x:c>
      <x:c r="L33" t="str">
        <x:f>IF(A33="","",'Project Control'!O33)</x:f>
      </x:c>
    </x:row>
    <x:row r="34">
      <x:c r="A34" t="str">
        <x:f>IF('Project Control'!A34="","",'Project Control'!A34)</x:f>
      </x:c>
      <x:c r="B34" t="str">
        <x:f>IF(A34="","",'Project Control'!B34)</x:f>
      </x:c>
      <x:c r="C34" t="str">
        <x:f>IF(A34="","",'Project Control'!R34)</x:f>
      </x:c>
      <x:c r="D34" t="str">
        <x:f>IF(A34="","",'Project Control'!S34)</x:f>
      </x:c>
      <x:c r="E34" t="str">
        <x:f>IF(A34="","",'Project Control'!T34)</x:f>
      </x:c>
      <x:c r="F34" t="str">
        <x:f>IF(A34="","",'Project Control'!C34)</x:f>
      </x:c>
      <x:c r="G34" t="str">
        <x:f>IF(A34="","",'Project Control'!D34)</x:f>
      </x:c>
      <x:c r="H34" t="str">
        <x:f>IF(A34="","",'Project Control'!E34)</x:f>
      </x:c>
      <x:c r="I34" t="str">
        <x:f>IF(A34="","",'Project Control'!F34)</x:f>
      </x:c>
      <x:c r="J34" t="str">
        <x:f>IF(A34="","",'Project Control'!H34)</x:f>
      </x:c>
      <x:c r="K34" t="str">
        <x:f>IF(A34="","",IF(ISNUMBER('Project Control'!I34),'Project Control'!I34,""))</x:f>
      </x:c>
      <x:c r="L34" t="str">
        <x:f>IF(A34="","",'Project Control'!O34)</x:f>
      </x:c>
    </x:row>
    <x:row r="35">
      <x:c r="A35" t="str">
        <x:f>IF('Project Control'!A35="","",'Project Control'!A35)</x:f>
      </x:c>
      <x:c r="B35" t="str">
        <x:f>IF(A35="","",'Project Control'!B35)</x:f>
      </x:c>
      <x:c r="C35" t="str">
        <x:f>IF(A35="","",'Project Control'!R35)</x:f>
      </x:c>
      <x:c r="D35" t="str">
        <x:f>IF(A35="","",'Project Control'!S35)</x:f>
      </x:c>
      <x:c r="E35" t="str">
        <x:f>IF(A35="","",'Project Control'!T35)</x:f>
      </x:c>
      <x:c r="F35" t="str">
        <x:f>IF(A35="","",'Project Control'!C35)</x:f>
      </x:c>
      <x:c r="G35" t="str">
        <x:f>IF(A35="","",'Project Control'!D35)</x:f>
      </x:c>
      <x:c r="H35" t="str">
        <x:f>IF(A35="","",'Project Control'!E35)</x:f>
      </x:c>
      <x:c r="I35" t="str">
        <x:f>IF(A35="","",'Project Control'!F35)</x:f>
      </x:c>
      <x:c r="J35" t="str">
        <x:f>IF(A35="","",'Project Control'!H35)</x:f>
      </x:c>
      <x:c r="K35" t="str">
        <x:f>IF(A35="","",IF(ISNUMBER('Project Control'!I35),'Project Control'!I35,""))</x:f>
      </x:c>
      <x:c r="L35" t="str">
        <x:f>IF(A35="","",'Project Control'!O35)</x:f>
      </x:c>
    </x:row>
    <x:row r="36">
      <x:c r="A36" t="str">
        <x:f>IF('Project Control'!A36="","",'Project Control'!A36)</x:f>
      </x:c>
      <x:c r="B36" t="str">
        <x:f>IF(A36="","",'Project Control'!B36)</x:f>
      </x:c>
      <x:c r="C36" t="str">
        <x:f>IF(A36="","",'Project Control'!R36)</x:f>
      </x:c>
      <x:c r="D36" t="str">
        <x:f>IF(A36="","",'Project Control'!S36)</x:f>
      </x:c>
      <x:c r="E36" t="str">
        <x:f>IF(A36="","",'Project Control'!T36)</x:f>
      </x:c>
      <x:c r="F36" t="str">
        <x:f>IF(A36="","",'Project Control'!C36)</x:f>
      </x:c>
      <x:c r="G36" t="str">
        <x:f>IF(A36="","",'Project Control'!D36)</x:f>
      </x:c>
      <x:c r="H36" t="str">
        <x:f>IF(A36="","",'Project Control'!E36)</x:f>
      </x:c>
      <x:c r="I36" t="str">
        <x:f>IF(A36="","",'Project Control'!F36)</x:f>
      </x:c>
      <x:c r="J36" t="str">
        <x:f>IF(A36="","",'Project Control'!H36)</x:f>
      </x:c>
      <x:c r="K36" t="str">
        <x:f>IF(A36="","",IF(ISNUMBER('Project Control'!I36),'Project Control'!I36,""))</x:f>
      </x:c>
      <x:c r="L36" t="str">
        <x:f>IF(A36="","",'Project Control'!O36)</x:f>
      </x:c>
    </x:row>
    <x:row r="37">
      <x:c r="A37" t="str">
        <x:f>IF('Project Control'!A37="","",'Project Control'!A37)</x:f>
      </x:c>
      <x:c r="B37" t="str">
        <x:f>IF(A37="","",'Project Control'!B37)</x:f>
      </x:c>
      <x:c r="C37" t="str">
        <x:f>IF(A37="","",'Project Control'!R37)</x:f>
      </x:c>
      <x:c r="D37" t="str">
        <x:f>IF(A37="","",'Project Control'!S37)</x:f>
      </x:c>
      <x:c r="E37" t="str">
        <x:f>IF(A37="","",'Project Control'!T37)</x:f>
      </x:c>
      <x:c r="F37" t="str">
        <x:f>IF(A37="","",'Project Control'!C37)</x:f>
      </x:c>
      <x:c r="G37" t="str">
        <x:f>IF(A37="","",'Project Control'!D37)</x:f>
      </x:c>
      <x:c r="H37" t="str">
        <x:f>IF(A37="","",'Project Control'!E37)</x:f>
      </x:c>
      <x:c r="I37" t="str">
        <x:f>IF(A37="","",'Project Control'!F37)</x:f>
      </x:c>
      <x:c r="J37" t="str">
        <x:f>IF(A37="","",'Project Control'!H37)</x:f>
      </x:c>
      <x:c r="K37" t="str">
        <x:f>IF(A37="","",IF(ISNUMBER('Project Control'!I37),'Project Control'!I37,""))</x:f>
      </x:c>
      <x:c r="L37" t="str">
        <x:f>IF(A37="","",'Project Control'!O37)</x:f>
      </x:c>
    </x:row>
    <x:row r="38">
      <x:c r="A38" t="str">
        <x:f>IF('Project Control'!A38="","",'Project Control'!A38)</x:f>
      </x:c>
      <x:c r="B38" t="str">
        <x:f>IF(A38="","",'Project Control'!B38)</x:f>
      </x:c>
      <x:c r="C38" t="str">
        <x:f>IF(A38="","",'Project Control'!R38)</x:f>
      </x:c>
      <x:c r="D38" t="str">
        <x:f>IF(A38="","",'Project Control'!S38)</x:f>
      </x:c>
      <x:c r="E38" t="str">
        <x:f>IF(A38="","",'Project Control'!T38)</x:f>
      </x:c>
      <x:c r="F38" t="str">
        <x:f>IF(A38="","",'Project Control'!C38)</x:f>
      </x:c>
      <x:c r="G38" t="str">
        <x:f>IF(A38="","",'Project Control'!D38)</x:f>
      </x:c>
      <x:c r="H38" t="str">
        <x:f>IF(A38="","",'Project Control'!E38)</x:f>
      </x:c>
      <x:c r="I38" t="str">
        <x:f>IF(A38="","",'Project Control'!F38)</x:f>
      </x:c>
      <x:c r="J38" t="str">
        <x:f>IF(A38="","",'Project Control'!H38)</x:f>
      </x:c>
      <x:c r="K38" t="str">
        <x:f>IF(A38="","",IF(ISNUMBER('Project Control'!I38),'Project Control'!I38,""))</x:f>
      </x:c>
      <x:c r="L38" t="str">
        <x:f>IF(A38="","",'Project Control'!O38)</x:f>
      </x:c>
    </x:row>
    <x:row r="39">
      <x:c r="A39" t="str">
        <x:f>IF('Project Control'!A39="","",'Project Control'!A39)</x:f>
      </x:c>
      <x:c r="B39" t="str">
        <x:f>IF(A39="","",'Project Control'!B39)</x:f>
      </x:c>
      <x:c r="C39" t="str">
        <x:f>IF(A39="","",'Project Control'!R39)</x:f>
      </x:c>
      <x:c r="D39" t="str">
        <x:f>IF(A39="","",'Project Control'!S39)</x:f>
      </x:c>
      <x:c r="E39" t="str">
        <x:f>IF(A39="","",'Project Control'!T39)</x:f>
      </x:c>
      <x:c r="F39" t="str">
        <x:f>IF(A39="","",'Project Control'!C39)</x:f>
      </x:c>
      <x:c r="G39" t="str">
        <x:f>IF(A39="","",'Project Control'!D39)</x:f>
      </x:c>
      <x:c r="H39" t="str">
        <x:f>IF(A39="","",'Project Control'!E39)</x:f>
      </x:c>
      <x:c r="I39" t="str">
        <x:f>IF(A39="","",'Project Control'!F39)</x:f>
      </x:c>
      <x:c r="J39" t="str">
        <x:f>IF(A39="","",'Project Control'!H39)</x:f>
      </x:c>
      <x:c r="K39" t="str">
        <x:f>IF(A39="","",IF(ISNUMBER('Project Control'!I39),'Project Control'!I39,""))</x:f>
      </x:c>
      <x:c r="L39" t="str">
        <x:f>IF(A39="","",'Project Control'!O39)</x:f>
      </x:c>
    </x:row>
    <x:row r="40">
      <x:c r="A40" t="str">
        <x:f>IF('Project Control'!A40="","",'Project Control'!A40)</x:f>
      </x:c>
      <x:c r="B40" t="str">
        <x:f>IF(A40="","",'Project Control'!B40)</x:f>
      </x:c>
      <x:c r="C40" t="str">
        <x:f>IF(A40="","",'Project Control'!R40)</x:f>
      </x:c>
      <x:c r="D40" t="str">
        <x:f>IF(A40="","",'Project Control'!S40)</x:f>
      </x:c>
      <x:c r="E40" t="str">
        <x:f>IF(A40="","",'Project Control'!T40)</x:f>
      </x:c>
      <x:c r="F40" t="str">
        <x:f>IF(A40="","",'Project Control'!C40)</x:f>
      </x:c>
      <x:c r="G40" t="str">
        <x:f>IF(A40="","",'Project Control'!D40)</x:f>
      </x:c>
      <x:c r="H40" t="str">
        <x:f>IF(A40="","",'Project Control'!E40)</x:f>
      </x:c>
      <x:c r="I40" t="str">
        <x:f>IF(A40="","",'Project Control'!F40)</x:f>
      </x:c>
      <x:c r="J40" t="str">
        <x:f>IF(A40="","",'Project Control'!H40)</x:f>
      </x:c>
      <x:c r="K40" t="str">
        <x:f>IF(A40="","",IF(ISNUMBER('Project Control'!I40),'Project Control'!I40,""))</x:f>
      </x:c>
      <x:c r="L40" t="str">
        <x:f>IF(A40="","",'Project Control'!O40)</x:f>
      </x:c>
    </x:row>
    <x:row r="41">
      <x:c r="A41" t="str">
        <x:f>IF('Project Control'!A41="","",'Project Control'!A41)</x:f>
      </x:c>
      <x:c r="B41" t="str">
        <x:f>IF(A41="","",'Project Control'!B41)</x:f>
      </x:c>
      <x:c r="C41" t="str">
        <x:f>IF(A41="","",'Project Control'!R41)</x:f>
      </x:c>
      <x:c r="D41" t="str">
        <x:f>IF(A41="","",'Project Control'!S41)</x:f>
      </x:c>
      <x:c r="E41" t="str">
        <x:f>IF(A41="","",'Project Control'!T41)</x:f>
      </x:c>
      <x:c r="F41" t="str">
        <x:f>IF(A41="","",'Project Control'!C41)</x:f>
      </x:c>
      <x:c r="G41" t="str">
        <x:f>IF(A41="","",'Project Control'!D41)</x:f>
      </x:c>
      <x:c r="H41" t="str">
        <x:f>IF(A41="","",'Project Control'!E41)</x:f>
      </x:c>
      <x:c r="I41" t="str">
        <x:f>IF(A41="","",'Project Control'!F41)</x:f>
      </x:c>
      <x:c r="J41" t="str">
        <x:f>IF(A41="","",'Project Control'!H41)</x:f>
      </x:c>
      <x:c r="K41" t="str">
        <x:f>IF(A41="","",IF(ISNUMBER('Project Control'!I41),'Project Control'!I41,""))</x:f>
      </x:c>
      <x:c r="L41" t="str">
        <x:f>IF(A41="","",'Project Control'!O41)</x:f>
      </x:c>
    </x:row>
    <x:row r="42">
      <x:c r="A42" t="str">
        <x:f>IF('Project Control'!A42="","",'Project Control'!A42)</x:f>
      </x:c>
      <x:c r="B42" t="str">
        <x:f>IF(A42="","",'Project Control'!B42)</x:f>
      </x:c>
      <x:c r="C42" t="str">
        <x:f>IF(A42="","",'Project Control'!R42)</x:f>
      </x:c>
      <x:c r="D42" t="str">
        <x:f>IF(A42="","",'Project Control'!S42)</x:f>
      </x:c>
      <x:c r="E42" t="str">
        <x:f>IF(A42="","",'Project Control'!T42)</x:f>
      </x:c>
      <x:c r="F42" t="str">
        <x:f>IF(A42="","",'Project Control'!C42)</x:f>
      </x:c>
      <x:c r="G42" t="str">
        <x:f>IF(A42="","",'Project Control'!D42)</x:f>
      </x:c>
      <x:c r="H42" t="str">
        <x:f>IF(A42="","",'Project Control'!E42)</x:f>
      </x:c>
      <x:c r="I42" t="str">
        <x:f>IF(A42="","",'Project Control'!F42)</x:f>
      </x:c>
      <x:c r="J42" t="str">
        <x:f>IF(A42="","",'Project Control'!H42)</x:f>
      </x:c>
      <x:c r="K42" t="str">
        <x:f>IF(A42="","",IF(ISNUMBER('Project Control'!I42),'Project Control'!I42,""))</x:f>
      </x:c>
      <x:c r="L42" t="str">
        <x:f>IF(A42="","",'Project Control'!O42)</x:f>
      </x:c>
    </x:row>
    <x:row r="43">
      <x:c r="A43" t="str">
        <x:f>IF('Project Control'!A43="","",'Project Control'!A43)</x:f>
      </x:c>
      <x:c r="B43" t="str">
        <x:f>IF(A43="","",'Project Control'!B43)</x:f>
      </x:c>
      <x:c r="C43" t="str">
        <x:f>IF(A43="","",'Project Control'!R43)</x:f>
      </x:c>
      <x:c r="D43" t="str">
        <x:f>IF(A43="","",'Project Control'!S43)</x:f>
      </x:c>
      <x:c r="E43" t="str">
        <x:f>IF(A43="","",'Project Control'!T43)</x:f>
      </x:c>
      <x:c r="F43" t="str">
        <x:f>IF(A43="","",'Project Control'!C43)</x:f>
      </x:c>
      <x:c r="G43" t="str">
        <x:f>IF(A43="","",'Project Control'!D43)</x:f>
      </x:c>
      <x:c r="H43" t="str">
        <x:f>IF(A43="","",'Project Control'!E43)</x:f>
      </x:c>
      <x:c r="I43" t="str">
        <x:f>IF(A43="","",'Project Control'!F43)</x:f>
      </x:c>
      <x:c r="J43" t="str">
        <x:f>IF(A43="","",'Project Control'!H43)</x:f>
      </x:c>
      <x:c r="K43" t="str">
        <x:f>IF(A43="","",IF(ISNUMBER('Project Control'!I43),'Project Control'!I43,""))</x:f>
      </x:c>
      <x:c r="L43" t="str">
        <x:f>IF(A43="","",'Project Control'!O43)</x:f>
      </x:c>
    </x:row>
    <x:row r="44">
      <x:c r="A44" t="str">
        <x:f>IF('Project Control'!A44="","",'Project Control'!A44)</x:f>
      </x:c>
      <x:c r="B44" t="str">
        <x:f>IF(A44="","",'Project Control'!B44)</x:f>
      </x:c>
      <x:c r="C44" t="str">
        <x:f>IF(A44="","",'Project Control'!R44)</x:f>
      </x:c>
      <x:c r="D44" t="str">
        <x:f>IF(A44="","",'Project Control'!S44)</x:f>
      </x:c>
      <x:c r="E44" t="str">
        <x:f>IF(A44="","",'Project Control'!T44)</x:f>
      </x:c>
      <x:c r="F44" t="str">
        <x:f>IF(A44="","",'Project Control'!C44)</x:f>
      </x:c>
      <x:c r="G44" t="str">
        <x:f>IF(A44="","",'Project Control'!D44)</x:f>
      </x:c>
      <x:c r="H44" t="str">
        <x:f>IF(A44="","",'Project Control'!E44)</x:f>
      </x:c>
      <x:c r="I44" t="str">
        <x:f>IF(A44="","",'Project Control'!F44)</x:f>
      </x:c>
      <x:c r="J44" t="str">
        <x:f>IF(A44="","",'Project Control'!H44)</x:f>
      </x:c>
      <x:c r="K44" t="str">
        <x:f>IF(A44="","",IF(ISNUMBER('Project Control'!I44),'Project Control'!I44,""))</x:f>
      </x:c>
      <x:c r="L44" t="str">
        <x:f>IF(A44="","",'Project Control'!O44)</x:f>
      </x:c>
    </x:row>
    <x:row r="45">
      <x:c r="A45" t="str">
        <x:f>IF('Project Control'!A45="","",'Project Control'!A45)</x:f>
      </x:c>
      <x:c r="B45" t="str">
        <x:f>IF(A45="","",'Project Control'!B45)</x:f>
      </x:c>
      <x:c r="C45" t="str">
        <x:f>IF(A45="","",'Project Control'!R45)</x:f>
      </x:c>
      <x:c r="D45" t="str">
        <x:f>IF(A45="","",'Project Control'!S45)</x:f>
      </x:c>
      <x:c r="E45" t="str">
        <x:f>IF(A45="","",'Project Control'!T45)</x:f>
      </x:c>
      <x:c r="F45" t="str">
        <x:f>IF(A45="","",'Project Control'!C45)</x:f>
      </x:c>
      <x:c r="G45" t="str">
        <x:f>IF(A45="","",'Project Control'!D45)</x:f>
      </x:c>
      <x:c r="H45" t="str">
        <x:f>IF(A45="","",'Project Control'!E45)</x:f>
      </x:c>
      <x:c r="I45" t="str">
        <x:f>IF(A45="","",'Project Control'!F45)</x:f>
      </x:c>
      <x:c r="J45" t="str">
        <x:f>IF(A45="","",'Project Control'!H45)</x:f>
      </x:c>
      <x:c r="K45" t="str">
        <x:f>IF(A45="","",IF(ISNUMBER('Project Control'!I45),'Project Control'!I45,""))</x:f>
      </x:c>
      <x:c r="L45" t="str">
        <x:f>IF(A45="","",'Project Control'!O45)</x:f>
      </x:c>
    </x:row>
    <x:row r="46">
      <x:c r="A46" t="str">
        <x:f>IF('Project Control'!A46="","",'Project Control'!A46)</x:f>
      </x:c>
      <x:c r="B46" t="str">
        <x:f>IF(A46="","",'Project Control'!B46)</x:f>
      </x:c>
      <x:c r="C46" t="str">
        <x:f>IF(A46="","",'Project Control'!R46)</x:f>
      </x:c>
      <x:c r="D46" t="str">
        <x:f>IF(A46="","",'Project Control'!S46)</x:f>
      </x:c>
      <x:c r="E46" t="str">
        <x:f>IF(A46="","",'Project Control'!T46)</x:f>
      </x:c>
      <x:c r="F46" t="str">
        <x:f>IF(A46="","",'Project Control'!C46)</x:f>
      </x:c>
      <x:c r="G46" t="str">
        <x:f>IF(A46="","",'Project Control'!D46)</x:f>
      </x:c>
      <x:c r="H46" t="str">
        <x:f>IF(A46="","",'Project Control'!E46)</x:f>
      </x:c>
      <x:c r="I46" t="str">
        <x:f>IF(A46="","",'Project Control'!F46)</x:f>
      </x:c>
      <x:c r="J46" t="str">
        <x:f>IF(A46="","",'Project Control'!H46)</x:f>
      </x:c>
      <x:c r="K46" t="str">
        <x:f>IF(A46="","",IF(ISNUMBER('Project Control'!I46),'Project Control'!I46,""))</x:f>
      </x:c>
      <x:c r="L46" t="str">
        <x:f>IF(A46="","",'Project Control'!O46)</x:f>
      </x:c>
    </x:row>
    <x:row r="47">
      <x:c r="A47" t="str">
        <x:f>IF('Project Control'!A47="","",'Project Control'!A47)</x:f>
      </x:c>
      <x:c r="B47" t="str">
        <x:f>IF(A47="","",'Project Control'!B47)</x:f>
      </x:c>
      <x:c r="C47" t="str">
        <x:f>IF(A47="","",'Project Control'!R47)</x:f>
      </x:c>
      <x:c r="D47" t="str">
        <x:f>IF(A47="","",'Project Control'!S47)</x:f>
      </x:c>
      <x:c r="E47" t="str">
        <x:f>IF(A47="","",'Project Control'!T47)</x:f>
      </x:c>
      <x:c r="F47" t="str">
        <x:f>IF(A47="","",'Project Control'!C47)</x:f>
      </x:c>
      <x:c r="G47" t="str">
        <x:f>IF(A47="","",'Project Control'!D47)</x:f>
      </x:c>
      <x:c r="H47" t="str">
        <x:f>IF(A47="","",'Project Control'!E47)</x:f>
      </x:c>
      <x:c r="I47" t="str">
        <x:f>IF(A47="","",'Project Control'!F47)</x:f>
      </x:c>
      <x:c r="J47" t="str">
        <x:f>IF(A47="","",'Project Control'!H47)</x:f>
      </x:c>
      <x:c r="K47" t="str">
        <x:f>IF(A47="","",IF(ISNUMBER('Project Control'!I47),'Project Control'!I47,""))</x:f>
      </x:c>
      <x:c r="L47" t="str">
        <x:f>IF(A47="","",'Project Control'!O47)</x:f>
      </x:c>
    </x:row>
    <x:row r="48">
      <x:c r="A48" t="str">
        <x:f>IF('Project Control'!A48="","",'Project Control'!A48)</x:f>
      </x:c>
      <x:c r="B48" t="str">
        <x:f>IF(A48="","",'Project Control'!B48)</x:f>
      </x:c>
      <x:c r="C48" t="str">
        <x:f>IF(A48="","",'Project Control'!R48)</x:f>
      </x:c>
      <x:c r="D48" t="str">
        <x:f>IF(A48="","",'Project Control'!S48)</x:f>
      </x:c>
      <x:c r="E48" t="str">
        <x:f>IF(A48="","",'Project Control'!T48)</x:f>
      </x:c>
      <x:c r="F48" t="str">
        <x:f>IF(A48="","",'Project Control'!C48)</x:f>
      </x:c>
      <x:c r="G48" t="str">
        <x:f>IF(A48="","",'Project Control'!D48)</x:f>
      </x:c>
      <x:c r="H48" t="str">
        <x:f>IF(A48="","",'Project Control'!E48)</x:f>
      </x:c>
      <x:c r="I48" t="str">
        <x:f>IF(A48="","",'Project Control'!F48)</x:f>
      </x:c>
      <x:c r="J48" t="str">
        <x:f>IF(A48="","",'Project Control'!H48)</x:f>
      </x:c>
      <x:c r="K48" t="str">
        <x:f>IF(A48="","",IF(ISNUMBER('Project Control'!I48),'Project Control'!I48,""))</x:f>
      </x:c>
      <x:c r="L48" t="str">
        <x:f>IF(A48="","",'Project Control'!O48)</x:f>
      </x:c>
    </x:row>
    <x:row r="49">
      <x:c r="A49" t="str">
        <x:f>IF('Project Control'!A49="","",'Project Control'!A49)</x:f>
      </x:c>
      <x:c r="B49" t="str">
        <x:f>IF(A49="","",'Project Control'!B49)</x:f>
      </x:c>
      <x:c r="C49" t="str">
        <x:f>IF(A49="","",'Project Control'!R49)</x:f>
      </x:c>
      <x:c r="D49" t="str">
        <x:f>IF(A49="","",'Project Control'!S49)</x:f>
      </x:c>
      <x:c r="E49" t="str">
        <x:f>IF(A49="","",'Project Control'!T49)</x:f>
      </x:c>
      <x:c r="F49" t="str">
        <x:f>IF(A49="","",'Project Control'!C49)</x:f>
      </x:c>
      <x:c r="G49" t="str">
        <x:f>IF(A49="","",'Project Control'!D49)</x:f>
      </x:c>
      <x:c r="H49" t="str">
        <x:f>IF(A49="","",'Project Control'!E49)</x:f>
      </x:c>
      <x:c r="I49" t="str">
        <x:f>IF(A49="","",'Project Control'!F49)</x:f>
      </x:c>
      <x:c r="J49" t="str">
        <x:f>IF(A49="","",'Project Control'!H49)</x:f>
      </x:c>
      <x:c r="K49" t="str">
        <x:f>IF(A49="","",IF(ISNUMBER('Project Control'!I49),'Project Control'!I49,""))</x:f>
      </x:c>
      <x:c r="L49" t="str">
        <x:f>IF(A49="","",'Project Control'!O49)</x:f>
      </x:c>
    </x:row>
    <x:row r="50">
      <x:c r="A50" t="str">
        <x:f>IF('Project Control'!A50="","",'Project Control'!A50)</x:f>
      </x:c>
      <x:c r="B50" t="str">
        <x:f>IF(A50="","",'Project Control'!B50)</x:f>
      </x:c>
      <x:c r="C50" t="str">
        <x:f>IF(A50="","",'Project Control'!R50)</x:f>
      </x:c>
      <x:c r="D50" t="str">
        <x:f>IF(A50="","",'Project Control'!S50)</x:f>
      </x:c>
      <x:c r="E50" t="str">
        <x:f>IF(A50="","",'Project Control'!T50)</x:f>
      </x:c>
      <x:c r="F50" t="str">
        <x:f>IF(A50="","",'Project Control'!C50)</x:f>
      </x:c>
      <x:c r="G50" t="str">
        <x:f>IF(A50="","",'Project Control'!D50)</x:f>
      </x:c>
      <x:c r="H50" t="str">
        <x:f>IF(A50="","",'Project Control'!E50)</x:f>
      </x:c>
      <x:c r="I50" t="str">
        <x:f>IF(A50="","",'Project Control'!F50)</x:f>
      </x:c>
      <x:c r="J50" t="str">
        <x:f>IF(A50="","",'Project Control'!H50)</x:f>
      </x:c>
      <x:c r="K50" t="str">
        <x:f>IF(A50="","",IF(ISNUMBER('Project Control'!I50),'Project Control'!I50,""))</x:f>
      </x:c>
      <x:c r="L50" t="str">
        <x:f>IF(A50="","",'Project Control'!O50)</x:f>
      </x:c>
    </x:row>
    <x:row r="51">
      <x:c r="A51" t="str">
        <x:f>IF('Project Control'!A51="","",'Project Control'!A51)</x:f>
      </x:c>
      <x:c r="B51" t="str">
        <x:f>IF(A51="","",'Project Control'!B51)</x:f>
      </x:c>
      <x:c r="C51" t="str">
        <x:f>IF(A51="","",'Project Control'!R51)</x:f>
      </x:c>
      <x:c r="D51" t="str">
        <x:f>IF(A51="","",'Project Control'!S51)</x:f>
      </x:c>
      <x:c r="E51" t="str">
        <x:f>IF(A51="","",'Project Control'!T51)</x:f>
      </x:c>
      <x:c r="F51" t="str">
        <x:f>IF(A51="","",'Project Control'!C51)</x:f>
      </x:c>
      <x:c r="G51" t="str">
        <x:f>IF(A51="","",'Project Control'!D51)</x:f>
      </x:c>
      <x:c r="H51" t="str">
        <x:f>IF(A51="","",'Project Control'!E51)</x:f>
      </x:c>
      <x:c r="I51" t="str">
        <x:f>IF(A51="","",'Project Control'!F51)</x:f>
      </x:c>
      <x:c r="J51" t="str">
        <x:f>IF(A51="","",'Project Control'!H51)</x:f>
      </x:c>
      <x:c r="K51" t="str">
        <x:f>IF(A51="","",IF(ISNUMBER('Project Control'!I51),'Project Control'!I51,""))</x:f>
      </x:c>
      <x:c r="L51" t="str">
        <x:f>IF(A51="","",'Project Control'!O51)</x:f>
      </x:c>
    </x:row>
    <x:row r="52">
      <x:c r="A52" t="str">
        <x:f>IF('Project Control'!A52="","",'Project Control'!A52)</x:f>
      </x:c>
      <x:c r="B52" t="str">
        <x:f>IF(A52="","",'Project Control'!B52)</x:f>
      </x:c>
      <x:c r="C52" t="str">
        <x:f>IF(A52="","",'Project Control'!R52)</x:f>
      </x:c>
      <x:c r="D52" t="str">
        <x:f>IF(A52="","",'Project Control'!S52)</x:f>
      </x:c>
      <x:c r="E52" t="str">
        <x:f>IF(A52="","",'Project Control'!T52)</x:f>
      </x:c>
      <x:c r="F52" t="str">
        <x:f>IF(A52="","",'Project Control'!C52)</x:f>
      </x:c>
      <x:c r="G52" t="str">
        <x:f>IF(A52="","",'Project Control'!D52)</x:f>
      </x:c>
      <x:c r="H52" t="str">
        <x:f>IF(A52="","",'Project Control'!E52)</x:f>
      </x:c>
      <x:c r="I52" t="str">
        <x:f>IF(A52="","",'Project Control'!F52)</x:f>
      </x:c>
      <x:c r="J52" t="str">
        <x:f>IF(A52="","",'Project Control'!H52)</x:f>
      </x:c>
      <x:c r="K52" t="str">
        <x:f>IF(A52="","",IF(ISNUMBER('Project Control'!I52),'Project Control'!I52,""))</x:f>
      </x:c>
      <x:c r="L52" t="str">
        <x:f>IF(A52="","",'Project Control'!O52)</x:f>
      </x:c>
    </x:row>
    <x:row r="53">
      <x:c r="A53" t="str">
        <x:f>IF('Project Control'!A53="","",'Project Control'!A53)</x:f>
      </x:c>
      <x:c r="B53" t="str">
        <x:f>IF(A53="","",'Project Control'!B53)</x:f>
      </x:c>
      <x:c r="C53" t="str">
        <x:f>IF(A53="","",'Project Control'!R53)</x:f>
      </x:c>
      <x:c r="D53" t="str">
        <x:f>IF(A53="","",'Project Control'!S53)</x:f>
      </x:c>
      <x:c r="E53" t="str">
        <x:f>IF(A53="","",'Project Control'!T53)</x:f>
      </x:c>
      <x:c r="F53" t="str">
        <x:f>IF(A53="","",'Project Control'!C53)</x:f>
      </x:c>
      <x:c r="G53" t="str">
        <x:f>IF(A53="","",'Project Control'!D53)</x:f>
      </x:c>
      <x:c r="H53" t="str">
        <x:f>IF(A53="","",'Project Control'!E53)</x:f>
      </x:c>
      <x:c r="I53" t="str">
        <x:f>IF(A53="","",'Project Control'!F53)</x:f>
      </x:c>
      <x:c r="J53" t="str">
        <x:f>IF(A53="","",'Project Control'!H53)</x:f>
      </x:c>
      <x:c r="K53" t="str">
        <x:f>IF(A53="","",IF(ISNUMBER('Project Control'!I53),'Project Control'!I53,""))</x:f>
      </x:c>
      <x:c r="L53" t="str">
        <x:f>IF(A53="","",'Project Control'!O53)</x:f>
      </x:c>
    </x:row>
    <x:row r="54">
      <x:c r="A54" t="str">
        <x:f>IF('Project Control'!A54="","",'Project Control'!A54)</x:f>
      </x:c>
      <x:c r="B54" t="str">
        <x:f>IF(A54="","",'Project Control'!B54)</x:f>
      </x:c>
      <x:c r="C54" t="str">
        <x:f>IF(A54="","",'Project Control'!R54)</x:f>
      </x:c>
      <x:c r="D54" t="str">
        <x:f>IF(A54="","",'Project Control'!S54)</x:f>
      </x:c>
      <x:c r="E54" t="str">
        <x:f>IF(A54="","",'Project Control'!T54)</x:f>
      </x:c>
      <x:c r="F54" t="str">
        <x:f>IF(A54="","",'Project Control'!C54)</x:f>
      </x:c>
      <x:c r="G54" t="str">
        <x:f>IF(A54="","",'Project Control'!D54)</x:f>
      </x:c>
      <x:c r="H54" t="str">
        <x:f>IF(A54="","",'Project Control'!E54)</x:f>
      </x:c>
      <x:c r="I54" t="str">
        <x:f>IF(A54="","",'Project Control'!F54)</x:f>
      </x:c>
      <x:c r="J54" t="str">
        <x:f>IF(A54="","",'Project Control'!H54)</x:f>
      </x:c>
      <x:c r="K54" t="str">
        <x:f>IF(A54="","",IF(ISNUMBER('Project Control'!I54),'Project Control'!I54,""))</x:f>
      </x:c>
      <x:c r="L54" t="str">
        <x:f>IF(A54="","",'Project Control'!O54)</x:f>
      </x:c>
    </x:row>
    <x:row r="55">
      <x:c r="A55" t="str">
        <x:f>IF('Project Control'!A55="","",'Project Control'!A55)</x:f>
      </x:c>
      <x:c r="B55" t="str">
        <x:f>IF(A55="","",'Project Control'!B55)</x:f>
      </x:c>
      <x:c r="C55" t="str">
        <x:f>IF(A55="","",'Project Control'!R55)</x:f>
      </x:c>
      <x:c r="D55" t="str">
        <x:f>IF(A55="","",'Project Control'!S55)</x:f>
      </x:c>
      <x:c r="E55" t="str">
        <x:f>IF(A55="","",'Project Control'!T55)</x:f>
      </x:c>
      <x:c r="F55" t="str">
        <x:f>IF(A55="","",'Project Control'!C55)</x:f>
      </x:c>
      <x:c r="G55" t="str">
        <x:f>IF(A55="","",'Project Control'!D55)</x:f>
      </x:c>
      <x:c r="H55" t="str">
        <x:f>IF(A55="","",'Project Control'!E55)</x:f>
      </x:c>
      <x:c r="I55" t="str">
        <x:f>IF(A55="","",'Project Control'!F55)</x:f>
      </x:c>
      <x:c r="J55" t="str">
        <x:f>IF(A55="","",'Project Control'!H55)</x:f>
      </x:c>
      <x:c r="K55" t="str">
        <x:f>IF(A55="","",IF(ISNUMBER('Project Control'!I55),'Project Control'!I55,""))</x:f>
      </x:c>
      <x:c r="L55" t="str">
        <x:f>IF(A55="","",'Project Control'!O55)</x:f>
      </x:c>
    </x:row>
    <x:row r="56">
      <x:c r="A56" t="str">
        <x:f>IF('Project Control'!A56="","",'Project Control'!A56)</x:f>
      </x:c>
      <x:c r="B56" t="str">
        <x:f>IF(A56="","",'Project Control'!B56)</x:f>
      </x:c>
      <x:c r="C56" t="str">
        <x:f>IF(A56="","",'Project Control'!R56)</x:f>
      </x:c>
      <x:c r="D56" t="str">
        <x:f>IF(A56="","",'Project Control'!S56)</x:f>
      </x:c>
      <x:c r="E56" t="str">
        <x:f>IF(A56="","",'Project Control'!T56)</x:f>
      </x:c>
      <x:c r="F56" t="str">
        <x:f>IF(A56="","",'Project Control'!C56)</x:f>
      </x:c>
      <x:c r="G56" t="str">
        <x:f>IF(A56="","",'Project Control'!D56)</x:f>
      </x:c>
      <x:c r="H56" t="str">
        <x:f>IF(A56="","",'Project Control'!E56)</x:f>
      </x:c>
      <x:c r="I56" t="str">
        <x:f>IF(A56="","",'Project Control'!F56)</x:f>
      </x:c>
      <x:c r="J56" t="str">
        <x:f>IF(A56="","",'Project Control'!H56)</x:f>
      </x:c>
      <x:c r="K56" t="str">
        <x:f>IF(A56="","",IF(ISNUMBER('Project Control'!I56),'Project Control'!I56,""))</x:f>
      </x:c>
      <x:c r="L56" t="str">
        <x:f>IF(A56="","",'Project Control'!O56)</x:f>
      </x:c>
    </x:row>
    <x:row r="57">
      <x:c r="A57" t="str">
        <x:f>IF('Project Control'!A57="","",'Project Control'!A57)</x:f>
      </x:c>
      <x:c r="B57" t="str">
        <x:f>IF(A57="","",'Project Control'!B57)</x:f>
      </x:c>
      <x:c r="C57" t="str">
        <x:f>IF(A57="","",'Project Control'!R57)</x:f>
      </x:c>
      <x:c r="D57" t="str">
        <x:f>IF(A57="","",'Project Control'!S57)</x:f>
      </x:c>
      <x:c r="E57" t="str">
        <x:f>IF(A57="","",'Project Control'!T57)</x:f>
      </x:c>
      <x:c r="F57" t="str">
        <x:f>IF(A57="","",'Project Control'!C57)</x:f>
      </x:c>
      <x:c r="G57" t="str">
        <x:f>IF(A57="","",'Project Control'!D57)</x:f>
      </x:c>
      <x:c r="H57" t="str">
        <x:f>IF(A57="","",'Project Control'!E57)</x:f>
      </x:c>
      <x:c r="I57" t="str">
        <x:f>IF(A57="","",'Project Control'!F57)</x:f>
      </x:c>
      <x:c r="J57" t="str">
        <x:f>IF(A57="","",'Project Control'!H57)</x:f>
      </x:c>
      <x:c r="K57" t="str">
        <x:f>IF(A57="","",IF(ISNUMBER('Project Control'!I57),'Project Control'!I57,""))</x:f>
      </x:c>
      <x:c r="L57" t="str">
        <x:f>IF(A57="","",'Project Control'!O57)</x:f>
      </x:c>
    </x:row>
    <x:row r="58">
      <x:c r="A58" t="str">
        <x:f>IF('Project Control'!A58="","",'Project Control'!A58)</x:f>
      </x:c>
      <x:c r="B58" t="str">
        <x:f>IF(A58="","",'Project Control'!B58)</x:f>
      </x:c>
      <x:c r="C58" t="str">
        <x:f>IF(A58="","",'Project Control'!R58)</x:f>
      </x:c>
      <x:c r="D58" t="str">
        <x:f>IF(A58="","",'Project Control'!S58)</x:f>
      </x:c>
      <x:c r="E58" t="str">
        <x:f>IF(A58="","",'Project Control'!T58)</x:f>
      </x:c>
      <x:c r="F58" t="str">
        <x:f>IF(A58="","",'Project Control'!C58)</x:f>
      </x:c>
      <x:c r="G58" t="str">
        <x:f>IF(A58="","",'Project Control'!D58)</x:f>
      </x:c>
      <x:c r="H58" t="str">
        <x:f>IF(A58="","",'Project Control'!E58)</x:f>
      </x:c>
      <x:c r="I58" t="str">
        <x:f>IF(A58="","",'Project Control'!F58)</x:f>
      </x:c>
      <x:c r="J58" t="str">
        <x:f>IF(A58="","",'Project Control'!H58)</x:f>
      </x:c>
      <x:c r="K58" t="str">
        <x:f>IF(A58="","",IF(ISNUMBER('Project Control'!I58),'Project Control'!I58,""))</x:f>
      </x:c>
      <x:c r="L58" t="str">
        <x:f>IF(A58="","",'Project Control'!O58)</x:f>
      </x:c>
    </x:row>
    <x:row r="59">
      <x:c r="A59" t="str">
        <x:f>IF('Project Control'!A59="","",'Project Control'!A59)</x:f>
      </x:c>
      <x:c r="B59" t="str">
        <x:f>IF(A59="","",'Project Control'!B59)</x:f>
      </x:c>
      <x:c r="C59" t="str">
        <x:f>IF(A59="","",'Project Control'!R59)</x:f>
      </x:c>
      <x:c r="D59" t="str">
        <x:f>IF(A59="","",'Project Control'!S59)</x:f>
      </x:c>
      <x:c r="E59" t="str">
        <x:f>IF(A59="","",'Project Control'!T59)</x:f>
      </x:c>
      <x:c r="F59" t="str">
        <x:f>IF(A59="","",'Project Control'!C59)</x:f>
      </x:c>
      <x:c r="G59" t="str">
        <x:f>IF(A59="","",'Project Control'!D59)</x:f>
      </x:c>
      <x:c r="H59" t="str">
        <x:f>IF(A59="","",'Project Control'!E59)</x:f>
      </x:c>
      <x:c r="I59" t="str">
        <x:f>IF(A59="","",'Project Control'!F59)</x:f>
      </x:c>
      <x:c r="J59" t="str">
        <x:f>IF(A59="","",'Project Control'!H59)</x:f>
      </x:c>
      <x:c r="K59" t="str">
        <x:f>IF(A59="","",IF(ISNUMBER('Project Control'!I59),'Project Control'!I59,""))</x:f>
      </x:c>
      <x:c r="L59" t="str">
        <x:f>IF(A59="","",'Project Control'!O59)</x:f>
      </x:c>
    </x:row>
    <x:row r="60">
      <x:c r="A60" t="str">
        <x:f>IF('Project Control'!A60="","",'Project Control'!A60)</x:f>
      </x:c>
      <x:c r="B60" t="str">
        <x:f>IF(A60="","",'Project Control'!B60)</x:f>
      </x:c>
      <x:c r="C60" t="str">
        <x:f>IF(A60="","",'Project Control'!R60)</x:f>
      </x:c>
      <x:c r="D60" t="str">
        <x:f>IF(A60="","",'Project Control'!S60)</x:f>
      </x:c>
      <x:c r="E60" t="str">
        <x:f>IF(A60="","",'Project Control'!T60)</x:f>
      </x:c>
      <x:c r="F60" t="str">
        <x:f>IF(A60="","",'Project Control'!C60)</x:f>
      </x:c>
      <x:c r="G60" t="str">
        <x:f>IF(A60="","",'Project Control'!D60)</x:f>
      </x:c>
      <x:c r="H60" t="str">
        <x:f>IF(A60="","",'Project Control'!E60)</x:f>
      </x:c>
      <x:c r="I60" t="str">
        <x:f>IF(A60="","",'Project Control'!F60)</x:f>
      </x:c>
      <x:c r="J60" t="str">
        <x:f>IF(A60="","",'Project Control'!H60)</x:f>
      </x:c>
      <x:c r="K60" t="str">
        <x:f>IF(A60="","",IF(ISNUMBER('Project Control'!I60),'Project Control'!I60,""))</x:f>
      </x:c>
      <x:c r="L60" t="str">
        <x:f>IF(A60="","",'Project Control'!O60)</x:f>
      </x:c>
    </x:row>
    <x:row r="61">
      <x:c r="A61" t="str">
        <x:f>IF('Project Control'!A61="","",'Project Control'!A61)</x:f>
      </x:c>
      <x:c r="B61" t="str">
        <x:f>IF(A61="","",'Project Control'!B61)</x:f>
      </x:c>
      <x:c r="C61" t="str">
        <x:f>IF(A61="","",'Project Control'!R61)</x:f>
      </x:c>
      <x:c r="D61" t="str">
        <x:f>IF(A61="","",'Project Control'!S61)</x:f>
      </x:c>
      <x:c r="E61" t="str">
        <x:f>IF(A61="","",'Project Control'!T61)</x:f>
      </x:c>
      <x:c r="F61" t="str">
        <x:f>IF(A61="","",'Project Control'!C61)</x:f>
      </x:c>
      <x:c r="G61" t="str">
        <x:f>IF(A61="","",'Project Control'!D61)</x:f>
      </x:c>
      <x:c r="H61" t="str">
        <x:f>IF(A61="","",'Project Control'!E61)</x:f>
      </x:c>
      <x:c r="I61" t="str">
        <x:f>IF(A61="","",'Project Control'!F61)</x:f>
      </x:c>
      <x:c r="J61" t="str">
        <x:f>IF(A61="","",'Project Control'!H61)</x:f>
      </x:c>
      <x:c r="K61" t="str">
        <x:f>IF(A61="","",IF(ISNUMBER('Project Control'!I61),'Project Control'!I61,""))</x:f>
      </x:c>
      <x:c r="L61" t="str">
        <x:f>IF(A61="","",'Project Control'!O61)</x:f>
      </x:c>
    </x:row>
    <x:row r="62">
      <x:c r="A62" t="str">
        <x:f>IF('Project Control'!A62="","",'Project Control'!A62)</x:f>
      </x:c>
      <x:c r="B62" t="str">
        <x:f>IF(A62="","",'Project Control'!B62)</x:f>
      </x:c>
      <x:c r="C62" t="str">
        <x:f>IF(A62="","",'Project Control'!R62)</x:f>
      </x:c>
      <x:c r="D62" t="str">
        <x:f>IF(A62="","",'Project Control'!S62)</x:f>
      </x:c>
      <x:c r="E62" t="str">
        <x:f>IF(A62="","",'Project Control'!T62)</x:f>
      </x:c>
      <x:c r="F62" t="str">
        <x:f>IF(A62="","",'Project Control'!C62)</x:f>
      </x:c>
      <x:c r="G62" t="str">
        <x:f>IF(A62="","",'Project Control'!D62)</x:f>
      </x:c>
      <x:c r="H62" t="str">
        <x:f>IF(A62="","",'Project Control'!E62)</x:f>
      </x:c>
      <x:c r="I62" t="str">
        <x:f>IF(A62="","",'Project Control'!F62)</x:f>
      </x:c>
      <x:c r="J62" t="str">
        <x:f>IF(A62="","",'Project Control'!H62)</x:f>
      </x:c>
      <x:c r="K62" t="str">
        <x:f>IF(A62="","",IF(ISNUMBER('Project Control'!I62),'Project Control'!I62,""))</x:f>
      </x:c>
      <x:c r="L62" t="str">
        <x:f>IF(A62="","",'Project Control'!O62)</x:f>
      </x:c>
    </x:row>
    <x:row r="63">
      <x:c r="A63" t="str">
        <x:f>IF('Project Control'!A63="","",'Project Control'!A63)</x:f>
      </x:c>
      <x:c r="B63" t="str">
        <x:f>IF(A63="","",'Project Control'!B63)</x:f>
      </x:c>
      <x:c r="C63" t="str">
        <x:f>IF(A63="","",'Project Control'!R63)</x:f>
      </x:c>
      <x:c r="D63" t="str">
        <x:f>IF(A63="","",'Project Control'!S63)</x:f>
      </x:c>
      <x:c r="E63" t="str">
        <x:f>IF(A63="","",'Project Control'!T63)</x:f>
      </x:c>
      <x:c r="F63" t="str">
        <x:f>IF(A63="","",'Project Control'!C63)</x:f>
      </x:c>
      <x:c r="G63" t="str">
        <x:f>IF(A63="","",'Project Control'!D63)</x:f>
      </x:c>
      <x:c r="H63" t="str">
        <x:f>IF(A63="","",'Project Control'!E63)</x:f>
      </x:c>
      <x:c r="I63" t="str">
        <x:f>IF(A63="","",'Project Control'!F63)</x:f>
      </x:c>
      <x:c r="J63" t="str">
        <x:f>IF(A63="","",'Project Control'!H63)</x:f>
      </x:c>
      <x:c r="K63" t="str">
        <x:f>IF(A63="","",IF(ISNUMBER('Project Control'!I63),'Project Control'!I63,""))</x:f>
      </x:c>
      <x:c r="L63" t="str">
        <x:f>IF(A63="","",'Project Control'!O63)</x:f>
      </x:c>
    </x:row>
    <x:row r="64">
      <x:c r="A64" t="str">
        <x:f>IF('Project Control'!A64="","",'Project Control'!A64)</x:f>
      </x:c>
      <x:c r="B64" t="str">
        <x:f>IF(A64="","",'Project Control'!B64)</x:f>
      </x:c>
      <x:c r="C64" t="str">
        <x:f>IF(A64="","",'Project Control'!R64)</x:f>
      </x:c>
      <x:c r="D64" t="str">
        <x:f>IF(A64="","",'Project Control'!S64)</x:f>
      </x:c>
      <x:c r="E64" t="str">
        <x:f>IF(A64="","",'Project Control'!T64)</x:f>
      </x:c>
      <x:c r="F64" t="str">
        <x:f>IF(A64="","",'Project Control'!C64)</x:f>
      </x:c>
      <x:c r="G64" t="str">
        <x:f>IF(A64="","",'Project Control'!D64)</x:f>
      </x:c>
      <x:c r="H64" t="str">
        <x:f>IF(A64="","",'Project Control'!E64)</x:f>
      </x:c>
      <x:c r="I64" t="str">
        <x:f>IF(A64="","",'Project Control'!F64)</x:f>
      </x:c>
      <x:c r="J64" t="str">
        <x:f>IF(A64="","",'Project Control'!H64)</x:f>
      </x:c>
      <x:c r="K64" t="str">
        <x:f>IF(A64="","",IF(ISNUMBER('Project Control'!I64),'Project Control'!I64,""))</x:f>
      </x:c>
      <x:c r="L64" t="str">
        <x:f>IF(A64="","",'Project Control'!O64)</x:f>
      </x:c>
    </x:row>
    <x:row r="65">
      <x:c r="A65" t="str">
        <x:f>IF('Project Control'!A65="","",'Project Control'!A65)</x:f>
      </x:c>
      <x:c r="B65" t="str">
        <x:f>IF(A65="","",'Project Control'!B65)</x:f>
      </x:c>
      <x:c r="C65" t="str">
        <x:f>IF(A65="","",'Project Control'!R65)</x:f>
      </x:c>
      <x:c r="D65" t="str">
        <x:f>IF(A65="","",'Project Control'!S65)</x:f>
      </x:c>
      <x:c r="E65" t="str">
        <x:f>IF(A65="","",'Project Control'!T65)</x:f>
      </x:c>
      <x:c r="F65" t="str">
        <x:f>IF(A65="","",'Project Control'!C65)</x:f>
      </x:c>
      <x:c r="G65" t="str">
        <x:f>IF(A65="","",'Project Control'!D65)</x:f>
      </x:c>
      <x:c r="H65" t="str">
        <x:f>IF(A65="","",'Project Control'!E65)</x:f>
      </x:c>
      <x:c r="I65" t="str">
        <x:f>IF(A65="","",'Project Control'!F65)</x:f>
      </x:c>
      <x:c r="J65" t="str">
        <x:f>IF(A65="","",'Project Control'!H65)</x:f>
      </x:c>
      <x:c r="K65" t="str">
        <x:f>IF(A65="","",IF(ISNUMBER('Project Control'!I65),'Project Control'!I65,""))</x:f>
      </x:c>
      <x:c r="L65" t="str">
        <x:f>IF(A65="","",'Project Control'!O65)</x:f>
      </x:c>
    </x:row>
    <x:row r="66">
      <x:c r="A66" t="str">
        <x:f>IF('Project Control'!A66="","",'Project Control'!A66)</x:f>
      </x:c>
      <x:c r="B66" t="str">
        <x:f>IF(A66="","",'Project Control'!B66)</x:f>
      </x:c>
      <x:c r="C66" t="str">
        <x:f>IF(A66="","",'Project Control'!R66)</x:f>
      </x:c>
      <x:c r="D66" t="str">
        <x:f>IF(A66="","",'Project Control'!S66)</x:f>
      </x:c>
      <x:c r="E66" t="str">
        <x:f>IF(A66="","",'Project Control'!T66)</x:f>
      </x:c>
      <x:c r="F66" t="str">
        <x:f>IF(A66="","",'Project Control'!C66)</x:f>
      </x:c>
      <x:c r="G66" t="str">
        <x:f>IF(A66="","",'Project Control'!D66)</x:f>
      </x:c>
      <x:c r="H66" t="str">
        <x:f>IF(A66="","",'Project Control'!E66)</x:f>
      </x:c>
      <x:c r="I66" t="str">
        <x:f>IF(A66="","",'Project Control'!F66)</x:f>
      </x:c>
      <x:c r="J66" t="str">
        <x:f>IF(A66="","",'Project Control'!H66)</x:f>
      </x:c>
      <x:c r="K66" t="str">
        <x:f>IF(A66="","",IF(ISNUMBER('Project Control'!I66),'Project Control'!I66,""))</x:f>
      </x:c>
      <x:c r="L66" t="str">
        <x:f>IF(A66="","",'Project Control'!O66)</x:f>
      </x:c>
    </x:row>
    <x:row r="67">
      <x:c r="A67" t="str">
        <x:f>IF('Project Control'!A67="","",'Project Control'!A67)</x:f>
      </x:c>
      <x:c r="B67" t="str">
        <x:f>IF(A67="","",'Project Control'!B67)</x:f>
      </x:c>
      <x:c r="C67" t="str">
        <x:f>IF(A67="","",'Project Control'!R67)</x:f>
      </x:c>
      <x:c r="D67" t="str">
        <x:f>IF(A67="","",'Project Control'!S67)</x:f>
      </x:c>
      <x:c r="E67" t="str">
        <x:f>IF(A67="","",'Project Control'!T67)</x:f>
      </x:c>
      <x:c r="F67" t="str">
        <x:f>IF(A67="","",'Project Control'!C67)</x:f>
      </x:c>
      <x:c r="G67" t="str">
        <x:f>IF(A67="","",'Project Control'!D67)</x:f>
      </x:c>
      <x:c r="H67" t="str">
        <x:f>IF(A67="","",'Project Control'!E67)</x:f>
      </x:c>
      <x:c r="I67" t="str">
        <x:f>IF(A67="","",'Project Control'!F67)</x:f>
      </x:c>
      <x:c r="J67" t="str">
        <x:f>IF(A67="","",'Project Control'!H67)</x:f>
      </x:c>
      <x:c r="K67" t="str">
        <x:f>IF(A67="","",IF(ISNUMBER('Project Control'!I67),'Project Control'!I67,""))</x:f>
      </x:c>
      <x:c r="L67" t="str">
        <x:f>IF(A67="","",'Project Control'!O67)</x:f>
      </x:c>
    </x:row>
    <x:row r="68">
      <x:c r="A68" t="str">
        <x:f>IF('Project Control'!A68="","",'Project Control'!A68)</x:f>
      </x:c>
      <x:c r="B68" t="str">
        <x:f>IF(A68="","",'Project Control'!B68)</x:f>
      </x:c>
      <x:c r="C68" t="str">
        <x:f>IF(A68="","",'Project Control'!R68)</x:f>
      </x:c>
      <x:c r="D68" t="str">
        <x:f>IF(A68="","",'Project Control'!S68)</x:f>
      </x:c>
      <x:c r="E68" t="str">
        <x:f>IF(A68="","",'Project Control'!T68)</x:f>
      </x:c>
      <x:c r="F68" t="str">
        <x:f>IF(A68="","",'Project Control'!C68)</x:f>
      </x:c>
      <x:c r="G68" t="str">
        <x:f>IF(A68="","",'Project Control'!D68)</x:f>
      </x:c>
      <x:c r="H68" t="str">
        <x:f>IF(A68="","",'Project Control'!E68)</x:f>
      </x:c>
      <x:c r="I68" t="str">
        <x:f>IF(A68="","",'Project Control'!F68)</x:f>
      </x:c>
      <x:c r="J68" t="str">
        <x:f>IF(A68="","",'Project Control'!H68)</x:f>
      </x:c>
      <x:c r="K68" t="str">
        <x:f>IF(A68="","",IF(ISNUMBER('Project Control'!I68),'Project Control'!I68,""))</x:f>
      </x:c>
      <x:c r="L68" t="str">
        <x:f>IF(A68="","",'Project Control'!O68)</x:f>
      </x:c>
    </x:row>
    <x:row r="69">
      <x:c r="A69" t="str">
        <x:f>IF('Project Control'!A69="","",'Project Control'!A69)</x:f>
      </x:c>
      <x:c r="B69" t="str">
        <x:f>IF(A69="","",'Project Control'!B69)</x:f>
      </x:c>
      <x:c r="C69" t="str">
        <x:f>IF(A69="","",'Project Control'!R69)</x:f>
      </x:c>
      <x:c r="D69" t="str">
        <x:f>IF(A69="","",'Project Control'!S69)</x:f>
      </x:c>
      <x:c r="E69" t="str">
        <x:f>IF(A69="","",'Project Control'!T69)</x:f>
      </x:c>
      <x:c r="F69" t="str">
        <x:f>IF(A69="","",'Project Control'!C69)</x:f>
      </x:c>
      <x:c r="G69" t="str">
        <x:f>IF(A69="","",'Project Control'!D69)</x:f>
      </x:c>
      <x:c r="H69" t="str">
        <x:f>IF(A69="","",'Project Control'!E69)</x:f>
      </x:c>
      <x:c r="I69" t="str">
        <x:f>IF(A69="","",'Project Control'!F69)</x:f>
      </x:c>
      <x:c r="J69" t="str">
        <x:f>IF(A69="","",'Project Control'!H69)</x:f>
      </x:c>
      <x:c r="K69" t="str">
        <x:f>IF(A69="","",IF(ISNUMBER('Project Control'!I69),'Project Control'!I69,""))</x:f>
      </x:c>
      <x:c r="L69" t="str">
        <x:f>IF(A69="","",'Project Control'!O69)</x:f>
      </x:c>
    </x:row>
    <x:row r="70">
      <x:c r="A70" t="str">
        <x:f>IF('Project Control'!A70="","",'Project Control'!A70)</x:f>
      </x:c>
      <x:c r="B70" t="str">
        <x:f>IF(A70="","",'Project Control'!B70)</x:f>
      </x:c>
      <x:c r="C70" t="str">
        <x:f>IF(A70="","",'Project Control'!R70)</x:f>
      </x:c>
      <x:c r="D70" t="str">
        <x:f>IF(A70="","",'Project Control'!S70)</x:f>
      </x:c>
      <x:c r="E70" t="str">
        <x:f>IF(A70="","",'Project Control'!T70)</x:f>
      </x:c>
      <x:c r="F70" t="str">
        <x:f>IF(A70="","",'Project Control'!C70)</x:f>
      </x:c>
      <x:c r="G70" t="str">
        <x:f>IF(A70="","",'Project Control'!D70)</x:f>
      </x:c>
      <x:c r="H70" t="str">
        <x:f>IF(A70="","",'Project Control'!E70)</x:f>
      </x:c>
      <x:c r="I70" t="str">
        <x:f>IF(A70="","",'Project Control'!F70)</x:f>
      </x:c>
      <x:c r="J70" t="str">
        <x:f>IF(A70="","",'Project Control'!H70)</x:f>
      </x:c>
      <x:c r="K70" t="str">
        <x:f>IF(A70="","",IF(ISNUMBER('Project Control'!I70),'Project Control'!I70,""))</x:f>
      </x:c>
      <x:c r="L70" t="str">
        <x:f>IF(A70="","",'Project Control'!O70)</x:f>
      </x:c>
    </x:row>
    <x:row r="71">
      <x:c r="A71" t="str">
        <x:f>IF('Project Control'!A71="","",'Project Control'!A71)</x:f>
      </x:c>
      <x:c r="B71" t="str">
        <x:f>IF(A71="","",'Project Control'!B71)</x:f>
      </x:c>
      <x:c r="C71" t="str">
        <x:f>IF(A71="","",'Project Control'!R71)</x:f>
      </x:c>
      <x:c r="D71" t="str">
        <x:f>IF(A71="","",'Project Control'!S71)</x:f>
      </x:c>
      <x:c r="E71" t="str">
        <x:f>IF(A71="","",'Project Control'!T71)</x:f>
      </x:c>
      <x:c r="F71" t="str">
        <x:f>IF(A71="","",'Project Control'!C71)</x:f>
      </x:c>
      <x:c r="G71" t="str">
        <x:f>IF(A71="","",'Project Control'!D71)</x:f>
      </x:c>
      <x:c r="H71" t="str">
        <x:f>IF(A71="","",'Project Control'!E71)</x:f>
      </x:c>
      <x:c r="I71" t="str">
        <x:f>IF(A71="","",'Project Control'!F71)</x:f>
      </x:c>
      <x:c r="J71" t="str">
        <x:f>IF(A71="","",'Project Control'!H71)</x:f>
      </x:c>
      <x:c r="K71" t="str">
        <x:f>IF(A71="","",IF(ISNUMBER('Project Control'!I71),'Project Control'!I71,""))</x:f>
      </x:c>
      <x:c r="L71" t="str">
        <x:f>IF(A71="","",'Project Control'!O71)</x:f>
      </x:c>
    </x:row>
    <x:row r="72">
      <x:c r="A72" t="str">
        <x:f>IF('Project Control'!A72="","",'Project Control'!A72)</x:f>
      </x:c>
      <x:c r="B72" t="str">
        <x:f>IF(A72="","",'Project Control'!B72)</x:f>
      </x:c>
      <x:c r="C72" t="str">
        <x:f>IF(A72="","",'Project Control'!R72)</x:f>
      </x:c>
      <x:c r="D72" t="str">
        <x:f>IF(A72="","",'Project Control'!S72)</x:f>
      </x:c>
      <x:c r="E72" t="str">
        <x:f>IF(A72="","",'Project Control'!T72)</x:f>
      </x:c>
      <x:c r="F72" t="str">
        <x:f>IF(A72="","",'Project Control'!C72)</x:f>
      </x:c>
      <x:c r="G72" t="str">
        <x:f>IF(A72="","",'Project Control'!D72)</x:f>
      </x:c>
      <x:c r="H72" t="str">
        <x:f>IF(A72="","",'Project Control'!E72)</x:f>
      </x:c>
      <x:c r="I72" t="str">
        <x:f>IF(A72="","",'Project Control'!F72)</x:f>
      </x:c>
      <x:c r="J72" t="str">
        <x:f>IF(A72="","",'Project Control'!H72)</x:f>
      </x:c>
      <x:c r="K72" t="str">
        <x:f>IF(A72="","",IF(ISNUMBER('Project Control'!I72),'Project Control'!I72,""))</x:f>
      </x:c>
      <x:c r="L72" t="str">
        <x:f>IF(A72="","",'Project Control'!O72)</x:f>
      </x:c>
    </x:row>
    <x:row r="73">
      <x:c r="A73" t="str">
        <x:f>IF('Project Control'!A73="","",'Project Control'!A73)</x:f>
      </x:c>
      <x:c r="B73" t="str">
        <x:f>IF(A73="","",'Project Control'!B73)</x:f>
      </x:c>
      <x:c r="C73" t="str">
        <x:f>IF(A73="","",'Project Control'!R73)</x:f>
      </x:c>
      <x:c r="D73" t="str">
        <x:f>IF(A73="","",'Project Control'!S73)</x:f>
      </x:c>
      <x:c r="E73" t="str">
        <x:f>IF(A73="","",'Project Control'!T73)</x:f>
      </x:c>
      <x:c r="F73" t="str">
        <x:f>IF(A73="","",'Project Control'!C73)</x:f>
      </x:c>
      <x:c r="G73" t="str">
        <x:f>IF(A73="","",'Project Control'!D73)</x:f>
      </x:c>
      <x:c r="H73" t="str">
        <x:f>IF(A73="","",'Project Control'!E73)</x:f>
      </x:c>
      <x:c r="I73" t="str">
        <x:f>IF(A73="","",'Project Control'!F73)</x:f>
      </x:c>
      <x:c r="J73" t="str">
        <x:f>IF(A73="","",'Project Control'!H73)</x:f>
      </x:c>
      <x:c r="K73" t="str">
        <x:f>IF(A73="","",IF(ISNUMBER('Project Control'!I73),'Project Control'!I73,""))</x:f>
      </x:c>
      <x:c r="L73" t="str">
        <x:f>IF(A73="","",'Project Control'!O73)</x:f>
      </x:c>
    </x:row>
    <x:row r="74">
      <x:c r="A74" t="str">
        <x:f>IF('Project Control'!A74="","",'Project Control'!A74)</x:f>
      </x:c>
      <x:c r="B74" t="str">
        <x:f>IF(A74="","",'Project Control'!B74)</x:f>
      </x:c>
      <x:c r="C74" t="str">
        <x:f>IF(A74="","",'Project Control'!R74)</x:f>
      </x:c>
      <x:c r="D74" t="str">
        <x:f>IF(A74="","",'Project Control'!S74)</x:f>
      </x:c>
      <x:c r="E74" t="str">
        <x:f>IF(A74="","",'Project Control'!T74)</x:f>
      </x:c>
      <x:c r="F74" t="str">
        <x:f>IF(A74="","",'Project Control'!C74)</x:f>
      </x:c>
      <x:c r="G74" t="str">
        <x:f>IF(A74="","",'Project Control'!D74)</x:f>
      </x:c>
      <x:c r="H74" t="str">
        <x:f>IF(A74="","",'Project Control'!E74)</x:f>
      </x:c>
      <x:c r="I74" t="str">
        <x:f>IF(A74="","",'Project Control'!F74)</x:f>
      </x:c>
      <x:c r="J74" t="str">
        <x:f>IF(A74="","",'Project Control'!H74)</x:f>
      </x:c>
      <x:c r="K74" t="str">
        <x:f>IF(A74="","",IF(ISNUMBER('Project Control'!I74),'Project Control'!I74,""))</x:f>
      </x:c>
      <x:c r="L74" t="str">
        <x:f>IF(A74="","",'Project Control'!O74)</x:f>
      </x:c>
    </x:row>
    <x:row r="75">
      <x:c r="A75" t="str">
        <x:f>IF('Project Control'!A75="","",'Project Control'!A75)</x:f>
      </x:c>
      <x:c r="B75" t="str">
        <x:f>IF(A75="","",'Project Control'!B75)</x:f>
      </x:c>
      <x:c r="C75" t="str">
        <x:f>IF(A75="","",'Project Control'!R75)</x:f>
      </x:c>
      <x:c r="D75" t="str">
        <x:f>IF(A75="","",'Project Control'!S75)</x:f>
      </x:c>
      <x:c r="E75" t="str">
        <x:f>IF(A75="","",'Project Control'!T75)</x:f>
      </x:c>
      <x:c r="F75" t="str">
        <x:f>IF(A75="","",'Project Control'!C75)</x:f>
      </x:c>
      <x:c r="G75" t="str">
        <x:f>IF(A75="","",'Project Control'!D75)</x:f>
      </x:c>
      <x:c r="H75" t="str">
        <x:f>IF(A75="","",'Project Control'!E75)</x:f>
      </x:c>
      <x:c r="I75" t="str">
        <x:f>IF(A75="","",'Project Control'!F75)</x:f>
      </x:c>
      <x:c r="J75" t="str">
        <x:f>IF(A75="","",'Project Control'!H75)</x:f>
      </x:c>
      <x:c r="K75" t="str">
        <x:f>IF(A75="","",IF(ISNUMBER('Project Control'!I75),'Project Control'!I75,""))</x:f>
      </x:c>
      <x:c r="L75" t="str">
        <x:f>IF(A75="","",'Project Control'!O75)</x:f>
      </x:c>
    </x:row>
    <x:row r="76">
      <x:c r="A76" t="str">
        <x:f>IF('Project Control'!A76="","",'Project Control'!A76)</x:f>
      </x:c>
      <x:c r="B76" t="str">
        <x:f>IF(A76="","",'Project Control'!B76)</x:f>
      </x:c>
      <x:c r="C76" t="str">
        <x:f>IF(A76="","",'Project Control'!R76)</x:f>
      </x:c>
      <x:c r="D76" t="str">
        <x:f>IF(A76="","",'Project Control'!S76)</x:f>
      </x:c>
      <x:c r="E76" t="str">
        <x:f>IF(A76="","",'Project Control'!T76)</x:f>
      </x:c>
      <x:c r="F76" t="str">
        <x:f>IF(A76="","",'Project Control'!C76)</x:f>
      </x:c>
      <x:c r="G76" t="str">
        <x:f>IF(A76="","",'Project Control'!D76)</x:f>
      </x:c>
      <x:c r="H76" t="str">
        <x:f>IF(A76="","",'Project Control'!E76)</x:f>
      </x:c>
      <x:c r="I76" t="str">
        <x:f>IF(A76="","",'Project Control'!F76)</x:f>
      </x:c>
      <x:c r="J76" t="str">
        <x:f>IF(A76="","",'Project Control'!H76)</x:f>
      </x:c>
      <x:c r="K76" t="str">
        <x:f>IF(A76="","",IF(ISNUMBER('Project Control'!I76),'Project Control'!I76,""))</x:f>
      </x:c>
      <x:c r="L76" t="str">
        <x:f>IF(A76="","",'Project Control'!O76)</x:f>
      </x:c>
    </x:row>
    <x:row r="77">
      <x:c r="A77" t="str">
        <x:f>IF('Project Control'!A77="","",'Project Control'!A77)</x:f>
      </x:c>
      <x:c r="B77" t="str">
        <x:f>IF(A77="","",'Project Control'!B77)</x:f>
      </x:c>
      <x:c r="C77" t="str">
        <x:f>IF(A77="","",'Project Control'!R77)</x:f>
      </x:c>
      <x:c r="D77" t="str">
        <x:f>IF(A77="","",'Project Control'!S77)</x:f>
      </x:c>
      <x:c r="E77" t="str">
        <x:f>IF(A77="","",'Project Control'!T77)</x:f>
      </x:c>
      <x:c r="F77" t="str">
        <x:f>IF(A77="","",'Project Control'!C77)</x:f>
      </x:c>
      <x:c r="G77" t="str">
        <x:f>IF(A77="","",'Project Control'!D77)</x:f>
      </x:c>
      <x:c r="H77" t="str">
        <x:f>IF(A77="","",'Project Control'!E77)</x:f>
      </x:c>
      <x:c r="I77" t="str">
        <x:f>IF(A77="","",'Project Control'!F77)</x:f>
      </x:c>
      <x:c r="J77" t="str">
        <x:f>IF(A77="","",'Project Control'!H77)</x:f>
      </x:c>
      <x:c r="K77" t="str">
        <x:f>IF(A77="","",IF(ISNUMBER('Project Control'!I77),'Project Control'!I77,""))</x:f>
      </x:c>
      <x:c r="L77" t="str">
        <x:f>IF(A77="","",'Project Control'!O77)</x:f>
      </x:c>
    </x:row>
    <x:row r="78">
      <x:c r="A78" t="str">
        <x:f>IF('Project Control'!A78="","",'Project Control'!A78)</x:f>
      </x:c>
      <x:c r="B78" t="str">
        <x:f>IF(A78="","",'Project Control'!B78)</x:f>
      </x:c>
      <x:c r="C78" t="str">
        <x:f>IF(A78="","",'Project Control'!R78)</x:f>
      </x:c>
      <x:c r="D78" t="str">
        <x:f>IF(A78="","",'Project Control'!S78)</x:f>
      </x:c>
      <x:c r="E78" t="str">
        <x:f>IF(A78="","",'Project Control'!T78)</x:f>
      </x:c>
      <x:c r="F78" t="str">
        <x:f>IF(A78="","",'Project Control'!C78)</x:f>
      </x:c>
      <x:c r="G78" t="str">
        <x:f>IF(A78="","",'Project Control'!D78)</x:f>
      </x:c>
      <x:c r="H78" t="str">
        <x:f>IF(A78="","",'Project Control'!E78)</x:f>
      </x:c>
      <x:c r="I78" t="str">
        <x:f>IF(A78="","",'Project Control'!F78)</x:f>
      </x:c>
      <x:c r="J78" t="str">
        <x:f>IF(A78="","",'Project Control'!H78)</x:f>
      </x:c>
      <x:c r="K78" t="str">
        <x:f>IF(A78="","",IF(ISNUMBER('Project Control'!I78),'Project Control'!I78,""))</x:f>
      </x:c>
      <x:c r="L78" t="str">
        <x:f>IF(A78="","",'Project Control'!O78)</x:f>
      </x:c>
    </x:row>
    <x:row r="79">
      <x:c r="A79" t="str">
        <x:f>IF('Project Control'!A79="","",'Project Control'!A79)</x:f>
      </x:c>
      <x:c r="B79" t="str">
        <x:f>IF(A79="","",'Project Control'!B79)</x:f>
      </x:c>
      <x:c r="C79" t="str">
        <x:f>IF(A79="","",'Project Control'!R79)</x:f>
      </x:c>
      <x:c r="D79" t="str">
        <x:f>IF(A79="","",'Project Control'!S79)</x:f>
      </x:c>
      <x:c r="E79" t="str">
        <x:f>IF(A79="","",'Project Control'!T79)</x:f>
      </x:c>
      <x:c r="F79" t="str">
        <x:f>IF(A79="","",'Project Control'!C79)</x:f>
      </x:c>
      <x:c r="G79" t="str">
        <x:f>IF(A79="","",'Project Control'!D79)</x:f>
      </x:c>
      <x:c r="H79" t="str">
        <x:f>IF(A79="","",'Project Control'!E79)</x:f>
      </x:c>
      <x:c r="I79" t="str">
        <x:f>IF(A79="","",'Project Control'!F79)</x:f>
      </x:c>
      <x:c r="J79" t="str">
        <x:f>IF(A79="","",'Project Control'!H79)</x:f>
      </x:c>
      <x:c r="K79" t="str">
        <x:f>IF(A79="","",IF(ISNUMBER('Project Control'!I79),'Project Control'!I79,""))</x:f>
      </x:c>
      <x:c r="L79" t="str">
        <x:f>IF(A79="","",'Project Control'!O79)</x:f>
      </x:c>
    </x:row>
    <x:row r="80">
      <x:c r="A80" t="str">
        <x:f>IF('Project Control'!A80="","",'Project Control'!A80)</x:f>
      </x:c>
      <x:c r="B80" t="str">
        <x:f>IF(A80="","",'Project Control'!B80)</x:f>
      </x:c>
      <x:c r="C80" t="str">
        <x:f>IF(A80="","",'Project Control'!R80)</x:f>
      </x:c>
      <x:c r="D80" t="str">
        <x:f>IF(A80="","",'Project Control'!S80)</x:f>
      </x:c>
      <x:c r="E80" t="str">
        <x:f>IF(A80="","",'Project Control'!T80)</x:f>
      </x:c>
      <x:c r="F80" t="str">
        <x:f>IF(A80="","",'Project Control'!C80)</x:f>
      </x:c>
      <x:c r="G80" t="str">
        <x:f>IF(A80="","",'Project Control'!D80)</x:f>
      </x:c>
      <x:c r="H80" t="str">
        <x:f>IF(A80="","",'Project Control'!E80)</x:f>
      </x:c>
      <x:c r="I80" t="str">
        <x:f>IF(A80="","",'Project Control'!F80)</x:f>
      </x:c>
      <x:c r="J80" t="str">
        <x:f>IF(A80="","",'Project Control'!H80)</x:f>
      </x:c>
      <x:c r="K80" t="str">
        <x:f>IF(A80="","",IF(ISNUMBER('Project Control'!I80),'Project Control'!I80,""))</x:f>
      </x:c>
      <x:c r="L80" t="str">
        <x:f>IF(A80="","",'Project Control'!O80)</x:f>
      </x:c>
    </x:row>
    <x:row r="81">
      <x:c r="A81" t="str">
        <x:f>IF('Project Control'!A81="","",'Project Control'!A81)</x:f>
      </x:c>
      <x:c r="B81" t="str">
        <x:f>IF(A81="","",'Project Control'!B81)</x:f>
      </x:c>
      <x:c r="C81" t="str">
        <x:f>IF(A81="","",'Project Control'!R81)</x:f>
      </x:c>
      <x:c r="D81" t="str">
        <x:f>IF(A81="","",'Project Control'!S81)</x:f>
      </x:c>
      <x:c r="E81" t="str">
        <x:f>IF(A81="","",'Project Control'!T81)</x:f>
      </x:c>
      <x:c r="F81" t="str">
        <x:f>IF(A81="","",'Project Control'!C81)</x:f>
      </x:c>
      <x:c r="G81" t="str">
        <x:f>IF(A81="","",'Project Control'!D81)</x:f>
      </x:c>
      <x:c r="H81" t="str">
        <x:f>IF(A81="","",'Project Control'!E81)</x:f>
      </x:c>
      <x:c r="I81" t="str">
        <x:f>IF(A81="","",'Project Control'!F81)</x:f>
      </x:c>
      <x:c r="J81" t="str">
        <x:f>IF(A81="","",'Project Control'!H81)</x:f>
      </x:c>
      <x:c r="K81" t="str">
        <x:f>IF(A81="","",IF(ISNUMBER('Project Control'!I81),'Project Control'!I81,""))</x:f>
      </x:c>
      <x:c r="L81" t="str">
        <x:f>IF(A81="","",'Project Control'!O81)</x:f>
      </x:c>
    </x:row>
    <x:row r="82">
      <x:c r="A82" t="str">
        <x:f>IF('Project Control'!A82="","",'Project Control'!A82)</x:f>
      </x:c>
      <x:c r="B82" t="str">
        <x:f>IF(A82="","",'Project Control'!B82)</x:f>
      </x:c>
      <x:c r="C82" t="str">
        <x:f>IF(A82="","",'Project Control'!R82)</x:f>
      </x:c>
      <x:c r="D82" t="str">
        <x:f>IF(A82="","",'Project Control'!S82)</x:f>
      </x:c>
      <x:c r="E82" t="str">
        <x:f>IF(A82="","",'Project Control'!T82)</x:f>
      </x:c>
      <x:c r="F82" t="str">
        <x:f>IF(A82="","",'Project Control'!C82)</x:f>
      </x:c>
      <x:c r="G82" t="str">
        <x:f>IF(A82="","",'Project Control'!D82)</x:f>
      </x:c>
      <x:c r="H82" t="str">
        <x:f>IF(A82="","",'Project Control'!E82)</x:f>
      </x:c>
      <x:c r="I82" t="str">
        <x:f>IF(A82="","",'Project Control'!F82)</x:f>
      </x:c>
      <x:c r="J82" t="str">
        <x:f>IF(A82="","",'Project Control'!H82)</x:f>
      </x:c>
      <x:c r="K82" t="str">
        <x:f>IF(A82="","",IF(ISNUMBER('Project Control'!I82),'Project Control'!I82,""))</x:f>
      </x:c>
      <x:c r="L82" t="str">
        <x:f>IF(A82="","",'Project Control'!O82)</x:f>
      </x:c>
    </x:row>
    <x:row r="83">
      <x:c r="A83" t="str">
        <x:f>IF('Project Control'!A83="","",'Project Control'!A83)</x:f>
      </x:c>
      <x:c r="B83" t="str">
        <x:f>IF(A83="","",'Project Control'!B83)</x:f>
      </x:c>
      <x:c r="C83" t="str">
        <x:f>IF(A83="","",'Project Control'!R83)</x:f>
      </x:c>
      <x:c r="D83" t="str">
        <x:f>IF(A83="","",'Project Control'!S83)</x:f>
      </x:c>
      <x:c r="E83" t="str">
        <x:f>IF(A83="","",'Project Control'!T83)</x:f>
      </x:c>
      <x:c r="F83" t="str">
        <x:f>IF(A83="","",'Project Control'!C83)</x:f>
      </x:c>
      <x:c r="G83" t="str">
        <x:f>IF(A83="","",'Project Control'!D83)</x:f>
      </x:c>
      <x:c r="H83" t="str">
        <x:f>IF(A83="","",'Project Control'!E83)</x:f>
      </x:c>
      <x:c r="I83" t="str">
        <x:f>IF(A83="","",'Project Control'!F83)</x:f>
      </x:c>
      <x:c r="J83" t="str">
        <x:f>IF(A83="","",'Project Control'!H83)</x:f>
      </x:c>
      <x:c r="K83" t="str">
        <x:f>IF(A83="","",IF(ISNUMBER('Project Control'!I83),'Project Control'!I83,""))</x:f>
      </x:c>
      <x:c r="L83" t="str">
        <x:f>IF(A83="","",'Project Control'!O83)</x:f>
      </x:c>
    </x:row>
    <x:row r="84">
      <x:c r="A84" t="str">
        <x:f>IF('Project Control'!A84="","",'Project Control'!A84)</x:f>
      </x:c>
      <x:c r="B84" t="str">
        <x:f>IF(A84="","",'Project Control'!B84)</x:f>
      </x:c>
      <x:c r="C84" t="str">
        <x:f>IF(A84="","",'Project Control'!R84)</x:f>
      </x:c>
      <x:c r="D84" t="str">
        <x:f>IF(A84="","",'Project Control'!S84)</x:f>
      </x:c>
      <x:c r="E84" t="str">
        <x:f>IF(A84="","",'Project Control'!T84)</x:f>
      </x:c>
      <x:c r="F84" t="str">
        <x:f>IF(A84="","",'Project Control'!C84)</x:f>
      </x:c>
      <x:c r="G84" t="str">
        <x:f>IF(A84="","",'Project Control'!D84)</x:f>
      </x:c>
      <x:c r="H84" t="str">
        <x:f>IF(A84="","",'Project Control'!E84)</x:f>
      </x:c>
      <x:c r="I84" t="str">
        <x:f>IF(A84="","",'Project Control'!F84)</x:f>
      </x:c>
      <x:c r="J84" t="str">
        <x:f>IF(A84="","",'Project Control'!H84)</x:f>
      </x:c>
      <x:c r="K84" t="str">
        <x:f>IF(A84="","",IF(ISNUMBER('Project Control'!I84),'Project Control'!I84,""))</x:f>
      </x:c>
      <x:c r="L84" t="str">
        <x:f>IF(A84="","",'Project Control'!O84)</x:f>
      </x:c>
    </x:row>
    <x:row r="85">
      <x:c r="A85" t="str">
        <x:f>IF('Project Control'!A85="","",'Project Control'!A85)</x:f>
      </x:c>
      <x:c r="B85" t="str">
        <x:f>IF(A85="","",'Project Control'!B85)</x:f>
      </x:c>
      <x:c r="C85" t="str">
        <x:f>IF(A85="","",'Project Control'!R85)</x:f>
      </x:c>
      <x:c r="D85" t="str">
        <x:f>IF(A85="","",'Project Control'!S85)</x:f>
      </x:c>
      <x:c r="E85" t="str">
        <x:f>IF(A85="","",'Project Control'!T85)</x:f>
      </x:c>
      <x:c r="F85" t="str">
        <x:f>IF(A85="","",'Project Control'!C85)</x:f>
      </x:c>
      <x:c r="G85" t="str">
        <x:f>IF(A85="","",'Project Control'!D85)</x:f>
      </x:c>
      <x:c r="H85" t="str">
        <x:f>IF(A85="","",'Project Control'!E85)</x:f>
      </x:c>
      <x:c r="I85" t="str">
        <x:f>IF(A85="","",'Project Control'!F85)</x:f>
      </x:c>
      <x:c r="J85" t="str">
        <x:f>IF(A85="","",'Project Control'!H85)</x:f>
      </x:c>
      <x:c r="K85" t="str">
        <x:f>IF(A85="","",IF(ISNUMBER('Project Control'!I85),'Project Control'!I85,""))</x:f>
      </x:c>
      <x:c r="L85" t="str">
        <x:f>IF(A85="","",'Project Control'!O85)</x:f>
      </x:c>
    </x:row>
    <x:row r="86">
      <x:c r="A86" t="str">
        <x:f>IF('Project Control'!A86="","",'Project Control'!A86)</x:f>
      </x:c>
      <x:c r="B86" t="str">
        <x:f>IF(A86="","",'Project Control'!B86)</x:f>
      </x:c>
      <x:c r="C86" t="str">
        <x:f>IF(A86="","",'Project Control'!R86)</x:f>
      </x:c>
      <x:c r="D86" t="str">
        <x:f>IF(A86="","",'Project Control'!S86)</x:f>
      </x:c>
      <x:c r="E86" t="str">
        <x:f>IF(A86="","",'Project Control'!T86)</x:f>
      </x:c>
      <x:c r="F86" t="str">
        <x:f>IF(A86="","",'Project Control'!C86)</x:f>
      </x:c>
      <x:c r="G86" t="str">
        <x:f>IF(A86="","",'Project Control'!D86)</x:f>
      </x:c>
      <x:c r="H86" t="str">
        <x:f>IF(A86="","",'Project Control'!E86)</x:f>
      </x:c>
      <x:c r="I86" t="str">
        <x:f>IF(A86="","",'Project Control'!F86)</x:f>
      </x:c>
      <x:c r="J86" t="str">
        <x:f>IF(A86="","",'Project Control'!H86)</x:f>
      </x:c>
      <x:c r="K86" t="str">
        <x:f>IF(A86="","",IF(ISNUMBER('Project Control'!I86),'Project Control'!I86,""))</x:f>
      </x:c>
      <x:c r="L86" t="str">
        <x:f>IF(A86="","",'Project Control'!O86)</x:f>
      </x:c>
    </x:row>
    <x:row r="87">
      <x:c r="A87" t="str">
        <x:f>IF('Project Control'!A87="","",'Project Control'!A87)</x:f>
      </x:c>
      <x:c r="B87" t="str">
        <x:f>IF(A87="","",'Project Control'!B87)</x:f>
      </x:c>
      <x:c r="C87" t="str">
        <x:f>IF(A87="","",'Project Control'!R87)</x:f>
      </x:c>
      <x:c r="D87" t="str">
        <x:f>IF(A87="","",'Project Control'!S87)</x:f>
      </x:c>
      <x:c r="E87" t="str">
        <x:f>IF(A87="","",'Project Control'!T87)</x:f>
      </x:c>
      <x:c r="F87" t="str">
        <x:f>IF(A87="","",'Project Control'!C87)</x:f>
      </x:c>
      <x:c r="G87" t="str">
        <x:f>IF(A87="","",'Project Control'!D87)</x:f>
      </x:c>
      <x:c r="H87" t="str">
        <x:f>IF(A87="","",'Project Control'!E87)</x:f>
      </x:c>
      <x:c r="I87" t="str">
        <x:f>IF(A87="","",'Project Control'!F87)</x:f>
      </x:c>
      <x:c r="J87" t="str">
        <x:f>IF(A87="","",'Project Control'!H87)</x:f>
      </x:c>
      <x:c r="K87" t="str">
        <x:f>IF(A87="","",IF(ISNUMBER('Project Control'!I87),'Project Control'!I87,""))</x:f>
      </x:c>
      <x:c r="L87" t="str">
        <x:f>IF(A87="","",'Project Control'!O87)</x:f>
      </x:c>
    </x:row>
    <x:row r="88">
      <x:c r="A88" t="str">
        <x:f>IF('Project Control'!A88="","",'Project Control'!A88)</x:f>
      </x:c>
      <x:c r="B88" t="str">
        <x:f>IF(A88="","",'Project Control'!B88)</x:f>
      </x:c>
      <x:c r="C88" t="str">
        <x:f>IF(A88="","",'Project Control'!R88)</x:f>
      </x:c>
      <x:c r="D88" t="str">
        <x:f>IF(A88="","",'Project Control'!S88)</x:f>
      </x:c>
      <x:c r="E88" t="str">
        <x:f>IF(A88="","",'Project Control'!T88)</x:f>
      </x:c>
      <x:c r="F88" t="str">
        <x:f>IF(A88="","",'Project Control'!C88)</x:f>
      </x:c>
      <x:c r="G88" t="str">
        <x:f>IF(A88="","",'Project Control'!D88)</x:f>
      </x:c>
      <x:c r="H88" t="str">
        <x:f>IF(A88="","",'Project Control'!E88)</x:f>
      </x:c>
      <x:c r="I88" t="str">
        <x:f>IF(A88="","",'Project Control'!F88)</x:f>
      </x:c>
      <x:c r="J88" t="str">
        <x:f>IF(A88="","",'Project Control'!H88)</x:f>
      </x:c>
      <x:c r="K88" t="str">
        <x:f>IF(A88="","",IF(ISNUMBER('Project Control'!I88),'Project Control'!I88,""))</x:f>
      </x:c>
      <x:c r="L88" t="str">
        <x:f>IF(A88="","",'Project Control'!O88)</x:f>
      </x:c>
    </x:row>
    <x:row r="89">
      <x:c r="A89" t="str">
        <x:f>IF('Project Control'!A89="","",'Project Control'!A89)</x:f>
      </x:c>
      <x:c r="B89" t="str">
        <x:f>IF(A89="","",'Project Control'!B89)</x:f>
      </x:c>
      <x:c r="C89" t="str">
        <x:f>IF(A89="","",'Project Control'!R89)</x:f>
      </x:c>
      <x:c r="D89" t="str">
        <x:f>IF(A89="","",'Project Control'!S89)</x:f>
      </x:c>
      <x:c r="E89" t="str">
        <x:f>IF(A89="","",'Project Control'!T89)</x:f>
      </x:c>
      <x:c r="F89" t="str">
        <x:f>IF(A89="","",'Project Control'!C89)</x:f>
      </x:c>
      <x:c r="G89" t="str">
        <x:f>IF(A89="","",'Project Control'!D89)</x:f>
      </x:c>
      <x:c r="H89" t="str">
        <x:f>IF(A89="","",'Project Control'!E89)</x:f>
      </x:c>
      <x:c r="I89" t="str">
        <x:f>IF(A89="","",'Project Control'!F89)</x:f>
      </x:c>
      <x:c r="J89" t="str">
        <x:f>IF(A89="","",'Project Control'!H89)</x:f>
      </x:c>
      <x:c r="K89" t="str">
        <x:f>IF(A89="","",IF(ISNUMBER('Project Control'!I89),'Project Control'!I89,""))</x:f>
      </x:c>
      <x:c r="L89" t="str">
        <x:f>IF(A89="","",'Project Control'!O89)</x:f>
      </x:c>
    </x:row>
    <x:row r="90">
      <x:c r="A90" t="str">
        <x:f>IF('Project Control'!A90="","",'Project Control'!A90)</x:f>
      </x:c>
      <x:c r="B90" t="str">
        <x:f>IF(A90="","",'Project Control'!B90)</x:f>
      </x:c>
      <x:c r="C90" t="str">
        <x:f>IF(A90="","",'Project Control'!R90)</x:f>
      </x:c>
      <x:c r="D90" t="str">
        <x:f>IF(A90="","",'Project Control'!S90)</x:f>
      </x:c>
      <x:c r="E90" t="str">
        <x:f>IF(A90="","",'Project Control'!T90)</x:f>
      </x:c>
      <x:c r="F90" t="str">
        <x:f>IF(A90="","",'Project Control'!C90)</x:f>
      </x:c>
      <x:c r="G90" t="str">
        <x:f>IF(A90="","",'Project Control'!D90)</x:f>
      </x:c>
      <x:c r="H90" t="str">
        <x:f>IF(A90="","",'Project Control'!E90)</x:f>
      </x:c>
      <x:c r="I90" t="str">
        <x:f>IF(A90="","",'Project Control'!F90)</x:f>
      </x:c>
      <x:c r="J90" t="str">
        <x:f>IF(A90="","",'Project Control'!H90)</x:f>
      </x:c>
      <x:c r="K90" t="str">
        <x:f>IF(A90="","",IF(ISNUMBER('Project Control'!I90),'Project Control'!I90,""))</x:f>
      </x:c>
      <x:c r="L90" t="str">
        <x:f>IF(A90="","",'Project Control'!O90)</x:f>
      </x:c>
    </x:row>
    <x:row r="91">
      <x:c r="A91" t="str">
        <x:f>IF('Project Control'!A91="","",'Project Control'!A91)</x:f>
      </x:c>
      <x:c r="B91" t="str">
        <x:f>IF(A91="","",'Project Control'!B91)</x:f>
      </x:c>
      <x:c r="C91" t="str">
        <x:f>IF(A91="","",'Project Control'!R91)</x:f>
      </x:c>
      <x:c r="D91" t="str">
        <x:f>IF(A91="","",'Project Control'!S91)</x:f>
      </x:c>
      <x:c r="E91" t="str">
        <x:f>IF(A91="","",'Project Control'!T91)</x:f>
      </x:c>
      <x:c r="F91" t="str">
        <x:f>IF(A91="","",'Project Control'!C91)</x:f>
      </x:c>
      <x:c r="G91" t="str">
        <x:f>IF(A91="","",'Project Control'!D91)</x:f>
      </x:c>
      <x:c r="H91" t="str">
        <x:f>IF(A91="","",'Project Control'!E91)</x:f>
      </x:c>
      <x:c r="I91" t="str">
        <x:f>IF(A91="","",'Project Control'!F91)</x:f>
      </x:c>
      <x:c r="J91" t="str">
        <x:f>IF(A91="","",'Project Control'!H91)</x:f>
      </x:c>
      <x:c r="K91" t="str">
        <x:f>IF(A91="","",IF(ISNUMBER('Project Control'!I91),'Project Control'!I91,""))</x:f>
      </x:c>
      <x:c r="L91" t="str">
        <x:f>IF(A91="","",'Project Control'!O91)</x:f>
      </x:c>
    </x:row>
    <x:row r="92">
      <x:c r="A92" t="str">
        <x:f>IF('Project Control'!A92="","",'Project Control'!A92)</x:f>
      </x:c>
      <x:c r="B92" t="str">
        <x:f>IF(A92="","",'Project Control'!B92)</x:f>
      </x:c>
      <x:c r="C92" t="str">
        <x:f>IF(A92="","",'Project Control'!R92)</x:f>
      </x:c>
      <x:c r="D92" t="str">
        <x:f>IF(A92="","",'Project Control'!S92)</x:f>
      </x:c>
      <x:c r="E92" t="str">
        <x:f>IF(A92="","",'Project Control'!T92)</x:f>
      </x:c>
      <x:c r="F92" t="str">
        <x:f>IF(A92="","",'Project Control'!C92)</x:f>
      </x:c>
      <x:c r="G92" t="str">
        <x:f>IF(A92="","",'Project Control'!D92)</x:f>
      </x:c>
      <x:c r="H92" t="str">
        <x:f>IF(A92="","",'Project Control'!E92)</x:f>
      </x:c>
      <x:c r="I92" t="str">
        <x:f>IF(A92="","",'Project Control'!F92)</x:f>
      </x:c>
      <x:c r="J92" t="str">
        <x:f>IF(A92="","",'Project Control'!H92)</x:f>
      </x:c>
      <x:c r="K92" t="str">
        <x:f>IF(A92="","",IF(ISNUMBER('Project Control'!I92),'Project Control'!I92,""))</x:f>
      </x:c>
      <x:c r="L92" t="str">
        <x:f>IF(A92="","",'Project Control'!O92)</x:f>
      </x:c>
    </x:row>
    <x:row r="93">
      <x:c r="A93" t="str">
        <x:f>IF('Project Control'!A93="","",'Project Control'!A93)</x:f>
      </x:c>
      <x:c r="B93" t="str">
        <x:f>IF(A93="","",'Project Control'!B93)</x:f>
      </x:c>
      <x:c r="C93" t="str">
        <x:f>IF(A93="","",'Project Control'!R93)</x:f>
      </x:c>
      <x:c r="D93" t="str">
        <x:f>IF(A93="","",'Project Control'!S93)</x:f>
      </x:c>
      <x:c r="E93" t="str">
        <x:f>IF(A93="","",'Project Control'!T93)</x:f>
      </x:c>
      <x:c r="F93" t="str">
        <x:f>IF(A93="","",'Project Control'!C93)</x:f>
      </x:c>
      <x:c r="G93" t="str">
        <x:f>IF(A93="","",'Project Control'!D93)</x:f>
      </x:c>
      <x:c r="H93" t="str">
        <x:f>IF(A93="","",'Project Control'!E93)</x:f>
      </x:c>
      <x:c r="I93" t="str">
        <x:f>IF(A93="","",'Project Control'!F93)</x:f>
      </x:c>
      <x:c r="J93" t="str">
        <x:f>IF(A93="","",'Project Control'!H93)</x:f>
      </x:c>
      <x:c r="K93" t="str">
        <x:f>IF(A93="","",IF(ISNUMBER('Project Control'!I93),'Project Control'!I93,""))</x:f>
      </x:c>
      <x:c r="L93" t="str">
        <x:f>IF(A93="","",'Project Control'!O93)</x:f>
      </x:c>
    </x:row>
    <x:row r="94">
      <x:c r="A94" t="str">
        <x:f>IF('Project Control'!A94="","",'Project Control'!A94)</x:f>
      </x:c>
      <x:c r="B94" t="str">
        <x:f>IF(A94="","",'Project Control'!B94)</x:f>
      </x:c>
      <x:c r="C94" t="str">
        <x:f>IF(A94="","",'Project Control'!R94)</x:f>
      </x:c>
      <x:c r="D94" t="str">
        <x:f>IF(A94="","",'Project Control'!S94)</x:f>
      </x:c>
      <x:c r="E94" t="str">
        <x:f>IF(A94="","",'Project Control'!T94)</x:f>
      </x:c>
      <x:c r="F94" t="str">
        <x:f>IF(A94="","",'Project Control'!C94)</x:f>
      </x:c>
      <x:c r="G94" t="str">
        <x:f>IF(A94="","",'Project Control'!D94)</x:f>
      </x:c>
      <x:c r="H94" t="str">
        <x:f>IF(A94="","",'Project Control'!E94)</x:f>
      </x:c>
      <x:c r="I94" t="str">
        <x:f>IF(A94="","",'Project Control'!F94)</x:f>
      </x:c>
      <x:c r="J94" t="str">
        <x:f>IF(A94="","",'Project Control'!H94)</x:f>
      </x:c>
      <x:c r="K94" t="str">
        <x:f>IF(A94="","",IF(ISNUMBER('Project Control'!I94),'Project Control'!I94,""))</x:f>
      </x:c>
      <x:c r="L94" t="str">
        <x:f>IF(A94="","",'Project Control'!O94)</x:f>
      </x:c>
    </x:row>
    <x:row r="95">
      <x:c r="A95" t="str">
        <x:f>IF('Project Control'!A95="","",'Project Control'!A95)</x:f>
      </x:c>
      <x:c r="B95" t="str">
        <x:f>IF(A95="","",'Project Control'!B95)</x:f>
      </x:c>
      <x:c r="C95" t="str">
        <x:f>IF(A95="","",'Project Control'!R95)</x:f>
      </x:c>
      <x:c r="D95" t="str">
        <x:f>IF(A95="","",'Project Control'!S95)</x:f>
      </x:c>
      <x:c r="E95" t="str">
        <x:f>IF(A95="","",'Project Control'!T95)</x:f>
      </x:c>
      <x:c r="F95" t="str">
        <x:f>IF(A95="","",'Project Control'!C95)</x:f>
      </x:c>
      <x:c r="G95" t="str">
        <x:f>IF(A95="","",'Project Control'!D95)</x:f>
      </x:c>
      <x:c r="H95" t="str">
        <x:f>IF(A95="","",'Project Control'!E95)</x:f>
      </x:c>
      <x:c r="I95" t="str">
        <x:f>IF(A95="","",'Project Control'!F95)</x:f>
      </x:c>
      <x:c r="J95" t="str">
        <x:f>IF(A95="","",'Project Control'!H95)</x:f>
      </x:c>
      <x:c r="K95" t="str">
        <x:f>IF(A95="","",IF(ISNUMBER('Project Control'!I95),'Project Control'!I95,""))</x:f>
      </x:c>
      <x:c r="L95" t="str">
        <x:f>IF(A95="","",'Project Control'!O95)</x:f>
      </x:c>
    </x:row>
    <x:row r="96">
      <x:c r="A96" t="str">
        <x:f>IF('Project Control'!A96="","",'Project Control'!A96)</x:f>
      </x:c>
      <x:c r="B96" t="str">
        <x:f>IF(A96="","",'Project Control'!B96)</x:f>
      </x:c>
      <x:c r="C96" t="str">
        <x:f>IF(A96="","",'Project Control'!R96)</x:f>
      </x:c>
      <x:c r="D96" t="str">
        <x:f>IF(A96="","",'Project Control'!S96)</x:f>
      </x:c>
      <x:c r="E96" t="str">
        <x:f>IF(A96="","",'Project Control'!T96)</x:f>
      </x:c>
      <x:c r="F96" t="str">
        <x:f>IF(A96="","",'Project Control'!C96)</x:f>
      </x:c>
      <x:c r="G96" t="str">
        <x:f>IF(A96="","",'Project Control'!D96)</x:f>
      </x:c>
      <x:c r="H96" t="str">
        <x:f>IF(A96="","",'Project Control'!E96)</x:f>
      </x:c>
      <x:c r="I96" t="str">
        <x:f>IF(A96="","",'Project Control'!F96)</x:f>
      </x:c>
      <x:c r="J96" t="str">
        <x:f>IF(A96="","",'Project Control'!H96)</x:f>
      </x:c>
      <x:c r="K96" t="str">
        <x:f>IF(A96="","",IF(ISNUMBER('Project Control'!I96),'Project Control'!I96,""))</x:f>
      </x:c>
      <x:c r="L96" t="str">
        <x:f>IF(A96="","",'Project Control'!O96)</x:f>
      </x:c>
    </x:row>
    <x:row r="97">
      <x:c r="A97" t="str">
        <x:f>IF('Project Control'!A97="","",'Project Control'!A97)</x:f>
      </x:c>
      <x:c r="B97" t="str">
        <x:f>IF(A97="","",'Project Control'!B97)</x:f>
      </x:c>
      <x:c r="C97" t="str">
        <x:f>IF(A97="","",'Project Control'!R97)</x:f>
      </x:c>
      <x:c r="D97" t="str">
        <x:f>IF(A97="","",'Project Control'!S97)</x:f>
      </x:c>
      <x:c r="E97" t="str">
        <x:f>IF(A97="","",'Project Control'!T97)</x:f>
      </x:c>
      <x:c r="F97" t="str">
        <x:f>IF(A97="","",'Project Control'!C97)</x:f>
      </x:c>
      <x:c r="G97" t="str">
        <x:f>IF(A97="","",'Project Control'!D97)</x:f>
      </x:c>
      <x:c r="H97" t="str">
        <x:f>IF(A97="","",'Project Control'!E97)</x:f>
      </x:c>
      <x:c r="I97" t="str">
        <x:f>IF(A97="","",'Project Control'!F97)</x:f>
      </x:c>
      <x:c r="J97" t="str">
        <x:f>IF(A97="","",'Project Control'!H97)</x:f>
      </x:c>
      <x:c r="K97" t="str">
        <x:f>IF(A97="","",IF(ISNUMBER('Project Control'!I97),'Project Control'!I97,""))</x:f>
      </x:c>
      <x:c r="L97" t="str">
        <x:f>IF(A97="","",'Project Control'!O97)</x:f>
      </x:c>
    </x:row>
    <x:row r="98">
      <x:c r="A98" t="str">
        <x:f>IF('Project Control'!A98="","",'Project Control'!A98)</x:f>
      </x:c>
      <x:c r="B98" t="str">
        <x:f>IF(A98="","",'Project Control'!B98)</x:f>
      </x:c>
      <x:c r="C98" t="str">
        <x:f>IF(A98="","",'Project Control'!R98)</x:f>
      </x:c>
      <x:c r="D98" t="str">
        <x:f>IF(A98="","",'Project Control'!S98)</x:f>
      </x:c>
      <x:c r="E98" t="str">
        <x:f>IF(A98="","",'Project Control'!T98)</x:f>
      </x:c>
      <x:c r="F98" t="str">
        <x:f>IF(A98="","",'Project Control'!C98)</x:f>
      </x:c>
      <x:c r="G98" t="str">
        <x:f>IF(A98="","",'Project Control'!D98)</x:f>
      </x:c>
      <x:c r="H98" t="str">
        <x:f>IF(A98="","",'Project Control'!E98)</x:f>
      </x:c>
      <x:c r="I98" t="str">
        <x:f>IF(A98="","",'Project Control'!F98)</x:f>
      </x:c>
      <x:c r="J98" t="str">
        <x:f>IF(A98="","",'Project Control'!H98)</x:f>
      </x:c>
      <x:c r="K98" t="str">
        <x:f>IF(A98="","",IF(ISNUMBER('Project Control'!I98),'Project Control'!I98,""))</x:f>
      </x:c>
      <x:c r="L98" t="str">
        <x:f>IF(A98="","",'Project Control'!O98)</x:f>
      </x:c>
    </x:row>
    <x:row r="99">
      <x:c r="A99" t="str">
        <x:f>IF('Project Control'!A99="","",'Project Control'!A99)</x:f>
      </x:c>
      <x:c r="B99" t="str">
        <x:f>IF(A99="","",'Project Control'!B99)</x:f>
      </x:c>
      <x:c r="C99" t="str">
        <x:f>IF(A99="","",'Project Control'!R99)</x:f>
      </x:c>
      <x:c r="D99" t="str">
        <x:f>IF(A99="","",'Project Control'!S99)</x:f>
      </x:c>
      <x:c r="E99" t="str">
        <x:f>IF(A99="","",'Project Control'!T99)</x:f>
      </x:c>
      <x:c r="F99" t="str">
        <x:f>IF(A99="","",'Project Control'!C99)</x:f>
      </x:c>
      <x:c r="G99" t="str">
        <x:f>IF(A99="","",'Project Control'!D99)</x:f>
      </x:c>
      <x:c r="H99" t="str">
        <x:f>IF(A99="","",'Project Control'!E99)</x:f>
      </x:c>
      <x:c r="I99" t="str">
        <x:f>IF(A99="","",'Project Control'!F99)</x:f>
      </x:c>
      <x:c r="J99" t="str">
        <x:f>IF(A99="","",'Project Control'!H99)</x:f>
      </x:c>
      <x:c r="K99" t="str">
        <x:f>IF(A99="","",IF(ISNUMBER('Project Control'!I99),'Project Control'!I99,""))</x:f>
      </x:c>
      <x:c r="L99" t="str">
        <x:f>IF(A99="","",'Project Control'!O99)</x:f>
      </x:c>
    </x:row>
    <x:row r="100">
      <x:c r="A100" t="str">
        <x:f>IF('Project Control'!A100="","",'Project Control'!A100)</x:f>
      </x:c>
      <x:c r="B100" t="str">
        <x:f>IF(A100="","",'Project Control'!B100)</x:f>
      </x:c>
      <x:c r="C100" t="str">
        <x:f>IF(A100="","",'Project Control'!R100)</x:f>
      </x:c>
      <x:c r="D100" t="str">
        <x:f>IF(A100="","",'Project Control'!S100)</x:f>
      </x:c>
      <x:c r="E100" t="str">
        <x:f>IF(A100="","",'Project Control'!T100)</x:f>
      </x:c>
      <x:c r="F100" t="str">
        <x:f>IF(A100="","",'Project Control'!C100)</x:f>
      </x:c>
      <x:c r="G100" t="str">
        <x:f>IF(A100="","",'Project Control'!D100)</x:f>
      </x:c>
      <x:c r="H100" t="str">
        <x:f>IF(A100="","",'Project Control'!E100)</x:f>
      </x:c>
      <x:c r="I100" t="str">
        <x:f>IF(A100="","",'Project Control'!F100)</x:f>
      </x:c>
      <x:c r="J100" t="str">
        <x:f>IF(A100="","",'Project Control'!H100)</x:f>
      </x:c>
      <x:c r="K100" t="str">
        <x:f>IF(A100="","",IF(ISNUMBER('Project Control'!I100),'Project Control'!I100,""))</x:f>
      </x:c>
      <x:c r="L100" t="str">
        <x:f>IF(A100="","",'Project Control'!O100)</x:f>
      </x:c>
    </x:row>
    <x:row r="101">
      <x:c r="A101" t="str">
        <x:f>IF('Project Control'!A101="","",'Project Control'!A101)</x:f>
      </x:c>
      <x:c r="B101" t="str">
        <x:f>IF(A101="","",'Project Control'!B101)</x:f>
      </x:c>
      <x:c r="C101" t="str">
        <x:f>IF(A101="","",'Project Control'!R101)</x:f>
      </x:c>
      <x:c r="D101" t="str">
        <x:f>IF(A101="","",'Project Control'!S101)</x:f>
      </x:c>
      <x:c r="E101" t="str">
        <x:f>IF(A101="","",'Project Control'!T101)</x:f>
      </x:c>
      <x:c r="F101" t="str">
        <x:f>IF(A101="","",'Project Control'!C101)</x:f>
      </x:c>
      <x:c r="G101" t="str">
        <x:f>IF(A101="","",'Project Control'!D101)</x:f>
      </x:c>
      <x:c r="H101" t="str">
        <x:f>IF(A101="","",'Project Control'!E101)</x:f>
      </x:c>
      <x:c r="I101" t="str">
        <x:f>IF(A101="","",'Project Control'!F101)</x:f>
      </x:c>
      <x:c r="J101" t="str">
        <x:f>IF(A101="","",'Project Control'!H101)</x:f>
      </x:c>
      <x:c r="K101" t="str">
        <x:f>IF(A101="","",IF(ISNUMBER('Project Control'!I101),'Project Control'!I101,""))</x:f>
      </x:c>
      <x:c r="L101" t="str">
        <x:f>IF(A101="","",'Project Control'!O101)</x:f>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7" hidden="0" customWidth="1"/>
    <x:col min="14" max="14" width="24" hidden="0" customWidth="1"/>
    <x:col min="15" max="15" width="23" hidden="0" customWidth="1"/>
    <x:col min="16" max="16" width="65" hidden="0" customWidth="1"/>
    <x:col min="20" max="20" width="30" hidden="0" customWidth="1"/>
    <x:col min="21" max="21" width="31" hidden="0" customWidth="1"/>
    <x:col min="22" max="22" width="27" hidden="0" customWidth="1"/>
    <x:col min="23" max="23" width="27" hidden="0" customWidth="1"/>
  </x:cols>
  <x:sheetData>
    <x:row r="1" ht="42" customHeight="1">
      <x:c r="A1" s="13" t="str">
        <x:v>Month YYYY-MM</x:v>
      </x:c>
      <x:c r="B1" s="13" t="str">
        <x:v>Project ID (ERP)</x:v>
      </x:c>
      <x:c r="C1" s="13" t="str">
        <x:v>Customer</x:v>
      </x:c>
      <x:c r="D1" s="13" t="str">
        <x:v>Business Unit</x:v>
      </x:c>
      <x:c r="E1" s="13" t="str">
        <x:v>Brand</x:v>
      </x:c>
      <x:c r="F1" s="13" t="str">
        <x:v>Selling Entity</x:v>
      </x:c>
      <x:c r="G1" s="13" t="str">
        <x:v>Customer PO intake USD</x:v>
      </x:c>
      <x:c r="H1" s="13" t="str">
        <x:v>Invoiced USD - valid subtotal</x:v>
      </x:c>
      <x:c r="I1" s="13" t="str">
        <x:v>ARCHIVED - former payments USD (not reported)</x:v>
      </x:c>
      <x:c r="J1" s="13" t="str">
        <x:v>ARCHIVED - former open balance USD (not reported)</x:v>
      </x:c>
      <x:c r="K1" s="13" t="str">
        <x:v>ERP cost recognized this month USD</x:v>
      </x:c>
      <x:c r="L1" s="13" t="str">
        <x:v>Source ERP export</x:v>
      </x:c>
      <x:c r="M1" s="13" t="str">
        <x:v>Validation / notes</x:v>
      </x:c>
      <x:c r="N1" s="29" t="str">
        <x:v>Source currency (ERP)</x:v>
      </x:c>
      <x:c r="O1" s="29" t="str">
        <x:v>FX evidence status</x:v>
      </x:c>
      <x:c r="P1" s="29" t="str">
        <x:v>FX exception detail</x:v>
      </x:c>
      <x:c r="T1" s="25" t="str">
        <x:v>Prior monthly invoiced USD - date unverified</x:v>
      </x:c>
      <x:c r="U1" s="25" t="str">
        <x:v>Invoice subtotal source status</x:v>
      </x:c>
      <x:c r="V1" s="25" t="str">
        <x:v>Original USD - valid subtotal</x:v>
      </x:c>
      <x:c r="W1" s="25" t="str">
        <x:v>Original MXN - valid subtotal</x:v>
      </x:c>
    </x:row>
    <x:row r="2">
      <x:c r="A2" t="str">
        <x:v>2026-09</x:v>
      </x:c>
      <x:c r="B2" t="str">
        <x:v>100245</x:v>
      </x:c>
      <x:c r="C2" t="str">
        <x:v>Customer A</x:v>
      </x:c>
      <x:c r="D2" t="str">
        <x:v>Strategic Services</x:v>
      </x:c>
      <x:c r="E2" t="str">
        <x:v>N/A</x:v>
      </x:c>
      <x:c r="F2" t="str">
        <x:v>MX</x:v>
      </x:c>
      <x:c r="G2" t="n">
        <x:v>50000</x:v>
      </x:c>
      <x:c r="H2" t="str">
        <x:f>IF(B2="","",IF(COUNTIF('Invoice Register'!$M$2:$M$501,A2)=0,"INVOICE DATA REQUIRED",SUMIFS('Invoice Register'!$N$2:$N$501,'Invoice Register'!$M$2:$M$501,A2,'Invoice Register'!$B$2:$B$501,B2)))</x:f>
        <x:v>INVOICE DATA REQUIRED</x:v>
      </x:c>
      <x:c r="I2" t="n">
        <x:v>14000</x:v>
      </x:c>
      <x:c r="J2" t="n">
        <x:v>10000</x:v>
      </x:c>
      <x:c r="K2" t="n">
        <x:v>16000</x:v>
      </x:c>
      <x:c r="L2" t="str">
        <x:v>ERP-SEP-001</x:v>
      </x:c>
      <x:c r="M2" t="str">
        <x:v>Simulated; PO received September</x:v>
      </x:c>
      <x:c r="N2" t="str">
        <x:f>IF(B2="","",IF(COUNTIF('ERP Snapshot'!$A$2:$A$101,B2)=0,"UNKNOWN",IF(COUNTIFS('ERP Snapshot'!$A$2:$A$101,B2,'ERP Snapshot'!$D$2:$D$101,"MXN")&gt;0,"MXN","USD")))</x:f>
        <x:v>USD</x:v>
      </x:c>
      <x:c r="O2" t="str">
        <x:f>IF(B2="","",IF(N2="UNKNOWN","SOURCE REVIEW",IF(N2="USD","NOT REQUIRED",IF(AND(Settings!$B$8="APPROVED",Settings!$B$9&lt;&gt;"",Settings!$B$10&lt;&gt;"",Settings!$B$2&gt;0),"APPROVED","FX HOLD"))))</x:f>
        <x:v>NOT REQUIRED</x:v>
      </x:c>
      <x:c r="P2" t="str">
        <x:f>IF(B2="","",IF(O2="FX HOLD","USD normalized input is provisional; FX approval missing",IF(O2="SOURCE REVIEW","Missing source currency mapping",IF(O2="APPROVED","Approval metadata supplied; source rates not independently audited",""))))</x:f>
      </x:c>
      <x:c r="T2" s="50" t="n">
        <x:v>18000</x:v>
      </x:c>
      <x:c r="U2" t="str">
        <x:f>IF(B2="","",IF(COUNTIFS('Invoice Register'!$L$2:$L$501,"&lt;&gt;",'Invoice Register'!$L$2:$L$501,"&lt;&gt;VALID",'Invoice Register'!$L$2:$L$501,"&lt;&gt;CANCELLED",'Invoice Register'!$L$2:$L$501,"&lt;&gt;FX HOLD",'Invoice Register'!$M$2:$M$501,A2)&gt;0,"SUBTOTAL; EXCLUDED RECORDS - SEE MANAGEMENT REPORT",IF(B2="","",IF(ISNUMBER(H2),"DATED ERP INVOICES",IF(ISNUMBER(T2),"HISTORICAL DATES REQUIRED",H2)))))</x:f>
        <x:v>HISTORICAL DATES REQUIRED</x:v>
      </x:c>
      <x:c r="V2" s="49" t="str">
        <x:f>IF(B2="","",IF(COUNTIF('Invoice Register'!$M$2:$M$501,A2)=0,"INVOICE DATA REQUIRED",SUMIFS('Invoice Register'!$H$2:$H$501,'Invoice Register'!$M$2:$M$501,A2,'Invoice Register'!$G$2:$G$501,"USD",'Invoice Register'!$B$2:$B$501,B2,'Invoice Register'!$L$2:$L$501,"VALID")+SUMIFS('Invoice Register'!$H$2:$H$501,'Invoice Register'!$M$2:$M$501,A2,'Invoice Register'!$G$2:$G$501,"USD",'Invoice Register'!$B$2:$B$501,B2,'Invoice Register'!$L$2:$L$501,"FX HOLD")))</x:f>
        <x:v>INVOICE DATA REQUIRED</x:v>
      </x:c>
      <x:c r="W2" s="49" t="str">
        <x:f>IF(B2="","",IF(COUNTIF('Invoice Register'!$M$2:$M$501,A2)=0,"INVOICE DATA REQUIRED",SUMIFS('Invoice Register'!$H$2:$H$501,'Invoice Register'!$M$2:$M$501,A2,'Invoice Register'!$G$2:$G$501,"MXN",'Invoice Register'!$B$2:$B$501,B2,'Invoice Register'!$L$2:$L$501,"VALID")+SUMIFS('Invoice Register'!$H$2:$H$501,'Invoice Register'!$M$2:$M$501,A2,'Invoice Register'!$G$2:$G$501,"MXN",'Invoice Register'!$B$2:$B$501,B2,'Invoice Register'!$L$2:$L$501,"FX HOLD")))</x:f>
        <x:v>INVOICE DATA REQUIRED</x:v>
      </x:c>
    </x:row>
    <x:row r="3">
      <x:c r="A3" t="str">
        <x:v>2026-09</x:v>
      </x:c>
      <x:c r="B3" t="str">
        <x:v>100246</x:v>
      </x:c>
      <x:c r="C3" t="str">
        <x:v>Customer B</x:v>
      </x:c>
      <x:c r="D3" t="str">
        <x:v>Brands</x:v>
      </x:c>
      <x:c r="E3" t="str">
        <x:v>Desoutter</x:v>
      </x:c>
      <x:c r="F3" t="str">
        <x:v>MX</x:v>
      </x:c>
      <x:c r="G3" t="n">
        <x:v>41000</x:v>
      </x:c>
      <x:c r="H3" t="str">
        <x:f>IF(B3="","",IF(COUNTIF('Invoice Register'!$M$2:$M$501,A3)=0,"INVOICE DATA REQUIRED",SUMIFS('Invoice Register'!$N$2:$N$501,'Invoice Register'!$M$2:$M$501,A3,'Invoice Register'!$B$2:$B$501,B3)))</x:f>
        <x:v>INVOICE DATA REQUIRED</x:v>
      </x:c>
      <x:c r="I3" t="n">
        <x:v>16000</x:v>
      </x:c>
      <x:c r="J3" t="n">
        <x:v>4000</x:v>
      </x:c>
      <x:c r="K3" t="n">
        <x:v>18000</x:v>
      </x:c>
      <x:c r="L3" t="str">
        <x:v>ERP-SEP-001</x:v>
      </x:c>
      <x:c r="M3" t="str">
        <x:v>Simulated; USD normalized</x:v>
      </x:c>
      <x:c r="N3" t="str">
        <x:f>IF(B3="","",IF(COUNTIF('ERP Snapshot'!$A$2:$A$101,B3)=0,"UNKNOWN",IF(COUNTIFS('ERP Snapshot'!$A$2:$A$101,B3,'ERP Snapshot'!$D$2:$D$101,"MXN")&gt;0,"MXN","USD")))</x:f>
        <x:v>MXN</x:v>
      </x:c>
      <x:c r="O3" t="str">
        <x:f>IF(B3="","",IF(N3="UNKNOWN","SOURCE REVIEW",IF(N3="USD","NOT REQUIRED",IF(AND(Settings!$B$8="APPROVED",Settings!$B$9&lt;&gt;"",Settings!$B$10&lt;&gt;"",Settings!$B$2&gt;0),"APPROVED","FX HOLD"))))</x:f>
        <x:v>APPROVED</x:v>
      </x:c>
      <x:c r="P3" t="str">
        <x:f>IF(B3="","",IF(O3="FX HOLD","USD normalized input is provisional; FX approval missing",IF(O3="SOURCE REVIEW","Missing source currency mapping",IF(O3="APPROVED","Approval metadata supplied; source rates not independently audited",""))))</x:f>
        <x:v>Approval metadata supplied; source rates not independently audited</x:v>
      </x:c>
      <x:c r="T3" s="50" t="n">
        <x:v>20500</x:v>
      </x:c>
      <x:c r="U3" t="str">
        <x:f>IF(B3="","",IF(COUNTIFS('Invoice Register'!$L$2:$L$501,"&lt;&gt;",'Invoice Register'!$L$2:$L$501,"&lt;&gt;VALID",'Invoice Register'!$L$2:$L$501,"&lt;&gt;CANCELLED",'Invoice Register'!$L$2:$L$501,"&lt;&gt;FX HOLD",'Invoice Register'!$M$2:$M$501,A3)&gt;0,"SUBTOTAL; EXCLUDED RECORDS - SEE MANAGEMENT REPORT",IF(B3="","",IF(ISNUMBER(H3),"DATED ERP INVOICES",IF(ISNUMBER(T3),"HISTORICAL DATES REQUIRED",H3)))))</x:f>
        <x:v>HISTORICAL DATES REQUIRED</x:v>
      </x:c>
      <x:c r="V3" s="49" t="str">
        <x:f>IF(B3="","",IF(COUNTIF('Invoice Register'!$M$2:$M$501,A3)=0,"INVOICE DATA REQUIRED",SUMIFS('Invoice Register'!$H$2:$H$501,'Invoice Register'!$M$2:$M$501,A3,'Invoice Register'!$G$2:$G$501,"USD",'Invoice Register'!$B$2:$B$501,B3,'Invoice Register'!$L$2:$L$501,"VALID")+SUMIFS('Invoice Register'!$H$2:$H$501,'Invoice Register'!$M$2:$M$501,A3,'Invoice Register'!$G$2:$G$501,"USD",'Invoice Register'!$B$2:$B$501,B3,'Invoice Register'!$L$2:$L$501,"FX HOLD")))</x:f>
        <x:v>INVOICE DATA REQUIRED</x:v>
      </x:c>
      <x:c r="W3" s="49" t="str">
        <x:f>IF(B3="","",IF(COUNTIF('Invoice Register'!$M$2:$M$501,A3)=0,"INVOICE DATA REQUIRED",SUMIFS('Invoice Register'!$H$2:$H$501,'Invoice Register'!$M$2:$M$501,A3,'Invoice Register'!$G$2:$G$501,"MXN",'Invoice Register'!$B$2:$B$501,B3,'Invoice Register'!$L$2:$L$501,"VALID")+SUMIFS('Invoice Register'!$H$2:$H$501,'Invoice Register'!$M$2:$M$501,A3,'Invoice Register'!$G$2:$G$501,"MXN",'Invoice Register'!$B$2:$B$501,B3,'Invoice Register'!$L$2:$L$501,"FX HOLD")))</x:f>
        <x:v>INVOICE DATA REQUIRED</x:v>
      </x:c>
    </x:row>
    <x:row r="4">
      <x:c r="A4" t="str">
        <x:v>2026-09</x:v>
      </x:c>
      <x:c r="B4" t="str">
        <x:v>100247</x:v>
      </x:c>
      <x:c r="C4" t="str">
        <x:v>Customer C</x:v>
      </x:c>
      <x:c r="D4" t="str">
        <x:v>Brands</x:v>
      </x:c>
      <x:c r="E4" t="str">
        <x:v>Datalogic</x:v>
      </x:c>
      <x:c r="F4" t="str">
        <x:v>US</x:v>
      </x:c>
      <x:c r="G4" t="n">
        <x:v>34000</x:v>
      </x:c>
      <x:c r="H4" t="str">
        <x:f>IF(B4="","",IF(COUNTIF('Invoice Register'!$M$2:$M$501,A4)=0,"INVOICE DATA REQUIRED",SUMIFS('Invoice Register'!$N$2:$N$501,'Invoice Register'!$M$2:$M$501,A4,'Invoice Register'!$B$2:$B$501,B4)))</x:f>
        <x:v>INVOICE DATA REQUIRED</x:v>
      </x:c>
      <x:c r="I4" t="n">
        <x:v>6000</x:v>
      </x:c>
      <x:c r="J4" t="n">
        <x:v>9000</x:v>
      </x:c>
      <x:c r="K4" t="n">
        <x:v>9000</x:v>
      </x:c>
      <x:c r="L4" t="str">
        <x:v>ERP-SEP-001</x:v>
      </x:c>
      <x:c r="M4" t="str">
        <x:v>Simulated</x:v>
      </x:c>
      <x:c r="N4" t="str">
        <x:f>IF(B4="","",IF(COUNTIF('ERP Snapshot'!$A$2:$A$101,B4)=0,"UNKNOWN",IF(COUNTIFS('ERP Snapshot'!$A$2:$A$101,B4,'ERP Snapshot'!$D$2:$D$101,"MXN")&gt;0,"MXN","USD")))</x:f>
        <x:v>USD</x:v>
      </x:c>
      <x:c r="O4" t="str">
        <x:f>IF(B4="","",IF(N4="UNKNOWN","SOURCE REVIEW",IF(N4="USD","NOT REQUIRED",IF(AND(Settings!$B$8="APPROVED",Settings!$B$9&lt;&gt;"",Settings!$B$10&lt;&gt;"",Settings!$B$2&gt;0),"APPROVED","FX HOLD"))))</x:f>
        <x:v>NOT REQUIRED</x:v>
      </x:c>
      <x:c r="P4" t="str">
        <x:f>IF(B4="","",IF(O4="FX HOLD","USD normalized input is provisional; FX approval missing",IF(O4="SOURCE REVIEW","Missing source currency mapping",IF(O4="APPROVED","Approval metadata supplied; source rates not independently audited",""))))</x:f>
      </x:c>
      <x:c r="T4" s="50" t="n">
        <x:v>8000</x:v>
      </x:c>
      <x:c r="U4" t="str">
        <x:f>IF(B4="","",IF(COUNTIFS('Invoice Register'!$L$2:$L$501,"&lt;&gt;",'Invoice Register'!$L$2:$L$501,"&lt;&gt;VALID",'Invoice Register'!$L$2:$L$501,"&lt;&gt;CANCELLED",'Invoice Register'!$L$2:$L$501,"&lt;&gt;FX HOLD",'Invoice Register'!$M$2:$M$501,A4)&gt;0,"SUBTOTAL; EXCLUDED RECORDS - SEE MANAGEMENT REPORT",IF(B4="","",IF(ISNUMBER(H4),"DATED ERP INVOICES",IF(ISNUMBER(T4),"HISTORICAL DATES REQUIRED",H4)))))</x:f>
        <x:v>HISTORICAL DATES REQUIRED</x:v>
      </x:c>
      <x:c r="V4" s="49" t="str">
        <x:f>IF(B4="","",IF(COUNTIF('Invoice Register'!$M$2:$M$501,A4)=0,"INVOICE DATA REQUIRED",SUMIFS('Invoice Register'!$H$2:$H$501,'Invoice Register'!$M$2:$M$501,A4,'Invoice Register'!$G$2:$G$501,"USD",'Invoice Register'!$B$2:$B$501,B4,'Invoice Register'!$L$2:$L$501,"VALID")+SUMIFS('Invoice Register'!$H$2:$H$501,'Invoice Register'!$M$2:$M$501,A4,'Invoice Register'!$G$2:$G$501,"USD",'Invoice Register'!$B$2:$B$501,B4,'Invoice Register'!$L$2:$L$501,"FX HOLD")))</x:f>
        <x:v>INVOICE DATA REQUIRED</x:v>
      </x:c>
      <x:c r="W4" s="49" t="str">
        <x:f>IF(B4="","",IF(COUNTIF('Invoice Register'!$M$2:$M$501,A4)=0,"INVOICE DATA REQUIRED",SUMIFS('Invoice Register'!$H$2:$H$501,'Invoice Register'!$M$2:$M$501,A4,'Invoice Register'!$G$2:$G$501,"MXN",'Invoice Register'!$B$2:$B$501,B4,'Invoice Register'!$L$2:$L$501,"VALID")+SUMIFS('Invoice Register'!$H$2:$H$501,'Invoice Register'!$M$2:$M$501,A4,'Invoice Register'!$G$2:$G$501,"MXN",'Invoice Register'!$B$2:$B$501,B4,'Invoice Register'!$L$2:$L$501,"FX HOLD")))</x:f>
        <x:v>INVOICE DATA REQUIRED</x:v>
      </x:c>
    </x:row>
    <x:row r="5">
      <x:c r="A5" t="str">
        <x:v>2026-10</x:v>
      </x:c>
      <x:c r="B5" t="str">
        <x:v>100245</x:v>
      </x:c>
      <x:c r="C5" t="str">
        <x:v>Customer A</x:v>
      </x:c>
      <x:c r="D5" t="str">
        <x:v>Strategic Services</x:v>
      </x:c>
      <x:c r="E5" t="str">
        <x:v>N/A</x:v>
      </x:c>
      <x:c r="F5" t="str">
        <x:v>MX</x:v>
      </x:c>
      <x:c r="G5" t="n">
        <x:v>0</x:v>
      </x:c>
      <x:c r="H5" t="str">
        <x:f>IF(B5="","",IF(COUNTIF('Invoice Register'!$M$2:$M$501,A5)=0,"INVOICE DATA REQUIRED",SUMIFS('Invoice Register'!$N$2:$N$501,'Invoice Register'!$M$2:$M$501,A5,'Invoice Register'!$B$2:$B$501,B5)))</x:f>
        <x:v>INVOICE DATA REQUIRED</x:v>
      </x:c>
      <x:c r="I5" t="n">
        <x:v>11000</x:v>
      </x:c>
      <x:c r="J5" t="n">
        <x:v>11000</x:v>
      </x:c>
      <x:c r="K5" t="n">
        <x:v>8000</x:v>
      </x:c>
      <x:c r="L5" t="str">
        <x:v>ERP-OCT-001</x:v>
      </x:c>
      <x:c r="M5" t="str">
        <x:v>Simulated; not new PO intake</x:v>
      </x:c>
      <x:c r="N5" t="str">
        <x:f>IF(B5="","",IF(COUNTIF('ERP Snapshot'!$A$2:$A$101,B5)=0,"UNKNOWN",IF(COUNTIFS('ERP Snapshot'!$A$2:$A$101,B5,'ERP Snapshot'!$D$2:$D$101,"MXN")&gt;0,"MXN","USD")))</x:f>
        <x:v>USD</x:v>
      </x:c>
      <x:c r="O5" t="str">
        <x:f>IF(B5="","",IF(N5="UNKNOWN","SOURCE REVIEW",IF(N5="USD","NOT REQUIRED",IF(AND(Settings!$B$8="APPROVED",Settings!$B$9&lt;&gt;"",Settings!$B$10&lt;&gt;"",Settings!$B$2&gt;0),"APPROVED","FX HOLD"))))</x:f>
        <x:v>NOT REQUIRED</x:v>
      </x:c>
      <x:c r="P5" t="str">
        <x:f>IF(B5="","",IF(O5="FX HOLD","USD normalized input is provisional; FX approval missing",IF(O5="SOURCE REVIEW","Missing source currency mapping",IF(O5="APPROVED","Approval metadata supplied; source rates not independently audited",""))))</x:f>
      </x:c>
      <x:c r="T5" s="50" t="n">
        <x:v>10000</x:v>
      </x:c>
      <x:c r="U5" t="str">
        <x:f>IF(B5="","",IF(COUNTIFS('Invoice Register'!$L$2:$L$501,"&lt;&gt;",'Invoice Register'!$L$2:$L$501,"&lt;&gt;VALID",'Invoice Register'!$L$2:$L$501,"&lt;&gt;CANCELLED",'Invoice Register'!$L$2:$L$501,"&lt;&gt;FX HOLD",'Invoice Register'!$M$2:$M$501,A5)&gt;0,"SUBTOTAL; EXCLUDED RECORDS - SEE MANAGEMENT REPORT",IF(B5="","",IF(ISNUMBER(H5),"DATED ERP INVOICES",IF(ISNUMBER(T5),"HISTORICAL DATES REQUIRED",H5)))))</x:f>
        <x:v>HISTORICAL DATES REQUIRED</x:v>
      </x:c>
      <x:c r="V5" s="49" t="str">
        <x:f>IF(B5="","",IF(COUNTIF('Invoice Register'!$M$2:$M$501,A5)=0,"INVOICE DATA REQUIRED",SUMIFS('Invoice Register'!$H$2:$H$501,'Invoice Register'!$M$2:$M$501,A5,'Invoice Register'!$G$2:$G$501,"USD",'Invoice Register'!$B$2:$B$501,B5,'Invoice Register'!$L$2:$L$501,"VALID")+SUMIFS('Invoice Register'!$H$2:$H$501,'Invoice Register'!$M$2:$M$501,A5,'Invoice Register'!$G$2:$G$501,"USD",'Invoice Register'!$B$2:$B$501,B5,'Invoice Register'!$L$2:$L$501,"FX HOLD")))</x:f>
        <x:v>INVOICE DATA REQUIRED</x:v>
      </x:c>
      <x:c r="W5" s="49" t="str">
        <x:f>IF(B5="","",IF(COUNTIF('Invoice Register'!$M$2:$M$501,A5)=0,"INVOICE DATA REQUIRED",SUMIFS('Invoice Register'!$H$2:$H$501,'Invoice Register'!$M$2:$M$501,A5,'Invoice Register'!$G$2:$G$501,"MXN",'Invoice Register'!$B$2:$B$501,B5,'Invoice Register'!$L$2:$L$501,"VALID")+SUMIFS('Invoice Register'!$H$2:$H$501,'Invoice Register'!$M$2:$M$501,A5,'Invoice Register'!$G$2:$G$501,"MXN",'Invoice Register'!$B$2:$B$501,B5,'Invoice Register'!$L$2:$L$501,"FX HOLD")))</x:f>
        <x:v>INVOICE DATA REQUIRED</x:v>
      </x:c>
    </x:row>
    <x:row r="6">
      <x:c r="A6" t="str">
        <x:v>2026-10</x:v>
      </x:c>
      <x:c r="B6" t="str">
        <x:v>100246</x:v>
      </x:c>
      <x:c r="C6" t="str">
        <x:v>Customer B</x:v>
      </x:c>
      <x:c r="D6" t="str">
        <x:v>Brands</x:v>
      </x:c>
      <x:c r="E6" t="str">
        <x:v>Desoutter</x:v>
      </x:c>
      <x:c r="F6" t="str">
        <x:v>MX</x:v>
      </x:c>
      <x:c r="G6" t="n">
        <x:v>0</x:v>
      </x:c>
      <x:c r="H6" t="str">
        <x:f>IF(B6="","",IF(COUNTIF('Invoice Register'!$M$2:$M$501,A6)=0,"INVOICE DATA REQUIRED",SUMIFS('Invoice Register'!$N$2:$N$501,'Invoice Register'!$M$2:$M$501,A6,'Invoice Register'!$B$2:$B$501,B6)))</x:f>
        <x:v>INVOICE DATA REQUIRED</x:v>
      </x:c>
      <x:c r="I6" t="n">
        <x:v>14000</x:v>
      </x:c>
      <x:c r="J6" t="n">
        <x:v>2000</x:v>
      </x:c>
      <x:c r="K6" t="n">
        <x:v>11000</x:v>
      </x:c>
      <x:c r="L6" t="str">
        <x:v>ERP-OCT-001</x:v>
      </x:c>
      <x:c r="M6" t="str">
        <x:v>Simulated</x:v>
      </x:c>
      <x:c r="N6" t="str">
        <x:f>IF(B6="","",IF(COUNTIF('ERP Snapshot'!$A$2:$A$101,B6)=0,"UNKNOWN",IF(COUNTIFS('ERP Snapshot'!$A$2:$A$101,B6,'ERP Snapshot'!$D$2:$D$101,"MXN")&gt;0,"MXN","USD")))</x:f>
        <x:v>MXN</x:v>
      </x:c>
      <x:c r="O6" t="str">
        <x:f>IF(B6="","",IF(N6="UNKNOWN","SOURCE REVIEW",IF(N6="USD","NOT REQUIRED",IF(AND(Settings!$B$8="APPROVED",Settings!$B$9&lt;&gt;"",Settings!$B$10&lt;&gt;"",Settings!$B$2&gt;0),"APPROVED","FX HOLD"))))</x:f>
        <x:v>APPROVED</x:v>
      </x:c>
      <x:c r="P6" t="str">
        <x:f>IF(B6="","",IF(O6="FX HOLD","USD normalized input is provisional; FX approval missing",IF(O6="SOURCE REVIEW","Missing source currency mapping",IF(O6="APPROVED","Approval metadata supplied; source rates not independently audited",""))))</x:f>
        <x:v>Approval metadata supplied; source rates not independently audited</x:v>
      </x:c>
      <x:c r="T6" s="50" t="n">
        <x:v>20500</x:v>
      </x:c>
      <x:c r="U6" t="str">
        <x:f>IF(B6="","",IF(COUNTIFS('Invoice Register'!$L$2:$L$501,"&lt;&gt;",'Invoice Register'!$L$2:$L$501,"&lt;&gt;VALID",'Invoice Register'!$L$2:$L$501,"&lt;&gt;CANCELLED",'Invoice Register'!$L$2:$L$501,"&lt;&gt;FX HOLD",'Invoice Register'!$M$2:$M$501,A6)&gt;0,"SUBTOTAL; EXCLUDED RECORDS - SEE MANAGEMENT REPORT",IF(B6="","",IF(ISNUMBER(H6),"DATED ERP INVOICES",IF(ISNUMBER(T6),"HISTORICAL DATES REQUIRED",H6)))))</x:f>
        <x:v>HISTORICAL DATES REQUIRED</x:v>
      </x:c>
      <x:c r="V6" s="49" t="str">
        <x:f>IF(B6="","",IF(COUNTIF('Invoice Register'!$M$2:$M$501,A6)=0,"INVOICE DATA REQUIRED",SUMIFS('Invoice Register'!$H$2:$H$501,'Invoice Register'!$M$2:$M$501,A6,'Invoice Register'!$G$2:$G$501,"USD",'Invoice Register'!$B$2:$B$501,B6,'Invoice Register'!$L$2:$L$501,"VALID")+SUMIFS('Invoice Register'!$H$2:$H$501,'Invoice Register'!$M$2:$M$501,A6,'Invoice Register'!$G$2:$G$501,"USD",'Invoice Register'!$B$2:$B$501,B6,'Invoice Register'!$L$2:$L$501,"FX HOLD")))</x:f>
        <x:v>INVOICE DATA REQUIRED</x:v>
      </x:c>
      <x:c r="W6" s="49" t="str">
        <x:f>IF(B6="","",IF(COUNTIF('Invoice Register'!$M$2:$M$501,A6)=0,"INVOICE DATA REQUIRED",SUMIFS('Invoice Register'!$H$2:$H$501,'Invoice Register'!$M$2:$M$501,A6,'Invoice Register'!$G$2:$G$501,"MXN",'Invoice Register'!$B$2:$B$501,B6,'Invoice Register'!$L$2:$L$501,"VALID")+SUMIFS('Invoice Register'!$H$2:$H$501,'Invoice Register'!$M$2:$M$501,A6,'Invoice Register'!$G$2:$G$501,"MXN",'Invoice Register'!$B$2:$B$501,B6,'Invoice Register'!$L$2:$L$501,"FX HOLD")))</x:f>
        <x:v>INVOICE DATA REQUIRED</x:v>
      </x:c>
    </x:row>
    <x:row r="7">
      <x:c r="A7" t="str">
        <x:v>2026-10</x:v>
      </x:c>
      <x:c r="B7" t="str">
        <x:v>100247</x:v>
      </x:c>
      <x:c r="C7" t="str">
        <x:v>Customer C</x:v>
      </x:c>
      <x:c r="D7" t="str">
        <x:v>Brands</x:v>
      </x:c>
      <x:c r="E7" t="str">
        <x:v>Datalogic</x:v>
      </x:c>
      <x:c r="F7" t="str">
        <x:v>US</x:v>
      </x:c>
      <x:c r="G7" t="n">
        <x:v>0</x:v>
      </x:c>
      <x:c r="H7" t="str">
        <x:f>IF(B7="","",IF(COUNTIF('Invoice Register'!$M$2:$M$501,A7)=0,"INVOICE DATA REQUIRED",SUMIFS('Invoice Register'!$N$2:$N$501,'Invoice Register'!$M$2:$M$501,A7,'Invoice Register'!$B$2:$B$501,B7)))</x:f>
        <x:v>INVOICE DATA REQUIRED</x:v>
      </x:c>
      <x:c r="I7" t="n">
        <x:v>10000</x:v>
      </x:c>
      <x:c r="J7" t="n">
        <x:v>7000</x:v>
      </x:c>
      <x:c r="K7" t="n">
        <x:v>12000</x:v>
      </x:c>
      <x:c r="L7" t="str">
        <x:v>ERP-OCT-001</x:v>
      </x:c>
      <x:c r="M7" t="str">
        <x:v>Simulated</x:v>
      </x:c>
      <x:c r="N7" t="str">
        <x:f>IF(B7="","",IF(COUNTIF('ERP Snapshot'!$A$2:$A$101,B7)=0,"UNKNOWN",IF(COUNTIFS('ERP Snapshot'!$A$2:$A$101,B7,'ERP Snapshot'!$D$2:$D$101,"MXN")&gt;0,"MXN","USD")))</x:f>
        <x:v>USD</x:v>
      </x:c>
      <x:c r="O7" t="str">
        <x:f>IF(B7="","",IF(N7="UNKNOWN","SOURCE REVIEW",IF(N7="USD","NOT REQUIRED",IF(AND(Settings!$B$8="APPROVED",Settings!$B$9&lt;&gt;"",Settings!$B$10&lt;&gt;"",Settings!$B$2&gt;0),"APPROVED","FX HOLD"))))</x:f>
        <x:v>NOT REQUIRED</x:v>
      </x:c>
      <x:c r="P7" t="str">
        <x:f>IF(B7="","",IF(O7="FX HOLD","USD normalized input is provisional; FX approval missing",IF(O7="SOURCE REVIEW","Missing source currency mapping",IF(O7="APPROVED","Approval metadata supplied; source rates not independently audited",""))))</x:f>
      </x:c>
      <x:c r="T7" s="50" t="n">
        <x:v>4000</x:v>
      </x:c>
      <x:c r="U7" t="str">
        <x:f>IF(B7="","",IF(COUNTIFS('Invoice Register'!$L$2:$L$501,"&lt;&gt;",'Invoice Register'!$L$2:$L$501,"&lt;&gt;VALID",'Invoice Register'!$L$2:$L$501,"&lt;&gt;CANCELLED",'Invoice Register'!$L$2:$L$501,"&lt;&gt;FX HOLD",'Invoice Register'!$M$2:$M$501,A7)&gt;0,"SUBTOTAL; EXCLUDED RECORDS - SEE MANAGEMENT REPORT",IF(B7="","",IF(ISNUMBER(H7),"DATED ERP INVOICES",IF(ISNUMBER(T7),"HISTORICAL DATES REQUIRED",H7)))))</x:f>
        <x:v>HISTORICAL DATES REQUIRED</x:v>
      </x:c>
      <x:c r="V7" s="49" t="str">
        <x:f>IF(B7="","",IF(COUNTIF('Invoice Register'!$M$2:$M$501,A7)=0,"INVOICE DATA REQUIRED",SUMIFS('Invoice Register'!$H$2:$H$501,'Invoice Register'!$M$2:$M$501,A7,'Invoice Register'!$G$2:$G$501,"USD",'Invoice Register'!$B$2:$B$501,B7,'Invoice Register'!$L$2:$L$501,"VALID")+SUMIFS('Invoice Register'!$H$2:$H$501,'Invoice Register'!$M$2:$M$501,A7,'Invoice Register'!$G$2:$G$501,"USD",'Invoice Register'!$B$2:$B$501,B7,'Invoice Register'!$L$2:$L$501,"FX HOLD")))</x:f>
        <x:v>INVOICE DATA REQUIRED</x:v>
      </x:c>
      <x:c r="W7" s="49" t="str">
        <x:f>IF(B7="","",IF(COUNTIF('Invoice Register'!$M$2:$M$501,A7)=0,"INVOICE DATA REQUIRED",SUMIFS('Invoice Register'!$H$2:$H$501,'Invoice Register'!$M$2:$M$501,A7,'Invoice Register'!$G$2:$G$501,"MXN",'Invoice Register'!$B$2:$B$501,B7,'Invoice Register'!$L$2:$L$501,"VALID")+SUMIFS('Invoice Register'!$H$2:$H$501,'Invoice Register'!$M$2:$M$501,A7,'Invoice Register'!$G$2:$G$501,"MXN",'Invoice Register'!$B$2:$B$501,B7,'Invoice Register'!$L$2:$L$501,"FX HOLD")))</x:f>
        <x:v>INVOICE DATA REQUIRED</x:v>
      </x:c>
    </x:row>
    <x:row r="8">
      <x:c r="A8" t="str">
        <x:v>2026-10</x:v>
      </x:c>
      <x:c r="B8" t="str">
        <x:v>100248</x:v>
      </x:c>
      <x:c r="C8" t="str">
        <x:v>Customer D</x:v>
      </x:c>
      <x:c r="D8" t="str">
        <x:v>Strategic Services</x:v>
      </x:c>
      <x:c r="E8" t="str">
        <x:v>N/A</x:v>
      </x:c>
      <x:c r="F8" t="str">
        <x:v>MX</x:v>
      </x:c>
      <x:c r="G8" t="n">
        <x:v>24000</x:v>
      </x:c>
      <x:c r="H8" t="str">
        <x:f>IF(B8="","",IF(COUNTIF('Invoice Register'!$M$2:$M$501,A8)=0,"INVOICE DATA REQUIRED",SUMIFS('Invoice Register'!$N$2:$N$501,'Invoice Register'!$M$2:$M$501,A8,'Invoice Register'!$B$2:$B$501,B8)))</x:f>
        <x:v>INVOICE DATA REQUIRED</x:v>
      </x:c>
      <x:c r="I8" t="n">
        <x:v>8000</x:v>
      </x:c>
      <x:c r="J8" t="n">
        <x:v>0</x:v>
      </x:c>
      <x:c r="K8" t="n">
        <x:v>12000</x:v>
      </x:c>
      <x:c r="L8" t="str">
        <x:v>ERP-OCT-001</x:v>
      </x:c>
      <x:c r="M8" t="str">
        <x:v>Simulated; open PO</x:v>
      </x:c>
      <x:c r="N8" t="str">
        <x:f>IF(B8="","",IF(COUNTIF('ERP Snapshot'!$A$2:$A$101,B8)=0,"UNKNOWN",IF(COUNTIFS('ERP Snapshot'!$A$2:$A$101,B8,'ERP Snapshot'!$D$2:$D$101,"MXN")&gt;0,"MXN","USD")))</x:f>
        <x:v>USD</x:v>
      </x:c>
      <x:c r="O8" t="str">
        <x:f>IF(B8="","",IF(N8="UNKNOWN","SOURCE REVIEW",IF(N8="USD","NOT REQUIRED",IF(AND(Settings!$B$8="APPROVED",Settings!$B$9&lt;&gt;"",Settings!$B$10&lt;&gt;"",Settings!$B$2&gt;0),"APPROVED","FX HOLD"))))</x:f>
        <x:v>NOT REQUIRED</x:v>
      </x:c>
      <x:c r="P8" t="str">
        <x:f>IF(B8="","",IF(O8="FX HOLD","USD normalized input is provisional; FX approval missing",IF(O8="SOURCE REVIEW","Missing source currency mapping",IF(O8="APPROVED","Approval metadata supplied; source rates not independently audited",""))))</x:f>
      </x:c>
      <x:c r="T8" s="50" t="n">
        <x:v>0</x:v>
      </x:c>
      <x:c r="U8" t="str">
        <x:f>IF(B8="","",IF(COUNTIFS('Invoice Register'!$L$2:$L$501,"&lt;&gt;",'Invoice Register'!$L$2:$L$501,"&lt;&gt;VALID",'Invoice Register'!$L$2:$L$501,"&lt;&gt;CANCELLED",'Invoice Register'!$L$2:$L$501,"&lt;&gt;FX HOLD",'Invoice Register'!$M$2:$M$501,A8)&gt;0,"SUBTOTAL; EXCLUDED RECORDS - SEE MANAGEMENT REPORT",IF(B8="","",IF(ISNUMBER(H8),"DATED ERP INVOICES",IF(ISNUMBER(T8),"HISTORICAL DATES REQUIRED",H8)))))</x:f>
        <x:v>HISTORICAL DATES REQUIRED</x:v>
      </x:c>
      <x:c r="V8" s="49" t="str">
        <x:f>IF(B8="","",IF(COUNTIF('Invoice Register'!$M$2:$M$501,A8)=0,"INVOICE DATA REQUIRED",SUMIFS('Invoice Register'!$H$2:$H$501,'Invoice Register'!$M$2:$M$501,A8,'Invoice Register'!$G$2:$G$501,"USD",'Invoice Register'!$B$2:$B$501,B8,'Invoice Register'!$L$2:$L$501,"VALID")+SUMIFS('Invoice Register'!$H$2:$H$501,'Invoice Register'!$M$2:$M$501,A8,'Invoice Register'!$G$2:$G$501,"USD",'Invoice Register'!$B$2:$B$501,B8,'Invoice Register'!$L$2:$L$501,"FX HOLD")))</x:f>
        <x:v>INVOICE DATA REQUIRED</x:v>
      </x:c>
      <x:c r="W8" s="49" t="str">
        <x:f>IF(B8="","",IF(COUNTIF('Invoice Register'!$M$2:$M$501,A8)=0,"INVOICE DATA REQUIRED",SUMIFS('Invoice Register'!$H$2:$H$501,'Invoice Register'!$M$2:$M$501,A8,'Invoice Register'!$G$2:$G$501,"MXN",'Invoice Register'!$B$2:$B$501,B8,'Invoice Register'!$L$2:$L$501,"VALID")+SUMIFS('Invoice Register'!$H$2:$H$501,'Invoice Register'!$M$2:$M$501,A8,'Invoice Register'!$G$2:$G$501,"MXN",'Invoice Register'!$B$2:$B$501,B8,'Invoice Register'!$L$2:$L$501,"FX HOLD")))</x:f>
        <x:v>INVOICE DATA REQUIRED</x:v>
      </x:c>
    </x:row>
    <x:row r="9">
      <x:c r="H9" t="str">
        <x:f>IF(B9="","",IF(COUNTIF('Invoice Register'!$M$2:$M$501,A9)=0,"INVOICE DATA REQUIRED",SUMIFS('Invoice Register'!$N$2:$N$501,'Invoice Register'!$M$2:$M$501,A9,'Invoice Register'!$B$2:$B$501,B9)))</x:f>
      </x:c>
      <x:c r="N9" t="str">
        <x:f>IF(B9="","",IF(COUNTIF('ERP Snapshot'!$A$2:$A$101,B9)=0,"UNKNOWN",IF(COUNTIFS('ERP Snapshot'!$A$2:$A$101,B9,'ERP Snapshot'!$D$2:$D$101,"MXN")&gt;0,"MXN","USD")))</x:f>
      </x:c>
      <x:c r="O9" t="str">
        <x:f>IF(B9="","",IF(N9="UNKNOWN","SOURCE REVIEW",IF(N9="USD","NOT REQUIRED",IF(AND(Settings!$B$8="APPROVED",Settings!$B$9&lt;&gt;"",Settings!$B$10&lt;&gt;"",Settings!$B$2&gt;0),"APPROVED","FX HOLD"))))</x:f>
      </x:c>
      <x:c r="P9" t="str">
        <x:f>IF(B9="","",IF(O9="FX HOLD","USD normalized input is provisional; FX approval missing",IF(O9="SOURCE REVIEW","Missing source currency mapping",IF(O9="APPROVED","Approval metadata supplied; source rates not independently audited",""))))</x:f>
      </x:c>
      <x:c r="T9" s="50"/>
      <x:c r="U9" t="str">
        <x:f>IF(B9="","",IF(COUNTIFS('Invoice Register'!$L$2:$L$501,"&lt;&gt;",'Invoice Register'!$L$2:$L$501,"&lt;&gt;VALID",'Invoice Register'!$L$2:$L$501,"&lt;&gt;CANCELLED",'Invoice Register'!$L$2:$L$501,"&lt;&gt;FX HOLD",'Invoice Register'!$M$2:$M$501,A9)&gt;0,"SUBTOTAL; EXCLUDED RECORDS - SEE MANAGEMENT REPORT",IF(B9="","",IF(ISNUMBER(H9),"DATED ERP INVOICES",IF(ISNUMBER(T9),"HISTORICAL DATES REQUIRED",H9)))))</x:f>
      </x:c>
      <x:c r="V9" s="49" t="str">
        <x:f>IF(B9="","",IF(COUNTIF('Invoice Register'!$M$2:$M$501,A9)=0,"INVOICE DATA REQUIRED",SUMIFS('Invoice Register'!$H$2:$H$501,'Invoice Register'!$M$2:$M$501,A9,'Invoice Register'!$G$2:$G$501,"USD",'Invoice Register'!$B$2:$B$501,B9,'Invoice Register'!$L$2:$L$501,"VALID")+SUMIFS('Invoice Register'!$H$2:$H$501,'Invoice Register'!$M$2:$M$501,A9,'Invoice Register'!$G$2:$G$501,"USD",'Invoice Register'!$B$2:$B$501,B9,'Invoice Register'!$L$2:$L$501,"FX HOLD")))</x:f>
      </x:c>
      <x:c r="W9" s="49" t="str">
        <x:f>IF(B9="","",IF(COUNTIF('Invoice Register'!$M$2:$M$501,A9)=0,"INVOICE DATA REQUIRED",SUMIFS('Invoice Register'!$H$2:$H$501,'Invoice Register'!$M$2:$M$501,A9,'Invoice Register'!$G$2:$G$501,"MXN",'Invoice Register'!$B$2:$B$501,B9,'Invoice Register'!$L$2:$L$501,"VALID")+SUMIFS('Invoice Register'!$H$2:$H$501,'Invoice Register'!$M$2:$M$501,A9,'Invoice Register'!$G$2:$G$501,"MXN",'Invoice Register'!$B$2:$B$501,B9,'Invoice Register'!$L$2:$L$501,"FX HOLD")))</x:f>
      </x:c>
    </x:row>
    <x:row r="10">
      <x:c r="H10" t="str">
        <x:f>IF(B10="","",IF(COUNTIF('Invoice Register'!$M$2:$M$501,A10)=0,"INVOICE DATA REQUIRED",SUMIFS('Invoice Register'!$N$2:$N$501,'Invoice Register'!$M$2:$M$501,A10,'Invoice Register'!$B$2:$B$501,B10)))</x:f>
      </x:c>
      <x:c r="N10" t="str">
        <x:f>IF(B10="","",IF(COUNTIF('ERP Snapshot'!$A$2:$A$101,B10)=0,"UNKNOWN",IF(COUNTIFS('ERP Snapshot'!$A$2:$A$101,B10,'ERP Snapshot'!$D$2:$D$101,"MXN")&gt;0,"MXN","USD")))</x:f>
      </x:c>
      <x:c r="O10" t="str">
        <x:f>IF(B10="","",IF(N10="UNKNOWN","SOURCE REVIEW",IF(N10="USD","NOT REQUIRED",IF(AND(Settings!$B$8="APPROVED",Settings!$B$9&lt;&gt;"",Settings!$B$10&lt;&gt;"",Settings!$B$2&gt;0),"APPROVED","FX HOLD"))))</x:f>
      </x:c>
      <x:c r="P10" t="str">
        <x:f>IF(B10="","",IF(O10="FX HOLD","USD normalized input is provisional; FX approval missing",IF(O10="SOURCE REVIEW","Missing source currency mapping",IF(O10="APPROVED","Approval metadata supplied; source rates not independently audited",""))))</x:f>
      </x:c>
      <x:c r="T10" s="50"/>
      <x:c r="U10" t="str">
        <x:f>IF(B10="","",IF(COUNTIFS('Invoice Register'!$L$2:$L$501,"&lt;&gt;",'Invoice Register'!$L$2:$L$501,"&lt;&gt;VALID",'Invoice Register'!$L$2:$L$501,"&lt;&gt;CANCELLED",'Invoice Register'!$L$2:$L$501,"&lt;&gt;FX HOLD",'Invoice Register'!$M$2:$M$501,A10)&gt;0,"SUBTOTAL; EXCLUDED RECORDS - SEE MANAGEMENT REPORT",IF(B10="","",IF(ISNUMBER(H10),"DATED ERP INVOICES",IF(ISNUMBER(T10),"HISTORICAL DATES REQUIRED",H10)))))</x:f>
      </x:c>
      <x:c r="V10" s="49" t="str">
        <x:f>IF(B10="","",IF(COUNTIF('Invoice Register'!$M$2:$M$501,A10)=0,"INVOICE DATA REQUIRED",SUMIFS('Invoice Register'!$H$2:$H$501,'Invoice Register'!$M$2:$M$501,A10,'Invoice Register'!$G$2:$G$501,"USD",'Invoice Register'!$B$2:$B$501,B10,'Invoice Register'!$L$2:$L$501,"VALID")+SUMIFS('Invoice Register'!$H$2:$H$501,'Invoice Register'!$M$2:$M$501,A10,'Invoice Register'!$G$2:$G$501,"USD",'Invoice Register'!$B$2:$B$501,B10,'Invoice Register'!$L$2:$L$501,"FX HOLD")))</x:f>
      </x:c>
      <x:c r="W10" s="49" t="str">
        <x:f>IF(B10="","",IF(COUNTIF('Invoice Register'!$M$2:$M$501,A10)=0,"INVOICE DATA REQUIRED",SUMIFS('Invoice Register'!$H$2:$H$501,'Invoice Register'!$M$2:$M$501,A10,'Invoice Register'!$G$2:$G$501,"MXN",'Invoice Register'!$B$2:$B$501,B10,'Invoice Register'!$L$2:$L$501,"VALID")+SUMIFS('Invoice Register'!$H$2:$H$501,'Invoice Register'!$M$2:$M$501,A10,'Invoice Register'!$G$2:$G$501,"MXN",'Invoice Register'!$B$2:$B$501,B10,'Invoice Register'!$L$2:$L$501,"FX HOLD")))</x:f>
      </x:c>
    </x:row>
    <x:row r="11">
      <x:c r="H11" t="str">
        <x:f>IF(B11="","",IF(COUNTIF('Invoice Register'!$M$2:$M$501,A11)=0,"INVOICE DATA REQUIRED",SUMIFS('Invoice Register'!$N$2:$N$501,'Invoice Register'!$M$2:$M$501,A11,'Invoice Register'!$B$2:$B$501,B11)))</x:f>
      </x:c>
      <x:c r="N11" t="str">
        <x:f>IF(B11="","",IF(COUNTIF('ERP Snapshot'!$A$2:$A$101,B11)=0,"UNKNOWN",IF(COUNTIFS('ERP Snapshot'!$A$2:$A$101,B11,'ERP Snapshot'!$D$2:$D$101,"MXN")&gt;0,"MXN","USD")))</x:f>
      </x:c>
      <x:c r="O11" t="str">
        <x:f>IF(B11="","",IF(N11="UNKNOWN","SOURCE REVIEW",IF(N11="USD","NOT REQUIRED",IF(AND(Settings!$B$8="APPROVED",Settings!$B$9&lt;&gt;"",Settings!$B$10&lt;&gt;"",Settings!$B$2&gt;0),"APPROVED","FX HOLD"))))</x:f>
      </x:c>
      <x:c r="P11" t="str">
        <x:f>IF(B11="","",IF(O11="FX HOLD","USD normalized input is provisional; FX approval missing",IF(O11="SOURCE REVIEW","Missing source currency mapping",IF(O11="APPROVED","Approval metadata supplied; source rates not independently audited",""))))</x:f>
      </x:c>
      <x:c r="T11" s="50"/>
      <x:c r="U11" t="str">
        <x:f>IF(B11="","",IF(COUNTIFS('Invoice Register'!$L$2:$L$501,"&lt;&gt;",'Invoice Register'!$L$2:$L$501,"&lt;&gt;VALID",'Invoice Register'!$L$2:$L$501,"&lt;&gt;CANCELLED",'Invoice Register'!$L$2:$L$501,"&lt;&gt;FX HOLD",'Invoice Register'!$M$2:$M$501,A11)&gt;0,"SUBTOTAL; EXCLUDED RECORDS - SEE MANAGEMENT REPORT",IF(B11="","",IF(ISNUMBER(H11),"DATED ERP INVOICES",IF(ISNUMBER(T11),"HISTORICAL DATES REQUIRED",H11)))))</x:f>
      </x:c>
      <x:c r="V11" s="49" t="str">
        <x:f>IF(B11="","",IF(COUNTIF('Invoice Register'!$M$2:$M$501,A11)=0,"INVOICE DATA REQUIRED",SUMIFS('Invoice Register'!$H$2:$H$501,'Invoice Register'!$M$2:$M$501,A11,'Invoice Register'!$G$2:$G$501,"USD",'Invoice Register'!$B$2:$B$501,B11,'Invoice Register'!$L$2:$L$501,"VALID")+SUMIFS('Invoice Register'!$H$2:$H$501,'Invoice Register'!$M$2:$M$501,A11,'Invoice Register'!$G$2:$G$501,"USD",'Invoice Register'!$B$2:$B$501,B11,'Invoice Register'!$L$2:$L$501,"FX HOLD")))</x:f>
      </x:c>
      <x:c r="W11" s="49" t="str">
        <x:f>IF(B11="","",IF(COUNTIF('Invoice Register'!$M$2:$M$501,A11)=0,"INVOICE DATA REQUIRED",SUMIFS('Invoice Register'!$H$2:$H$501,'Invoice Register'!$M$2:$M$501,A11,'Invoice Register'!$G$2:$G$501,"MXN",'Invoice Register'!$B$2:$B$501,B11,'Invoice Register'!$L$2:$L$501,"VALID")+SUMIFS('Invoice Register'!$H$2:$H$501,'Invoice Register'!$M$2:$M$501,A11,'Invoice Register'!$G$2:$G$501,"MXN",'Invoice Register'!$B$2:$B$501,B11,'Invoice Register'!$L$2:$L$501,"FX HOLD")))</x:f>
      </x:c>
    </x:row>
    <x:row r="12">
      <x:c r="H12" t="str">
        <x:f>IF(B12="","",IF(COUNTIF('Invoice Register'!$M$2:$M$501,A12)=0,"INVOICE DATA REQUIRED",SUMIFS('Invoice Register'!$N$2:$N$501,'Invoice Register'!$M$2:$M$501,A12,'Invoice Register'!$B$2:$B$501,B12)))</x:f>
      </x:c>
      <x:c r="N12" t="str">
        <x:f>IF(B12="","",IF(COUNTIF('ERP Snapshot'!$A$2:$A$101,B12)=0,"UNKNOWN",IF(COUNTIFS('ERP Snapshot'!$A$2:$A$101,B12,'ERP Snapshot'!$D$2:$D$101,"MXN")&gt;0,"MXN","USD")))</x:f>
      </x:c>
      <x:c r="O12" t="str">
        <x:f>IF(B12="","",IF(N12="UNKNOWN","SOURCE REVIEW",IF(N12="USD","NOT REQUIRED",IF(AND(Settings!$B$8="APPROVED",Settings!$B$9&lt;&gt;"",Settings!$B$10&lt;&gt;"",Settings!$B$2&gt;0),"APPROVED","FX HOLD"))))</x:f>
      </x:c>
      <x:c r="P12" t="str">
        <x:f>IF(B12="","",IF(O12="FX HOLD","USD normalized input is provisional; FX approval missing",IF(O12="SOURCE REVIEW","Missing source currency mapping",IF(O12="APPROVED","Approval metadata supplied; source rates not independently audited",""))))</x:f>
      </x:c>
      <x:c r="T12" s="50"/>
      <x:c r="U12" t="str">
        <x:f>IF(B12="","",IF(COUNTIFS('Invoice Register'!$L$2:$L$501,"&lt;&gt;",'Invoice Register'!$L$2:$L$501,"&lt;&gt;VALID",'Invoice Register'!$L$2:$L$501,"&lt;&gt;CANCELLED",'Invoice Register'!$L$2:$L$501,"&lt;&gt;FX HOLD",'Invoice Register'!$M$2:$M$501,A12)&gt;0,"SUBTOTAL; EXCLUDED RECORDS - SEE MANAGEMENT REPORT",IF(B12="","",IF(ISNUMBER(H12),"DATED ERP INVOICES",IF(ISNUMBER(T12),"HISTORICAL DATES REQUIRED",H12)))))</x:f>
      </x:c>
      <x:c r="V12" s="49" t="str">
        <x:f>IF(B12="","",IF(COUNTIF('Invoice Register'!$M$2:$M$501,A12)=0,"INVOICE DATA REQUIRED",SUMIFS('Invoice Register'!$H$2:$H$501,'Invoice Register'!$M$2:$M$501,A12,'Invoice Register'!$G$2:$G$501,"USD",'Invoice Register'!$B$2:$B$501,B12,'Invoice Register'!$L$2:$L$501,"VALID")+SUMIFS('Invoice Register'!$H$2:$H$501,'Invoice Register'!$M$2:$M$501,A12,'Invoice Register'!$G$2:$G$501,"USD",'Invoice Register'!$B$2:$B$501,B12,'Invoice Register'!$L$2:$L$501,"FX HOLD")))</x:f>
      </x:c>
      <x:c r="W12" s="49" t="str">
        <x:f>IF(B12="","",IF(COUNTIF('Invoice Register'!$M$2:$M$501,A12)=0,"INVOICE DATA REQUIRED",SUMIFS('Invoice Register'!$H$2:$H$501,'Invoice Register'!$M$2:$M$501,A12,'Invoice Register'!$G$2:$G$501,"MXN",'Invoice Register'!$B$2:$B$501,B12,'Invoice Register'!$L$2:$L$501,"VALID")+SUMIFS('Invoice Register'!$H$2:$H$501,'Invoice Register'!$M$2:$M$501,A12,'Invoice Register'!$G$2:$G$501,"MXN",'Invoice Register'!$B$2:$B$501,B12,'Invoice Register'!$L$2:$L$501,"FX HOLD")))</x:f>
      </x:c>
    </x:row>
    <x:row r="13">
      <x:c r="H13" t="str">
        <x:f>IF(B13="","",IF(COUNTIF('Invoice Register'!$M$2:$M$501,A13)=0,"INVOICE DATA REQUIRED",SUMIFS('Invoice Register'!$N$2:$N$501,'Invoice Register'!$M$2:$M$501,A13,'Invoice Register'!$B$2:$B$501,B13)))</x:f>
      </x:c>
      <x:c r="N13" t="str">
        <x:f>IF(B13="","",IF(COUNTIF('ERP Snapshot'!$A$2:$A$101,B13)=0,"UNKNOWN",IF(COUNTIFS('ERP Snapshot'!$A$2:$A$101,B13,'ERP Snapshot'!$D$2:$D$101,"MXN")&gt;0,"MXN","USD")))</x:f>
      </x:c>
      <x:c r="O13" t="str">
        <x:f>IF(B13="","",IF(N13="UNKNOWN","SOURCE REVIEW",IF(N13="USD","NOT REQUIRED",IF(AND(Settings!$B$8="APPROVED",Settings!$B$9&lt;&gt;"",Settings!$B$10&lt;&gt;"",Settings!$B$2&gt;0),"APPROVED","FX HOLD"))))</x:f>
      </x:c>
      <x:c r="P13" t="str">
        <x:f>IF(B13="","",IF(O13="FX HOLD","USD normalized input is provisional; FX approval missing",IF(O13="SOURCE REVIEW","Missing source currency mapping",IF(O13="APPROVED","Approval metadata supplied; source rates not independently audited",""))))</x:f>
      </x:c>
      <x:c r="T13" s="50"/>
      <x:c r="U13" t="str">
        <x:f>IF(B13="","",IF(COUNTIFS('Invoice Register'!$L$2:$L$501,"&lt;&gt;",'Invoice Register'!$L$2:$L$501,"&lt;&gt;VALID",'Invoice Register'!$L$2:$L$501,"&lt;&gt;CANCELLED",'Invoice Register'!$L$2:$L$501,"&lt;&gt;FX HOLD",'Invoice Register'!$M$2:$M$501,A13)&gt;0,"SUBTOTAL; EXCLUDED RECORDS - SEE MANAGEMENT REPORT",IF(B13="","",IF(ISNUMBER(H13),"DATED ERP INVOICES",IF(ISNUMBER(T13),"HISTORICAL DATES REQUIRED",H13)))))</x:f>
      </x:c>
      <x:c r="V13" s="49" t="str">
        <x:f>IF(B13="","",IF(COUNTIF('Invoice Register'!$M$2:$M$501,A13)=0,"INVOICE DATA REQUIRED",SUMIFS('Invoice Register'!$H$2:$H$501,'Invoice Register'!$M$2:$M$501,A13,'Invoice Register'!$G$2:$G$501,"USD",'Invoice Register'!$B$2:$B$501,B13,'Invoice Register'!$L$2:$L$501,"VALID")+SUMIFS('Invoice Register'!$H$2:$H$501,'Invoice Register'!$M$2:$M$501,A13,'Invoice Register'!$G$2:$G$501,"USD",'Invoice Register'!$B$2:$B$501,B13,'Invoice Register'!$L$2:$L$501,"FX HOLD")))</x:f>
      </x:c>
      <x:c r="W13" s="49" t="str">
        <x:f>IF(B13="","",IF(COUNTIF('Invoice Register'!$M$2:$M$501,A13)=0,"INVOICE DATA REQUIRED",SUMIFS('Invoice Register'!$H$2:$H$501,'Invoice Register'!$M$2:$M$501,A13,'Invoice Register'!$G$2:$G$501,"MXN",'Invoice Register'!$B$2:$B$501,B13,'Invoice Register'!$L$2:$L$501,"VALID")+SUMIFS('Invoice Register'!$H$2:$H$501,'Invoice Register'!$M$2:$M$501,A13,'Invoice Register'!$G$2:$G$501,"MXN",'Invoice Register'!$B$2:$B$501,B13,'Invoice Register'!$L$2:$L$501,"FX HOLD")))</x:f>
      </x:c>
    </x:row>
    <x:row r="14">
      <x:c r="H14" t="str">
        <x:f>IF(B14="","",IF(COUNTIF('Invoice Register'!$M$2:$M$501,A14)=0,"INVOICE DATA REQUIRED",SUMIFS('Invoice Register'!$N$2:$N$501,'Invoice Register'!$M$2:$M$501,A14,'Invoice Register'!$B$2:$B$501,B14)))</x:f>
      </x:c>
      <x:c r="N14" t="str">
        <x:f>IF(B14="","",IF(COUNTIF('ERP Snapshot'!$A$2:$A$101,B14)=0,"UNKNOWN",IF(COUNTIFS('ERP Snapshot'!$A$2:$A$101,B14,'ERP Snapshot'!$D$2:$D$101,"MXN")&gt;0,"MXN","USD")))</x:f>
      </x:c>
      <x:c r="O14" t="str">
        <x:f>IF(B14="","",IF(N14="UNKNOWN","SOURCE REVIEW",IF(N14="USD","NOT REQUIRED",IF(AND(Settings!$B$8="APPROVED",Settings!$B$9&lt;&gt;"",Settings!$B$10&lt;&gt;"",Settings!$B$2&gt;0),"APPROVED","FX HOLD"))))</x:f>
      </x:c>
      <x:c r="P14" t="str">
        <x:f>IF(B14="","",IF(O14="FX HOLD","USD normalized input is provisional; FX approval missing",IF(O14="SOURCE REVIEW","Missing source currency mapping",IF(O14="APPROVED","Approval metadata supplied; source rates not independently audited",""))))</x:f>
      </x:c>
      <x:c r="T14" s="50"/>
      <x:c r="U14" t="str">
        <x:f>IF(B14="","",IF(COUNTIFS('Invoice Register'!$L$2:$L$501,"&lt;&gt;",'Invoice Register'!$L$2:$L$501,"&lt;&gt;VALID",'Invoice Register'!$L$2:$L$501,"&lt;&gt;CANCELLED",'Invoice Register'!$L$2:$L$501,"&lt;&gt;FX HOLD",'Invoice Register'!$M$2:$M$501,A14)&gt;0,"SUBTOTAL; EXCLUDED RECORDS - SEE MANAGEMENT REPORT",IF(B14="","",IF(ISNUMBER(H14),"DATED ERP INVOICES",IF(ISNUMBER(T14),"HISTORICAL DATES REQUIRED",H14)))))</x:f>
      </x:c>
      <x:c r="V14" s="49" t="str">
        <x:f>IF(B14="","",IF(COUNTIF('Invoice Register'!$M$2:$M$501,A14)=0,"INVOICE DATA REQUIRED",SUMIFS('Invoice Register'!$H$2:$H$501,'Invoice Register'!$M$2:$M$501,A14,'Invoice Register'!$G$2:$G$501,"USD",'Invoice Register'!$B$2:$B$501,B14,'Invoice Register'!$L$2:$L$501,"VALID")+SUMIFS('Invoice Register'!$H$2:$H$501,'Invoice Register'!$M$2:$M$501,A14,'Invoice Register'!$G$2:$G$501,"USD",'Invoice Register'!$B$2:$B$501,B14,'Invoice Register'!$L$2:$L$501,"FX HOLD")))</x:f>
      </x:c>
      <x:c r="W14" s="49" t="str">
        <x:f>IF(B14="","",IF(COUNTIF('Invoice Register'!$M$2:$M$501,A14)=0,"INVOICE DATA REQUIRED",SUMIFS('Invoice Register'!$H$2:$H$501,'Invoice Register'!$M$2:$M$501,A14,'Invoice Register'!$G$2:$G$501,"MXN",'Invoice Register'!$B$2:$B$501,B14,'Invoice Register'!$L$2:$L$501,"VALID")+SUMIFS('Invoice Register'!$H$2:$H$501,'Invoice Register'!$M$2:$M$501,A14,'Invoice Register'!$G$2:$G$501,"MXN",'Invoice Register'!$B$2:$B$501,B14,'Invoice Register'!$L$2:$L$501,"FX HOLD")))</x:f>
      </x:c>
    </x:row>
    <x:row r="15">
      <x:c r="H15" t="str">
        <x:f>IF(B15="","",IF(COUNTIF('Invoice Register'!$M$2:$M$501,A15)=0,"INVOICE DATA REQUIRED",SUMIFS('Invoice Register'!$N$2:$N$501,'Invoice Register'!$M$2:$M$501,A15,'Invoice Register'!$B$2:$B$501,B15)))</x:f>
      </x:c>
      <x:c r="N15" t="str">
        <x:f>IF(B15="","",IF(COUNTIF('ERP Snapshot'!$A$2:$A$101,B15)=0,"UNKNOWN",IF(COUNTIFS('ERP Snapshot'!$A$2:$A$101,B15,'ERP Snapshot'!$D$2:$D$101,"MXN")&gt;0,"MXN","USD")))</x:f>
      </x:c>
      <x:c r="O15" t="str">
        <x:f>IF(B15="","",IF(N15="UNKNOWN","SOURCE REVIEW",IF(N15="USD","NOT REQUIRED",IF(AND(Settings!$B$8="APPROVED",Settings!$B$9&lt;&gt;"",Settings!$B$10&lt;&gt;"",Settings!$B$2&gt;0),"APPROVED","FX HOLD"))))</x:f>
      </x:c>
      <x:c r="P15" t="str">
        <x:f>IF(B15="","",IF(O15="FX HOLD","USD normalized input is provisional; FX approval missing",IF(O15="SOURCE REVIEW","Missing source currency mapping",IF(O15="APPROVED","Approval metadata supplied; source rates not independently audited",""))))</x:f>
      </x:c>
      <x:c r="T15" s="50"/>
      <x:c r="U15" t="str">
        <x:f>IF(B15="","",IF(COUNTIFS('Invoice Register'!$L$2:$L$501,"&lt;&gt;",'Invoice Register'!$L$2:$L$501,"&lt;&gt;VALID",'Invoice Register'!$L$2:$L$501,"&lt;&gt;CANCELLED",'Invoice Register'!$L$2:$L$501,"&lt;&gt;FX HOLD",'Invoice Register'!$M$2:$M$501,A15)&gt;0,"SUBTOTAL; EXCLUDED RECORDS - SEE MANAGEMENT REPORT",IF(B15="","",IF(ISNUMBER(H15),"DATED ERP INVOICES",IF(ISNUMBER(T15),"HISTORICAL DATES REQUIRED",H15)))))</x:f>
      </x:c>
      <x:c r="V15" s="49" t="str">
        <x:f>IF(B15="","",IF(COUNTIF('Invoice Register'!$M$2:$M$501,A15)=0,"INVOICE DATA REQUIRED",SUMIFS('Invoice Register'!$H$2:$H$501,'Invoice Register'!$M$2:$M$501,A15,'Invoice Register'!$G$2:$G$501,"USD",'Invoice Register'!$B$2:$B$501,B15,'Invoice Register'!$L$2:$L$501,"VALID")+SUMIFS('Invoice Register'!$H$2:$H$501,'Invoice Register'!$M$2:$M$501,A15,'Invoice Register'!$G$2:$G$501,"USD",'Invoice Register'!$B$2:$B$501,B15,'Invoice Register'!$L$2:$L$501,"FX HOLD")))</x:f>
      </x:c>
      <x:c r="W15" s="49" t="str">
        <x:f>IF(B15="","",IF(COUNTIF('Invoice Register'!$M$2:$M$501,A15)=0,"INVOICE DATA REQUIRED",SUMIFS('Invoice Register'!$H$2:$H$501,'Invoice Register'!$M$2:$M$501,A15,'Invoice Register'!$G$2:$G$501,"MXN",'Invoice Register'!$B$2:$B$501,B15,'Invoice Register'!$L$2:$L$501,"VALID")+SUMIFS('Invoice Register'!$H$2:$H$501,'Invoice Register'!$M$2:$M$501,A15,'Invoice Register'!$G$2:$G$501,"MXN",'Invoice Register'!$B$2:$B$501,B15,'Invoice Register'!$L$2:$L$501,"FX HOLD")))</x:f>
      </x:c>
    </x:row>
    <x:row r="16">
      <x:c r="H16" t="str">
        <x:f>IF(B16="","",IF(COUNTIF('Invoice Register'!$M$2:$M$501,A16)=0,"INVOICE DATA REQUIRED",SUMIFS('Invoice Register'!$N$2:$N$501,'Invoice Register'!$M$2:$M$501,A16,'Invoice Register'!$B$2:$B$501,B16)))</x:f>
      </x:c>
      <x:c r="N16" t="str">
        <x:f>IF(B16="","",IF(COUNTIF('ERP Snapshot'!$A$2:$A$101,B16)=0,"UNKNOWN",IF(COUNTIFS('ERP Snapshot'!$A$2:$A$101,B16,'ERP Snapshot'!$D$2:$D$101,"MXN")&gt;0,"MXN","USD")))</x:f>
      </x:c>
      <x:c r="O16" t="str">
        <x:f>IF(B16="","",IF(N16="UNKNOWN","SOURCE REVIEW",IF(N16="USD","NOT REQUIRED",IF(AND(Settings!$B$8="APPROVED",Settings!$B$9&lt;&gt;"",Settings!$B$10&lt;&gt;"",Settings!$B$2&gt;0),"APPROVED","FX HOLD"))))</x:f>
      </x:c>
      <x:c r="P16" t="str">
        <x:f>IF(B16="","",IF(O16="FX HOLD","USD normalized input is provisional; FX approval missing",IF(O16="SOURCE REVIEW","Missing source currency mapping",IF(O16="APPROVED","Approval metadata supplied; source rates not independently audited",""))))</x:f>
      </x:c>
      <x:c r="T16" s="50"/>
      <x:c r="U16" t="str">
        <x:f>IF(B16="","",IF(COUNTIFS('Invoice Register'!$L$2:$L$501,"&lt;&gt;",'Invoice Register'!$L$2:$L$501,"&lt;&gt;VALID",'Invoice Register'!$L$2:$L$501,"&lt;&gt;CANCELLED",'Invoice Register'!$L$2:$L$501,"&lt;&gt;FX HOLD",'Invoice Register'!$M$2:$M$501,A16)&gt;0,"SUBTOTAL; EXCLUDED RECORDS - SEE MANAGEMENT REPORT",IF(B16="","",IF(ISNUMBER(H16),"DATED ERP INVOICES",IF(ISNUMBER(T16),"HISTORICAL DATES REQUIRED",H16)))))</x:f>
      </x:c>
      <x:c r="V16" s="49" t="str">
        <x:f>IF(B16="","",IF(COUNTIF('Invoice Register'!$M$2:$M$501,A16)=0,"INVOICE DATA REQUIRED",SUMIFS('Invoice Register'!$H$2:$H$501,'Invoice Register'!$M$2:$M$501,A16,'Invoice Register'!$G$2:$G$501,"USD",'Invoice Register'!$B$2:$B$501,B16,'Invoice Register'!$L$2:$L$501,"VALID")+SUMIFS('Invoice Register'!$H$2:$H$501,'Invoice Register'!$M$2:$M$501,A16,'Invoice Register'!$G$2:$G$501,"USD",'Invoice Register'!$B$2:$B$501,B16,'Invoice Register'!$L$2:$L$501,"FX HOLD")))</x:f>
      </x:c>
      <x:c r="W16" s="49" t="str">
        <x:f>IF(B16="","",IF(COUNTIF('Invoice Register'!$M$2:$M$501,A16)=0,"INVOICE DATA REQUIRED",SUMIFS('Invoice Register'!$H$2:$H$501,'Invoice Register'!$M$2:$M$501,A16,'Invoice Register'!$G$2:$G$501,"MXN",'Invoice Register'!$B$2:$B$501,B16,'Invoice Register'!$L$2:$L$501,"VALID")+SUMIFS('Invoice Register'!$H$2:$H$501,'Invoice Register'!$M$2:$M$501,A16,'Invoice Register'!$G$2:$G$501,"MXN",'Invoice Register'!$B$2:$B$501,B16,'Invoice Register'!$L$2:$L$501,"FX HOLD")))</x:f>
      </x:c>
    </x:row>
    <x:row r="17">
      <x:c r="H17" t="str">
        <x:f>IF(B17="","",IF(COUNTIF('Invoice Register'!$M$2:$M$501,A17)=0,"INVOICE DATA REQUIRED",SUMIFS('Invoice Register'!$N$2:$N$501,'Invoice Register'!$M$2:$M$501,A17,'Invoice Register'!$B$2:$B$501,B17)))</x:f>
      </x:c>
      <x:c r="N17" t="str">
        <x:f>IF(B17="","",IF(COUNTIF('ERP Snapshot'!$A$2:$A$101,B17)=0,"UNKNOWN",IF(COUNTIFS('ERP Snapshot'!$A$2:$A$101,B17,'ERP Snapshot'!$D$2:$D$101,"MXN")&gt;0,"MXN","USD")))</x:f>
      </x:c>
      <x:c r="O17" t="str">
        <x:f>IF(B17="","",IF(N17="UNKNOWN","SOURCE REVIEW",IF(N17="USD","NOT REQUIRED",IF(AND(Settings!$B$8="APPROVED",Settings!$B$9&lt;&gt;"",Settings!$B$10&lt;&gt;"",Settings!$B$2&gt;0),"APPROVED","FX HOLD"))))</x:f>
      </x:c>
      <x:c r="P17" t="str">
        <x:f>IF(B17="","",IF(O17="FX HOLD","USD normalized input is provisional; FX approval missing",IF(O17="SOURCE REVIEW","Missing source currency mapping",IF(O17="APPROVED","Approval metadata supplied; source rates not independently audited",""))))</x:f>
      </x:c>
      <x:c r="T17" s="50"/>
      <x:c r="U17" t="str">
        <x:f>IF(B17="","",IF(COUNTIFS('Invoice Register'!$L$2:$L$501,"&lt;&gt;",'Invoice Register'!$L$2:$L$501,"&lt;&gt;VALID",'Invoice Register'!$L$2:$L$501,"&lt;&gt;CANCELLED",'Invoice Register'!$L$2:$L$501,"&lt;&gt;FX HOLD",'Invoice Register'!$M$2:$M$501,A17)&gt;0,"SUBTOTAL; EXCLUDED RECORDS - SEE MANAGEMENT REPORT",IF(B17="","",IF(ISNUMBER(H17),"DATED ERP INVOICES",IF(ISNUMBER(T17),"HISTORICAL DATES REQUIRED",H17)))))</x:f>
      </x:c>
      <x:c r="V17" s="49" t="str">
        <x:f>IF(B17="","",IF(COUNTIF('Invoice Register'!$M$2:$M$501,A17)=0,"INVOICE DATA REQUIRED",SUMIFS('Invoice Register'!$H$2:$H$501,'Invoice Register'!$M$2:$M$501,A17,'Invoice Register'!$G$2:$G$501,"USD",'Invoice Register'!$B$2:$B$501,B17,'Invoice Register'!$L$2:$L$501,"VALID")+SUMIFS('Invoice Register'!$H$2:$H$501,'Invoice Register'!$M$2:$M$501,A17,'Invoice Register'!$G$2:$G$501,"USD",'Invoice Register'!$B$2:$B$501,B17,'Invoice Register'!$L$2:$L$501,"FX HOLD")))</x:f>
      </x:c>
      <x:c r="W17" s="49" t="str">
        <x:f>IF(B17="","",IF(COUNTIF('Invoice Register'!$M$2:$M$501,A17)=0,"INVOICE DATA REQUIRED",SUMIFS('Invoice Register'!$H$2:$H$501,'Invoice Register'!$M$2:$M$501,A17,'Invoice Register'!$G$2:$G$501,"MXN",'Invoice Register'!$B$2:$B$501,B17,'Invoice Register'!$L$2:$L$501,"VALID")+SUMIFS('Invoice Register'!$H$2:$H$501,'Invoice Register'!$M$2:$M$501,A17,'Invoice Register'!$G$2:$G$501,"MXN",'Invoice Register'!$B$2:$B$501,B17,'Invoice Register'!$L$2:$L$501,"FX HOLD")))</x:f>
      </x:c>
    </x:row>
    <x:row r="18">
      <x:c r="H18" t="str">
        <x:f>IF(B18="","",IF(COUNTIF('Invoice Register'!$M$2:$M$501,A18)=0,"INVOICE DATA REQUIRED",SUMIFS('Invoice Register'!$N$2:$N$501,'Invoice Register'!$M$2:$M$501,A18,'Invoice Register'!$B$2:$B$501,B18)))</x:f>
      </x:c>
      <x:c r="N18" t="str">
        <x:f>IF(B18="","",IF(COUNTIF('ERP Snapshot'!$A$2:$A$101,B18)=0,"UNKNOWN",IF(COUNTIFS('ERP Snapshot'!$A$2:$A$101,B18,'ERP Snapshot'!$D$2:$D$101,"MXN")&gt;0,"MXN","USD")))</x:f>
      </x:c>
      <x:c r="O18" t="str">
        <x:f>IF(B18="","",IF(N18="UNKNOWN","SOURCE REVIEW",IF(N18="USD","NOT REQUIRED",IF(AND(Settings!$B$8="APPROVED",Settings!$B$9&lt;&gt;"",Settings!$B$10&lt;&gt;"",Settings!$B$2&gt;0),"APPROVED","FX HOLD"))))</x:f>
      </x:c>
      <x:c r="P18" t="str">
        <x:f>IF(B18="","",IF(O18="FX HOLD","USD normalized input is provisional; FX approval missing",IF(O18="SOURCE REVIEW","Missing source currency mapping",IF(O18="APPROVED","Approval metadata supplied; source rates not independently audited",""))))</x:f>
      </x:c>
      <x:c r="T18" s="50"/>
      <x:c r="U18" t="str">
        <x:f>IF(B18="","",IF(COUNTIFS('Invoice Register'!$L$2:$L$501,"&lt;&gt;",'Invoice Register'!$L$2:$L$501,"&lt;&gt;VALID",'Invoice Register'!$L$2:$L$501,"&lt;&gt;CANCELLED",'Invoice Register'!$L$2:$L$501,"&lt;&gt;FX HOLD",'Invoice Register'!$M$2:$M$501,A18)&gt;0,"SUBTOTAL; EXCLUDED RECORDS - SEE MANAGEMENT REPORT",IF(B18="","",IF(ISNUMBER(H18),"DATED ERP INVOICES",IF(ISNUMBER(T18),"HISTORICAL DATES REQUIRED",H18)))))</x:f>
      </x:c>
      <x:c r="V18" s="49" t="str">
        <x:f>IF(B18="","",IF(COUNTIF('Invoice Register'!$M$2:$M$501,A18)=0,"INVOICE DATA REQUIRED",SUMIFS('Invoice Register'!$H$2:$H$501,'Invoice Register'!$M$2:$M$501,A18,'Invoice Register'!$G$2:$G$501,"USD",'Invoice Register'!$B$2:$B$501,B18,'Invoice Register'!$L$2:$L$501,"VALID")+SUMIFS('Invoice Register'!$H$2:$H$501,'Invoice Register'!$M$2:$M$501,A18,'Invoice Register'!$G$2:$G$501,"USD",'Invoice Register'!$B$2:$B$501,B18,'Invoice Register'!$L$2:$L$501,"FX HOLD")))</x:f>
      </x:c>
      <x:c r="W18" s="49" t="str">
        <x:f>IF(B18="","",IF(COUNTIF('Invoice Register'!$M$2:$M$501,A18)=0,"INVOICE DATA REQUIRED",SUMIFS('Invoice Register'!$H$2:$H$501,'Invoice Register'!$M$2:$M$501,A18,'Invoice Register'!$G$2:$G$501,"MXN",'Invoice Register'!$B$2:$B$501,B18,'Invoice Register'!$L$2:$L$501,"VALID")+SUMIFS('Invoice Register'!$H$2:$H$501,'Invoice Register'!$M$2:$M$501,A18,'Invoice Register'!$G$2:$G$501,"MXN",'Invoice Register'!$B$2:$B$501,B18,'Invoice Register'!$L$2:$L$501,"FX HOLD")))</x:f>
      </x:c>
    </x:row>
    <x:row r="19">
      <x:c r="H19" t="str">
        <x:f>IF(B19="","",IF(COUNTIF('Invoice Register'!$M$2:$M$501,A19)=0,"INVOICE DATA REQUIRED",SUMIFS('Invoice Register'!$N$2:$N$501,'Invoice Register'!$M$2:$M$501,A19,'Invoice Register'!$B$2:$B$501,B19)))</x:f>
      </x:c>
      <x:c r="N19" t="str">
        <x:f>IF(B19="","",IF(COUNTIF('ERP Snapshot'!$A$2:$A$101,B19)=0,"UNKNOWN",IF(COUNTIFS('ERP Snapshot'!$A$2:$A$101,B19,'ERP Snapshot'!$D$2:$D$101,"MXN")&gt;0,"MXN","USD")))</x:f>
      </x:c>
      <x:c r="O19" t="str">
        <x:f>IF(B19="","",IF(N19="UNKNOWN","SOURCE REVIEW",IF(N19="USD","NOT REQUIRED",IF(AND(Settings!$B$8="APPROVED",Settings!$B$9&lt;&gt;"",Settings!$B$10&lt;&gt;"",Settings!$B$2&gt;0),"APPROVED","FX HOLD"))))</x:f>
      </x:c>
      <x:c r="P19" t="str">
        <x:f>IF(B19="","",IF(O19="FX HOLD","USD normalized input is provisional; FX approval missing",IF(O19="SOURCE REVIEW","Missing source currency mapping",IF(O19="APPROVED","Approval metadata supplied; source rates not independently audited",""))))</x:f>
      </x:c>
      <x:c r="T19" s="50"/>
      <x:c r="U19" t="str">
        <x:f>IF(B19="","",IF(COUNTIFS('Invoice Register'!$L$2:$L$501,"&lt;&gt;",'Invoice Register'!$L$2:$L$501,"&lt;&gt;VALID",'Invoice Register'!$L$2:$L$501,"&lt;&gt;CANCELLED",'Invoice Register'!$L$2:$L$501,"&lt;&gt;FX HOLD",'Invoice Register'!$M$2:$M$501,A19)&gt;0,"SUBTOTAL; EXCLUDED RECORDS - SEE MANAGEMENT REPORT",IF(B19="","",IF(ISNUMBER(H19),"DATED ERP INVOICES",IF(ISNUMBER(T19),"HISTORICAL DATES REQUIRED",H19)))))</x:f>
      </x:c>
      <x:c r="V19" s="49" t="str">
        <x:f>IF(B19="","",IF(COUNTIF('Invoice Register'!$M$2:$M$501,A19)=0,"INVOICE DATA REQUIRED",SUMIFS('Invoice Register'!$H$2:$H$501,'Invoice Register'!$M$2:$M$501,A19,'Invoice Register'!$G$2:$G$501,"USD",'Invoice Register'!$B$2:$B$501,B19,'Invoice Register'!$L$2:$L$501,"VALID")+SUMIFS('Invoice Register'!$H$2:$H$501,'Invoice Register'!$M$2:$M$501,A19,'Invoice Register'!$G$2:$G$501,"USD",'Invoice Register'!$B$2:$B$501,B19,'Invoice Register'!$L$2:$L$501,"FX HOLD")))</x:f>
      </x:c>
      <x:c r="W19" s="49" t="str">
        <x:f>IF(B19="","",IF(COUNTIF('Invoice Register'!$M$2:$M$501,A19)=0,"INVOICE DATA REQUIRED",SUMIFS('Invoice Register'!$H$2:$H$501,'Invoice Register'!$M$2:$M$501,A19,'Invoice Register'!$G$2:$G$501,"MXN",'Invoice Register'!$B$2:$B$501,B19,'Invoice Register'!$L$2:$L$501,"VALID")+SUMIFS('Invoice Register'!$H$2:$H$501,'Invoice Register'!$M$2:$M$501,A19,'Invoice Register'!$G$2:$G$501,"MXN",'Invoice Register'!$B$2:$B$501,B19,'Invoice Register'!$L$2:$L$501,"FX HOLD")))</x:f>
      </x:c>
    </x:row>
    <x:row r="20">
      <x:c r="H20" t="str">
        <x:f>IF(B20="","",IF(COUNTIF('Invoice Register'!$M$2:$M$501,A20)=0,"INVOICE DATA REQUIRED",SUMIFS('Invoice Register'!$N$2:$N$501,'Invoice Register'!$M$2:$M$501,A20,'Invoice Register'!$B$2:$B$501,B20)))</x:f>
      </x:c>
      <x:c r="N20" t="str">
        <x:f>IF(B20="","",IF(COUNTIF('ERP Snapshot'!$A$2:$A$101,B20)=0,"UNKNOWN",IF(COUNTIFS('ERP Snapshot'!$A$2:$A$101,B20,'ERP Snapshot'!$D$2:$D$101,"MXN")&gt;0,"MXN","USD")))</x:f>
      </x:c>
      <x:c r="O20" t="str">
        <x:f>IF(B20="","",IF(N20="UNKNOWN","SOURCE REVIEW",IF(N20="USD","NOT REQUIRED",IF(AND(Settings!$B$8="APPROVED",Settings!$B$9&lt;&gt;"",Settings!$B$10&lt;&gt;"",Settings!$B$2&gt;0),"APPROVED","FX HOLD"))))</x:f>
      </x:c>
      <x:c r="P20" t="str">
        <x:f>IF(B20="","",IF(O20="FX HOLD","USD normalized input is provisional; FX approval missing",IF(O20="SOURCE REVIEW","Missing source currency mapping",IF(O20="APPROVED","Approval metadata supplied; source rates not independently audited",""))))</x:f>
      </x:c>
      <x:c r="T20" s="50"/>
      <x:c r="U20" t="str">
        <x:f>IF(B20="","",IF(COUNTIFS('Invoice Register'!$L$2:$L$501,"&lt;&gt;",'Invoice Register'!$L$2:$L$501,"&lt;&gt;VALID",'Invoice Register'!$L$2:$L$501,"&lt;&gt;CANCELLED",'Invoice Register'!$L$2:$L$501,"&lt;&gt;FX HOLD",'Invoice Register'!$M$2:$M$501,A20)&gt;0,"SUBTOTAL; EXCLUDED RECORDS - SEE MANAGEMENT REPORT",IF(B20="","",IF(ISNUMBER(H20),"DATED ERP INVOICES",IF(ISNUMBER(T20),"HISTORICAL DATES REQUIRED",H20)))))</x:f>
      </x:c>
      <x:c r="V20" s="49" t="str">
        <x:f>IF(B20="","",IF(COUNTIF('Invoice Register'!$M$2:$M$501,A20)=0,"INVOICE DATA REQUIRED",SUMIFS('Invoice Register'!$H$2:$H$501,'Invoice Register'!$M$2:$M$501,A20,'Invoice Register'!$G$2:$G$501,"USD",'Invoice Register'!$B$2:$B$501,B20,'Invoice Register'!$L$2:$L$501,"VALID")+SUMIFS('Invoice Register'!$H$2:$H$501,'Invoice Register'!$M$2:$M$501,A20,'Invoice Register'!$G$2:$G$501,"USD",'Invoice Register'!$B$2:$B$501,B20,'Invoice Register'!$L$2:$L$501,"FX HOLD")))</x:f>
      </x:c>
      <x:c r="W20" s="49" t="str">
        <x:f>IF(B20="","",IF(COUNTIF('Invoice Register'!$M$2:$M$501,A20)=0,"INVOICE DATA REQUIRED",SUMIFS('Invoice Register'!$H$2:$H$501,'Invoice Register'!$M$2:$M$501,A20,'Invoice Register'!$G$2:$G$501,"MXN",'Invoice Register'!$B$2:$B$501,B20,'Invoice Register'!$L$2:$L$501,"VALID")+SUMIFS('Invoice Register'!$H$2:$H$501,'Invoice Register'!$M$2:$M$501,A20,'Invoice Register'!$G$2:$G$501,"MXN",'Invoice Register'!$B$2:$B$501,B20,'Invoice Register'!$L$2:$L$501,"FX HOLD")))</x:f>
      </x:c>
    </x:row>
    <x:row r="21">
      <x:c r="H21" t="str">
        <x:f>IF(B21="","",IF(COUNTIF('Invoice Register'!$M$2:$M$501,A21)=0,"INVOICE DATA REQUIRED",SUMIFS('Invoice Register'!$N$2:$N$501,'Invoice Register'!$M$2:$M$501,A21,'Invoice Register'!$B$2:$B$501,B21)))</x:f>
      </x:c>
      <x:c r="N21" t="str">
        <x:f>IF(B21="","",IF(COUNTIF('ERP Snapshot'!$A$2:$A$101,B21)=0,"UNKNOWN",IF(COUNTIFS('ERP Snapshot'!$A$2:$A$101,B21,'ERP Snapshot'!$D$2:$D$101,"MXN")&gt;0,"MXN","USD")))</x:f>
      </x:c>
      <x:c r="O21" t="str">
        <x:f>IF(B21="","",IF(N21="UNKNOWN","SOURCE REVIEW",IF(N21="USD","NOT REQUIRED",IF(AND(Settings!$B$8="APPROVED",Settings!$B$9&lt;&gt;"",Settings!$B$10&lt;&gt;"",Settings!$B$2&gt;0),"APPROVED","FX HOLD"))))</x:f>
      </x:c>
      <x:c r="P21" t="str">
        <x:f>IF(B21="","",IF(O21="FX HOLD","USD normalized input is provisional; FX approval missing",IF(O21="SOURCE REVIEW","Missing source currency mapping",IF(O21="APPROVED","Approval metadata supplied; source rates not independently audited",""))))</x:f>
      </x:c>
      <x:c r="T21" s="50"/>
      <x:c r="U21" t="str">
        <x:f>IF(B21="","",IF(COUNTIFS('Invoice Register'!$L$2:$L$501,"&lt;&gt;",'Invoice Register'!$L$2:$L$501,"&lt;&gt;VALID",'Invoice Register'!$L$2:$L$501,"&lt;&gt;CANCELLED",'Invoice Register'!$L$2:$L$501,"&lt;&gt;FX HOLD",'Invoice Register'!$M$2:$M$501,A21)&gt;0,"SUBTOTAL; EXCLUDED RECORDS - SEE MANAGEMENT REPORT",IF(B21="","",IF(ISNUMBER(H21),"DATED ERP INVOICES",IF(ISNUMBER(T21),"HISTORICAL DATES REQUIRED",H21)))))</x:f>
      </x:c>
      <x:c r="V21" s="49" t="str">
        <x:f>IF(B21="","",IF(COUNTIF('Invoice Register'!$M$2:$M$501,A21)=0,"INVOICE DATA REQUIRED",SUMIFS('Invoice Register'!$H$2:$H$501,'Invoice Register'!$M$2:$M$501,A21,'Invoice Register'!$G$2:$G$501,"USD",'Invoice Register'!$B$2:$B$501,B21,'Invoice Register'!$L$2:$L$501,"VALID")+SUMIFS('Invoice Register'!$H$2:$H$501,'Invoice Register'!$M$2:$M$501,A21,'Invoice Register'!$G$2:$G$501,"USD",'Invoice Register'!$B$2:$B$501,B21,'Invoice Register'!$L$2:$L$501,"FX HOLD")))</x:f>
      </x:c>
      <x:c r="W21" s="49" t="str">
        <x:f>IF(B21="","",IF(COUNTIF('Invoice Register'!$M$2:$M$501,A21)=0,"INVOICE DATA REQUIRED",SUMIFS('Invoice Register'!$H$2:$H$501,'Invoice Register'!$M$2:$M$501,A21,'Invoice Register'!$G$2:$G$501,"MXN",'Invoice Register'!$B$2:$B$501,B21,'Invoice Register'!$L$2:$L$501,"VALID")+SUMIFS('Invoice Register'!$H$2:$H$501,'Invoice Register'!$M$2:$M$501,A21,'Invoice Register'!$G$2:$G$501,"MXN",'Invoice Register'!$B$2:$B$501,B21,'Invoice Register'!$L$2:$L$501,"FX HOLD")))</x:f>
      </x:c>
    </x:row>
    <x:row r="22">
      <x:c r="H22" t="str">
        <x:f>IF(B22="","",IF(COUNTIF('Invoice Register'!$M$2:$M$501,A22)=0,"INVOICE DATA REQUIRED",SUMIFS('Invoice Register'!$N$2:$N$501,'Invoice Register'!$M$2:$M$501,A22,'Invoice Register'!$B$2:$B$501,B22)))</x:f>
      </x:c>
      <x:c r="N22" t="str">
        <x:f>IF(B22="","",IF(COUNTIF('ERP Snapshot'!$A$2:$A$101,B22)=0,"UNKNOWN",IF(COUNTIFS('ERP Snapshot'!$A$2:$A$101,B22,'ERP Snapshot'!$D$2:$D$101,"MXN")&gt;0,"MXN","USD")))</x:f>
      </x:c>
      <x:c r="O22" t="str">
        <x:f>IF(B22="","",IF(N22="UNKNOWN","SOURCE REVIEW",IF(N22="USD","NOT REQUIRED",IF(AND(Settings!$B$8="APPROVED",Settings!$B$9&lt;&gt;"",Settings!$B$10&lt;&gt;"",Settings!$B$2&gt;0),"APPROVED","FX HOLD"))))</x:f>
      </x:c>
      <x:c r="P22" t="str">
        <x:f>IF(B22="","",IF(O22="FX HOLD","USD normalized input is provisional; FX approval missing",IF(O22="SOURCE REVIEW","Missing source currency mapping",IF(O22="APPROVED","Approval metadata supplied; source rates not independently audited",""))))</x:f>
      </x:c>
      <x:c r="T22" s="50"/>
      <x:c r="U22" t="str">
        <x:f>IF(B22="","",IF(COUNTIFS('Invoice Register'!$L$2:$L$501,"&lt;&gt;",'Invoice Register'!$L$2:$L$501,"&lt;&gt;VALID",'Invoice Register'!$L$2:$L$501,"&lt;&gt;CANCELLED",'Invoice Register'!$L$2:$L$501,"&lt;&gt;FX HOLD",'Invoice Register'!$M$2:$M$501,A22)&gt;0,"SUBTOTAL; EXCLUDED RECORDS - SEE MANAGEMENT REPORT",IF(B22="","",IF(ISNUMBER(H22),"DATED ERP INVOICES",IF(ISNUMBER(T22),"HISTORICAL DATES REQUIRED",H22)))))</x:f>
      </x:c>
      <x:c r="V22" s="49" t="str">
        <x:f>IF(B22="","",IF(COUNTIF('Invoice Register'!$M$2:$M$501,A22)=0,"INVOICE DATA REQUIRED",SUMIFS('Invoice Register'!$H$2:$H$501,'Invoice Register'!$M$2:$M$501,A22,'Invoice Register'!$G$2:$G$501,"USD",'Invoice Register'!$B$2:$B$501,B22,'Invoice Register'!$L$2:$L$501,"VALID")+SUMIFS('Invoice Register'!$H$2:$H$501,'Invoice Register'!$M$2:$M$501,A22,'Invoice Register'!$G$2:$G$501,"USD",'Invoice Register'!$B$2:$B$501,B22,'Invoice Register'!$L$2:$L$501,"FX HOLD")))</x:f>
      </x:c>
      <x:c r="W22" s="49" t="str">
        <x:f>IF(B22="","",IF(COUNTIF('Invoice Register'!$M$2:$M$501,A22)=0,"INVOICE DATA REQUIRED",SUMIFS('Invoice Register'!$H$2:$H$501,'Invoice Register'!$M$2:$M$501,A22,'Invoice Register'!$G$2:$G$501,"MXN",'Invoice Register'!$B$2:$B$501,B22,'Invoice Register'!$L$2:$L$501,"VALID")+SUMIFS('Invoice Register'!$H$2:$H$501,'Invoice Register'!$M$2:$M$501,A22,'Invoice Register'!$G$2:$G$501,"MXN",'Invoice Register'!$B$2:$B$501,B22,'Invoice Register'!$L$2:$L$501,"FX HOLD")))</x:f>
      </x:c>
    </x:row>
    <x:row r="23">
      <x:c r="H23" t="str">
        <x:f>IF(B23="","",IF(COUNTIF('Invoice Register'!$M$2:$M$501,A23)=0,"INVOICE DATA REQUIRED",SUMIFS('Invoice Register'!$N$2:$N$501,'Invoice Register'!$M$2:$M$501,A23,'Invoice Register'!$B$2:$B$501,B23)))</x:f>
      </x:c>
      <x:c r="N23" t="str">
        <x:f>IF(B23="","",IF(COUNTIF('ERP Snapshot'!$A$2:$A$101,B23)=0,"UNKNOWN",IF(COUNTIFS('ERP Snapshot'!$A$2:$A$101,B23,'ERP Snapshot'!$D$2:$D$101,"MXN")&gt;0,"MXN","USD")))</x:f>
      </x:c>
      <x:c r="O23" t="str">
        <x:f>IF(B23="","",IF(N23="UNKNOWN","SOURCE REVIEW",IF(N23="USD","NOT REQUIRED",IF(AND(Settings!$B$8="APPROVED",Settings!$B$9&lt;&gt;"",Settings!$B$10&lt;&gt;"",Settings!$B$2&gt;0),"APPROVED","FX HOLD"))))</x:f>
      </x:c>
      <x:c r="P23" t="str">
        <x:f>IF(B23="","",IF(O23="FX HOLD","USD normalized input is provisional; FX approval missing",IF(O23="SOURCE REVIEW","Missing source currency mapping",IF(O23="APPROVED","Approval metadata supplied; source rates not independently audited",""))))</x:f>
      </x:c>
      <x:c r="T23" s="50"/>
      <x:c r="U23" t="str">
        <x:f>IF(B23="","",IF(COUNTIFS('Invoice Register'!$L$2:$L$501,"&lt;&gt;",'Invoice Register'!$L$2:$L$501,"&lt;&gt;VALID",'Invoice Register'!$L$2:$L$501,"&lt;&gt;CANCELLED",'Invoice Register'!$L$2:$L$501,"&lt;&gt;FX HOLD",'Invoice Register'!$M$2:$M$501,A23)&gt;0,"SUBTOTAL; EXCLUDED RECORDS - SEE MANAGEMENT REPORT",IF(B23="","",IF(ISNUMBER(H23),"DATED ERP INVOICES",IF(ISNUMBER(T23),"HISTORICAL DATES REQUIRED",H23)))))</x:f>
      </x:c>
      <x:c r="V23" s="49" t="str">
        <x:f>IF(B23="","",IF(COUNTIF('Invoice Register'!$M$2:$M$501,A23)=0,"INVOICE DATA REQUIRED",SUMIFS('Invoice Register'!$H$2:$H$501,'Invoice Register'!$M$2:$M$501,A23,'Invoice Register'!$G$2:$G$501,"USD",'Invoice Register'!$B$2:$B$501,B23,'Invoice Register'!$L$2:$L$501,"VALID")+SUMIFS('Invoice Register'!$H$2:$H$501,'Invoice Register'!$M$2:$M$501,A23,'Invoice Register'!$G$2:$G$501,"USD",'Invoice Register'!$B$2:$B$501,B23,'Invoice Register'!$L$2:$L$501,"FX HOLD")))</x:f>
      </x:c>
      <x:c r="W23" s="49" t="str">
        <x:f>IF(B23="","",IF(COUNTIF('Invoice Register'!$M$2:$M$501,A23)=0,"INVOICE DATA REQUIRED",SUMIFS('Invoice Register'!$H$2:$H$501,'Invoice Register'!$M$2:$M$501,A23,'Invoice Register'!$G$2:$G$501,"MXN",'Invoice Register'!$B$2:$B$501,B23,'Invoice Register'!$L$2:$L$501,"VALID")+SUMIFS('Invoice Register'!$H$2:$H$501,'Invoice Register'!$M$2:$M$501,A23,'Invoice Register'!$G$2:$G$501,"MXN",'Invoice Register'!$B$2:$B$501,B23,'Invoice Register'!$L$2:$L$501,"FX HOLD")))</x:f>
      </x:c>
    </x:row>
    <x:row r="24">
      <x:c r="H24" t="str">
        <x:f>IF(B24="","",IF(COUNTIF('Invoice Register'!$M$2:$M$501,A24)=0,"INVOICE DATA REQUIRED",SUMIFS('Invoice Register'!$N$2:$N$501,'Invoice Register'!$M$2:$M$501,A24,'Invoice Register'!$B$2:$B$501,B24)))</x:f>
      </x:c>
      <x:c r="N24" t="str">
        <x:f>IF(B24="","",IF(COUNTIF('ERP Snapshot'!$A$2:$A$101,B24)=0,"UNKNOWN",IF(COUNTIFS('ERP Snapshot'!$A$2:$A$101,B24,'ERP Snapshot'!$D$2:$D$101,"MXN")&gt;0,"MXN","USD")))</x:f>
      </x:c>
      <x:c r="O24" t="str">
        <x:f>IF(B24="","",IF(N24="UNKNOWN","SOURCE REVIEW",IF(N24="USD","NOT REQUIRED",IF(AND(Settings!$B$8="APPROVED",Settings!$B$9&lt;&gt;"",Settings!$B$10&lt;&gt;"",Settings!$B$2&gt;0),"APPROVED","FX HOLD"))))</x:f>
      </x:c>
      <x:c r="P24" t="str">
        <x:f>IF(B24="","",IF(O24="FX HOLD","USD normalized input is provisional; FX approval missing",IF(O24="SOURCE REVIEW","Missing source currency mapping",IF(O24="APPROVED","Approval metadata supplied; source rates not independently audited",""))))</x:f>
      </x:c>
      <x:c r="T24" s="50"/>
      <x:c r="U24" t="str">
        <x:f>IF(B24="","",IF(COUNTIFS('Invoice Register'!$L$2:$L$501,"&lt;&gt;",'Invoice Register'!$L$2:$L$501,"&lt;&gt;VALID",'Invoice Register'!$L$2:$L$501,"&lt;&gt;CANCELLED",'Invoice Register'!$L$2:$L$501,"&lt;&gt;FX HOLD",'Invoice Register'!$M$2:$M$501,A24)&gt;0,"SUBTOTAL; EXCLUDED RECORDS - SEE MANAGEMENT REPORT",IF(B24="","",IF(ISNUMBER(H24),"DATED ERP INVOICES",IF(ISNUMBER(T24),"HISTORICAL DATES REQUIRED",H24)))))</x:f>
      </x:c>
      <x:c r="V24" s="49" t="str">
        <x:f>IF(B24="","",IF(COUNTIF('Invoice Register'!$M$2:$M$501,A24)=0,"INVOICE DATA REQUIRED",SUMIFS('Invoice Register'!$H$2:$H$501,'Invoice Register'!$M$2:$M$501,A24,'Invoice Register'!$G$2:$G$501,"USD",'Invoice Register'!$B$2:$B$501,B24,'Invoice Register'!$L$2:$L$501,"VALID")+SUMIFS('Invoice Register'!$H$2:$H$501,'Invoice Register'!$M$2:$M$501,A24,'Invoice Register'!$G$2:$G$501,"USD",'Invoice Register'!$B$2:$B$501,B24,'Invoice Register'!$L$2:$L$501,"FX HOLD")))</x:f>
      </x:c>
      <x:c r="W24" s="49" t="str">
        <x:f>IF(B24="","",IF(COUNTIF('Invoice Register'!$M$2:$M$501,A24)=0,"INVOICE DATA REQUIRED",SUMIFS('Invoice Register'!$H$2:$H$501,'Invoice Register'!$M$2:$M$501,A24,'Invoice Register'!$G$2:$G$501,"MXN",'Invoice Register'!$B$2:$B$501,B24,'Invoice Register'!$L$2:$L$501,"VALID")+SUMIFS('Invoice Register'!$H$2:$H$501,'Invoice Register'!$M$2:$M$501,A24,'Invoice Register'!$G$2:$G$501,"MXN",'Invoice Register'!$B$2:$B$501,B24,'Invoice Register'!$L$2:$L$501,"FX HOLD")))</x:f>
      </x:c>
    </x:row>
    <x:row r="25">
      <x:c r="H25" t="str">
        <x:f>IF(B25="","",IF(COUNTIF('Invoice Register'!$M$2:$M$501,A25)=0,"INVOICE DATA REQUIRED",SUMIFS('Invoice Register'!$N$2:$N$501,'Invoice Register'!$M$2:$M$501,A25,'Invoice Register'!$B$2:$B$501,B25)))</x:f>
      </x:c>
      <x:c r="N25" t="str">
        <x:f>IF(B25="","",IF(COUNTIF('ERP Snapshot'!$A$2:$A$101,B25)=0,"UNKNOWN",IF(COUNTIFS('ERP Snapshot'!$A$2:$A$101,B25,'ERP Snapshot'!$D$2:$D$101,"MXN")&gt;0,"MXN","USD")))</x:f>
      </x:c>
      <x:c r="O25" t="str">
        <x:f>IF(B25="","",IF(N25="UNKNOWN","SOURCE REVIEW",IF(N25="USD","NOT REQUIRED",IF(AND(Settings!$B$8="APPROVED",Settings!$B$9&lt;&gt;"",Settings!$B$10&lt;&gt;"",Settings!$B$2&gt;0),"APPROVED","FX HOLD"))))</x:f>
      </x:c>
      <x:c r="P25" t="str">
        <x:f>IF(B25="","",IF(O25="FX HOLD","USD normalized input is provisional; FX approval missing",IF(O25="SOURCE REVIEW","Missing source currency mapping",IF(O25="APPROVED","Approval metadata supplied; source rates not independently audited",""))))</x:f>
      </x:c>
      <x:c r="T25" s="50"/>
      <x:c r="U25" t="str">
        <x:f>IF(B25="","",IF(COUNTIFS('Invoice Register'!$L$2:$L$501,"&lt;&gt;",'Invoice Register'!$L$2:$L$501,"&lt;&gt;VALID",'Invoice Register'!$L$2:$L$501,"&lt;&gt;CANCELLED",'Invoice Register'!$L$2:$L$501,"&lt;&gt;FX HOLD",'Invoice Register'!$M$2:$M$501,A25)&gt;0,"SUBTOTAL; EXCLUDED RECORDS - SEE MANAGEMENT REPORT",IF(B25="","",IF(ISNUMBER(H25),"DATED ERP INVOICES",IF(ISNUMBER(T25),"HISTORICAL DATES REQUIRED",H25)))))</x:f>
      </x:c>
      <x:c r="V25" s="49" t="str">
        <x:f>IF(B25="","",IF(COUNTIF('Invoice Register'!$M$2:$M$501,A25)=0,"INVOICE DATA REQUIRED",SUMIFS('Invoice Register'!$H$2:$H$501,'Invoice Register'!$M$2:$M$501,A25,'Invoice Register'!$G$2:$G$501,"USD",'Invoice Register'!$B$2:$B$501,B25,'Invoice Register'!$L$2:$L$501,"VALID")+SUMIFS('Invoice Register'!$H$2:$H$501,'Invoice Register'!$M$2:$M$501,A25,'Invoice Register'!$G$2:$G$501,"USD",'Invoice Register'!$B$2:$B$501,B25,'Invoice Register'!$L$2:$L$501,"FX HOLD")))</x:f>
      </x:c>
      <x:c r="W25" s="49" t="str">
        <x:f>IF(B25="","",IF(COUNTIF('Invoice Register'!$M$2:$M$501,A25)=0,"INVOICE DATA REQUIRED",SUMIFS('Invoice Register'!$H$2:$H$501,'Invoice Register'!$M$2:$M$501,A25,'Invoice Register'!$G$2:$G$501,"MXN",'Invoice Register'!$B$2:$B$501,B25,'Invoice Register'!$L$2:$L$501,"VALID")+SUMIFS('Invoice Register'!$H$2:$H$501,'Invoice Register'!$M$2:$M$501,A25,'Invoice Register'!$G$2:$G$501,"MXN",'Invoice Register'!$B$2:$B$501,B25,'Invoice Register'!$L$2:$L$501,"FX HOLD")))</x:f>
      </x:c>
    </x:row>
    <x:row r="26">
      <x:c r="H26" t="str">
        <x:f>IF(B26="","",IF(COUNTIF('Invoice Register'!$M$2:$M$501,A26)=0,"INVOICE DATA REQUIRED",SUMIFS('Invoice Register'!$N$2:$N$501,'Invoice Register'!$M$2:$M$501,A26,'Invoice Register'!$B$2:$B$501,B26)))</x:f>
      </x:c>
      <x:c r="N26" t="str">
        <x:f>IF(B26="","",IF(COUNTIF('ERP Snapshot'!$A$2:$A$101,B26)=0,"UNKNOWN",IF(COUNTIFS('ERP Snapshot'!$A$2:$A$101,B26,'ERP Snapshot'!$D$2:$D$101,"MXN")&gt;0,"MXN","USD")))</x:f>
      </x:c>
      <x:c r="O26" t="str">
        <x:f>IF(B26="","",IF(N26="UNKNOWN","SOURCE REVIEW",IF(N26="USD","NOT REQUIRED",IF(AND(Settings!$B$8="APPROVED",Settings!$B$9&lt;&gt;"",Settings!$B$10&lt;&gt;"",Settings!$B$2&gt;0),"APPROVED","FX HOLD"))))</x:f>
      </x:c>
      <x:c r="P26" t="str">
        <x:f>IF(B26="","",IF(O26="FX HOLD","USD normalized input is provisional; FX approval missing",IF(O26="SOURCE REVIEW","Missing source currency mapping",IF(O26="APPROVED","Approval metadata supplied; source rates not independently audited",""))))</x:f>
      </x:c>
      <x:c r="T26" s="50"/>
      <x:c r="U26" t="str">
        <x:f>IF(B26="","",IF(COUNTIFS('Invoice Register'!$L$2:$L$501,"&lt;&gt;",'Invoice Register'!$L$2:$L$501,"&lt;&gt;VALID",'Invoice Register'!$L$2:$L$501,"&lt;&gt;CANCELLED",'Invoice Register'!$L$2:$L$501,"&lt;&gt;FX HOLD",'Invoice Register'!$M$2:$M$501,A26)&gt;0,"SUBTOTAL; EXCLUDED RECORDS - SEE MANAGEMENT REPORT",IF(B26="","",IF(ISNUMBER(H26),"DATED ERP INVOICES",IF(ISNUMBER(T26),"HISTORICAL DATES REQUIRED",H26)))))</x:f>
      </x:c>
      <x:c r="V26" s="49" t="str">
        <x:f>IF(B26="","",IF(COUNTIF('Invoice Register'!$M$2:$M$501,A26)=0,"INVOICE DATA REQUIRED",SUMIFS('Invoice Register'!$H$2:$H$501,'Invoice Register'!$M$2:$M$501,A26,'Invoice Register'!$G$2:$G$501,"USD",'Invoice Register'!$B$2:$B$501,B26,'Invoice Register'!$L$2:$L$501,"VALID")+SUMIFS('Invoice Register'!$H$2:$H$501,'Invoice Register'!$M$2:$M$501,A26,'Invoice Register'!$G$2:$G$501,"USD",'Invoice Register'!$B$2:$B$501,B26,'Invoice Register'!$L$2:$L$501,"FX HOLD")))</x:f>
      </x:c>
      <x:c r="W26" s="49" t="str">
        <x:f>IF(B26="","",IF(COUNTIF('Invoice Register'!$M$2:$M$501,A26)=0,"INVOICE DATA REQUIRED",SUMIFS('Invoice Register'!$H$2:$H$501,'Invoice Register'!$M$2:$M$501,A26,'Invoice Register'!$G$2:$G$501,"MXN",'Invoice Register'!$B$2:$B$501,B26,'Invoice Register'!$L$2:$L$501,"VALID")+SUMIFS('Invoice Register'!$H$2:$H$501,'Invoice Register'!$M$2:$M$501,A26,'Invoice Register'!$G$2:$G$501,"MXN",'Invoice Register'!$B$2:$B$501,B26,'Invoice Register'!$L$2:$L$501,"FX HOLD")))</x:f>
      </x:c>
    </x:row>
    <x:row r="27">
      <x:c r="H27" t="str">
        <x:f>IF(B27="","",IF(COUNTIF('Invoice Register'!$M$2:$M$501,A27)=0,"INVOICE DATA REQUIRED",SUMIFS('Invoice Register'!$N$2:$N$501,'Invoice Register'!$M$2:$M$501,A27,'Invoice Register'!$B$2:$B$501,B27)))</x:f>
      </x:c>
      <x:c r="N27" t="str">
        <x:f>IF(B27="","",IF(COUNTIF('ERP Snapshot'!$A$2:$A$101,B27)=0,"UNKNOWN",IF(COUNTIFS('ERP Snapshot'!$A$2:$A$101,B27,'ERP Snapshot'!$D$2:$D$101,"MXN")&gt;0,"MXN","USD")))</x:f>
      </x:c>
      <x:c r="O27" t="str">
        <x:f>IF(B27="","",IF(N27="UNKNOWN","SOURCE REVIEW",IF(N27="USD","NOT REQUIRED",IF(AND(Settings!$B$8="APPROVED",Settings!$B$9&lt;&gt;"",Settings!$B$10&lt;&gt;"",Settings!$B$2&gt;0),"APPROVED","FX HOLD"))))</x:f>
      </x:c>
      <x:c r="P27" t="str">
        <x:f>IF(B27="","",IF(O27="FX HOLD","USD normalized input is provisional; FX approval missing",IF(O27="SOURCE REVIEW","Missing source currency mapping",IF(O27="APPROVED","Approval metadata supplied; source rates not independently audited",""))))</x:f>
      </x:c>
      <x:c r="T27" s="50"/>
      <x:c r="U27" t="str">
        <x:f>IF(B27="","",IF(COUNTIFS('Invoice Register'!$L$2:$L$501,"&lt;&gt;",'Invoice Register'!$L$2:$L$501,"&lt;&gt;VALID",'Invoice Register'!$L$2:$L$501,"&lt;&gt;CANCELLED",'Invoice Register'!$L$2:$L$501,"&lt;&gt;FX HOLD",'Invoice Register'!$M$2:$M$501,A27)&gt;0,"SUBTOTAL; EXCLUDED RECORDS - SEE MANAGEMENT REPORT",IF(B27="","",IF(ISNUMBER(H27),"DATED ERP INVOICES",IF(ISNUMBER(T27),"HISTORICAL DATES REQUIRED",H27)))))</x:f>
      </x:c>
      <x:c r="V27" s="49" t="str">
        <x:f>IF(B27="","",IF(COUNTIF('Invoice Register'!$M$2:$M$501,A27)=0,"INVOICE DATA REQUIRED",SUMIFS('Invoice Register'!$H$2:$H$501,'Invoice Register'!$M$2:$M$501,A27,'Invoice Register'!$G$2:$G$501,"USD",'Invoice Register'!$B$2:$B$501,B27,'Invoice Register'!$L$2:$L$501,"VALID")+SUMIFS('Invoice Register'!$H$2:$H$501,'Invoice Register'!$M$2:$M$501,A27,'Invoice Register'!$G$2:$G$501,"USD",'Invoice Register'!$B$2:$B$501,B27,'Invoice Register'!$L$2:$L$501,"FX HOLD")))</x:f>
      </x:c>
      <x:c r="W27" s="49" t="str">
        <x:f>IF(B27="","",IF(COUNTIF('Invoice Register'!$M$2:$M$501,A27)=0,"INVOICE DATA REQUIRED",SUMIFS('Invoice Register'!$H$2:$H$501,'Invoice Register'!$M$2:$M$501,A27,'Invoice Register'!$G$2:$G$501,"MXN",'Invoice Register'!$B$2:$B$501,B27,'Invoice Register'!$L$2:$L$501,"VALID")+SUMIFS('Invoice Register'!$H$2:$H$501,'Invoice Register'!$M$2:$M$501,A27,'Invoice Register'!$G$2:$G$501,"MXN",'Invoice Register'!$B$2:$B$501,B27,'Invoice Register'!$L$2:$L$501,"FX HOLD")))</x:f>
      </x:c>
    </x:row>
    <x:row r="28">
      <x:c r="H28" t="str">
        <x:f>IF(B28="","",IF(COUNTIF('Invoice Register'!$M$2:$M$501,A28)=0,"INVOICE DATA REQUIRED",SUMIFS('Invoice Register'!$N$2:$N$501,'Invoice Register'!$M$2:$M$501,A28,'Invoice Register'!$B$2:$B$501,B28)))</x:f>
      </x:c>
      <x:c r="N28" t="str">
        <x:f>IF(B28="","",IF(COUNTIF('ERP Snapshot'!$A$2:$A$101,B28)=0,"UNKNOWN",IF(COUNTIFS('ERP Snapshot'!$A$2:$A$101,B28,'ERP Snapshot'!$D$2:$D$101,"MXN")&gt;0,"MXN","USD")))</x:f>
      </x:c>
      <x:c r="O28" t="str">
        <x:f>IF(B28="","",IF(N28="UNKNOWN","SOURCE REVIEW",IF(N28="USD","NOT REQUIRED",IF(AND(Settings!$B$8="APPROVED",Settings!$B$9&lt;&gt;"",Settings!$B$10&lt;&gt;"",Settings!$B$2&gt;0),"APPROVED","FX HOLD"))))</x:f>
      </x:c>
      <x:c r="P28" t="str">
        <x:f>IF(B28="","",IF(O28="FX HOLD","USD normalized input is provisional; FX approval missing",IF(O28="SOURCE REVIEW","Missing source currency mapping",IF(O28="APPROVED","Approval metadata supplied; source rates not independently audited",""))))</x:f>
      </x:c>
      <x:c r="T28" s="50"/>
      <x:c r="U28" t="str">
        <x:f>IF(B28="","",IF(COUNTIFS('Invoice Register'!$L$2:$L$501,"&lt;&gt;",'Invoice Register'!$L$2:$L$501,"&lt;&gt;VALID",'Invoice Register'!$L$2:$L$501,"&lt;&gt;CANCELLED",'Invoice Register'!$L$2:$L$501,"&lt;&gt;FX HOLD",'Invoice Register'!$M$2:$M$501,A28)&gt;0,"SUBTOTAL; EXCLUDED RECORDS - SEE MANAGEMENT REPORT",IF(B28="","",IF(ISNUMBER(H28),"DATED ERP INVOICES",IF(ISNUMBER(T28),"HISTORICAL DATES REQUIRED",H28)))))</x:f>
      </x:c>
      <x:c r="V28" s="49" t="str">
        <x:f>IF(B28="","",IF(COUNTIF('Invoice Register'!$M$2:$M$501,A28)=0,"INVOICE DATA REQUIRED",SUMIFS('Invoice Register'!$H$2:$H$501,'Invoice Register'!$M$2:$M$501,A28,'Invoice Register'!$G$2:$G$501,"USD",'Invoice Register'!$B$2:$B$501,B28,'Invoice Register'!$L$2:$L$501,"VALID")+SUMIFS('Invoice Register'!$H$2:$H$501,'Invoice Register'!$M$2:$M$501,A28,'Invoice Register'!$G$2:$G$501,"USD",'Invoice Register'!$B$2:$B$501,B28,'Invoice Register'!$L$2:$L$501,"FX HOLD")))</x:f>
      </x:c>
      <x:c r="W28" s="49" t="str">
        <x:f>IF(B28="","",IF(COUNTIF('Invoice Register'!$M$2:$M$501,A28)=0,"INVOICE DATA REQUIRED",SUMIFS('Invoice Register'!$H$2:$H$501,'Invoice Register'!$M$2:$M$501,A28,'Invoice Register'!$G$2:$G$501,"MXN",'Invoice Register'!$B$2:$B$501,B28,'Invoice Register'!$L$2:$L$501,"VALID")+SUMIFS('Invoice Register'!$H$2:$H$501,'Invoice Register'!$M$2:$M$501,A28,'Invoice Register'!$G$2:$G$501,"MXN",'Invoice Register'!$B$2:$B$501,B28,'Invoice Register'!$L$2:$L$501,"FX HOLD")))</x:f>
      </x:c>
    </x:row>
    <x:row r="29">
      <x:c r="H29" t="str">
        <x:f>IF(B29="","",IF(COUNTIF('Invoice Register'!$M$2:$M$501,A29)=0,"INVOICE DATA REQUIRED",SUMIFS('Invoice Register'!$N$2:$N$501,'Invoice Register'!$M$2:$M$501,A29,'Invoice Register'!$B$2:$B$501,B29)))</x:f>
      </x:c>
      <x:c r="N29" t="str">
        <x:f>IF(B29="","",IF(COUNTIF('ERP Snapshot'!$A$2:$A$101,B29)=0,"UNKNOWN",IF(COUNTIFS('ERP Snapshot'!$A$2:$A$101,B29,'ERP Snapshot'!$D$2:$D$101,"MXN")&gt;0,"MXN","USD")))</x:f>
      </x:c>
      <x:c r="O29" t="str">
        <x:f>IF(B29="","",IF(N29="UNKNOWN","SOURCE REVIEW",IF(N29="USD","NOT REQUIRED",IF(AND(Settings!$B$8="APPROVED",Settings!$B$9&lt;&gt;"",Settings!$B$10&lt;&gt;"",Settings!$B$2&gt;0),"APPROVED","FX HOLD"))))</x:f>
      </x:c>
      <x:c r="P29" t="str">
        <x:f>IF(B29="","",IF(O29="FX HOLD","USD normalized input is provisional; FX approval missing",IF(O29="SOURCE REVIEW","Missing source currency mapping",IF(O29="APPROVED","Approval metadata supplied; source rates not independently audited",""))))</x:f>
      </x:c>
      <x:c r="T29" s="50"/>
      <x:c r="U29" t="str">
        <x:f>IF(B29="","",IF(COUNTIFS('Invoice Register'!$L$2:$L$501,"&lt;&gt;",'Invoice Register'!$L$2:$L$501,"&lt;&gt;VALID",'Invoice Register'!$L$2:$L$501,"&lt;&gt;CANCELLED",'Invoice Register'!$L$2:$L$501,"&lt;&gt;FX HOLD",'Invoice Register'!$M$2:$M$501,A29)&gt;0,"SUBTOTAL; EXCLUDED RECORDS - SEE MANAGEMENT REPORT",IF(B29="","",IF(ISNUMBER(H29),"DATED ERP INVOICES",IF(ISNUMBER(T29),"HISTORICAL DATES REQUIRED",H29)))))</x:f>
      </x:c>
      <x:c r="V29" s="49" t="str">
        <x:f>IF(B29="","",IF(COUNTIF('Invoice Register'!$M$2:$M$501,A29)=0,"INVOICE DATA REQUIRED",SUMIFS('Invoice Register'!$H$2:$H$501,'Invoice Register'!$M$2:$M$501,A29,'Invoice Register'!$G$2:$G$501,"USD",'Invoice Register'!$B$2:$B$501,B29,'Invoice Register'!$L$2:$L$501,"VALID")+SUMIFS('Invoice Register'!$H$2:$H$501,'Invoice Register'!$M$2:$M$501,A29,'Invoice Register'!$G$2:$G$501,"USD",'Invoice Register'!$B$2:$B$501,B29,'Invoice Register'!$L$2:$L$501,"FX HOLD")))</x:f>
      </x:c>
      <x:c r="W29" s="49" t="str">
        <x:f>IF(B29="","",IF(COUNTIF('Invoice Register'!$M$2:$M$501,A29)=0,"INVOICE DATA REQUIRED",SUMIFS('Invoice Register'!$H$2:$H$501,'Invoice Register'!$M$2:$M$501,A29,'Invoice Register'!$G$2:$G$501,"MXN",'Invoice Register'!$B$2:$B$501,B29,'Invoice Register'!$L$2:$L$501,"VALID")+SUMIFS('Invoice Register'!$H$2:$H$501,'Invoice Register'!$M$2:$M$501,A29,'Invoice Register'!$G$2:$G$501,"MXN",'Invoice Register'!$B$2:$B$501,B29,'Invoice Register'!$L$2:$L$501,"FX HOLD")))</x:f>
      </x:c>
    </x:row>
    <x:row r="30">
      <x:c r="H30" t="str">
        <x:f>IF(B30="","",IF(COUNTIF('Invoice Register'!$M$2:$M$501,A30)=0,"INVOICE DATA REQUIRED",SUMIFS('Invoice Register'!$N$2:$N$501,'Invoice Register'!$M$2:$M$501,A30,'Invoice Register'!$B$2:$B$501,B30)))</x:f>
      </x:c>
      <x:c r="N30" t="str">
        <x:f>IF(B30="","",IF(COUNTIF('ERP Snapshot'!$A$2:$A$101,B30)=0,"UNKNOWN",IF(COUNTIFS('ERP Snapshot'!$A$2:$A$101,B30,'ERP Snapshot'!$D$2:$D$101,"MXN")&gt;0,"MXN","USD")))</x:f>
      </x:c>
      <x:c r="O30" t="str">
        <x:f>IF(B30="","",IF(N30="UNKNOWN","SOURCE REVIEW",IF(N30="USD","NOT REQUIRED",IF(AND(Settings!$B$8="APPROVED",Settings!$B$9&lt;&gt;"",Settings!$B$10&lt;&gt;"",Settings!$B$2&gt;0),"APPROVED","FX HOLD"))))</x:f>
      </x:c>
      <x:c r="P30" t="str">
        <x:f>IF(B30="","",IF(O30="FX HOLD","USD normalized input is provisional; FX approval missing",IF(O30="SOURCE REVIEW","Missing source currency mapping",IF(O30="APPROVED","Approval metadata supplied; source rates not independently audited",""))))</x:f>
      </x:c>
      <x:c r="T30" s="50"/>
      <x:c r="U30" t="str">
        <x:f>IF(B30="","",IF(COUNTIFS('Invoice Register'!$L$2:$L$501,"&lt;&gt;",'Invoice Register'!$L$2:$L$501,"&lt;&gt;VALID",'Invoice Register'!$L$2:$L$501,"&lt;&gt;CANCELLED",'Invoice Register'!$L$2:$L$501,"&lt;&gt;FX HOLD",'Invoice Register'!$M$2:$M$501,A30)&gt;0,"SUBTOTAL; EXCLUDED RECORDS - SEE MANAGEMENT REPORT",IF(B30="","",IF(ISNUMBER(H30),"DATED ERP INVOICES",IF(ISNUMBER(T30),"HISTORICAL DATES REQUIRED",H30)))))</x:f>
      </x:c>
      <x:c r="V30" s="49" t="str">
        <x:f>IF(B30="","",IF(COUNTIF('Invoice Register'!$M$2:$M$501,A30)=0,"INVOICE DATA REQUIRED",SUMIFS('Invoice Register'!$H$2:$H$501,'Invoice Register'!$M$2:$M$501,A30,'Invoice Register'!$G$2:$G$501,"USD",'Invoice Register'!$B$2:$B$501,B30,'Invoice Register'!$L$2:$L$501,"VALID")+SUMIFS('Invoice Register'!$H$2:$H$501,'Invoice Register'!$M$2:$M$501,A30,'Invoice Register'!$G$2:$G$501,"USD",'Invoice Register'!$B$2:$B$501,B30,'Invoice Register'!$L$2:$L$501,"FX HOLD")))</x:f>
      </x:c>
      <x:c r="W30" s="49" t="str">
        <x:f>IF(B30="","",IF(COUNTIF('Invoice Register'!$M$2:$M$501,A30)=0,"INVOICE DATA REQUIRED",SUMIFS('Invoice Register'!$H$2:$H$501,'Invoice Register'!$M$2:$M$501,A30,'Invoice Register'!$G$2:$G$501,"MXN",'Invoice Register'!$B$2:$B$501,B30,'Invoice Register'!$L$2:$L$501,"VALID")+SUMIFS('Invoice Register'!$H$2:$H$501,'Invoice Register'!$M$2:$M$501,A30,'Invoice Register'!$G$2:$G$501,"MXN",'Invoice Register'!$B$2:$B$501,B30,'Invoice Register'!$L$2:$L$501,"FX HOLD")))</x:f>
      </x:c>
    </x:row>
    <x:row r="31">
      <x:c r="H31" t="str">
        <x:f>IF(B31="","",IF(COUNTIF('Invoice Register'!$M$2:$M$501,A31)=0,"INVOICE DATA REQUIRED",SUMIFS('Invoice Register'!$N$2:$N$501,'Invoice Register'!$M$2:$M$501,A31,'Invoice Register'!$B$2:$B$501,B31)))</x:f>
      </x:c>
      <x:c r="N31" t="str">
        <x:f>IF(B31="","",IF(COUNTIF('ERP Snapshot'!$A$2:$A$101,B31)=0,"UNKNOWN",IF(COUNTIFS('ERP Snapshot'!$A$2:$A$101,B31,'ERP Snapshot'!$D$2:$D$101,"MXN")&gt;0,"MXN","USD")))</x:f>
      </x:c>
      <x:c r="O31" t="str">
        <x:f>IF(B31="","",IF(N31="UNKNOWN","SOURCE REVIEW",IF(N31="USD","NOT REQUIRED",IF(AND(Settings!$B$8="APPROVED",Settings!$B$9&lt;&gt;"",Settings!$B$10&lt;&gt;"",Settings!$B$2&gt;0),"APPROVED","FX HOLD"))))</x:f>
      </x:c>
      <x:c r="P31" t="str">
        <x:f>IF(B31="","",IF(O31="FX HOLD","USD normalized input is provisional; FX approval missing",IF(O31="SOURCE REVIEW","Missing source currency mapping",IF(O31="APPROVED","Approval metadata supplied; source rates not independently audited",""))))</x:f>
      </x:c>
      <x:c r="T31" s="50"/>
      <x:c r="U31" t="str">
        <x:f>IF(B31="","",IF(COUNTIFS('Invoice Register'!$L$2:$L$501,"&lt;&gt;",'Invoice Register'!$L$2:$L$501,"&lt;&gt;VALID",'Invoice Register'!$L$2:$L$501,"&lt;&gt;CANCELLED",'Invoice Register'!$L$2:$L$501,"&lt;&gt;FX HOLD",'Invoice Register'!$M$2:$M$501,A31)&gt;0,"SUBTOTAL; EXCLUDED RECORDS - SEE MANAGEMENT REPORT",IF(B31="","",IF(ISNUMBER(H31),"DATED ERP INVOICES",IF(ISNUMBER(T31),"HISTORICAL DATES REQUIRED",H31)))))</x:f>
      </x:c>
      <x:c r="V31" s="49" t="str">
        <x:f>IF(B31="","",IF(COUNTIF('Invoice Register'!$M$2:$M$501,A31)=0,"INVOICE DATA REQUIRED",SUMIFS('Invoice Register'!$H$2:$H$501,'Invoice Register'!$M$2:$M$501,A31,'Invoice Register'!$G$2:$G$501,"USD",'Invoice Register'!$B$2:$B$501,B31,'Invoice Register'!$L$2:$L$501,"VALID")+SUMIFS('Invoice Register'!$H$2:$H$501,'Invoice Register'!$M$2:$M$501,A31,'Invoice Register'!$G$2:$G$501,"USD",'Invoice Register'!$B$2:$B$501,B31,'Invoice Register'!$L$2:$L$501,"FX HOLD")))</x:f>
      </x:c>
      <x:c r="W31" s="49" t="str">
        <x:f>IF(B31="","",IF(COUNTIF('Invoice Register'!$M$2:$M$501,A31)=0,"INVOICE DATA REQUIRED",SUMIFS('Invoice Register'!$H$2:$H$501,'Invoice Register'!$M$2:$M$501,A31,'Invoice Register'!$G$2:$G$501,"MXN",'Invoice Register'!$B$2:$B$501,B31,'Invoice Register'!$L$2:$L$501,"VALID")+SUMIFS('Invoice Register'!$H$2:$H$501,'Invoice Register'!$M$2:$M$501,A31,'Invoice Register'!$G$2:$G$501,"MXN",'Invoice Register'!$B$2:$B$501,B31,'Invoice Register'!$L$2:$L$501,"FX HOLD")))</x:f>
      </x:c>
    </x:row>
    <x:row r="32">
      <x:c r="H32" t="str">
        <x:f>IF(B32="","",IF(COUNTIF('Invoice Register'!$M$2:$M$501,A32)=0,"INVOICE DATA REQUIRED",SUMIFS('Invoice Register'!$N$2:$N$501,'Invoice Register'!$M$2:$M$501,A32,'Invoice Register'!$B$2:$B$501,B32)))</x:f>
      </x:c>
      <x:c r="N32" t="str">
        <x:f>IF(B32="","",IF(COUNTIF('ERP Snapshot'!$A$2:$A$101,B32)=0,"UNKNOWN",IF(COUNTIFS('ERP Snapshot'!$A$2:$A$101,B32,'ERP Snapshot'!$D$2:$D$101,"MXN")&gt;0,"MXN","USD")))</x:f>
      </x:c>
      <x:c r="O32" t="str">
        <x:f>IF(B32="","",IF(N32="UNKNOWN","SOURCE REVIEW",IF(N32="USD","NOT REQUIRED",IF(AND(Settings!$B$8="APPROVED",Settings!$B$9&lt;&gt;"",Settings!$B$10&lt;&gt;"",Settings!$B$2&gt;0),"APPROVED","FX HOLD"))))</x:f>
      </x:c>
      <x:c r="P32" t="str">
        <x:f>IF(B32="","",IF(O32="FX HOLD","USD normalized input is provisional; FX approval missing",IF(O32="SOURCE REVIEW","Missing source currency mapping",IF(O32="APPROVED","Approval metadata supplied; source rates not independently audited",""))))</x:f>
      </x:c>
      <x:c r="T32" s="50"/>
      <x:c r="U32" t="str">
        <x:f>IF(B32="","",IF(COUNTIFS('Invoice Register'!$L$2:$L$501,"&lt;&gt;",'Invoice Register'!$L$2:$L$501,"&lt;&gt;VALID",'Invoice Register'!$L$2:$L$501,"&lt;&gt;CANCELLED",'Invoice Register'!$L$2:$L$501,"&lt;&gt;FX HOLD",'Invoice Register'!$M$2:$M$501,A32)&gt;0,"SUBTOTAL; EXCLUDED RECORDS - SEE MANAGEMENT REPORT",IF(B32="","",IF(ISNUMBER(H32),"DATED ERP INVOICES",IF(ISNUMBER(T32),"HISTORICAL DATES REQUIRED",H32)))))</x:f>
      </x:c>
      <x:c r="V32" s="49" t="str">
        <x:f>IF(B32="","",IF(COUNTIF('Invoice Register'!$M$2:$M$501,A32)=0,"INVOICE DATA REQUIRED",SUMIFS('Invoice Register'!$H$2:$H$501,'Invoice Register'!$M$2:$M$501,A32,'Invoice Register'!$G$2:$G$501,"USD",'Invoice Register'!$B$2:$B$501,B32,'Invoice Register'!$L$2:$L$501,"VALID")+SUMIFS('Invoice Register'!$H$2:$H$501,'Invoice Register'!$M$2:$M$501,A32,'Invoice Register'!$G$2:$G$501,"USD",'Invoice Register'!$B$2:$B$501,B32,'Invoice Register'!$L$2:$L$501,"FX HOLD")))</x:f>
      </x:c>
      <x:c r="W32" s="49" t="str">
        <x:f>IF(B32="","",IF(COUNTIF('Invoice Register'!$M$2:$M$501,A32)=0,"INVOICE DATA REQUIRED",SUMIFS('Invoice Register'!$H$2:$H$501,'Invoice Register'!$M$2:$M$501,A32,'Invoice Register'!$G$2:$G$501,"MXN",'Invoice Register'!$B$2:$B$501,B32,'Invoice Register'!$L$2:$L$501,"VALID")+SUMIFS('Invoice Register'!$H$2:$H$501,'Invoice Register'!$M$2:$M$501,A32,'Invoice Register'!$G$2:$G$501,"MXN",'Invoice Register'!$B$2:$B$501,B32,'Invoice Register'!$L$2:$L$501,"FX HOLD")))</x:f>
      </x:c>
    </x:row>
    <x:row r="33">
      <x:c r="H33" t="str">
        <x:f>IF(B33="","",IF(COUNTIF('Invoice Register'!$M$2:$M$501,A33)=0,"INVOICE DATA REQUIRED",SUMIFS('Invoice Register'!$N$2:$N$501,'Invoice Register'!$M$2:$M$501,A33,'Invoice Register'!$B$2:$B$501,B33)))</x:f>
      </x:c>
      <x:c r="N33" t="str">
        <x:f>IF(B33="","",IF(COUNTIF('ERP Snapshot'!$A$2:$A$101,B33)=0,"UNKNOWN",IF(COUNTIFS('ERP Snapshot'!$A$2:$A$101,B33,'ERP Snapshot'!$D$2:$D$101,"MXN")&gt;0,"MXN","USD")))</x:f>
      </x:c>
      <x:c r="O33" t="str">
        <x:f>IF(B33="","",IF(N33="UNKNOWN","SOURCE REVIEW",IF(N33="USD","NOT REQUIRED",IF(AND(Settings!$B$8="APPROVED",Settings!$B$9&lt;&gt;"",Settings!$B$10&lt;&gt;"",Settings!$B$2&gt;0),"APPROVED","FX HOLD"))))</x:f>
      </x:c>
      <x:c r="P33" t="str">
        <x:f>IF(B33="","",IF(O33="FX HOLD","USD normalized input is provisional; FX approval missing",IF(O33="SOURCE REVIEW","Missing source currency mapping",IF(O33="APPROVED","Approval metadata supplied; source rates not independently audited",""))))</x:f>
      </x:c>
      <x:c r="T33" s="50"/>
      <x:c r="U33" t="str">
        <x:f>IF(B33="","",IF(COUNTIFS('Invoice Register'!$L$2:$L$501,"&lt;&gt;",'Invoice Register'!$L$2:$L$501,"&lt;&gt;VALID",'Invoice Register'!$L$2:$L$501,"&lt;&gt;CANCELLED",'Invoice Register'!$L$2:$L$501,"&lt;&gt;FX HOLD",'Invoice Register'!$M$2:$M$501,A33)&gt;0,"SUBTOTAL; EXCLUDED RECORDS - SEE MANAGEMENT REPORT",IF(B33="","",IF(ISNUMBER(H33),"DATED ERP INVOICES",IF(ISNUMBER(T33),"HISTORICAL DATES REQUIRED",H33)))))</x:f>
      </x:c>
      <x:c r="V33" s="49" t="str">
        <x:f>IF(B33="","",IF(COUNTIF('Invoice Register'!$M$2:$M$501,A33)=0,"INVOICE DATA REQUIRED",SUMIFS('Invoice Register'!$H$2:$H$501,'Invoice Register'!$M$2:$M$501,A33,'Invoice Register'!$G$2:$G$501,"USD",'Invoice Register'!$B$2:$B$501,B33,'Invoice Register'!$L$2:$L$501,"VALID")+SUMIFS('Invoice Register'!$H$2:$H$501,'Invoice Register'!$M$2:$M$501,A33,'Invoice Register'!$G$2:$G$501,"USD",'Invoice Register'!$B$2:$B$501,B33,'Invoice Register'!$L$2:$L$501,"FX HOLD")))</x:f>
      </x:c>
      <x:c r="W33" s="49" t="str">
        <x:f>IF(B33="","",IF(COUNTIF('Invoice Register'!$M$2:$M$501,A33)=0,"INVOICE DATA REQUIRED",SUMIFS('Invoice Register'!$H$2:$H$501,'Invoice Register'!$M$2:$M$501,A33,'Invoice Register'!$G$2:$G$501,"MXN",'Invoice Register'!$B$2:$B$501,B33,'Invoice Register'!$L$2:$L$501,"VALID")+SUMIFS('Invoice Register'!$H$2:$H$501,'Invoice Register'!$M$2:$M$501,A33,'Invoice Register'!$G$2:$G$501,"MXN",'Invoice Register'!$B$2:$B$501,B33,'Invoice Register'!$L$2:$L$501,"FX HOLD")))</x:f>
      </x:c>
    </x:row>
    <x:row r="34">
      <x:c r="H34" t="str">
        <x:f>IF(B34="","",IF(COUNTIF('Invoice Register'!$M$2:$M$501,A34)=0,"INVOICE DATA REQUIRED",SUMIFS('Invoice Register'!$N$2:$N$501,'Invoice Register'!$M$2:$M$501,A34,'Invoice Register'!$B$2:$B$501,B34)))</x:f>
      </x:c>
      <x:c r="N34" t="str">
        <x:f>IF(B34="","",IF(COUNTIF('ERP Snapshot'!$A$2:$A$101,B34)=0,"UNKNOWN",IF(COUNTIFS('ERP Snapshot'!$A$2:$A$101,B34,'ERP Snapshot'!$D$2:$D$101,"MXN")&gt;0,"MXN","USD")))</x:f>
      </x:c>
      <x:c r="O34" t="str">
        <x:f>IF(B34="","",IF(N34="UNKNOWN","SOURCE REVIEW",IF(N34="USD","NOT REQUIRED",IF(AND(Settings!$B$8="APPROVED",Settings!$B$9&lt;&gt;"",Settings!$B$10&lt;&gt;"",Settings!$B$2&gt;0),"APPROVED","FX HOLD"))))</x:f>
      </x:c>
      <x:c r="P34" t="str">
        <x:f>IF(B34="","",IF(O34="FX HOLD","USD normalized input is provisional; FX approval missing",IF(O34="SOURCE REVIEW","Missing source currency mapping",IF(O34="APPROVED","Approval metadata supplied; source rates not independently audited",""))))</x:f>
      </x:c>
      <x:c r="T34" s="50"/>
      <x:c r="U34" t="str">
        <x:f>IF(B34="","",IF(COUNTIFS('Invoice Register'!$L$2:$L$501,"&lt;&gt;",'Invoice Register'!$L$2:$L$501,"&lt;&gt;VALID",'Invoice Register'!$L$2:$L$501,"&lt;&gt;CANCELLED",'Invoice Register'!$L$2:$L$501,"&lt;&gt;FX HOLD",'Invoice Register'!$M$2:$M$501,A34)&gt;0,"SUBTOTAL; EXCLUDED RECORDS - SEE MANAGEMENT REPORT",IF(B34="","",IF(ISNUMBER(H34),"DATED ERP INVOICES",IF(ISNUMBER(T34),"HISTORICAL DATES REQUIRED",H34)))))</x:f>
      </x:c>
      <x:c r="V34" s="49" t="str">
        <x:f>IF(B34="","",IF(COUNTIF('Invoice Register'!$M$2:$M$501,A34)=0,"INVOICE DATA REQUIRED",SUMIFS('Invoice Register'!$H$2:$H$501,'Invoice Register'!$M$2:$M$501,A34,'Invoice Register'!$G$2:$G$501,"USD",'Invoice Register'!$B$2:$B$501,B34,'Invoice Register'!$L$2:$L$501,"VALID")+SUMIFS('Invoice Register'!$H$2:$H$501,'Invoice Register'!$M$2:$M$501,A34,'Invoice Register'!$G$2:$G$501,"USD",'Invoice Register'!$B$2:$B$501,B34,'Invoice Register'!$L$2:$L$501,"FX HOLD")))</x:f>
      </x:c>
      <x:c r="W34" s="49" t="str">
        <x:f>IF(B34="","",IF(COUNTIF('Invoice Register'!$M$2:$M$501,A34)=0,"INVOICE DATA REQUIRED",SUMIFS('Invoice Register'!$H$2:$H$501,'Invoice Register'!$M$2:$M$501,A34,'Invoice Register'!$G$2:$G$501,"MXN",'Invoice Register'!$B$2:$B$501,B34,'Invoice Register'!$L$2:$L$501,"VALID")+SUMIFS('Invoice Register'!$H$2:$H$501,'Invoice Register'!$M$2:$M$501,A34,'Invoice Register'!$G$2:$G$501,"MXN",'Invoice Register'!$B$2:$B$501,B34,'Invoice Register'!$L$2:$L$501,"FX HOLD")))</x:f>
      </x:c>
    </x:row>
    <x:row r="35">
      <x:c r="H35" t="str">
        <x:f>IF(B35="","",IF(COUNTIF('Invoice Register'!$M$2:$M$501,A35)=0,"INVOICE DATA REQUIRED",SUMIFS('Invoice Register'!$N$2:$N$501,'Invoice Register'!$M$2:$M$501,A35,'Invoice Register'!$B$2:$B$501,B35)))</x:f>
      </x:c>
      <x:c r="N35" t="str">
        <x:f>IF(B35="","",IF(COUNTIF('ERP Snapshot'!$A$2:$A$101,B35)=0,"UNKNOWN",IF(COUNTIFS('ERP Snapshot'!$A$2:$A$101,B35,'ERP Snapshot'!$D$2:$D$101,"MXN")&gt;0,"MXN","USD")))</x:f>
      </x:c>
      <x:c r="O35" t="str">
        <x:f>IF(B35="","",IF(N35="UNKNOWN","SOURCE REVIEW",IF(N35="USD","NOT REQUIRED",IF(AND(Settings!$B$8="APPROVED",Settings!$B$9&lt;&gt;"",Settings!$B$10&lt;&gt;"",Settings!$B$2&gt;0),"APPROVED","FX HOLD"))))</x:f>
      </x:c>
      <x:c r="P35" t="str">
        <x:f>IF(B35="","",IF(O35="FX HOLD","USD normalized input is provisional; FX approval missing",IF(O35="SOURCE REVIEW","Missing source currency mapping",IF(O35="APPROVED","Approval metadata supplied; source rates not independently audited",""))))</x:f>
      </x:c>
      <x:c r="T35" s="50"/>
      <x:c r="U35" t="str">
        <x:f>IF(B35="","",IF(COUNTIFS('Invoice Register'!$L$2:$L$501,"&lt;&gt;",'Invoice Register'!$L$2:$L$501,"&lt;&gt;VALID",'Invoice Register'!$L$2:$L$501,"&lt;&gt;CANCELLED",'Invoice Register'!$L$2:$L$501,"&lt;&gt;FX HOLD",'Invoice Register'!$M$2:$M$501,A35)&gt;0,"SUBTOTAL; EXCLUDED RECORDS - SEE MANAGEMENT REPORT",IF(B35="","",IF(ISNUMBER(H35),"DATED ERP INVOICES",IF(ISNUMBER(T35),"HISTORICAL DATES REQUIRED",H35)))))</x:f>
      </x:c>
      <x:c r="V35" s="49" t="str">
        <x:f>IF(B35="","",IF(COUNTIF('Invoice Register'!$M$2:$M$501,A35)=0,"INVOICE DATA REQUIRED",SUMIFS('Invoice Register'!$H$2:$H$501,'Invoice Register'!$M$2:$M$501,A35,'Invoice Register'!$G$2:$G$501,"USD",'Invoice Register'!$B$2:$B$501,B35,'Invoice Register'!$L$2:$L$501,"VALID")+SUMIFS('Invoice Register'!$H$2:$H$501,'Invoice Register'!$M$2:$M$501,A35,'Invoice Register'!$G$2:$G$501,"USD",'Invoice Register'!$B$2:$B$501,B35,'Invoice Register'!$L$2:$L$501,"FX HOLD")))</x:f>
      </x:c>
      <x:c r="W35" s="49" t="str">
        <x:f>IF(B35="","",IF(COUNTIF('Invoice Register'!$M$2:$M$501,A35)=0,"INVOICE DATA REQUIRED",SUMIFS('Invoice Register'!$H$2:$H$501,'Invoice Register'!$M$2:$M$501,A35,'Invoice Register'!$G$2:$G$501,"MXN",'Invoice Register'!$B$2:$B$501,B35,'Invoice Register'!$L$2:$L$501,"VALID")+SUMIFS('Invoice Register'!$H$2:$H$501,'Invoice Register'!$M$2:$M$501,A35,'Invoice Register'!$G$2:$G$501,"MXN",'Invoice Register'!$B$2:$B$501,B35,'Invoice Register'!$L$2:$L$501,"FX HOLD")))</x:f>
      </x:c>
    </x:row>
    <x:row r="36">
      <x:c r="H36" t="str">
        <x:f>IF(B36="","",IF(COUNTIF('Invoice Register'!$M$2:$M$501,A36)=0,"INVOICE DATA REQUIRED",SUMIFS('Invoice Register'!$N$2:$N$501,'Invoice Register'!$M$2:$M$501,A36,'Invoice Register'!$B$2:$B$501,B36)))</x:f>
      </x:c>
      <x:c r="N36" t="str">
        <x:f>IF(B36="","",IF(COUNTIF('ERP Snapshot'!$A$2:$A$101,B36)=0,"UNKNOWN",IF(COUNTIFS('ERP Snapshot'!$A$2:$A$101,B36,'ERP Snapshot'!$D$2:$D$101,"MXN")&gt;0,"MXN","USD")))</x:f>
      </x:c>
      <x:c r="O36" t="str">
        <x:f>IF(B36="","",IF(N36="UNKNOWN","SOURCE REVIEW",IF(N36="USD","NOT REQUIRED",IF(AND(Settings!$B$8="APPROVED",Settings!$B$9&lt;&gt;"",Settings!$B$10&lt;&gt;"",Settings!$B$2&gt;0),"APPROVED","FX HOLD"))))</x:f>
      </x:c>
      <x:c r="P36" t="str">
        <x:f>IF(B36="","",IF(O36="FX HOLD","USD normalized input is provisional; FX approval missing",IF(O36="SOURCE REVIEW","Missing source currency mapping",IF(O36="APPROVED","Approval metadata supplied; source rates not independently audited",""))))</x:f>
      </x:c>
      <x:c r="T36" s="50"/>
      <x:c r="U36" t="str">
        <x:f>IF(B36="","",IF(COUNTIFS('Invoice Register'!$L$2:$L$501,"&lt;&gt;",'Invoice Register'!$L$2:$L$501,"&lt;&gt;VALID",'Invoice Register'!$L$2:$L$501,"&lt;&gt;CANCELLED",'Invoice Register'!$L$2:$L$501,"&lt;&gt;FX HOLD",'Invoice Register'!$M$2:$M$501,A36)&gt;0,"SUBTOTAL; EXCLUDED RECORDS - SEE MANAGEMENT REPORT",IF(B36="","",IF(ISNUMBER(H36),"DATED ERP INVOICES",IF(ISNUMBER(T36),"HISTORICAL DATES REQUIRED",H36)))))</x:f>
      </x:c>
      <x:c r="V36" s="49" t="str">
        <x:f>IF(B36="","",IF(COUNTIF('Invoice Register'!$M$2:$M$501,A36)=0,"INVOICE DATA REQUIRED",SUMIFS('Invoice Register'!$H$2:$H$501,'Invoice Register'!$M$2:$M$501,A36,'Invoice Register'!$G$2:$G$501,"USD",'Invoice Register'!$B$2:$B$501,B36,'Invoice Register'!$L$2:$L$501,"VALID")+SUMIFS('Invoice Register'!$H$2:$H$501,'Invoice Register'!$M$2:$M$501,A36,'Invoice Register'!$G$2:$G$501,"USD",'Invoice Register'!$B$2:$B$501,B36,'Invoice Register'!$L$2:$L$501,"FX HOLD")))</x:f>
      </x:c>
      <x:c r="W36" s="49" t="str">
        <x:f>IF(B36="","",IF(COUNTIF('Invoice Register'!$M$2:$M$501,A36)=0,"INVOICE DATA REQUIRED",SUMIFS('Invoice Register'!$H$2:$H$501,'Invoice Register'!$M$2:$M$501,A36,'Invoice Register'!$G$2:$G$501,"MXN",'Invoice Register'!$B$2:$B$501,B36,'Invoice Register'!$L$2:$L$501,"VALID")+SUMIFS('Invoice Register'!$H$2:$H$501,'Invoice Register'!$M$2:$M$501,A36,'Invoice Register'!$G$2:$G$501,"MXN",'Invoice Register'!$B$2:$B$501,B36,'Invoice Register'!$L$2:$L$501,"FX HOLD")))</x:f>
      </x:c>
    </x:row>
    <x:row r="37">
      <x:c r="H37" t="str">
        <x:f>IF(B37="","",IF(COUNTIF('Invoice Register'!$M$2:$M$501,A37)=0,"INVOICE DATA REQUIRED",SUMIFS('Invoice Register'!$N$2:$N$501,'Invoice Register'!$M$2:$M$501,A37,'Invoice Register'!$B$2:$B$501,B37)))</x:f>
      </x:c>
      <x:c r="N37" t="str">
        <x:f>IF(B37="","",IF(COUNTIF('ERP Snapshot'!$A$2:$A$101,B37)=0,"UNKNOWN",IF(COUNTIFS('ERP Snapshot'!$A$2:$A$101,B37,'ERP Snapshot'!$D$2:$D$101,"MXN")&gt;0,"MXN","USD")))</x:f>
      </x:c>
      <x:c r="O37" t="str">
        <x:f>IF(B37="","",IF(N37="UNKNOWN","SOURCE REVIEW",IF(N37="USD","NOT REQUIRED",IF(AND(Settings!$B$8="APPROVED",Settings!$B$9&lt;&gt;"",Settings!$B$10&lt;&gt;"",Settings!$B$2&gt;0),"APPROVED","FX HOLD"))))</x:f>
      </x:c>
      <x:c r="P37" t="str">
        <x:f>IF(B37="","",IF(O37="FX HOLD","USD normalized input is provisional; FX approval missing",IF(O37="SOURCE REVIEW","Missing source currency mapping",IF(O37="APPROVED","Approval metadata supplied; source rates not independently audited",""))))</x:f>
      </x:c>
      <x:c r="T37" s="50"/>
      <x:c r="U37" t="str">
        <x:f>IF(B37="","",IF(COUNTIFS('Invoice Register'!$L$2:$L$501,"&lt;&gt;",'Invoice Register'!$L$2:$L$501,"&lt;&gt;VALID",'Invoice Register'!$L$2:$L$501,"&lt;&gt;CANCELLED",'Invoice Register'!$L$2:$L$501,"&lt;&gt;FX HOLD",'Invoice Register'!$M$2:$M$501,A37)&gt;0,"SUBTOTAL; EXCLUDED RECORDS - SEE MANAGEMENT REPORT",IF(B37="","",IF(ISNUMBER(H37),"DATED ERP INVOICES",IF(ISNUMBER(T37),"HISTORICAL DATES REQUIRED",H37)))))</x:f>
      </x:c>
      <x:c r="V37" s="49" t="str">
        <x:f>IF(B37="","",IF(COUNTIF('Invoice Register'!$M$2:$M$501,A37)=0,"INVOICE DATA REQUIRED",SUMIFS('Invoice Register'!$H$2:$H$501,'Invoice Register'!$M$2:$M$501,A37,'Invoice Register'!$G$2:$G$501,"USD",'Invoice Register'!$B$2:$B$501,B37,'Invoice Register'!$L$2:$L$501,"VALID")+SUMIFS('Invoice Register'!$H$2:$H$501,'Invoice Register'!$M$2:$M$501,A37,'Invoice Register'!$G$2:$G$501,"USD",'Invoice Register'!$B$2:$B$501,B37,'Invoice Register'!$L$2:$L$501,"FX HOLD")))</x:f>
      </x:c>
      <x:c r="W37" s="49" t="str">
        <x:f>IF(B37="","",IF(COUNTIF('Invoice Register'!$M$2:$M$501,A37)=0,"INVOICE DATA REQUIRED",SUMIFS('Invoice Register'!$H$2:$H$501,'Invoice Register'!$M$2:$M$501,A37,'Invoice Register'!$G$2:$G$501,"MXN",'Invoice Register'!$B$2:$B$501,B37,'Invoice Register'!$L$2:$L$501,"VALID")+SUMIFS('Invoice Register'!$H$2:$H$501,'Invoice Register'!$M$2:$M$501,A37,'Invoice Register'!$G$2:$G$501,"MXN",'Invoice Register'!$B$2:$B$501,B37,'Invoice Register'!$L$2:$L$501,"FX HOLD")))</x:f>
      </x:c>
    </x:row>
    <x:row r="38">
      <x:c r="H38" t="str">
        <x:f>IF(B38="","",IF(COUNTIF('Invoice Register'!$M$2:$M$501,A38)=0,"INVOICE DATA REQUIRED",SUMIFS('Invoice Register'!$N$2:$N$501,'Invoice Register'!$M$2:$M$501,A38,'Invoice Register'!$B$2:$B$501,B38)))</x:f>
      </x:c>
      <x:c r="N38" t="str">
        <x:f>IF(B38="","",IF(COUNTIF('ERP Snapshot'!$A$2:$A$101,B38)=0,"UNKNOWN",IF(COUNTIFS('ERP Snapshot'!$A$2:$A$101,B38,'ERP Snapshot'!$D$2:$D$101,"MXN")&gt;0,"MXN","USD")))</x:f>
      </x:c>
      <x:c r="O38" t="str">
        <x:f>IF(B38="","",IF(N38="UNKNOWN","SOURCE REVIEW",IF(N38="USD","NOT REQUIRED",IF(AND(Settings!$B$8="APPROVED",Settings!$B$9&lt;&gt;"",Settings!$B$10&lt;&gt;"",Settings!$B$2&gt;0),"APPROVED","FX HOLD"))))</x:f>
      </x:c>
      <x:c r="P38" t="str">
        <x:f>IF(B38="","",IF(O38="FX HOLD","USD normalized input is provisional; FX approval missing",IF(O38="SOURCE REVIEW","Missing source currency mapping",IF(O38="APPROVED","Approval metadata supplied; source rates not independently audited",""))))</x:f>
      </x:c>
      <x:c r="T38" s="50"/>
      <x:c r="U38" t="str">
        <x:f>IF(B38="","",IF(COUNTIFS('Invoice Register'!$L$2:$L$501,"&lt;&gt;",'Invoice Register'!$L$2:$L$501,"&lt;&gt;VALID",'Invoice Register'!$L$2:$L$501,"&lt;&gt;CANCELLED",'Invoice Register'!$L$2:$L$501,"&lt;&gt;FX HOLD",'Invoice Register'!$M$2:$M$501,A38)&gt;0,"SUBTOTAL; EXCLUDED RECORDS - SEE MANAGEMENT REPORT",IF(B38="","",IF(ISNUMBER(H38),"DATED ERP INVOICES",IF(ISNUMBER(T38),"HISTORICAL DATES REQUIRED",H38)))))</x:f>
      </x:c>
      <x:c r="V38" s="49" t="str">
        <x:f>IF(B38="","",IF(COUNTIF('Invoice Register'!$M$2:$M$501,A38)=0,"INVOICE DATA REQUIRED",SUMIFS('Invoice Register'!$H$2:$H$501,'Invoice Register'!$M$2:$M$501,A38,'Invoice Register'!$G$2:$G$501,"USD",'Invoice Register'!$B$2:$B$501,B38,'Invoice Register'!$L$2:$L$501,"VALID")+SUMIFS('Invoice Register'!$H$2:$H$501,'Invoice Register'!$M$2:$M$501,A38,'Invoice Register'!$G$2:$G$501,"USD",'Invoice Register'!$B$2:$B$501,B38,'Invoice Register'!$L$2:$L$501,"FX HOLD")))</x:f>
      </x:c>
      <x:c r="W38" s="49" t="str">
        <x:f>IF(B38="","",IF(COUNTIF('Invoice Register'!$M$2:$M$501,A38)=0,"INVOICE DATA REQUIRED",SUMIFS('Invoice Register'!$H$2:$H$501,'Invoice Register'!$M$2:$M$501,A38,'Invoice Register'!$G$2:$G$501,"MXN",'Invoice Register'!$B$2:$B$501,B38,'Invoice Register'!$L$2:$L$501,"VALID")+SUMIFS('Invoice Register'!$H$2:$H$501,'Invoice Register'!$M$2:$M$501,A38,'Invoice Register'!$G$2:$G$501,"MXN",'Invoice Register'!$B$2:$B$501,B38,'Invoice Register'!$L$2:$L$501,"FX HOLD")))</x:f>
      </x:c>
    </x:row>
    <x:row r="39">
      <x:c r="H39" t="str">
        <x:f>IF(B39="","",IF(COUNTIF('Invoice Register'!$M$2:$M$501,A39)=0,"INVOICE DATA REQUIRED",SUMIFS('Invoice Register'!$N$2:$N$501,'Invoice Register'!$M$2:$M$501,A39,'Invoice Register'!$B$2:$B$501,B39)))</x:f>
      </x:c>
      <x:c r="N39" t="str">
        <x:f>IF(B39="","",IF(COUNTIF('ERP Snapshot'!$A$2:$A$101,B39)=0,"UNKNOWN",IF(COUNTIFS('ERP Snapshot'!$A$2:$A$101,B39,'ERP Snapshot'!$D$2:$D$101,"MXN")&gt;0,"MXN","USD")))</x:f>
      </x:c>
      <x:c r="O39" t="str">
        <x:f>IF(B39="","",IF(N39="UNKNOWN","SOURCE REVIEW",IF(N39="USD","NOT REQUIRED",IF(AND(Settings!$B$8="APPROVED",Settings!$B$9&lt;&gt;"",Settings!$B$10&lt;&gt;"",Settings!$B$2&gt;0),"APPROVED","FX HOLD"))))</x:f>
      </x:c>
      <x:c r="P39" t="str">
        <x:f>IF(B39="","",IF(O39="FX HOLD","USD normalized input is provisional; FX approval missing",IF(O39="SOURCE REVIEW","Missing source currency mapping",IF(O39="APPROVED","Approval metadata supplied; source rates not independently audited",""))))</x:f>
      </x:c>
      <x:c r="T39" s="50"/>
      <x:c r="U39" t="str">
        <x:f>IF(B39="","",IF(COUNTIFS('Invoice Register'!$L$2:$L$501,"&lt;&gt;",'Invoice Register'!$L$2:$L$501,"&lt;&gt;VALID",'Invoice Register'!$L$2:$L$501,"&lt;&gt;CANCELLED",'Invoice Register'!$L$2:$L$501,"&lt;&gt;FX HOLD",'Invoice Register'!$M$2:$M$501,A39)&gt;0,"SUBTOTAL; EXCLUDED RECORDS - SEE MANAGEMENT REPORT",IF(B39="","",IF(ISNUMBER(H39),"DATED ERP INVOICES",IF(ISNUMBER(T39),"HISTORICAL DATES REQUIRED",H39)))))</x:f>
      </x:c>
      <x:c r="V39" s="49" t="str">
        <x:f>IF(B39="","",IF(COUNTIF('Invoice Register'!$M$2:$M$501,A39)=0,"INVOICE DATA REQUIRED",SUMIFS('Invoice Register'!$H$2:$H$501,'Invoice Register'!$M$2:$M$501,A39,'Invoice Register'!$G$2:$G$501,"USD",'Invoice Register'!$B$2:$B$501,B39,'Invoice Register'!$L$2:$L$501,"VALID")+SUMIFS('Invoice Register'!$H$2:$H$501,'Invoice Register'!$M$2:$M$501,A39,'Invoice Register'!$G$2:$G$501,"USD",'Invoice Register'!$B$2:$B$501,B39,'Invoice Register'!$L$2:$L$501,"FX HOLD")))</x:f>
      </x:c>
      <x:c r="W39" s="49" t="str">
        <x:f>IF(B39="","",IF(COUNTIF('Invoice Register'!$M$2:$M$501,A39)=0,"INVOICE DATA REQUIRED",SUMIFS('Invoice Register'!$H$2:$H$501,'Invoice Register'!$M$2:$M$501,A39,'Invoice Register'!$G$2:$G$501,"MXN",'Invoice Register'!$B$2:$B$501,B39,'Invoice Register'!$L$2:$L$501,"VALID")+SUMIFS('Invoice Register'!$H$2:$H$501,'Invoice Register'!$M$2:$M$501,A39,'Invoice Register'!$G$2:$G$501,"MXN",'Invoice Register'!$B$2:$B$501,B39,'Invoice Register'!$L$2:$L$501,"FX HOLD")))</x:f>
      </x:c>
    </x:row>
    <x:row r="40">
      <x:c r="H40" t="str">
        <x:f>IF(B40="","",IF(COUNTIF('Invoice Register'!$M$2:$M$501,A40)=0,"INVOICE DATA REQUIRED",SUMIFS('Invoice Register'!$N$2:$N$501,'Invoice Register'!$M$2:$M$501,A40,'Invoice Register'!$B$2:$B$501,B40)))</x:f>
      </x:c>
      <x:c r="N40" t="str">
        <x:f>IF(B40="","",IF(COUNTIF('ERP Snapshot'!$A$2:$A$101,B40)=0,"UNKNOWN",IF(COUNTIFS('ERP Snapshot'!$A$2:$A$101,B40,'ERP Snapshot'!$D$2:$D$101,"MXN")&gt;0,"MXN","USD")))</x:f>
      </x:c>
      <x:c r="O40" t="str">
        <x:f>IF(B40="","",IF(N40="UNKNOWN","SOURCE REVIEW",IF(N40="USD","NOT REQUIRED",IF(AND(Settings!$B$8="APPROVED",Settings!$B$9&lt;&gt;"",Settings!$B$10&lt;&gt;"",Settings!$B$2&gt;0),"APPROVED","FX HOLD"))))</x:f>
      </x:c>
      <x:c r="P40" t="str">
        <x:f>IF(B40="","",IF(O40="FX HOLD","USD normalized input is provisional; FX approval missing",IF(O40="SOURCE REVIEW","Missing source currency mapping",IF(O40="APPROVED","Approval metadata supplied; source rates not independently audited",""))))</x:f>
      </x:c>
      <x:c r="T40" s="50"/>
      <x:c r="U40" t="str">
        <x:f>IF(B40="","",IF(COUNTIFS('Invoice Register'!$L$2:$L$501,"&lt;&gt;",'Invoice Register'!$L$2:$L$501,"&lt;&gt;VALID",'Invoice Register'!$L$2:$L$501,"&lt;&gt;CANCELLED",'Invoice Register'!$L$2:$L$501,"&lt;&gt;FX HOLD",'Invoice Register'!$M$2:$M$501,A40)&gt;0,"SUBTOTAL; EXCLUDED RECORDS - SEE MANAGEMENT REPORT",IF(B40="","",IF(ISNUMBER(H40),"DATED ERP INVOICES",IF(ISNUMBER(T40),"HISTORICAL DATES REQUIRED",H40)))))</x:f>
      </x:c>
      <x:c r="V40" s="49" t="str">
        <x:f>IF(B40="","",IF(COUNTIF('Invoice Register'!$M$2:$M$501,A40)=0,"INVOICE DATA REQUIRED",SUMIFS('Invoice Register'!$H$2:$H$501,'Invoice Register'!$M$2:$M$501,A40,'Invoice Register'!$G$2:$G$501,"USD",'Invoice Register'!$B$2:$B$501,B40,'Invoice Register'!$L$2:$L$501,"VALID")+SUMIFS('Invoice Register'!$H$2:$H$501,'Invoice Register'!$M$2:$M$501,A40,'Invoice Register'!$G$2:$G$501,"USD",'Invoice Register'!$B$2:$B$501,B40,'Invoice Register'!$L$2:$L$501,"FX HOLD")))</x:f>
      </x:c>
      <x:c r="W40" s="49" t="str">
        <x:f>IF(B40="","",IF(COUNTIF('Invoice Register'!$M$2:$M$501,A40)=0,"INVOICE DATA REQUIRED",SUMIFS('Invoice Register'!$H$2:$H$501,'Invoice Register'!$M$2:$M$501,A40,'Invoice Register'!$G$2:$G$501,"MXN",'Invoice Register'!$B$2:$B$501,B40,'Invoice Register'!$L$2:$L$501,"VALID")+SUMIFS('Invoice Register'!$H$2:$H$501,'Invoice Register'!$M$2:$M$501,A40,'Invoice Register'!$G$2:$G$501,"MXN",'Invoice Register'!$B$2:$B$501,B40,'Invoice Register'!$L$2:$L$501,"FX HOLD")))</x:f>
      </x:c>
    </x:row>
    <x:row r="41">
      <x:c r="H41" t="str">
        <x:f>IF(B41="","",IF(COUNTIF('Invoice Register'!$M$2:$M$501,A41)=0,"INVOICE DATA REQUIRED",SUMIFS('Invoice Register'!$N$2:$N$501,'Invoice Register'!$M$2:$M$501,A41,'Invoice Register'!$B$2:$B$501,B41)))</x:f>
      </x:c>
      <x:c r="N41" t="str">
        <x:f>IF(B41="","",IF(COUNTIF('ERP Snapshot'!$A$2:$A$101,B41)=0,"UNKNOWN",IF(COUNTIFS('ERP Snapshot'!$A$2:$A$101,B41,'ERP Snapshot'!$D$2:$D$101,"MXN")&gt;0,"MXN","USD")))</x:f>
      </x:c>
      <x:c r="O41" t="str">
        <x:f>IF(B41="","",IF(N41="UNKNOWN","SOURCE REVIEW",IF(N41="USD","NOT REQUIRED",IF(AND(Settings!$B$8="APPROVED",Settings!$B$9&lt;&gt;"",Settings!$B$10&lt;&gt;"",Settings!$B$2&gt;0),"APPROVED","FX HOLD"))))</x:f>
      </x:c>
      <x:c r="P41" t="str">
        <x:f>IF(B41="","",IF(O41="FX HOLD","USD normalized input is provisional; FX approval missing",IF(O41="SOURCE REVIEW","Missing source currency mapping",IF(O41="APPROVED","Approval metadata supplied; source rates not independently audited",""))))</x:f>
      </x:c>
      <x:c r="T41" s="50"/>
      <x:c r="U41" t="str">
        <x:f>IF(B41="","",IF(COUNTIFS('Invoice Register'!$L$2:$L$501,"&lt;&gt;",'Invoice Register'!$L$2:$L$501,"&lt;&gt;VALID",'Invoice Register'!$L$2:$L$501,"&lt;&gt;CANCELLED",'Invoice Register'!$L$2:$L$501,"&lt;&gt;FX HOLD",'Invoice Register'!$M$2:$M$501,A41)&gt;0,"SUBTOTAL; EXCLUDED RECORDS - SEE MANAGEMENT REPORT",IF(B41="","",IF(ISNUMBER(H41),"DATED ERP INVOICES",IF(ISNUMBER(T41),"HISTORICAL DATES REQUIRED",H41)))))</x:f>
      </x:c>
      <x:c r="V41" s="49" t="str">
        <x:f>IF(B41="","",IF(COUNTIF('Invoice Register'!$M$2:$M$501,A41)=0,"INVOICE DATA REQUIRED",SUMIFS('Invoice Register'!$H$2:$H$501,'Invoice Register'!$M$2:$M$501,A41,'Invoice Register'!$G$2:$G$501,"USD",'Invoice Register'!$B$2:$B$501,B41,'Invoice Register'!$L$2:$L$501,"VALID")+SUMIFS('Invoice Register'!$H$2:$H$501,'Invoice Register'!$M$2:$M$501,A41,'Invoice Register'!$G$2:$G$501,"USD",'Invoice Register'!$B$2:$B$501,B41,'Invoice Register'!$L$2:$L$501,"FX HOLD")))</x:f>
      </x:c>
      <x:c r="W41" s="49" t="str">
        <x:f>IF(B41="","",IF(COUNTIF('Invoice Register'!$M$2:$M$501,A41)=0,"INVOICE DATA REQUIRED",SUMIFS('Invoice Register'!$H$2:$H$501,'Invoice Register'!$M$2:$M$501,A41,'Invoice Register'!$G$2:$G$501,"MXN",'Invoice Register'!$B$2:$B$501,B41,'Invoice Register'!$L$2:$L$501,"VALID")+SUMIFS('Invoice Register'!$H$2:$H$501,'Invoice Register'!$M$2:$M$501,A41,'Invoice Register'!$G$2:$G$501,"MXN",'Invoice Register'!$B$2:$B$501,B41,'Invoice Register'!$L$2:$L$501,"FX HOLD")))</x:f>
      </x:c>
    </x:row>
    <x:row r="42">
      <x:c r="H42" t="str">
        <x:f>IF(B42="","",IF(COUNTIF('Invoice Register'!$M$2:$M$501,A42)=0,"INVOICE DATA REQUIRED",SUMIFS('Invoice Register'!$N$2:$N$501,'Invoice Register'!$M$2:$M$501,A42,'Invoice Register'!$B$2:$B$501,B42)))</x:f>
      </x:c>
      <x:c r="N42" t="str">
        <x:f>IF(B42="","",IF(COUNTIF('ERP Snapshot'!$A$2:$A$101,B42)=0,"UNKNOWN",IF(COUNTIFS('ERP Snapshot'!$A$2:$A$101,B42,'ERP Snapshot'!$D$2:$D$101,"MXN")&gt;0,"MXN","USD")))</x:f>
      </x:c>
      <x:c r="O42" t="str">
        <x:f>IF(B42="","",IF(N42="UNKNOWN","SOURCE REVIEW",IF(N42="USD","NOT REQUIRED",IF(AND(Settings!$B$8="APPROVED",Settings!$B$9&lt;&gt;"",Settings!$B$10&lt;&gt;"",Settings!$B$2&gt;0),"APPROVED","FX HOLD"))))</x:f>
      </x:c>
      <x:c r="P42" t="str">
        <x:f>IF(B42="","",IF(O42="FX HOLD","USD normalized input is provisional; FX approval missing",IF(O42="SOURCE REVIEW","Missing source currency mapping",IF(O42="APPROVED","Approval metadata supplied; source rates not independently audited",""))))</x:f>
      </x:c>
      <x:c r="T42" s="50"/>
      <x:c r="U42" t="str">
        <x:f>IF(B42="","",IF(COUNTIFS('Invoice Register'!$L$2:$L$501,"&lt;&gt;",'Invoice Register'!$L$2:$L$501,"&lt;&gt;VALID",'Invoice Register'!$L$2:$L$501,"&lt;&gt;CANCELLED",'Invoice Register'!$L$2:$L$501,"&lt;&gt;FX HOLD",'Invoice Register'!$M$2:$M$501,A42)&gt;0,"SUBTOTAL; EXCLUDED RECORDS - SEE MANAGEMENT REPORT",IF(B42="","",IF(ISNUMBER(H42),"DATED ERP INVOICES",IF(ISNUMBER(T42),"HISTORICAL DATES REQUIRED",H42)))))</x:f>
      </x:c>
      <x:c r="V42" s="49" t="str">
        <x:f>IF(B42="","",IF(COUNTIF('Invoice Register'!$M$2:$M$501,A42)=0,"INVOICE DATA REQUIRED",SUMIFS('Invoice Register'!$H$2:$H$501,'Invoice Register'!$M$2:$M$501,A42,'Invoice Register'!$G$2:$G$501,"USD",'Invoice Register'!$B$2:$B$501,B42,'Invoice Register'!$L$2:$L$501,"VALID")+SUMIFS('Invoice Register'!$H$2:$H$501,'Invoice Register'!$M$2:$M$501,A42,'Invoice Register'!$G$2:$G$501,"USD",'Invoice Register'!$B$2:$B$501,B42,'Invoice Register'!$L$2:$L$501,"FX HOLD")))</x:f>
      </x:c>
      <x:c r="W42" s="49" t="str">
        <x:f>IF(B42="","",IF(COUNTIF('Invoice Register'!$M$2:$M$501,A42)=0,"INVOICE DATA REQUIRED",SUMIFS('Invoice Register'!$H$2:$H$501,'Invoice Register'!$M$2:$M$501,A42,'Invoice Register'!$G$2:$G$501,"MXN",'Invoice Register'!$B$2:$B$501,B42,'Invoice Register'!$L$2:$L$501,"VALID")+SUMIFS('Invoice Register'!$H$2:$H$501,'Invoice Register'!$M$2:$M$501,A42,'Invoice Register'!$G$2:$G$501,"MXN",'Invoice Register'!$B$2:$B$501,B42,'Invoice Register'!$L$2:$L$501,"FX HOLD")))</x:f>
      </x:c>
    </x:row>
    <x:row r="43">
      <x:c r="H43" t="str">
        <x:f>IF(B43="","",IF(COUNTIF('Invoice Register'!$M$2:$M$501,A43)=0,"INVOICE DATA REQUIRED",SUMIFS('Invoice Register'!$N$2:$N$501,'Invoice Register'!$M$2:$M$501,A43,'Invoice Register'!$B$2:$B$501,B43)))</x:f>
      </x:c>
      <x:c r="N43" t="str">
        <x:f>IF(B43="","",IF(COUNTIF('ERP Snapshot'!$A$2:$A$101,B43)=0,"UNKNOWN",IF(COUNTIFS('ERP Snapshot'!$A$2:$A$101,B43,'ERP Snapshot'!$D$2:$D$101,"MXN")&gt;0,"MXN","USD")))</x:f>
      </x:c>
      <x:c r="O43" t="str">
        <x:f>IF(B43="","",IF(N43="UNKNOWN","SOURCE REVIEW",IF(N43="USD","NOT REQUIRED",IF(AND(Settings!$B$8="APPROVED",Settings!$B$9&lt;&gt;"",Settings!$B$10&lt;&gt;"",Settings!$B$2&gt;0),"APPROVED","FX HOLD"))))</x:f>
      </x:c>
      <x:c r="P43" t="str">
        <x:f>IF(B43="","",IF(O43="FX HOLD","USD normalized input is provisional; FX approval missing",IF(O43="SOURCE REVIEW","Missing source currency mapping",IF(O43="APPROVED","Approval metadata supplied; source rates not independently audited",""))))</x:f>
      </x:c>
      <x:c r="T43" s="50"/>
      <x:c r="U43" t="str">
        <x:f>IF(B43="","",IF(COUNTIFS('Invoice Register'!$L$2:$L$501,"&lt;&gt;",'Invoice Register'!$L$2:$L$501,"&lt;&gt;VALID",'Invoice Register'!$L$2:$L$501,"&lt;&gt;CANCELLED",'Invoice Register'!$L$2:$L$501,"&lt;&gt;FX HOLD",'Invoice Register'!$M$2:$M$501,A43)&gt;0,"SUBTOTAL; EXCLUDED RECORDS - SEE MANAGEMENT REPORT",IF(B43="","",IF(ISNUMBER(H43),"DATED ERP INVOICES",IF(ISNUMBER(T43),"HISTORICAL DATES REQUIRED",H43)))))</x:f>
      </x:c>
      <x:c r="V43" s="49" t="str">
        <x:f>IF(B43="","",IF(COUNTIF('Invoice Register'!$M$2:$M$501,A43)=0,"INVOICE DATA REQUIRED",SUMIFS('Invoice Register'!$H$2:$H$501,'Invoice Register'!$M$2:$M$501,A43,'Invoice Register'!$G$2:$G$501,"USD",'Invoice Register'!$B$2:$B$501,B43,'Invoice Register'!$L$2:$L$501,"VALID")+SUMIFS('Invoice Register'!$H$2:$H$501,'Invoice Register'!$M$2:$M$501,A43,'Invoice Register'!$G$2:$G$501,"USD",'Invoice Register'!$B$2:$B$501,B43,'Invoice Register'!$L$2:$L$501,"FX HOLD")))</x:f>
      </x:c>
      <x:c r="W43" s="49" t="str">
        <x:f>IF(B43="","",IF(COUNTIF('Invoice Register'!$M$2:$M$501,A43)=0,"INVOICE DATA REQUIRED",SUMIFS('Invoice Register'!$H$2:$H$501,'Invoice Register'!$M$2:$M$501,A43,'Invoice Register'!$G$2:$G$501,"MXN",'Invoice Register'!$B$2:$B$501,B43,'Invoice Register'!$L$2:$L$501,"VALID")+SUMIFS('Invoice Register'!$H$2:$H$501,'Invoice Register'!$M$2:$M$501,A43,'Invoice Register'!$G$2:$G$501,"MXN",'Invoice Register'!$B$2:$B$501,B43,'Invoice Register'!$L$2:$L$501,"FX HOLD")))</x:f>
      </x:c>
    </x:row>
    <x:row r="44">
      <x:c r="H44" t="str">
        <x:f>IF(B44="","",IF(COUNTIF('Invoice Register'!$M$2:$M$501,A44)=0,"INVOICE DATA REQUIRED",SUMIFS('Invoice Register'!$N$2:$N$501,'Invoice Register'!$M$2:$M$501,A44,'Invoice Register'!$B$2:$B$501,B44)))</x:f>
      </x:c>
      <x:c r="N44" t="str">
        <x:f>IF(B44="","",IF(COUNTIF('ERP Snapshot'!$A$2:$A$101,B44)=0,"UNKNOWN",IF(COUNTIFS('ERP Snapshot'!$A$2:$A$101,B44,'ERP Snapshot'!$D$2:$D$101,"MXN")&gt;0,"MXN","USD")))</x:f>
      </x:c>
      <x:c r="O44" t="str">
        <x:f>IF(B44="","",IF(N44="UNKNOWN","SOURCE REVIEW",IF(N44="USD","NOT REQUIRED",IF(AND(Settings!$B$8="APPROVED",Settings!$B$9&lt;&gt;"",Settings!$B$10&lt;&gt;"",Settings!$B$2&gt;0),"APPROVED","FX HOLD"))))</x:f>
      </x:c>
      <x:c r="P44" t="str">
        <x:f>IF(B44="","",IF(O44="FX HOLD","USD normalized input is provisional; FX approval missing",IF(O44="SOURCE REVIEW","Missing source currency mapping",IF(O44="APPROVED","Approval metadata supplied; source rates not independently audited",""))))</x:f>
      </x:c>
      <x:c r="T44" s="50"/>
      <x:c r="U44" t="str">
        <x:f>IF(B44="","",IF(COUNTIFS('Invoice Register'!$L$2:$L$501,"&lt;&gt;",'Invoice Register'!$L$2:$L$501,"&lt;&gt;VALID",'Invoice Register'!$L$2:$L$501,"&lt;&gt;CANCELLED",'Invoice Register'!$L$2:$L$501,"&lt;&gt;FX HOLD",'Invoice Register'!$M$2:$M$501,A44)&gt;0,"SUBTOTAL; EXCLUDED RECORDS - SEE MANAGEMENT REPORT",IF(B44="","",IF(ISNUMBER(H44),"DATED ERP INVOICES",IF(ISNUMBER(T44),"HISTORICAL DATES REQUIRED",H44)))))</x:f>
      </x:c>
      <x:c r="V44" s="49" t="str">
        <x:f>IF(B44="","",IF(COUNTIF('Invoice Register'!$M$2:$M$501,A44)=0,"INVOICE DATA REQUIRED",SUMIFS('Invoice Register'!$H$2:$H$501,'Invoice Register'!$M$2:$M$501,A44,'Invoice Register'!$G$2:$G$501,"USD",'Invoice Register'!$B$2:$B$501,B44,'Invoice Register'!$L$2:$L$501,"VALID")+SUMIFS('Invoice Register'!$H$2:$H$501,'Invoice Register'!$M$2:$M$501,A44,'Invoice Register'!$G$2:$G$501,"USD",'Invoice Register'!$B$2:$B$501,B44,'Invoice Register'!$L$2:$L$501,"FX HOLD")))</x:f>
      </x:c>
      <x:c r="W44" s="49" t="str">
        <x:f>IF(B44="","",IF(COUNTIF('Invoice Register'!$M$2:$M$501,A44)=0,"INVOICE DATA REQUIRED",SUMIFS('Invoice Register'!$H$2:$H$501,'Invoice Register'!$M$2:$M$501,A44,'Invoice Register'!$G$2:$G$501,"MXN",'Invoice Register'!$B$2:$B$501,B44,'Invoice Register'!$L$2:$L$501,"VALID")+SUMIFS('Invoice Register'!$H$2:$H$501,'Invoice Register'!$M$2:$M$501,A44,'Invoice Register'!$G$2:$G$501,"MXN",'Invoice Register'!$B$2:$B$501,B44,'Invoice Register'!$L$2:$L$501,"FX HOLD")))</x:f>
      </x:c>
    </x:row>
    <x:row r="45">
      <x:c r="H45" t="str">
        <x:f>IF(B45="","",IF(COUNTIF('Invoice Register'!$M$2:$M$501,A45)=0,"INVOICE DATA REQUIRED",SUMIFS('Invoice Register'!$N$2:$N$501,'Invoice Register'!$M$2:$M$501,A45,'Invoice Register'!$B$2:$B$501,B45)))</x:f>
      </x:c>
      <x:c r="N45" t="str">
        <x:f>IF(B45="","",IF(COUNTIF('ERP Snapshot'!$A$2:$A$101,B45)=0,"UNKNOWN",IF(COUNTIFS('ERP Snapshot'!$A$2:$A$101,B45,'ERP Snapshot'!$D$2:$D$101,"MXN")&gt;0,"MXN","USD")))</x:f>
      </x:c>
      <x:c r="O45" t="str">
        <x:f>IF(B45="","",IF(N45="UNKNOWN","SOURCE REVIEW",IF(N45="USD","NOT REQUIRED",IF(AND(Settings!$B$8="APPROVED",Settings!$B$9&lt;&gt;"",Settings!$B$10&lt;&gt;"",Settings!$B$2&gt;0),"APPROVED","FX HOLD"))))</x:f>
      </x:c>
      <x:c r="P45" t="str">
        <x:f>IF(B45="","",IF(O45="FX HOLD","USD normalized input is provisional; FX approval missing",IF(O45="SOURCE REVIEW","Missing source currency mapping",IF(O45="APPROVED","Approval metadata supplied; source rates not independently audited",""))))</x:f>
      </x:c>
      <x:c r="T45" s="50"/>
      <x:c r="U45" t="str">
        <x:f>IF(B45="","",IF(COUNTIFS('Invoice Register'!$L$2:$L$501,"&lt;&gt;",'Invoice Register'!$L$2:$L$501,"&lt;&gt;VALID",'Invoice Register'!$L$2:$L$501,"&lt;&gt;CANCELLED",'Invoice Register'!$L$2:$L$501,"&lt;&gt;FX HOLD",'Invoice Register'!$M$2:$M$501,A45)&gt;0,"SUBTOTAL; EXCLUDED RECORDS - SEE MANAGEMENT REPORT",IF(B45="","",IF(ISNUMBER(H45),"DATED ERP INVOICES",IF(ISNUMBER(T45),"HISTORICAL DATES REQUIRED",H45)))))</x:f>
      </x:c>
      <x:c r="V45" s="49" t="str">
        <x:f>IF(B45="","",IF(COUNTIF('Invoice Register'!$M$2:$M$501,A45)=0,"INVOICE DATA REQUIRED",SUMIFS('Invoice Register'!$H$2:$H$501,'Invoice Register'!$M$2:$M$501,A45,'Invoice Register'!$G$2:$G$501,"USD",'Invoice Register'!$B$2:$B$501,B45,'Invoice Register'!$L$2:$L$501,"VALID")+SUMIFS('Invoice Register'!$H$2:$H$501,'Invoice Register'!$M$2:$M$501,A45,'Invoice Register'!$G$2:$G$501,"USD",'Invoice Register'!$B$2:$B$501,B45,'Invoice Register'!$L$2:$L$501,"FX HOLD")))</x:f>
      </x:c>
      <x:c r="W45" s="49" t="str">
        <x:f>IF(B45="","",IF(COUNTIF('Invoice Register'!$M$2:$M$501,A45)=0,"INVOICE DATA REQUIRED",SUMIFS('Invoice Register'!$H$2:$H$501,'Invoice Register'!$M$2:$M$501,A45,'Invoice Register'!$G$2:$G$501,"MXN",'Invoice Register'!$B$2:$B$501,B45,'Invoice Register'!$L$2:$L$501,"VALID")+SUMIFS('Invoice Register'!$H$2:$H$501,'Invoice Register'!$M$2:$M$501,A45,'Invoice Register'!$G$2:$G$501,"MXN",'Invoice Register'!$B$2:$B$501,B45,'Invoice Register'!$L$2:$L$501,"FX HOLD")))</x:f>
      </x:c>
    </x:row>
    <x:row r="46">
      <x:c r="H46" t="str">
        <x:f>IF(B46="","",IF(COUNTIF('Invoice Register'!$M$2:$M$501,A46)=0,"INVOICE DATA REQUIRED",SUMIFS('Invoice Register'!$N$2:$N$501,'Invoice Register'!$M$2:$M$501,A46,'Invoice Register'!$B$2:$B$501,B46)))</x:f>
      </x:c>
      <x:c r="N46" t="str">
        <x:f>IF(B46="","",IF(COUNTIF('ERP Snapshot'!$A$2:$A$101,B46)=0,"UNKNOWN",IF(COUNTIFS('ERP Snapshot'!$A$2:$A$101,B46,'ERP Snapshot'!$D$2:$D$101,"MXN")&gt;0,"MXN","USD")))</x:f>
      </x:c>
      <x:c r="O46" t="str">
        <x:f>IF(B46="","",IF(N46="UNKNOWN","SOURCE REVIEW",IF(N46="USD","NOT REQUIRED",IF(AND(Settings!$B$8="APPROVED",Settings!$B$9&lt;&gt;"",Settings!$B$10&lt;&gt;"",Settings!$B$2&gt;0),"APPROVED","FX HOLD"))))</x:f>
      </x:c>
      <x:c r="P46" t="str">
        <x:f>IF(B46="","",IF(O46="FX HOLD","USD normalized input is provisional; FX approval missing",IF(O46="SOURCE REVIEW","Missing source currency mapping",IF(O46="APPROVED","Approval metadata supplied; source rates not independently audited",""))))</x:f>
      </x:c>
      <x:c r="T46" s="50"/>
      <x:c r="U46" t="str">
        <x:f>IF(B46="","",IF(COUNTIFS('Invoice Register'!$L$2:$L$501,"&lt;&gt;",'Invoice Register'!$L$2:$L$501,"&lt;&gt;VALID",'Invoice Register'!$L$2:$L$501,"&lt;&gt;CANCELLED",'Invoice Register'!$L$2:$L$501,"&lt;&gt;FX HOLD",'Invoice Register'!$M$2:$M$501,A46)&gt;0,"SUBTOTAL; EXCLUDED RECORDS - SEE MANAGEMENT REPORT",IF(B46="","",IF(ISNUMBER(H46),"DATED ERP INVOICES",IF(ISNUMBER(T46),"HISTORICAL DATES REQUIRED",H46)))))</x:f>
      </x:c>
      <x:c r="V46" s="49" t="str">
        <x:f>IF(B46="","",IF(COUNTIF('Invoice Register'!$M$2:$M$501,A46)=0,"INVOICE DATA REQUIRED",SUMIFS('Invoice Register'!$H$2:$H$501,'Invoice Register'!$M$2:$M$501,A46,'Invoice Register'!$G$2:$G$501,"USD",'Invoice Register'!$B$2:$B$501,B46,'Invoice Register'!$L$2:$L$501,"VALID")+SUMIFS('Invoice Register'!$H$2:$H$501,'Invoice Register'!$M$2:$M$501,A46,'Invoice Register'!$G$2:$G$501,"USD",'Invoice Register'!$B$2:$B$501,B46,'Invoice Register'!$L$2:$L$501,"FX HOLD")))</x:f>
      </x:c>
      <x:c r="W46" s="49" t="str">
        <x:f>IF(B46="","",IF(COUNTIF('Invoice Register'!$M$2:$M$501,A46)=0,"INVOICE DATA REQUIRED",SUMIFS('Invoice Register'!$H$2:$H$501,'Invoice Register'!$M$2:$M$501,A46,'Invoice Register'!$G$2:$G$501,"MXN",'Invoice Register'!$B$2:$B$501,B46,'Invoice Register'!$L$2:$L$501,"VALID")+SUMIFS('Invoice Register'!$H$2:$H$501,'Invoice Register'!$M$2:$M$501,A46,'Invoice Register'!$G$2:$G$501,"MXN",'Invoice Register'!$B$2:$B$501,B46,'Invoice Register'!$L$2:$L$501,"FX HOLD")))</x:f>
      </x:c>
    </x:row>
    <x:row r="47">
      <x:c r="H47" t="str">
        <x:f>IF(B47="","",IF(COUNTIF('Invoice Register'!$M$2:$M$501,A47)=0,"INVOICE DATA REQUIRED",SUMIFS('Invoice Register'!$N$2:$N$501,'Invoice Register'!$M$2:$M$501,A47,'Invoice Register'!$B$2:$B$501,B47)))</x:f>
      </x:c>
      <x:c r="N47" t="str">
        <x:f>IF(B47="","",IF(COUNTIF('ERP Snapshot'!$A$2:$A$101,B47)=0,"UNKNOWN",IF(COUNTIFS('ERP Snapshot'!$A$2:$A$101,B47,'ERP Snapshot'!$D$2:$D$101,"MXN")&gt;0,"MXN","USD")))</x:f>
      </x:c>
      <x:c r="O47" t="str">
        <x:f>IF(B47="","",IF(N47="UNKNOWN","SOURCE REVIEW",IF(N47="USD","NOT REQUIRED",IF(AND(Settings!$B$8="APPROVED",Settings!$B$9&lt;&gt;"",Settings!$B$10&lt;&gt;"",Settings!$B$2&gt;0),"APPROVED","FX HOLD"))))</x:f>
      </x:c>
      <x:c r="P47" t="str">
        <x:f>IF(B47="","",IF(O47="FX HOLD","USD normalized input is provisional; FX approval missing",IF(O47="SOURCE REVIEW","Missing source currency mapping",IF(O47="APPROVED","Approval metadata supplied; source rates not independently audited",""))))</x:f>
      </x:c>
      <x:c r="T47" s="50"/>
      <x:c r="U47" t="str">
        <x:f>IF(B47="","",IF(COUNTIFS('Invoice Register'!$L$2:$L$501,"&lt;&gt;",'Invoice Register'!$L$2:$L$501,"&lt;&gt;VALID",'Invoice Register'!$L$2:$L$501,"&lt;&gt;CANCELLED",'Invoice Register'!$L$2:$L$501,"&lt;&gt;FX HOLD",'Invoice Register'!$M$2:$M$501,A47)&gt;0,"SUBTOTAL; EXCLUDED RECORDS - SEE MANAGEMENT REPORT",IF(B47="","",IF(ISNUMBER(H47),"DATED ERP INVOICES",IF(ISNUMBER(T47),"HISTORICAL DATES REQUIRED",H47)))))</x:f>
      </x:c>
      <x:c r="V47" s="49" t="str">
        <x:f>IF(B47="","",IF(COUNTIF('Invoice Register'!$M$2:$M$501,A47)=0,"INVOICE DATA REQUIRED",SUMIFS('Invoice Register'!$H$2:$H$501,'Invoice Register'!$M$2:$M$501,A47,'Invoice Register'!$G$2:$G$501,"USD",'Invoice Register'!$B$2:$B$501,B47,'Invoice Register'!$L$2:$L$501,"VALID")+SUMIFS('Invoice Register'!$H$2:$H$501,'Invoice Register'!$M$2:$M$501,A47,'Invoice Register'!$G$2:$G$501,"USD",'Invoice Register'!$B$2:$B$501,B47,'Invoice Register'!$L$2:$L$501,"FX HOLD")))</x:f>
      </x:c>
      <x:c r="W47" s="49" t="str">
        <x:f>IF(B47="","",IF(COUNTIF('Invoice Register'!$M$2:$M$501,A47)=0,"INVOICE DATA REQUIRED",SUMIFS('Invoice Register'!$H$2:$H$501,'Invoice Register'!$M$2:$M$501,A47,'Invoice Register'!$G$2:$G$501,"MXN",'Invoice Register'!$B$2:$B$501,B47,'Invoice Register'!$L$2:$L$501,"VALID")+SUMIFS('Invoice Register'!$H$2:$H$501,'Invoice Register'!$M$2:$M$501,A47,'Invoice Register'!$G$2:$G$501,"MXN",'Invoice Register'!$B$2:$B$501,B47,'Invoice Register'!$L$2:$L$501,"FX HOLD")))</x:f>
      </x:c>
    </x:row>
    <x:row r="48">
      <x:c r="H48" t="str">
        <x:f>IF(B48="","",IF(COUNTIF('Invoice Register'!$M$2:$M$501,A48)=0,"INVOICE DATA REQUIRED",SUMIFS('Invoice Register'!$N$2:$N$501,'Invoice Register'!$M$2:$M$501,A48,'Invoice Register'!$B$2:$B$501,B48)))</x:f>
      </x:c>
      <x:c r="N48" t="str">
        <x:f>IF(B48="","",IF(COUNTIF('ERP Snapshot'!$A$2:$A$101,B48)=0,"UNKNOWN",IF(COUNTIFS('ERP Snapshot'!$A$2:$A$101,B48,'ERP Snapshot'!$D$2:$D$101,"MXN")&gt;0,"MXN","USD")))</x:f>
      </x:c>
      <x:c r="O48" t="str">
        <x:f>IF(B48="","",IF(N48="UNKNOWN","SOURCE REVIEW",IF(N48="USD","NOT REQUIRED",IF(AND(Settings!$B$8="APPROVED",Settings!$B$9&lt;&gt;"",Settings!$B$10&lt;&gt;"",Settings!$B$2&gt;0),"APPROVED","FX HOLD"))))</x:f>
      </x:c>
      <x:c r="P48" t="str">
        <x:f>IF(B48="","",IF(O48="FX HOLD","USD normalized input is provisional; FX approval missing",IF(O48="SOURCE REVIEW","Missing source currency mapping",IF(O48="APPROVED","Approval metadata supplied; source rates not independently audited",""))))</x:f>
      </x:c>
      <x:c r="T48" s="50"/>
      <x:c r="U48" t="str">
        <x:f>IF(B48="","",IF(COUNTIFS('Invoice Register'!$L$2:$L$501,"&lt;&gt;",'Invoice Register'!$L$2:$L$501,"&lt;&gt;VALID",'Invoice Register'!$L$2:$L$501,"&lt;&gt;CANCELLED",'Invoice Register'!$L$2:$L$501,"&lt;&gt;FX HOLD",'Invoice Register'!$M$2:$M$501,A48)&gt;0,"SUBTOTAL; EXCLUDED RECORDS - SEE MANAGEMENT REPORT",IF(B48="","",IF(ISNUMBER(H48),"DATED ERP INVOICES",IF(ISNUMBER(T48),"HISTORICAL DATES REQUIRED",H48)))))</x:f>
      </x:c>
      <x:c r="V48" s="49" t="str">
        <x:f>IF(B48="","",IF(COUNTIF('Invoice Register'!$M$2:$M$501,A48)=0,"INVOICE DATA REQUIRED",SUMIFS('Invoice Register'!$H$2:$H$501,'Invoice Register'!$M$2:$M$501,A48,'Invoice Register'!$G$2:$G$501,"USD",'Invoice Register'!$B$2:$B$501,B48,'Invoice Register'!$L$2:$L$501,"VALID")+SUMIFS('Invoice Register'!$H$2:$H$501,'Invoice Register'!$M$2:$M$501,A48,'Invoice Register'!$G$2:$G$501,"USD",'Invoice Register'!$B$2:$B$501,B48,'Invoice Register'!$L$2:$L$501,"FX HOLD")))</x:f>
      </x:c>
      <x:c r="W48" s="49" t="str">
        <x:f>IF(B48="","",IF(COUNTIF('Invoice Register'!$M$2:$M$501,A48)=0,"INVOICE DATA REQUIRED",SUMIFS('Invoice Register'!$H$2:$H$501,'Invoice Register'!$M$2:$M$501,A48,'Invoice Register'!$G$2:$G$501,"MXN",'Invoice Register'!$B$2:$B$501,B48,'Invoice Register'!$L$2:$L$501,"VALID")+SUMIFS('Invoice Register'!$H$2:$H$501,'Invoice Register'!$M$2:$M$501,A48,'Invoice Register'!$G$2:$G$501,"MXN",'Invoice Register'!$B$2:$B$501,B48,'Invoice Register'!$L$2:$L$501,"FX HOLD")))</x:f>
      </x:c>
    </x:row>
    <x:row r="49">
      <x:c r="H49" t="str">
        <x:f>IF(B49="","",IF(COUNTIF('Invoice Register'!$M$2:$M$501,A49)=0,"INVOICE DATA REQUIRED",SUMIFS('Invoice Register'!$N$2:$N$501,'Invoice Register'!$M$2:$M$501,A49,'Invoice Register'!$B$2:$B$501,B49)))</x:f>
      </x:c>
      <x:c r="N49" t="str">
        <x:f>IF(B49="","",IF(COUNTIF('ERP Snapshot'!$A$2:$A$101,B49)=0,"UNKNOWN",IF(COUNTIFS('ERP Snapshot'!$A$2:$A$101,B49,'ERP Snapshot'!$D$2:$D$101,"MXN")&gt;0,"MXN","USD")))</x:f>
      </x:c>
      <x:c r="O49" t="str">
        <x:f>IF(B49="","",IF(N49="UNKNOWN","SOURCE REVIEW",IF(N49="USD","NOT REQUIRED",IF(AND(Settings!$B$8="APPROVED",Settings!$B$9&lt;&gt;"",Settings!$B$10&lt;&gt;"",Settings!$B$2&gt;0),"APPROVED","FX HOLD"))))</x:f>
      </x:c>
      <x:c r="P49" t="str">
        <x:f>IF(B49="","",IF(O49="FX HOLD","USD normalized input is provisional; FX approval missing",IF(O49="SOURCE REVIEW","Missing source currency mapping",IF(O49="APPROVED","Approval metadata supplied; source rates not independently audited",""))))</x:f>
      </x:c>
      <x:c r="T49" s="50"/>
      <x:c r="U49" t="str">
        <x:f>IF(B49="","",IF(COUNTIFS('Invoice Register'!$L$2:$L$501,"&lt;&gt;",'Invoice Register'!$L$2:$L$501,"&lt;&gt;VALID",'Invoice Register'!$L$2:$L$501,"&lt;&gt;CANCELLED",'Invoice Register'!$L$2:$L$501,"&lt;&gt;FX HOLD",'Invoice Register'!$M$2:$M$501,A49)&gt;0,"SUBTOTAL; EXCLUDED RECORDS - SEE MANAGEMENT REPORT",IF(B49="","",IF(ISNUMBER(H49),"DATED ERP INVOICES",IF(ISNUMBER(T49),"HISTORICAL DATES REQUIRED",H49)))))</x:f>
      </x:c>
      <x:c r="V49" s="49" t="str">
        <x:f>IF(B49="","",IF(COUNTIF('Invoice Register'!$M$2:$M$501,A49)=0,"INVOICE DATA REQUIRED",SUMIFS('Invoice Register'!$H$2:$H$501,'Invoice Register'!$M$2:$M$501,A49,'Invoice Register'!$G$2:$G$501,"USD",'Invoice Register'!$B$2:$B$501,B49,'Invoice Register'!$L$2:$L$501,"VALID")+SUMIFS('Invoice Register'!$H$2:$H$501,'Invoice Register'!$M$2:$M$501,A49,'Invoice Register'!$G$2:$G$501,"USD",'Invoice Register'!$B$2:$B$501,B49,'Invoice Register'!$L$2:$L$501,"FX HOLD")))</x:f>
      </x:c>
      <x:c r="W49" s="49" t="str">
        <x:f>IF(B49="","",IF(COUNTIF('Invoice Register'!$M$2:$M$501,A49)=0,"INVOICE DATA REQUIRED",SUMIFS('Invoice Register'!$H$2:$H$501,'Invoice Register'!$M$2:$M$501,A49,'Invoice Register'!$G$2:$G$501,"MXN",'Invoice Register'!$B$2:$B$501,B49,'Invoice Register'!$L$2:$L$501,"VALID")+SUMIFS('Invoice Register'!$H$2:$H$501,'Invoice Register'!$M$2:$M$501,A49,'Invoice Register'!$G$2:$G$501,"MXN",'Invoice Register'!$B$2:$B$501,B49,'Invoice Register'!$L$2:$L$501,"FX HOLD")))</x:f>
      </x:c>
    </x:row>
    <x:row r="50">
      <x:c r="H50" t="str">
        <x:f>IF(B50="","",IF(COUNTIF('Invoice Register'!$M$2:$M$501,A50)=0,"INVOICE DATA REQUIRED",SUMIFS('Invoice Register'!$N$2:$N$501,'Invoice Register'!$M$2:$M$501,A50,'Invoice Register'!$B$2:$B$501,B50)))</x:f>
      </x:c>
      <x:c r="N50" t="str">
        <x:f>IF(B50="","",IF(COUNTIF('ERP Snapshot'!$A$2:$A$101,B50)=0,"UNKNOWN",IF(COUNTIFS('ERP Snapshot'!$A$2:$A$101,B50,'ERP Snapshot'!$D$2:$D$101,"MXN")&gt;0,"MXN","USD")))</x:f>
      </x:c>
      <x:c r="O50" t="str">
        <x:f>IF(B50="","",IF(N50="UNKNOWN","SOURCE REVIEW",IF(N50="USD","NOT REQUIRED",IF(AND(Settings!$B$8="APPROVED",Settings!$B$9&lt;&gt;"",Settings!$B$10&lt;&gt;"",Settings!$B$2&gt;0),"APPROVED","FX HOLD"))))</x:f>
      </x:c>
      <x:c r="P50" t="str">
        <x:f>IF(B50="","",IF(O50="FX HOLD","USD normalized input is provisional; FX approval missing",IF(O50="SOURCE REVIEW","Missing source currency mapping",IF(O50="APPROVED","Approval metadata supplied; source rates not independently audited",""))))</x:f>
      </x:c>
      <x:c r="T50" s="50"/>
      <x:c r="U50" t="str">
        <x:f>IF(B50="","",IF(COUNTIFS('Invoice Register'!$L$2:$L$501,"&lt;&gt;",'Invoice Register'!$L$2:$L$501,"&lt;&gt;VALID",'Invoice Register'!$L$2:$L$501,"&lt;&gt;CANCELLED",'Invoice Register'!$L$2:$L$501,"&lt;&gt;FX HOLD",'Invoice Register'!$M$2:$M$501,A50)&gt;0,"SUBTOTAL; EXCLUDED RECORDS - SEE MANAGEMENT REPORT",IF(B50="","",IF(ISNUMBER(H50),"DATED ERP INVOICES",IF(ISNUMBER(T50),"HISTORICAL DATES REQUIRED",H50)))))</x:f>
      </x:c>
      <x:c r="V50" s="49" t="str">
        <x:f>IF(B50="","",IF(COUNTIF('Invoice Register'!$M$2:$M$501,A50)=0,"INVOICE DATA REQUIRED",SUMIFS('Invoice Register'!$H$2:$H$501,'Invoice Register'!$M$2:$M$501,A50,'Invoice Register'!$G$2:$G$501,"USD",'Invoice Register'!$B$2:$B$501,B50,'Invoice Register'!$L$2:$L$501,"VALID")+SUMIFS('Invoice Register'!$H$2:$H$501,'Invoice Register'!$M$2:$M$501,A50,'Invoice Register'!$G$2:$G$501,"USD",'Invoice Register'!$B$2:$B$501,B50,'Invoice Register'!$L$2:$L$501,"FX HOLD")))</x:f>
      </x:c>
      <x:c r="W50" s="49" t="str">
        <x:f>IF(B50="","",IF(COUNTIF('Invoice Register'!$M$2:$M$501,A50)=0,"INVOICE DATA REQUIRED",SUMIFS('Invoice Register'!$H$2:$H$501,'Invoice Register'!$M$2:$M$501,A50,'Invoice Register'!$G$2:$G$501,"MXN",'Invoice Register'!$B$2:$B$501,B50,'Invoice Register'!$L$2:$L$501,"VALID")+SUMIFS('Invoice Register'!$H$2:$H$501,'Invoice Register'!$M$2:$M$501,A50,'Invoice Register'!$G$2:$G$501,"MXN",'Invoice Register'!$B$2:$B$501,B50,'Invoice Register'!$L$2:$L$501,"FX HOLD")))</x:f>
      </x:c>
    </x:row>
    <x:row r="51">
      <x:c r="H51" t="str">
        <x:f>IF(B51="","",IF(COUNTIF('Invoice Register'!$M$2:$M$501,A51)=0,"INVOICE DATA REQUIRED",SUMIFS('Invoice Register'!$N$2:$N$501,'Invoice Register'!$M$2:$M$501,A51,'Invoice Register'!$B$2:$B$501,B51)))</x:f>
      </x:c>
      <x:c r="N51" t="str">
        <x:f>IF(B51="","",IF(COUNTIF('ERP Snapshot'!$A$2:$A$101,B51)=0,"UNKNOWN",IF(COUNTIFS('ERP Snapshot'!$A$2:$A$101,B51,'ERP Snapshot'!$D$2:$D$101,"MXN")&gt;0,"MXN","USD")))</x:f>
      </x:c>
      <x:c r="O51" t="str">
        <x:f>IF(B51="","",IF(N51="UNKNOWN","SOURCE REVIEW",IF(N51="USD","NOT REQUIRED",IF(AND(Settings!$B$8="APPROVED",Settings!$B$9&lt;&gt;"",Settings!$B$10&lt;&gt;"",Settings!$B$2&gt;0),"APPROVED","FX HOLD"))))</x:f>
      </x:c>
      <x:c r="P51" t="str">
        <x:f>IF(B51="","",IF(O51="FX HOLD","USD normalized input is provisional; FX approval missing",IF(O51="SOURCE REVIEW","Missing source currency mapping",IF(O51="APPROVED","Approval metadata supplied; source rates not independently audited",""))))</x:f>
      </x:c>
      <x:c r="T51" s="50"/>
      <x:c r="U51" t="str">
        <x:f>IF(B51="","",IF(COUNTIFS('Invoice Register'!$L$2:$L$501,"&lt;&gt;",'Invoice Register'!$L$2:$L$501,"&lt;&gt;VALID",'Invoice Register'!$L$2:$L$501,"&lt;&gt;CANCELLED",'Invoice Register'!$L$2:$L$501,"&lt;&gt;FX HOLD",'Invoice Register'!$M$2:$M$501,A51)&gt;0,"SUBTOTAL; EXCLUDED RECORDS - SEE MANAGEMENT REPORT",IF(B51="","",IF(ISNUMBER(H51),"DATED ERP INVOICES",IF(ISNUMBER(T51),"HISTORICAL DATES REQUIRED",H51)))))</x:f>
      </x:c>
      <x:c r="V51" s="49" t="str">
        <x:f>IF(B51="","",IF(COUNTIF('Invoice Register'!$M$2:$M$501,A51)=0,"INVOICE DATA REQUIRED",SUMIFS('Invoice Register'!$H$2:$H$501,'Invoice Register'!$M$2:$M$501,A51,'Invoice Register'!$G$2:$G$501,"USD",'Invoice Register'!$B$2:$B$501,B51,'Invoice Register'!$L$2:$L$501,"VALID")+SUMIFS('Invoice Register'!$H$2:$H$501,'Invoice Register'!$M$2:$M$501,A51,'Invoice Register'!$G$2:$G$501,"USD",'Invoice Register'!$B$2:$B$501,B51,'Invoice Register'!$L$2:$L$501,"FX HOLD")))</x:f>
      </x:c>
      <x:c r="W51" s="49" t="str">
        <x:f>IF(B51="","",IF(COUNTIF('Invoice Register'!$M$2:$M$501,A51)=0,"INVOICE DATA REQUIRED",SUMIFS('Invoice Register'!$H$2:$H$501,'Invoice Register'!$M$2:$M$501,A51,'Invoice Register'!$G$2:$G$501,"MXN",'Invoice Register'!$B$2:$B$501,B51,'Invoice Register'!$L$2:$L$501,"VALID")+SUMIFS('Invoice Register'!$H$2:$H$501,'Invoice Register'!$M$2:$M$501,A51,'Invoice Register'!$G$2:$G$501,"MXN",'Invoice Register'!$B$2:$B$501,B51,'Invoice Register'!$L$2:$L$501,"FX HOLD")))</x:f>
      </x:c>
    </x:row>
    <x:row r="52">
      <x:c r="H52" t="str">
        <x:f>IF(B52="","",IF(COUNTIF('Invoice Register'!$M$2:$M$501,A52)=0,"INVOICE DATA REQUIRED",SUMIFS('Invoice Register'!$N$2:$N$501,'Invoice Register'!$M$2:$M$501,A52,'Invoice Register'!$B$2:$B$501,B52)))</x:f>
      </x:c>
      <x:c r="N52" t="str">
        <x:f>IF(B52="","",IF(COUNTIF('ERP Snapshot'!$A$2:$A$101,B52)=0,"UNKNOWN",IF(COUNTIFS('ERP Snapshot'!$A$2:$A$101,B52,'ERP Snapshot'!$D$2:$D$101,"MXN")&gt;0,"MXN","USD")))</x:f>
      </x:c>
      <x:c r="O52" t="str">
        <x:f>IF(B52="","",IF(N52="UNKNOWN","SOURCE REVIEW",IF(N52="USD","NOT REQUIRED",IF(AND(Settings!$B$8="APPROVED",Settings!$B$9&lt;&gt;"",Settings!$B$10&lt;&gt;"",Settings!$B$2&gt;0),"APPROVED","FX HOLD"))))</x:f>
      </x:c>
      <x:c r="P52" t="str">
        <x:f>IF(B52="","",IF(O52="FX HOLD","USD normalized input is provisional; FX approval missing",IF(O52="SOURCE REVIEW","Missing source currency mapping",IF(O52="APPROVED","Approval metadata supplied; source rates not independently audited",""))))</x:f>
      </x:c>
      <x:c r="T52" s="50"/>
      <x:c r="U52" t="str">
        <x:f>IF(B52="","",IF(COUNTIFS('Invoice Register'!$L$2:$L$501,"&lt;&gt;",'Invoice Register'!$L$2:$L$501,"&lt;&gt;VALID",'Invoice Register'!$L$2:$L$501,"&lt;&gt;CANCELLED",'Invoice Register'!$L$2:$L$501,"&lt;&gt;FX HOLD",'Invoice Register'!$M$2:$M$501,A52)&gt;0,"SUBTOTAL; EXCLUDED RECORDS - SEE MANAGEMENT REPORT",IF(B52="","",IF(ISNUMBER(H52),"DATED ERP INVOICES",IF(ISNUMBER(T52),"HISTORICAL DATES REQUIRED",H52)))))</x:f>
      </x:c>
      <x:c r="V52" s="49" t="str">
        <x:f>IF(B52="","",IF(COUNTIF('Invoice Register'!$M$2:$M$501,A52)=0,"INVOICE DATA REQUIRED",SUMIFS('Invoice Register'!$H$2:$H$501,'Invoice Register'!$M$2:$M$501,A52,'Invoice Register'!$G$2:$G$501,"USD",'Invoice Register'!$B$2:$B$501,B52,'Invoice Register'!$L$2:$L$501,"VALID")+SUMIFS('Invoice Register'!$H$2:$H$501,'Invoice Register'!$M$2:$M$501,A52,'Invoice Register'!$G$2:$G$501,"USD",'Invoice Register'!$B$2:$B$501,B52,'Invoice Register'!$L$2:$L$501,"FX HOLD")))</x:f>
      </x:c>
      <x:c r="W52" s="49" t="str">
        <x:f>IF(B52="","",IF(COUNTIF('Invoice Register'!$M$2:$M$501,A52)=0,"INVOICE DATA REQUIRED",SUMIFS('Invoice Register'!$H$2:$H$501,'Invoice Register'!$M$2:$M$501,A52,'Invoice Register'!$G$2:$G$501,"MXN",'Invoice Register'!$B$2:$B$501,B52,'Invoice Register'!$L$2:$L$501,"VALID")+SUMIFS('Invoice Register'!$H$2:$H$501,'Invoice Register'!$M$2:$M$501,A52,'Invoice Register'!$G$2:$G$501,"MXN",'Invoice Register'!$B$2:$B$501,B52,'Invoice Register'!$L$2:$L$501,"FX HOLD")))</x:f>
      </x:c>
    </x:row>
    <x:row r="53">
      <x:c r="H53" t="str">
        <x:f>IF(B53="","",IF(COUNTIF('Invoice Register'!$M$2:$M$501,A53)=0,"INVOICE DATA REQUIRED",SUMIFS('Invoice Register'!$N$2:$N$501,'Invoice Register'!$M$2:$M$501,A53,'Invoice Register'!$B$2:$B$501,B53)))</x:f>
      </x:c>
      <x:c r="N53" t="str">
        <x:f>IF(B53="","",IF(COUNTIF('ERP Snapshot'!$A$2:$A$101,B53)=0,"UNKNOWN",IF(COUNTIFS('ERP Snapshot'!$A$2:$A$101,B53,'ERP Snapshot'!$D$2:$D$101,"MXN")&gt;0,"MXN","USD")))</x:f>
      </x:c>
      <x:c r="O53" t="str">
        <x:f>IF(B53="","",IF(N53="UNKNOWN","SOURCE REVIEW",IF(N53="USD","NOT REQUIRED",IF(AND(Settings!$B$8="APPROVED",Settings!$B$9&lt;&gt;"",Settings!$B$10&lt;&gt;"",Settings!$B$2&gt;0),"APPROVED","FX HOLD"))))</x:f>
      </x:c>
      <x:c r="P53" t="str">
        <x:f>IF(B53="","",IF(O53="FX HOLD","USD normalized input is provisional; FX approval missing",IF(O53="SOURCE REVIEW","Missing source currency mapping",IF(O53="APPROVED","Approval metadata supplied; source rates not independently audited",""))))</x:f>
      </x:c>
      <x:c r="T53" s="50"/>
      <x:c r="U53" t="str">
        <x:f>IF(B53="","",IF(COUNTIFS('Invoice Register'!$L$2:$L$501,"&lt;&gt;",'Invoice Register'!$L$2:$L$501,"&lt;&gt;VALID",'Invoice Register'!$L$2:$L$501,"&lt;&gt;CANCELLED",'Invoice Register'!$L$2:$L$501,"&lt;&gt;FX HOLD",'Invoice Register'!$M$2:$M$501,A53)&gt;0,"SUBTOTAL; EXCLUDED RECORDS - SEE MANAGEMENT REPORT",IF(B53="","",IF(ISNUMBER(H53),"DATED ERP INVOICES",IF(ISNUMBER(T53),"HISTORICAL DATES REQUIRED",H53)))))</x:f>
      </x:c>
      <x:c r="V53" s="49" t="str">
        <x:f>IF(B53="","",IF(COUNTIF('Invoice Register'!$M$2:$M$501,A53)=0,"INVOICE DATA REQUIRED",SUMIFS('Invoice Register'!$H$2:$H$501,'Invoice Register'!$M$2:$M$501,A53,'Invoice Register'!$G$2:$G$501,"USD",'Invoice Register'!$B$2:$B$501,B53,'Invoice Register'!$L$2:$L$501,"VALID")+SUMIFS('Invoice Register'!$H$2:$H$501,'Invoice Register'!$M$2:$M$501,A53,'Invoice Register'!$G$2:$G$501,"USD",'Invoice Register'!$B$2:$B$501,B53,'Invoice Register'!$L$2:$L$501,"FX HOLD")))</x:f>
      </x:c>
      <x:c r="W53" s="49" t="str">
        <x:f>IF(B53="","",IF(COUNTIF('Invoice Register'!$M$2:$M$501,A53)=0,"INVOICE DATA REQUIRED",SUMIFS('Invoice Register'!$H$2:$H$501,'Invoice Register'!$M$2:$M$501,A53,'Invoice Register'!$G$2:$G$501,"MXN",'Invoice Register'!$B$2:$B$501,B53,'Invoice Register'!$L$2:$L$501,"VALID")+SUMIFS('Invoice Register'!$H$2:$H$501,'Invoice Register'!$M$2:$M$501,A53,'Invoice Register'!$G$2:$G$501,"MXN",'Invoice Register'!$B$2:$B$501,B53,'Invoice Register'!$L$2:$L$501,"FX HOLD")))</x:f>
      </x:c>
    </x:row>
    <x:row r="54">
      <x:c r="H54" t="str">
        <x:f>IF(B54="","",IF(COUNTIF('Invoice Register'!$M$2:$M$501,A54)=0,"INVOICE DATA REQUIRED",SUMIFS('Invoice Register'!$N$2:$N$501,'Invoice Register'!$M$2:$M$501,A54,'Invoice Register'!$B$2:$B$501,B54)))</x:f>
      </x:c>
      <x:c r="N54" t="str">
        <x:f>IF(B54="","",IF(COUNTIF('ERP Snapshot'!$A$2:$A$101,B54)=0,"UNKNOWN",IF(COUNTIFS('ERP Snapshot'!$A$2:$A$101,B54,'ERP Snapshot'!$D$2:$D$101,"MXN")&gt;0,"MXN","USD")))</x:f>
      </x:c>
      <x:c r="O54" t="str">
        <x:f>IF(B54="","",IF(N54="UNKNOWN","SOURCE REVIEW",IF(N54="USD","NOT REQUIRED",IF(AND(Settings!$B$8="APPROVED",Settings!$B$9&lt;&gt;"",Settings!$B$10&lt;&gt;"",Settings!$B$2&gt;0),"APPROVED","FX HOLD"))))</x:f>
      </x:c>
      <x:c r="P54" t="str">
        <x:f>IF(B54="","",IF(O54="FX HOLD","USD normalized input is provisional; FX approval missing",IF(O54="SOURCE REVIEW","Missing source currency mapping",IF(O54="APPROVED","Approval metadata supplied; source rates not independently audited",""))))</x:f>
      </x:c>
      <x:c r="T54" s="50"/>
      <x:c r="U54" t="str">
        <x:f>IF(B54="","",IF(COUNTIFS('Invoice Register'!$L$2:$L$501,"&lt;&gt;",'Invoice Register'!$L$2:$L$501,"&lt;&gt;VALID",'Invoice Register'!$L$2:$L$501,"&lt;&gt;CANCELLED",'Invoice Register'!$L$2:$L$501,"&lt;&gt;FX HOLD",'Invoice Register'!$M$2:$M$501,A54)&gt;0,"SUBTOTAL; EXCLUDED RECORDS - SEE MANAGEMENT REPORT",IF(B54="","",IF(ISNUMBER(H54),"DATED ERP INVOICES",IF(ISNUMBER(T54),"HISTORICAL DATES REQUIRED",H54)))))</x:f>
      </x:c>
      <x:c r="V54" s="49" t="str">
        <x:f>IF(B54="","",IF(COUNTIF('Invoice Register'!$M$2:$M$501,A54)=0,"INVOICE DATA REQUIRED",SUMIFS('Invoice Register'!$H$2:$H$501,'Invoice Register'!$M$2:$M$501,A54,'Invoice Register'!$G$2:$G$501,"USD",'Invoice Register'!$B$2:$B$501,B54,'Invoice Register'!$L$2:$L$501,"VALID")+SUMIFS('Invoice Register'!$H$2:$H$501,'Invoice Register'!$M$2:$M$501,A54,'Invoice Register'!$G$2:$G$501,"USD",'Invoice Register'!$B$2:$B$501,B54,'Invoice Register'!$L$2:$L$501,"FX HOLD")))</x:f>
      </x:c>
      <x:c r="W54" s="49" t="str">
        <x:f>IF(B54="","",IF(COUNTIF('Invoice Register'!$M$2:$M$501,A54)=0,"INVOICE DATA REQUIRED",SUMIFS('Invoice Register'!$H$2:$H$501,'Invoice Register'!$M$2:$M$501,A54,'Invoice Register'!$G$2:$G$501,"MXN",'Invoice Register'!$B$2:$B$501,B54,'Invoice Register'!$L$2:$L$501,"VALID")+SUMIFS('Invoice Register'!$H$2:$H$501,'Invoice Register'!$M$2:$M$501,A54,'Invoice Register'!$G$2:$G$501,"MXN",'Invoice Register'!$B$2:$B$501,B54,'Invoice Register'!$L$2:$L$501,"FX HOLD")))</x:f>
      </x:c>
    </x:row>
    <x:row r="55">
      <x:c r="H55" t="str">
        <x:f>IF(B55="","",IF(COUNTIF('Invoice Register'!$M$2:$M$501,A55)=0,"INVOICE DATA REQUIRED",SUMIFS('Invoice Register'!$N$2:$N$501,'Invoice Register'!$M$2:$M$501,A55,'Invoice Register'!$B$2:$B$501,B55)))</x:f>
      </x:c>
      <x:c r="N55" t="str">
        <x:f>IF(B55="","",IF(COUNTIF('ERP Snapshot'!$A$2:$A$101,B55)=0,"UNKNOWN",IF(COUNTIFS('ERP Snapshot'!$A$2:$A$101,B55,'ERP Snapshot'!$D$2:$D$101,"MXN")&gt;0,"MXN","USD")))</x:f>
      </x:c>
      <x:c r="O55" t="str">
        <x:f>IF(B55="","",IF(N55="UNKNOWN","SOURCE REVIEW",IF(N55="USD","NOT REQUIRED",IF(AND(Settings!$B$8="APPROVED",Settings!$B$9&lt;&gt;"",Settings!$B$10&lt;&gt;"",Settings!$B$2&gt;0),"APPROVED","FX HOLD"))))</x:f>
      </x:c>
      <x:c r="P55" t="str">
        <x:f>IF(B55="","",IF(O55="FX HOLD","USD normalized input is provisional; FX approval missing",IF(O55="SOURCE REVIEW","Missing source currency mapping",IF(O55="APPROVED","Approval metadata supplied; source rates not independently audited",""))))</x:f>
      </x:c>
      <x:c r="T55" s="50"/>
      <x:c r="U55" t="str">
        <x:f>IF(B55="","",IF(COUNTIFS('Invoice Register'!$L$2:$L$501,"&lt;&gt;",'Invoice Register'!$L$2:$L$501,"&lt;&gt;VALID",'Invoice Register'!$L$2:$L$501,"&lt;&gt;CANCELLED",'Invoice Register'!$L$2:$L$501,"&lt;&gt;FX HOLD",'Invoice Register'!$M$2:$M$501,A55)&gt;0,"SUBTOTAL; EXCLUDED RECORDS - SEE MANAGEMENT REPORT",IF(B55="","",IF(ISNUMBER(H55),"DATED ERP INVOICES",IF(ISNUMBER(T55),"HISTORICAL DATES REQUIRED",H55)))))</x:f>
      </x:c>
      <x:c r="V55" s="49" t="str">
        <x:f>IF(B55="","",IF(COUNTIF('Invoice Register'!$M$2:$M$501,A55)=0,"INVOICE DATA REQUIRED",SUMIFS('Invoice Register'!$H$2:$H$501,'Invoice Register'!$M$2:$M$501,A55,'Invoice Register'!$G$2:$G$501,"USD",'Invoice Register'!$B$2:$B$501,B55,'Invoice Register'!$L$2:$L$501,"VALID")+SUMIFS('Invoice Register'!$H$2:$H$501,'Invoice Register'!$M$2:$M$501,A55,'Invoice Register'!$G$2:$G$501,"USD",'Invoice Register'!$B$2:$B$501,B55,'Invoice Register'!$L$2:$L$501,"FX HOLD")))</x:f>
      </x:c>
      <x:c r="W55" s="49" t="str">
        <x:f>IF(B55="","",IF(COUNTIF('Invoice Register'!$M$2:$M$501,A55)=0,"INVOICE DATA REQUIRED",SUMIFS('Invoice Register'!$H$2:$H$501,'Invoice Register'!$M$2:$M$501,A55,'Invoice Register'!$G$2:$G$501,"MXN",'Invoice Register'!$B$2:$B$501,B55,'Invoice Register'!$L$2:$L$501,"VALID")+SUMIFS('Invoice Register'!$H$2:$H$501,'Invoice Register'!$M$2:$M$501,A55,'Invoice Register'!$G$2:$G$501,"MXN",'Invoice Register'!$B$2:$B$501,B55,'Invoice Register'!$L$2:$L$501,"FX HOLD")))</x:f>
      </x:c>
    </x:row>
    <x:row r="56">
      <x:c r="H56" t="str">
        <x:f>IF(B56="","",IF(COUNTIF('Invoice Register'!$M$2:$M$501,A56)=0,"INVOICE DATA REQUIRED",SUMIFS('Invoice Register'!$N$2:$N$501,'Invoice Register'!$M$2:$M$501,A56,'Invoice Register'!$B$2:$B$501,B56)))</x:f>
      </x:c>
      <x:c r="N56" t="str">
        <x:f>IF(B56="","",IF(COUNTIF('ERP Snapshot'!$A$2:$A$101,B56)=0,"UNKNOWN",IF(COUNTIFS('ERP Snapshot'!$A$2:$A$101,B56,'ERP Snapshot'!$D$2:$D$101,"MXN")&gt;0,"MXN","USD")))</x:f>
      </x:c>
      <x:c r="O56" t="str">
        <x:f>IF(B56="","",IF(N56="UNKNOWN","SOURCE REVIEW",IF(N56="USD","NOT REQUIRED",IF(AND(Settings!$B$8="APPROVED",Settings!$B$9&lt;&gt;"",Settings!$B$10&lt;&gt;"",Settings!$B$2&gt;0),"APPROVED","FX HOLD"))))</x:f>
      </x:c>
      <x:c r="P56" t="str">
        <x:f>IF(B56="","",IF(O56="FX HOLD","USD normalized input is provisional; FX approval missing",IF(O56="SOURCE REVIEW","Missing source currency mapping",IF(O56="APPROVED","Approval metadata supplied; source rates not independently audited",""))))</x:f>
      </x:c>
      <x:c r="T56" s="50"/>
      <x:c r="U56" t="str">
        <x:f>IF(B56="","",IF(COUNTIFS('Invoice Register'!$L$2:$L$501,"&lt;&gt;",'Invoice Register'!$L$2:$L$501,"&lt;&gt;VALID",'Invoice Register'!$L$2:$L$501,"&lt;&gt;CANCELLED",'Invoice Register'!$L$2:$L$501,"&lt;&gt;FX HOLD",'Invoice Register'!$M$2:$M$501,A56)&gt;0,"SUBTOTAL; EXCLUDED RECORDS - SEE MANAGEMENT REPORT",IF(B56="","",IF(ISNUMBER(H56),"DATED ERP INVOICES",IF(ISNUMBER(T56),"HISTORICAL DATES REQUIRED",H56)))))</x:f>
      </x:c>
      <x:c r="V56" s="49" t="str">
        <x:f>IF(B56="","",IF(COUNTIF('Invoice Register'!$M$2:$M$501,A56)=0,"INVOICE DATA REQUIRED",SUMIFS('Invoice Register'!$H$2:$H$501,'Invoice Register'!$M$2:$M$501,A56,'Invoice Register'!$G$2:$G$501,"USD",'Invoice Register'!$B$2:$B$501,B56,'Invoice Register'!$L$2:$L$501,"VALID")+SUMIFS('Invoice Register'!$H$2:$H$501,'Invoice Register'!$M$2:$M$501,A56,'Invoice Register'!$G$2:$G$501,"USD",'Invoice Register'!$B$2:$B$501,B56,'Invoice Register'!$L$2:$L$501,"FX HOLD")))</x:f>
      </x:c>
      <x:c r="W56" s="49" t="str">
        <x:f>IF(B56="","",IF(COUNTIF('Invoice Register'!$M$2:$M$501,A56)=0,"INVOICE DATA REQUIRED",SUMIFS('Invoice Register'!$H$2:$H$501,'Invoice Register'!$M$2:$M$501,A56,'Invoice Register'!$G$2:$G$501,"MXN",'Invoice Register'!$B$2:$B$501,B56,'Invoice Register'!$L$2:$L$501,"VALID")+SUMIFS('Invoice Register'!$H$2:$H$501,'Invoice Register'!$M$2:$M$501,A56,'Invoice Register'!$G$2:$G$501,"MXN",'Invoice Register'!$B$2:$B$501,B56,'Invoice Register'!$L$2:$L$501,"FX HOLD")))</x:f>
      </x:c>
    </x:row>
    <x:row r="57">
      <x:c r="H57" t="str">
        <x:f>IF(B57="","",IF(COUNTIF('Invoice Register'!$M$2:$M$501,A57)=0,"INVOICE DATA REQUIRED",SUMIFS('Invoice Register'!$N$2:$N$501,'Invoice Register'!$M$2:$M$501,A57,'Invoice Register'!$B$2:$B$501,B57)))</x:f>
      </x:c>
      <x:c r="N57" t="str">
        <x:f>IF(B57="","",IF(COUNTIF('ERP Snapshot'!$A$2:$A$101,B57)=0,"UNKNOWN",IF(COUNTIFS('ERP Snapshot'!$A$2:$A$101,B57,'ERP Snapshot'!$D$2:$D$101,"MXN")&gt;0,"MXN","USD")))</x:f>
      </x:c>
      <x:c r="O57" t="str">
        <x:f>IF(B57="","",IF(N57="UNKNOWN","SOURCE REVIEW",IF(N57="USD","NOT REQUIRED",IF(AND(Settings!$B$8="APPROVED",Settings!$B$9&lt;&gt;"",Settings!$B$10&lt;&gt;"",Settings!$B$2&gt;0),"APPROVED","FX HOLD"))))</x:f>
      </x:c>
      <x:c r="P57" t="str">
        <x:f>IF(B57="","",IF(O57="FX HOLD","USD normalized input is provisional; FX approval missing",IF(O57="SOURCE REVIEW","Missing source currency mapping",IF(O57="APPROVED","Approval metadata supplied; source rates not independently audited",""))))</x:f>
      </x:c>
      <x:c r="T57" s="50"/>
      <x:c r="U57" t="str">
        <x:f>IF(B57="","",IF(COUNTIFS('Invoice Register'!$L$2:$L$501,"&lt;&gt;",'Invoice Register'!$L$2:$L$501,"&lt;&gt;VALID",'Invoice Register'!$L$2:$L$501,"&lt;&gt;CANCELLED",'Invoice Register'!$L$2:$L$501,"&lt;&gt;FX HOLD",'Invoice Register'!$M$2:$M$501,A57)&gt;0,"SUBTOTAL; EXCLUDED RECORDS - SEE MANAGEMENT REPORT",IF(B57="","",IF(ISNUMBER(H57),"DATED ERP INVOICES",IF(ISNUMBER(T57),"HISTORICAL DATES REQUIRED",H57)))))</x:f>
      </x:c>
      <x:c r="V57" s="49" t="str">
        <x:f>IF(B57="","",IF(COUNTIF('Invoice Register'!$M$2:$M$501,A57)=0,"INVOICE DATA REQUIRED",SUMIFS('Invoice Register'!$H$2:$H$501,'Invoice Register'!$M$2:$M$501,A57,'Invoice Register'!$G$2:$G$501,"USD",'Invoice Register'!$B$2:$B$501,B57,'Invoice Register'!$L$2:$L$501,"VALID")+SUMIFS('Invoice Register'!$H$2:$H$501,'Invoice Register'!$M$2:$M$501,A57,'Invoice Register'!$G$2:$G$501,"USD",'Invoice Register'!$B$2:$B$501,B57,'Invoice Register'!$L$2:$L$501,"FX HOLD")))</x:f>
      </x:c>
      <x:c r="W57" s="49" t="str">
        <x:f>IF(B57="","",IF(COUNTIF('Invoice Register'!$M$2:$M$501,A57)=0,"INVOICE DATA REQUIRED",SUMIFS('Invoice Register'!$H$2:$H$501,'Invoice Register'!$M$2:$M$501,A57,'Invoice Register'!$G$2:$G$501,"MXN",'Invoice Register'!$B$2:$B$501,B57,'Invoice Register'!$L$2:$L$501,"VALID")+SUMIFS('Invoice Register'!$H$2:$H$501,'Invoice Register'!$M$2:$M$501,A57,'Invoice Register'!$G$2:$G$501,"MXN",'Invoice Register'!$B$2:$B$501,B57,'Invoice Register'!$L$2:$L$501,"FX HOLD")))</x:f>
      </x:c>
    </x:row>
    <x:row r="58">
      <x:c r="H58" t="str">
        <x:f>IF(B58="","",IF(COUNTIF('Invoice Register'!$M$2:$M$501,A58)=0,"INVOICE DATA REQUIRED",SUMIFS('Invoice Register'!$N$2:$N$501,'Invoice Register'!$M$2:$M$501,A58,'Invoice Register'!$B$2:$B$501,B58)))</x:f>
      </x:c>
      <x:c r="N58" t="str">
        <x:f>IF(B58="","",IF(COUNTIF('ERP Snapshot'!$A$2:$A$101,B58)=0,"UNKNOWN",IF(COUNTIFS('ERP Snapshot'!$A$2:$A$101,B58,'ERP Snapshot'!$D$2:$D$101,"MXN")&gt;0,"MXN","USD")))</x:f>
      </x:c>
      <x:c r="O58" t="str">
        <x:f>IF(B58="","",IF(N58="UNKNOWN","SOURCE REVIEW",IF(N58="USD","NOT REQUIRED",IF(AND(Settings!$B$8="APPROVED",Settings!$B$9&lt;&gt;"",Settings!$B$10&lt;&gt;"",Settings!$B$2&gt;0),"APPROVED","FX HOLD"))))</x:f>
      </x:c>
      <x:c r="P58" t="str">
        <x:f>IF(B58="","",IF(O58="FX HOLD","USD normalized input is provisional; FX approval missing",IF(O58="SOURCE REVIEW","Missing source currency mapping",IF(O58="APPROVED","Approval metadata supplied; source rates not independently audited",""))))</x:f>
      </x:c>
      <x:c r="T58" s="50"/>
      <x:c r="U58" t="str">
        <x:f>IF(B58="","",IF(COUNTIFS('Invoice Register'!$L$2:$L$501,"&lt;&gt;",'Invoice Register'!$L$2:$L$501,"&lt;&gt;VALID",'Invoice Register'!$L$2:$L$501,"&lt;&gt;CANCELLED",'Invoice Register'!$L$2:$L$501,"&lt;&gt;FX HOLD",'Invoice Register'!$M$2:$M$501,A58)&gt;0,"SUBTOTAL; EXCLUDED RECORDS - SEE MANAGEMENT REPORT",IF(B58="","",IF(ISNUMBER(H58),"DATED ERP INVOICES",IF(ISNUMBER(T58),"HISTORICAL DATES REQUIRED",H58)))))</x:f>
      </x:c>
      <x:c r="V58" s="49" t="str">
        <x:f>IF(B58="","",IF(COUNTIF('Invoice Register'!$M$2:$M$501,A58)=0,"INVOICE DATA REQUIRED",SUMIFS('Invoice Register'!$H$2:$H$501,'Invoice Register'!$M$2:$M$501,A58,'Invoice Register'!$G$2:$G$501,"USD",'Invoice Register'!$B$2:$B$501,B58,'Invoice Register'!$L$2:$L$501,"VALID")+SUMIFS('Invoice Register'!$H$2:$H$501,'Invoice Register'!$M$2:$M$501,A58,'Invoice Register'!$G$2:$G$501,"USD",'Invoice Register'!$B$2:$B$501,B58,'Invoice Register'!$L$2:$L$501,"FX HOLD")))</x:f>
      </x:c>
      <x:c r="W58" s="49" t="str">
        <x:f>IF(B58="","",IF(COUNTIF('Invoice Register'!$M$2:$M$501,A58)=0,"INVOICE DATA REQUIRED",SUMIFS('Invoice Register'!$H$2:$H$501,'Invoice Register'!$M$2:$M$501,A58,'Invoice Register'!$G$2:$G$501,"MXN",'Invoice Register'!$B$2:$B$501,B58,'Invoice Register'!$L$2:$L$501,"VALID")+SUMIFS('Invoice Register'!$H$2:$H$501,'Invoice Register'!$M$2:$M$501,A58,'Invoice Register'!$G$2:$G$501,"MXN",'Invoice Register'!$B$2:$B$501,B58,'Invoice Register'!$L$2:$L$501,"FX HOLD")))</x:f>
      </x:c>
    </x:row>
    <x:row r="59">
      <x:c r="H59" t="str">
        <x:f>IF(B59="","",IF(COUNTIF('Invoice Register'!$M$2:$M$501,A59)=0,"INVOICE DATA REQUIRED",SUMIFS('Invoice Register'!$N$2:$N$501,'Invoice Register'!$M$2:$M$501,A59,'Invoice Register'!$B$2:$B$501,B59)))</x:f>
      </x:c>
      <x:c r="N59" t="str">
        <x:f>IF(B59="","",IF(COUNTIF('ERP Snapshot'!$A$2:$A$101,B59)=0,"UNKNOWN",IF(COUNTIFS('ERP Snapshot'!$A$2:$A$101,B59,'ERP Snapshot'!$D$2:$D$101,"MXN")&gt;0,"MXN","USD")))</x:f>
      </x:c>
      <x:c r="O59" t="str">
        <x:f>IF(B59="","",IF(N59="UNKNOWN","SOURCE REVIEW",IF(N59="USD","NOT REQUIRED",IF(AND(Settings!$B$8="APPROVED",Settings!$B$9&lt;&gt;"",Settings!$B$10&lt;&gt;"",Settings!$B$2&gt;0),"APPROVED","FX HOLD"))))</x:f>
      </x:c>
      <x:c r="P59" t="str">
        <x:f>IF(B59="","",IF(O59="FX HOLD","USD normalized input is provisional; FX approval missing",IF(O59="SOURCE REVIEW","Missing source currency mapping",IF(O59="APPROVED","Approval metadata supplied; source rates not independently audited",""))))</x:f>
      </x:c>
      <x:c r="T59" s="50"/>
      <x:c r="U59" t="str">
        <x:f>IF(B59="","",IF(COUNTIFS('Invoice Register'!$L$2:$L$501,"&lt;&gt;",'Invoice Register'!$L$2:$L$501,"&lt;&gt;VALID",'Invoice Register'!$L$2:$L$501,"&lt;&gt;CANCELLED",'Invoice Register'!$L$2:$L$501,"&lt;&gt;FX HOLD",'Invoice Register'!$M$2:$M$501,A59)&gt;0,"SUBTOTAL; EXCLUDED RECORDS - SEE MANAGEMENT REPORT",IF(B59="","",IF(ISNUMBER(H59),"DATED ERP INVOICES",IF(ISNUMBER(T59),"HISTORICAL DATES REQUIRED",H59)))))</x:f>
      </x:c>
      <x:c r="V59" s="49" t="str">
        <x:f>IF(B59="","",IF(COUNTIF('Invoice Register'!$M$2:$M$501,A59)=0,"INVOICE DATA REQUIRED",SUMIFS('Invoice Register'!$H$2:$H$501,'Invoice Register'!$M$2:$M$501,A59,'Invoice Register'!$G$2:$G$501,"USD",'Invoice Register'!$B$2:$B$501,B59,'Invoice Register'!$L$2:$L$501,"VALID")+SUMIFS('Invoice Register'!$H$2:$H$501,'Invoice Register'!$M$2:$M$501,A59,'Invoice Register'!$G$2:$G$501,"USD",'Invoice Register'!$B$2:$B$501,B59,'Invoice Register'!$L$2:$L$501,"FX HOLD")))</x:f>
      </x:c>
      <x:c r="W59" s="49" t="str">
        <x:f>IF(B59="","",IF(COUNTIF('Invoice Register'!$M$2:$M$501,A59)=0,"INVOICE DATA REQUIRED",SUMIFS('Invoice Register'!$H$2:$H$501,'Invoice Register'!$M$2:$M$501,A59,'Invoice Register'!$G$2:$G$501,"MXN",'Invoice Register'!$B$2:$B$501,B59,'Invoice Register'!$L$2:$L$501,"VALID")+SUMIFS('Invoice Register'!$H$2:$H$501,'Invoice Register'!$M$2:$M$501,A59,'Invoice Register'!$G$2:$G$501,"MXN",'Invoice Register'!$B$2:$B$501,B59,'Invoice Register'!$L$2:$L$501,"FX HOLD")))</x:f>
      </x:c>
    </x:row>
    <x:row r="60">
      <x:c r="H60" t="str">
        <x:f>IF(B60="","",IF(COUNTIF('Invoice Register'!$M$2:$M$501,A60)=0,"INVOICE DATA REQUIRED",SUMIFS('Invoice Register'!$N$2:$N$501,'Invoice Register'!$M$2:$M$501,A60,'Invoice Register'!$B$2:$B$501,B60)))</x:f>
      </x:c>
      <x:c r="N60" t="str">
        <x:f>IF(B60="","",IF(COUNTIF('ERP Snapshot'!$A$2:$A$101,B60)=0,"UNKNOWN",IF(COUNTIFS('ERP Snapshot'!$A$2:$A$101,B60,'ERP Snapshot'!$D$2:$D$101,"MXN")&gt;0,"MXN","USD")))</x:f>
      </x:c>
      <x:c r="O60" t="str">
        <x:f>IF(B60="","",IF(N60="UNKNOWN","SOURCE REVIEW",IF(N60="USD","NOT REQUIRED",IF(AND(Settings!$B$8="APPROVED",Settings!$B$9&lt;&gt;"",Settings!$B$10&lt;&gt;"",Settings!$B$2&gt;0),"APPROVED","FX HOLD"))))</x:f>
      </x:c>
      <x:c r="P60" t="str">
        <x:f>IF(B60="","",IF(O60="FX HOLD","USD normalized input is provisional; FX approval missing",IF(O60="SOURCE REVIEW","Missing source currency mapping",IF(O60="APPROVED","Approval metadata supplied; source rates not independently audited",""))))</x:f>
      </x:c>
      <x:c r="T60" s="50"/>
      <x:c r="U60" t="str">
        <x:f>IF(B60="","",IF(COUNTIFS('Invoice Register'!$L$2:$L$501,"&lt;&gt;",'Invoice Register'!$L$2:$L$501,"&lt;&gt;VALID",'Invoice Register'!$L$2:$L$501,"&lt;&gt;CANCELLED",'Invoice Register'!$L$2:$L$501,"&lt;&gt;FX HOLD",'Invoice Register'!$M$2:$M$501,A60)&gt;0,"SUBTOTAL; EXCLUDED RECORDS - SEE MANAGEMENT REPORT",IF(B60="","",IF(ISNUMBER(H60),"DATED ERP INVOICES",IF(ISNUMBER(T60),"HISTORICAL DATES REQUIRED",H60)))))</x:f>
      </x:c>
      <x:c r="V60" s="49" t="str">
        <x:f>IF(B60="","",IF(COUNTIF('Invoice Register'!$M$2:$M$501,A60)=0,"INVOICE DATA REQUIRED",SUMIFS('Invoice Register'!$H$2:$H$501,'Invoice Register'!$M$2:$M$501,A60,'Invoice Register'!$G$2:$G$501,"USD",'Invoice Register'!$B$2:$B$501,B60,'Invoice Register'!$L$2:$L$501,"VALID")+SUMIFS('Invoice Register'!$H$2:$H$501,'Invoice Register'!$M$2:$M$501,A60,'Invoice Register'!$G$2:$G$501,"USD",'Invoice Register'!$B$2:$B$501,B60,'Invoice Register'!$L$2:$L$501,"FX HOLD")))</x:f>
      </x:c>
      <x:c r="W60" s="49" t="str">
        <x:f>IF(B60="","",IF(COUNTIF('Invoice Register'!$M$2:$M$501,A60)=0,"INVOICE DATA REQUIRED",SUMIFS('Invoice Register'!$H$2:$H$501,'Invoice Register'!$M$2:$M$501,A60,'Invoice Register'!$G$2:$G$501,"MXN",'Invoice Register'!$B$2:$B$501,B60,'Invoice Register'!$L$2:$L$501,"VALID")+SUMIFS('Invoice Register'!$H$2:$H$501,'Invoice Register'!$M$2:$M$501,A60,'Invoice Register'!$G$2:$G$501,"MXN",'Invoice Register'!$B$2:$B$501,B60,'Invoice Register'!$L$2:$L$501,"FX HOLD")))</x:f>
      </x:c>
    </x:row>
    <x:row r="61">
      <x:c r="H61" t="str">
        <x:f>IF(B61="","",IF(COUNTIF('Invoice Register'!$M$2:$M$501,A61)=0,"INVOICE DATA REQUIRED",SUMIFS('Invoice Register'!$N$2:$N$501,'Invoice Register'!$M$2:$M$501,A61,'Invoice Register'!$B$2:$B$501,B61)))</x:f>
      </x:c>
      <x:c r="N61" t="str">
        <x:f>IF(B61="","",IF(COUNTIF('ERP Snapshot'!$A$2:$A$101,B61)=0,"UNKNOWN",IF(COUNTIFS('ERP Snapshot'!$A$2:$A$101,B61,'ERP Snapshot'!$D$2:$D$101,"MXN")&gt;0,"MXN","USD")))</x:f>
      </x:c>
      <x:c r="O61" t="str">
        <x:f>IF(B61="","",IF(N61="UNKNOWN","SOURCE REVIEW",IF(N61="USD","NOT REQUIRED",IF(AND(Settings!$B$8="APPROVED",Settings!$B$9&lt;&gt;"",Settings!$B$10&lt;&gt;"",Settings!$B$2&gt;0),"APPROVED","FX HOLD"))))</x:f>
      </x:c>
      <x:c r="P61" t="str">
        <x:f>IF(B61="","",IF(O61="FX HOLD","USD normalized input is provisional; FX approval missing",IF(O61="SOURCE REVIEW","Missing source currency mapping",IF(O61="APPROVED","Approval metadata supplied; source rates not independently audited",""))))</x:f>
      </x:c>
      <x:c r="T61" s="50"/>
      <x:c r="U61" t="str">
        <x:f>IF(B61="","",IF(COUNTIFS('Invoice Register'!$L$2:$L$501,"&lt;&gt;",'Invoice Register'!$L$2:$L$501,"&lt;&gt;VALID",'Invoice Register'!$L$2:$L$501,"&lt;&gt;CANCELLED",'Invoice Register'!$L$2:$L$501,"&lt;&gt;FX HOLD",'Invoice Register'!$M$2:$M$501,A61)&gt;0,"SUBTOTAL; EXCLUDED RECORDS - SEE MANAGEMENT REPORT",IF(B61="","",IF(ISNUMBER(H61),"DATED ERP INVOICES",IF(ISNUMBER(T61),"HISTORICAL DATES REQUIRED",H61)))))</x:f>
      </x:c>
      <x:c r="V61" s="49" t="str">
        <x:f>IF(B61="","",IF(COUNTIF('Invoice Register'!$M$2:$M$501,A61)=0,"INVOICE DATA REQUIRED",SUMIFS('Invoice Register'!$H$2:$H$501,'Invoice Register'!$M$2:$M$501,A61,'Invoice Register'!$G$2:$G$501,"USD",'Invoice Register'!$B$2:$B$501,B61,'Invoice Register'!$L$2:$L$501,"VALID")+SUMIFS('Invoice Register'!$H$2:$H$501,'Invoice Register'!$M$2:$M$501,A61,'Invoice Register'!$G$2:$G$501,"USD",'Invoice Register'!$B$2:$B$501,B61,'Invoice Register'!$L$2:$L$501,"FX HOLD")))</x:f>
      </x:c>
      <x:c r="W61" s="49" t="str">
        <x:f>IF(B61="","",IF(COUNTIF('Invoice Register'!$M$2:$M$501,A61)=0,"INVOICE DATA REQUIRED",SUMIFS('Invoice Register'!$H$2:$H$501,'Invoice Register'!$M$2:$M$501,A61,'Invoice Register'!$G$2:$G$501,"MXN",'Invoice Register'!$B$2:$B$501,B61,'Invoice Register'!$L$2:$L$501,"VALID")+SUMIFS('Invoice Register'!$H$2:$H$501,'Invoice Register'!$M$2:$M$501,A61,'Invoice Register'!$G$2:$G$501,"MXN",'Invoice Register'!$B$2:$B$501,B61,'Invoice Register'!$L$2:$L$501,"FX HOLD")))</x:f>
      </x:c>
    </x:row>
    <x:row r="62">
      <x:c r="H62" t="str">
        <x:f>IF(B62="","",IF(COUNTIF('Invoice Register'!$M$2:$M$501,A62)=0,"INVOICE DATA REQUIRED",SUMIFS('Invoice Register'!$N$2:$N$501,'Invoice Register'!$M$2:$M$501,A62,'Invoice Register'!$B$2:$B$501,B62)))</x:f>
      </x:c>
      <x:c r="N62" t="str">
        <x:f>IF(B62="","",IF(COUNTIF('ERP Snapshot'!$A$2:$A$101,B62)=0,"UNKNOWN",IF(COUNTIFS('ERP Snapshot'!$A$2:$A$101,B62,'ERP Snapshot'!$D$2:$D$101,"MXN")&gt;0,"MXN","USD")))</x:f>
      </x:c>
      <x:c r="O62" t="str">
        <x:f>IF(B62="","",IF(N62="UNKNOWN","SOURCE REVIEW",IF(N62="USD","NOT REQUIRED",IF(AND(Settings!$B$8="APPROVED",Settings!$B$9&lt;&gt;"",Settings!$B$10&lt;&gt;"",Settings!$B$2&gt;0),"APPROVED","FX HOLD"))))</x:f>
      </x:c>
      <x:c r="P62" t="str">
        <x:f>IF(B62="","",IF(O62="FX HOLD","USD normalized input is provisional; FX approval missing",IF(O62="SOURCE REVIEW","Missing source currency mapping",IF(O62="APPROVED","Approval metadata supplied; source rates not independently audited",""))))</x:f>
      </x:c>
      <x:c r="T62" s="50"/>
      <x:c r="U62" t="str">
        <x:f>IF(B62="","",IF(COUNTIFS('Invoice Register'!$L$2:$L$501,"&lt;&gt;",'Invoice Register'!$L$2:$L$501,"&lt;&gt;VALID",'Invoice Register'!$L$2:$L$501,"&lt;&gt;CANCELLED",'Invoice Register'!$L$2:$L$501,"&lt;&gt;FX HOLD",'Invoice Register'!$M$2:$M$501,A62)&gt;0,"SUBTOTAL; EXCLUDED RECORDS - SEE MANAGEMENT REPORT",IF(B62="","",IF(ISNUMBER(H62),"DATED ERP INVOICES",IF(ISNUMBER(T62),"HISTORICAL DATES REQUIRED",H62)))))</x:f>
      </x:c>
      <x:c r="V62" s="49" t="str">
        <x:f>IF(B62="","",IF(COUNTIF('Invoice Register'!$M$2:$M$501,A62)=0,"INVOICE DATA REQUIRED",SUMIFS('Invoice Register'!$H$2:$H$501,'Invoice Register'!$M$2:$M$501,A62,'Invoice Register'!$G$2:$G$501,"USD",'Invoice Register'!$B$2:$B$501,B62,'Invoice Register'!$L$2:$L$501,"VALID")+SUMIFS('Invoice Register'!$H$2:$H$501,'Invoice Register'!$M$2:$M$501,A62,'Invoice Register'!$G$2:$G$501,"USD",'Invoice Register'!$B$2:$B$501,B62,'Invoice Register'!$L$2:$L$501,"FX HOLD")))</x:f>
      </x:c>
      <x:c r="W62" s="49" t="str">
        <x:f>IF(B62="","",IF(COUNTIF('Invoice Register'!$M$2:$M$501,A62)=0,"INVOICE DATA REQUIRED",SUMIFS('Invoice Register'!$H$2:$H$501,'Invoice Register'!$M$2:$M$501,A62,'Invoice Register'!$G$2:$G$501,"MXN",'Invoice Register'!$B$2:$B$501,B62,'Invoice Register'!$L$2:$L$501,"VALID")+SUMIFS('Invoice Register'!$H$2:$H$501,'Invoice Register'!$M$2:$M$501,A62,'Invoice Register'!$G$2:$G$501,"MXN",'Invoice Register'!$B$2:$B$501,B62,'Invoice Register'!$L$2:$L$501,"FX HOLD")))</x:f>
      </x:c>
    </x:row>
    <x:row r="63">
      <x:c r="H63" t="str">
        <x:f>IF(B63="","",IF(COUNTIF('Invoice Register'!$M$2:$M$501,A63)=0,"INVOICE DATA REQUIRED",SUMIFS('Invoice Register'!$N$2:$N$501,'Invoice Register'!$M$2:$M$501,A63,'Invoice Register'!$B$2:$B$501,B63)))</x:f>
      </x:c>
      <x:c r="N63" t="str">
        <x:f>IF(B63="","",IF(COUNTIF('ERP Snapshot'!$A$2:$A$101,B63)=0,"UNKNOWN",IF(COUNTIFS('ERP Snapshot'!$A$2:$A$101,B63,'ERP Snapshot'!$D$2:$D$101,"MXN")&gt;0,"MXN","USD")))</x:f>
      </x:c>
      <x:c r="O63" t="str">
        <x:f>IF(B63="","",IF(N63="UNKNOWN","SOURCE REVIEW",IF(N63="USD","NOT REQUIRED",IF(AND(Settings!$B$8="APPROVED",Settings!$B$9&lt;&gt;"",Settings!$B$10&lt;&gt;"",Settings!$B$2&gt;0),"APPROVED","FX HOLD"))))</x:f>
      </x:c>
      <x:c r="P63" t="str">
        <x:f>IF(B63="","",IF(O63="FX HOLD","USD normalized input is provisional; FX approval missing",IF(O63="SOURCE REVIEW","Missing source currency mapping",IF(O63="APPROVED","Approval metadata supplied; source rates not independently audited",""))))</x:f>
      </x:c>
      <x:c r="T63" s="50"/>
      <x:c r="U63" t="str">
        <x:f>IF(B63="","",IF(COUNTIFS('Invoice Register'!$L$2:$L$501,"&lt;&gt;",'Invoice Register'!$L$2:$L$501,"&lt;&gt;VALID",'Invoice Register'!$L$2:$L$501,"&lt;&gt;CANCELLED",'Invoice Register'!$L$2:$L$501,"&lt;&gt;FX HOLD",'Invoice Register'!$M$2:$M$501,A63)&gt;0,"SUBTOTAL; EXCLUDED RECORDS - SEE MANAGEMENT REPORT",IF(B63="","",IF(ISNUMBER(H63),"DATED ERP INVOICES",IF(ISNUMBER(T63),"HISTORICAL DATES REQUIRED",H63)))))</x:f>
      </x:c>
      <x:c r="V63" s="49" t="str">
        <x:f>IF(B63="","",IF(COUNTIF('Invoice Register'!$M$2:$M$501,A63)=0,"INVOICE DATA REQUIRED",SUMIFS('Invoice Register'!$H$2:$H$501,'Invoice Register'!$M$2:$M$501,A63,'Invoice Register'!$G$2:$G$501,"USD",'Invoice Register'!$B$2:$B$501,B63,'Invoice Register'!$L$2:$L$501,"VALID")+SUMIFS('Invoice Register'!$H$2:$H$501,'Invoice Register'!$M$2:$M$501,A63,'Invoice Register'!$G$2:$G$501,"USD",'Invoice Register'!$B$2:$B$501,B63,'Invoice Register'!$L$2:$L$501,"FX HOLD")))</x:f>
      </x:c>
      <x:c r="W63" s="49" t="str">
        <x:f>IF(B63="","",IF(COUNTIF('Invoice Register'!$M$2:$M$501,A63)=0,"INVOICE DATA REQUIRED",SUMIFS('Invoice Register'!$H$2:$H$501,'Invoice Register'!$M$2:$M$501,A63,'Invoice Register'!$G$2:$G$501,"MXN",'Invoice Register'!$B$2:$B$501,B63,'Invoice Register'!$L$2:$L$501,"VALID")+SUMIFS('Invoice Register'!$H$2:$H$501,'Invoice Register'!$M$2:$M$501,A63,'Invoice Register'!$G$2:$G$501,"MXN",'Invoice Register'!$B$2:$B$501,B63,'Invoice Register'!$L$2:$L$501,"FX HOLD")))</x:f>
      </x:c>
    </x:row>
    <x:row r="64">
      <x:c r="H64" t="str">
        <x:f>IF(B64="","",IF(COUNTIF('Invoice Register'!$M$2:$M$501,A64)=0,"INVOICE DATA REQUIRED",SUMIFS('Invoice Register'!$N$2:$N$501,'Invoice Register'!$M$2:$M$501,A64,'Invoice Register'!$B$2:$B$501,B64)))</x:f>
      </x:c>
      <x:c r="N64" t="str">
        <x:f>IF(B64="","",IF(COUNTIF('ERP Snapshot'!$A$2:$A$101,B64)=0,"UNKNOWN",IF(COUNTIFS('ERP Snapshot'!$A$2:$A$101,B64,'ERP Snapshot'!$D$2:$D$101,"MXN")&gt;0,"MXN","USD")))</x:f>
      </x:c>
      <x:c r="O64" t="str">
        <x:f>IF(B64="","",IF(N64="UNKNOWN","SOURCE REVIEW",IF(N64="USD","NOT REQUIRED",IF(AND(Settings!$B$8="APPROVED",Settings!$B$9&lt;&gt;"",Settings!$B$10&lt;&gt;"",Settings!$B$2&gt;0),"APPROVED","FX HOLD"))))</x:f>
      </x:c>
      <x:c r="P64" t="str">
        <x:f>IF(B64="","",IF(O64="FX HOLD","USD normalized input is provisional; FX approval missing",IF(O64="SOURCE REVIEW","Missing source currency mapping",IF(O64="APPROVED","Approval metadata supplied; source rates not independently audited",""))))</x:f>
      </x:c>
      <x:c r="T64" s="50"/>
      <x:c r="U64" t="str">
        <x:f>IF(B64="","",IF(COUNTIFS('Invoice Register'!$L$2:$L$501,"&lt;&gt;",'Invoice Register'!$L$2:$L$501,"&lt;&gt;VALID",'Invoice Register'!$L$2:$L$501,"&lt;&gt;CANCELLED",'Invoice Register'!$L$2:$L$501,"&lt;&gt;FX HOLD",'Invoice Register'!$M$2:$M$501,A64)&gt;0,"SUBTOTAL; EXCLUDED RECORDS - SEE MANAGEMENT REPORT",IF(B64="","",IF(ISNUMBER(H64),"DATED ERP INVOICES",IF(ISNUMBER(T64),"HISTORICAL DATES REQUIRED",H64)))))</x:f>
      </x:c>
      <x:c r="V64" s="49" t="str">
        <x:f>IF(B64="","",IF(COUNTIF('Invoice Register'!$M$2:$M$501,A64)=0,"INVOICE DATA REQUIRED",SUMIFS('Invoice Register'!$H$2:$H$501,'Invoice Register'!$M$2:$M$501,A64,'Invoice Register'!$G$2:$G$501,"USD",'Invoice Register'!$B$2:$B$501,B64,'Invoice Register'!$L$2:$L$501,"VALID")+SUMIFS('Invoice Register'!$H$2:$H$501,'Invoice Register'!$M$2:$M$501,A64,'Invoice Register'!$G$2:$G$501,"USD",'Invoice Register'!$B$2:$B$501,B64,'Invoice Register'!$L$2:$L$501,"FX HOLD")))</x:f>
      </x:c>
      <x:c r="W64" s="49" t="str">
        <x:f>IF(B64="","",IF(COUNTIF('Invoice Register'!$M$2:$M$501,A64)=0,"INVOICE DATA REQUIRED",SUMIFS('Invoice Register'!$H$2:$H$501,'Invoice Register'!$M$2:$M$501,A64,'Invoice Register'!$G$2:$G$501,"MXN",'Invoice Register'!$B$2:$B$501,B64,'Invoice Register'!$L$2:$L$501,"VALID")+SUMIFS('Invoice Register'!$H$2:$H$501,'Invoice Register'!$M$2:$M$501,A64,'Invoice Register'!$G$2:$G$501,"MXN",'Invoice Register'!$B$2:$B$501,B64,'Invoice Register'!$L$2:$L$501,"FX HOLD")))</x:f>
      </x:c>
    </x:row>
    <x:row r="65">
      <x:c r="H65" t="str">
        <x:f>IF(B65="","",IF(COUNTIF('Invoice Register'!$M$2:$M$501,A65)=0,"INVOICE DATA REQUIRED",SUMIFS('Invoice Register'!$N$2:$N$501,'Invoice Register'!$M$2:$M$501,A65,'Invoice Register'!$B$2:$B$501,B65)))</x:f>
      </x:c>
      <x:c r="N65" t="str">
        <x:f>IF(B65="","",IF(COUNTIF('ERP Snapshot'!$A$2:$A$101,B65)=0,"UNKNOWN",IF(COUNTIFS('ERP Snapshot'!$A$2:$A$101,B65,'ERP Snapshot'!$D$2:$D$101,"MXN")&gt;0,"MXN","USD")))</x:f>
      </x:c>
      <x:c r="O65" t="str">
        <x:f>IF(B65="","",IF(N65="UNKNOWN","SOURCE REVIEW",IF(N65="USD","NOT REQUIRED",IF(AND(Settings!$B$8="APPROVED",Settings!$B$9&lt;&gt;"",Settings!$B$10&lt;&gt;"",Settings!$B$2&gt;0),"APPROVED","FX HOLD"))))</x:f>
      </x:c>
      <x:c r="P65" t="str">
        <x:f>IF(B65="","",IF(O65="FX HOLD","USD normalized input is provisional; FX approval missing",IF(O65="SOURCE REVIEW","Missing source currency mapping",IF(O65="APPROVED","Approval metadata supplied; source rates not independently audited",""))))</x:f>
      </x:c>
      <x:c r="T65" s="50"/>
      <x:c r="U65" t="str">
        <x:f>IF(B65="","",IF(COUNTIFS('Invoice Register'!$L$2:$L$501,"&lt;&gt;",'Invoice Register'!$L$2:$L$501,"&lt;&gt;VALID",'Invoice Register'!$L$2:$L$501,"&lt;&gt;CANCELLED",'Invoice Register'!$L$2:$L$501,"&lt;&gt;FX HOLD",'Invoice Register'!$M$2:$M$501,A65)&gt;0,"SUBTOTAL; EXCLUDED RECORDS - SEE MANAGEMENT REPORT",IF(B65="","",IF(ISNUMBER(H65),"DATED ERP INVOICES",IF(ISNUMBER(T65),"HISTORICAL DATES REQUIRED",H65)))))</x:f>
      </x:c>
      <x:c r="V65" s="49" t="str">
        <x:f>IF(B65="","",IF(COUNTIF('Invoice Register'!$M$2:$M$501,A65)=0,"INVOICE DATA REQUIRED",SUMIFS('Invoice Register'!$H$2:$H$501,'Invoice Register'!$M$2:$M$501,A65,'Invoice Register'!$G$2:$G$501,"USD",'Invoice Register'!$B$2:$B$501,B65,'Invoice Register'!$L$2:$L$501,"VALID")+SUMIFS('Invoice Register'!$H$2:$H$501,'Invoice Register'!$M$2:$M$501,A65,'Invoice Register'!$G$2:$G$501,"USD",'Invoice Register'!$B$2:$B$501,B65,'Invoice Register'!$L$2:$L$501,"FX HOLD")))</x:f>
      </x:c>
      <x:c r="W65" s="49" t="str">
        <x:f>IF(B65="","",IF(COUNTIF('Invoice Register'!$M$2:$M$501,A65)=0,"INVOICE DATA REQUIRED",SUMIFS('Invoice Register'!$H$2:$H$501,'Invoice Register'!$M$2:$M$501,A65,'Invoice Register'!$G$2:$G$501,"MXN",'Invoice Register'!$B$2:$B$501,B65,'Invoice Register'!$L$2:$L$501,"VALID")+SUMIFS('Invoice Register'!$H$2:$H$501,'Invoice Register'!$M$2:$M$501,A65,'Invoice Register'!$G$2:$G$501,"MXN",'Invoice Register'!$B$2:$B$501,B65,'Invoice Register'!$L$2:$L$501,"FX HOLD")))</x:f>
      </x:c>
    </x:row>
    <x:row r="66">
      <x:c r="H66" t="str">
        <x:f>IF(B66="","",IF(COUNTIF('Invoice Register'!$M$2:$M$501,A66)=0,"INVOICE DATA REQUIRED",SUMIFS('Invoice Register'!$N$2:$N$501,'Invoice Register'!$M$2:$M$501,A66,'Invoice Register'!$B$2:$B$501,B66)))</x:f>
      </x:c>
      <x:c r="N66" t="str">
        <x:f>IF(B66="","",IF(COUNTIF('ERP Snapshot'!$A$2:$A$101,B66)=0,"UNKNOWN",IF(COUNTIFS('ERP Snapshot'!$A$2:$A$101,B66,'ERP Snapshot'!$D$2:$D$101,"MXN")&gt;0,"MXN","USD")))</x:f>
      </x:c>
      <x:c r="O66" t="str">
        <x:f>IF(B66="","",IF(N66="UNKNOWN","SOURCE REVIEW",IF(N66="USD","NOT REQUIRED",IF(AND(Settings!$B$8="APPROVED",Settings!$B$9&lt;&gt;"",Settings!$B$10&lt;&gt;"",Settings!$B$2&gt;0),"APPROVED","FX HOLD"))))</x:f>
      </x:c>
      <x:c r="P66" t="str">
        <x:f>IF(B66="","",IF(O66="FX HOLD","USD normalized input is provisional; FX approval missing",IF(O66="SOURCE REVIEW","Missing source currency mapping",IF(O66="APPROVED","Approval metadata supplied; source rates not independently audited",""))))</x:f>
      </x:c>
      <x:c r="T66" s="50"/>
      <x:c r="U66" t="str">
        <x:f>IF(B66="","",IF(COUNTIFS('Invoice Register'!$L$2:$L$501,"&lt;&gt;",'Invoice Register'!$L$2:$L$501,"&lt;&gt;VALID",'Invoice Register'!$L$2:$L$501,"&lt;&gt;CANCELLED",'Invoice Register'!$L$2:$L$501,"&lt;&gt;FX HOLD",'Invoice Register'!$M$2:$M$501,A66)&gt;0,"SUBTOTAL; EXCLUDED RECORDS - SEE MANAGEMENT REPORT",IF(B66="","",IF(ISNUMBER(H66),"DATED ERP INVOICES",IF(ISNUMBER(T66),"HISTORICAL DATES REQUIRED",H66)))))</x:f>
      </x:c>
      <x:c r="V66" s="49" t="str">
        <x:f>IF(B66="","",IF(COUNTIF('Invoice Register'!$M$2:$M$501,A66)=0,"INVOICE DATA REQUIRED",SUMIFS('Invoice Register'!$H$2:$H$501,'Invoice Register'!$M$2:$M$501,A66,'Invoice Register'!$G$2:$G$501,"USD",'Invoice Register'!$B$2:$B$501,B66,'Invoice Register'!$L$2:$L$501,"VALID")+SUMIFS('Invoice Register'!$H$2:$H$501,'Invoice Register'!$M$2:$M$501,A66,'Invoice Register'!$G$2:$G$501,"USD",'Invoice Register'!$B$2:$B$501,B66,'Invoice Register'!$L$2:$L$501,"FX HOLD")))</x:f>
      </x:c>
      <x:c r="W66" s="49" t="str">
        <x:f>IF(B66="","",IF(COUNTIF('Invoice Register'!$M$2:$M$501,A66)=0,"INVOICE DATA REQUIRED",SUMIFS('Invoice Register'!$H$2:$H$501,'Invoice Register'!$M$2:$M$501,A66,'Invoice Register'!$G$2:$G$501,"MXN",'Invoice Register'!$B$2:$B$501,B66,'Invoice Register'!$L$2:$L$501,"VALID")+SUMIFS('Invoice Register'!$H$2:$H$501,'Invoice Register'!$M$2:$M$501,A66,'Invoice Register'!$G$2:$G$501,"MXN",'Invoice Register'!$B$2:$B$501,B66,'Invoice Register'!$L$2:$L$501,"FX HOLD")))</x:f>
      </x:c>
    </x:row>
    <x:row r="67">
      <x:c r="H67" t="str">
        <x:f>IF(B67="","",IF(COUNTIF('Invoice Register'!$M$2:$M$501,A67)=0,"INVOICE DATA REQUIRED",SUMIFS('Invoice Register'!$N$2:$N$501,'Invoice Register'!$M$2:$M$501,A67,'Invoice Register'!$B$2:$B$501,B67)))</x:f>
      </x:c>
      <x:c r="N67" t="str">
        <x:f>IF(B67="","",IF(COUNTIF('ERP Snapshot'!$A$2:$A$101,B67)=0,"UNKNOWN",IF(COUNTIFS('ERP Snapshot'!$A$2:$A$101,B67,'ERP Snapshot'!$D$2:$D$101,"MXN")&gt;0,"MXN","USD")))</x:f>
      </x:c>
      <x:c r="O67" t="str">
        <x:f>IF(B67="","",IF(N67="UNKNOWN","SOURCE REVIEW",IF(N67="USD","NOT REQUIRED",IF(AND(Settings!$B$8="APPROVED",Settings!$B$9&lt;&gt;"",Settings!$B$10&lt;&gt;"",Settings!$B$2&gt;0),"APPROVED","FX HOLD"))))</x:f>
      </x:c>
      <x:c r="P67" t="str">
        <x:f>IF(B67="","",IF(O67="FX HOLD","USD normalized input is provisional; FX approval missing",IF(O67="SOURCE REVIEW","Missing source currency mapping",IF(O67="APPROVED","Approval metadata supplied; source rates not independently audited",""))))</x:f>
      </x:c>
      <x:c r="T67" s="50"/>
      <x:c r="U67" t="str">
        <x:f>IF(B67="","",IF(COUNTIFS('Invoice Register'!$L$2:$L$501,"&lt;&gt;",'Invoice Register'!$L$2:$L$501,"&lt;&gt;VALID",'Invoice Register'!$L$2:$L$501,"&lt;&gt;CANCELLED",'Invoice Register'!$L$2:$L$501,"&lt;&gt;FX HOLD",'Invoice Register'!$M$2:$M$501,A67)&gt;0,"SUBTOTAL; EXCLUDED RECORDS - SEE MANAGEMENT REPORT",IF(B67="","",IF(ISNUMBER(H67),"DATED ERP INVOICES",IF(ISNUMBER(T67),"HISTORICAL DATES REQUIRED",H67)))))</x:f>
      </x:c>
      <x:c r="V67" s="49" t="str">
        <x:f>IF(B67="","",IF(COUNTIF('Invoice Register'!$M$2:$M$501,A67)=0,"INVOICE DATA REQUIRED",SUMIFS('Invoice Register'!$H$2:$H$501,'Invoice Register'!$M$2:$M$501,A67,'Invoice Register'!$G$2:$G$501,"USD",'Invoice Register'!$B$2:$B$501,B67,'Invoice Register'!$L$2:$L$501,"VALID")+SUMIFS('Invoice Register'!$H$2:$H$501,'Invoice Register'!$M$2:$M$501,A67,'Invoice Register'!$G$2:$G$501,"USD",'Invoice Register'!$B$2:$B$501,B67,'Invoice Register'!$L$2:$L$501,"FX HOLD")))</x:f>
      </x:c>
      <x:c r="W67" s="49" t="str">
        <x:f>IF(B67="","",IF(COUNTIF('Invoice Register'!$M$2:$M$501,A67)=0,"INVOICE DATA REQUIRED",SUMIFS('Invoice Register'!$H$2:$H$501,'Invoice Register'!$M$2:$M$501,A67,'Invoice Register'!$G$2:$G$501,"MXN",'Invoice Register'!$B$2:$B$501,B67,'Invoice Register'!$L$2:$L$501,"VALID")+SUMIFS('Invoice Register'!$H$2:$H$501,'Invoice Register'!$M$2:$M$501,A67,'Invoice Register'!$G$2:$G$501,"MXN",'Invoice Register'!$B$2:$B$501,B67,'Invoice Register'!$L$2:$L$501,"FX HOLD")))</x:f>
      </x:c>
    </x:row>
    <x:row r="68">
      <x:c r="H68" t="str">
        <x:f>IF(B68="","",IF(COUNTIF('Invoice Register'!$M$2:$M$501,A68)=0,"INVOICE DATA REQUIRED",SUMIFS('Invoice Register'!$N$2:$N$501,'Invoice Register'!$M$2:$M$501,A68,'Invoice Register'!$B$2:$B$501,B68)))</x:f>
      </x:c>
      <x:c r="N68" t="str">
        <x:f>IF(B68="","",IF(COUNTIF('ERP Snapshot'!$A$2:$A$101,B68)=0,"UNKNOWN",IF(COUNTIFS('ERP Snapshot'!$A$2:$A$101,B68,'ERP Snapshot'!$D$2:$D$101,"MXN")&gt;0,"MXN","USD")))</x:f>
      </x:c>
      <x:c r="O68" t="str">
        <x:f>IF(B68="","",IF(N68="UNKNOWN","SOURCE REVIEW",IF(N68="USD","NOT REQUIRED",IF(AND(Settings!$B$8="APPROVED",Settings!$B$9&lt;&gt;"",Settings!$B$10&lt;&gt;"",Settings!$B$2&gt;0),"APPROVED","FX HOLD"))))</x:f>
      </x:c>
      <x:c r="P68" t="str">
        <x:f>IF(B68="","",IF(O68="FX HOLD","USD normalized input is provisional; FX approval missing",IF(O68="SOURCE REVIEW","Missing source currency mapping",IF(O68="APPROVED","Approval metadata supplied; source rates not independently audited",""))))</x:f>
      </x:c>
      <x:c r="T68" s="50"/>
      <x:c r="U68" t="str">
        <x:f>IF(B68="","",IF(COUNTIFS('Invoice Register'!$L$2:$L$501,"&lt;&gt;",'Invoice Register'!$L$2:$L$501,"&lt;&gt;VALID",'Invoice Register'!$L$2:$L$501,"&lt;&gt;CANCELLED",'Invoice Register'!$L$2:$L$501,"&lt;&gt;FX HOLD",'Invoice Register'!$M$2:$M$501,A68)&gt;0,"SUBTOTAL; EXCLUDED RECORDS - SEE MANAGEMENT REPORT",IF(B68="","",IF(ISNUMBER(H68),"DATED ERP INVOICES",IF(ISNUMBER(T68),"HISTORICAL DATES REQUIRED",H68)))))</x:f>
      </x:c>
      <x:c r="V68" s="49" t="str">
        <x:f>IF(B68="","",IF(COUNTIF('Invoice Register'!$M$2:$M$501,A68)=0,"INVOICE DATA REQUIRED",SUMIFS('Invoice Register'!$H$2:$H$501,'Invoice Register'!$M$2:$M$501,A68,'Invoice Register'!$G$2:$G$501,"USD",'Invoice Register'!$B$2:$B$501,B68,'Invoice Register'!$L$2:$L$501,"VALID")+SUMIFS('Invoice Register'!$H$2:$H$501,'Invoice Register'!$M$2:$M$501,A68,'Invoice Register'!$G$2:$G$501,"USD",'Invoice Register'!$B$2:$B$501,B68,'Invoice Register'!$L$2:$L$501,"FX HOLD")))</x:f>
      </x:c>
      <x:c r="W68" s="49" t="str">
        <x:f>IF(B68="","",IF(COUNTIF('Invoice Register'!$M$2:$M$501,A68)=0,"INVOICE DATA REQUIRED",SUMIFS('Invoice Register'!$H$2:$H$501,'Invoice Register'!$M$2:$M$501,A68,'Invoice Register'!$G$2:$G$501,"MXN",'Invoice Register'!$B$2:$B$501,B68,'Invoice Register'!$L$2:$L$501,"VALID")+SUMIFS('Invoice Register'!$H$2:$H$501,'Invoice Register'!$M$2:$M$501,A68,'Invoice Register'!$G$2:$G$501,"MXN",'Invoice Register'!$B$2:$B$501,B68,'Invoice Register'!$L$2:$L$501,"FX HOLD")))</x:f>
      </x:c>
    </x:row>
    <x:row r="69">
      <x:c r="H69" t="str">
        <x:f>IF(B69="","",IF(COUNTIF('Invoice Register'!$M$2:$M$501,A69)=0,"INVOICE DATA REQUIRED",SUMIFS('Invoice Register'!$N$2:$N$501,'Invoice Register'!$M$2:$M$501,A69,'Invoice Register'!$B$2:$B$501,B69)))</x:f>
      </x:c>
      <x:c r="N69" t="str">
        <x:f>IF(B69="","",IF(COUNTIF('ERP Snapshot'!$A$2:$A$101,B69)=0,"UNKNOWN",IF(COUNTIFS('ERP Snapshot'!$A$2:$A$101,B69,'ERP Snapshot'!$D$2:$D$101,"MXN")&gt;0,"MXN","USD")))</x:f>
      </x:c>
      <x:c r="O69" t="str">
        <x:f>IF(B69="","",IF(N69="UNKNOWN","SOURCE REVIEW",IF(N69="USD","NOT REQUIRED",IF(AND(Settings!$B$8="APPROVED",Settings!$B$9&lt;&gt;"",Settings!$B$10&lt;&gt;"",Settings!$B$2&gt;0),"APPROVED","FX HOLD"))))</x:f>
      </x:c>
      <x:c r="P69" t="str">
        <x:f>IF(B69="","",IF(O69="FX HOLD","USD normalized input is provisional; FX approval missing",IF(O69="SOURCE REVIEW","Missing source currency mapping",IF(O69="APPROVED","Approval metadata supplied; source rates not independently audited",""))))</x:f>
      </x:c>
      <x:c r="T69" s="50"/>
      <x:c r="U69" t="str">
        <x:f>IF(B69="","",IF(COUNTIFS('Invoice Register'!$L$2:$L$501,"&lt;&gt;",'Invoice Register'!$L$2:$L$501,"&lt;&gt;VALID",'Invoice Register'!$L$2:$L$501,"&lt;&gt;CANCELLED",'Invoice Register'!$L$2:$L$501,"&lt;&gt;FX HOLD",'Invoice Register'!$M$2:$M$501,A69)&gt;0,"SUBTOTAL; EXCLUDED RECORDS - SEE MANAGEMENT REPORT",IF(B69="","",IF(ISNUMBER(H69),"DATED ERP INVOICES",IF(ISNUMBER(T69),"HISTORICAL DATES REQUIRED",H69)))))</x:f>
      </x:c>
      <x:c r="V69" s="49" t="str">
        <x:f>IF(B69="","",IF(COUNTIF('Invoice Register'!$M$2:$M$501,A69)=0,"INVOICE DATA REQUIRED",SUMIFS('Invoice Register'!$H$2:$H$501,'Invoice Register'!$M$2:$M$501,A69,'Invoice Register'!$G$2:$G$501,"USD",'Invoice Register'!$B$2:$B$501,B69,'Invoice Register'!$L$2:$L$501,"VALID")+SUMIFS('Invoice Register'!$H$2:$H$501,'Invoice Register'!$M$2:$M$501,A69,'Invoice Register'!$G$2:$G$501,"USD",'Invoice Register'!$B$2:$B$501,B69,'Invoice Register'!$L$2:$L$501,"FX HOLD")))</x:f>
      </x:c>
      <x:c r="W69" s="49" t="str">
        <x:f>IF(B69="","",IF(COUNTIF('Invoice Register'!$M$2:$M$501,A69)=0,"INVOICE DATA REQUIRED",SUMIFS('Invoice Register'!$H$2:$H$501,'Invoice Register'!$M$2:$M$501,A69,'Invoice Register'!$G$2:$G$501,"MXN",'Invoice Register'!$B$2:$B$501,B69,'Invoice Register'!$L$2:$L$501,"VALID")+SUMIFS('Invoice Register'!$H$2:$H$501,'Invoice Register'!$M$2:$M$501,A69,'Invoice Register'!$G$2:$G$501,"MXN",'Invoice Register'!$B$2:$B$501,B69,'Invoice Register'!$L$2:$L$501,"FX HOLD")))</x:f>
      </x:c>
    </x:row>
    <x:row r="70">
      <x:c r="H70" t="str">
        <x:f>IF(B70="","",IF(COUNTIF('Invoice Register'!$M$2:$M$501,A70)=0,"INVOICE DATA REQUIRED",SUMIFS('Invoice Register'!$N$2:$N$501,'Invoice Register'!$M$2:$M$501,A70,'Invoice Register'!$B$2:$B$501,B70)))</x:f>
      </x:c>
      <x:c r="N70" t="str">
        <x:f>IF(B70="","",IF(COUNTIF('ERP Snapshot'!$A$2:$A$101,B70)=0,"UNKNOWN",IF(COUNTIFS('ERP Snapshot'!$A$2:$A$101,B70,'ERP Snapshot'!$D$2:$D$101,"MXN")&gt;0,"MXN","USD")))</x:f>
      </x:c>
      <x:c r="O70" t="str">
        <x:f>IF(B70="","",IF(N70="UNKNOWN","SOURCE REVIEW",IF(N70="USD","NOT REQUIRED",IF(AND(Settings!$B$8="APPROVED",Settings!$B$9&lt;&gt;"",Settings!$B$10&lt;&gt;"",Settings!$B$2&gt;0),"APPROVED","FX HOLD"))))</x:f>
      </x:c>
      <x:c r="P70" t="str">
        <x:f>IF(B70="","",IF(O70="FX HOLD","USD normalized input is provisional; FX approval missing",IF(O70="SOURCE REVIEW","Missing source currency mapping",IF(O70="APPROVED","Approval metadata supplied; source rates not independently audited",""))))</x:f>
      </x:c>
      <x:c r="T70" s="50"/>
      <x:c r="U70" t="str">
        <x:f>IF(B70="","",IF(COUNTIFS('Invoice Register'!$L$2:$L$501,"&lt;&gt;",'Invoice Register'!$L$2:$L$501,"&lt;&gt;VALID",'Invoice Register'!$L$2:$L$501,"&lt;&gt;CANCELLED",'Invoice Register'!$L$2:$L$501,"&lt;&gt;FX HOLD",'Invoice Register'!$M$2:$M$501,A70)&gt;0,"SUBTOTAL; EXCLUDED RECORDS - SEE MANAGEMENT REPORT",IF(B70="","",IF(ISNUMBER(H70),"DATED ERP INVOICES",IF(ISNUMBER(T70),"HISTORICAL DATES REQUIRED",H70)))))</x:f>
      </x:c>
      <x:c r="V70" s="49" t="str">
        <x:f>IF(B70="","",IF(COUNTIF('Invoice Register'!$M$2:$M$501,A70)=0,"INVOICE DATA REQUIRED",SUMIFS('Invoice Register'!$H$2:$H$501,'Invoice Register'!$M$2:$M$501,A70,'Invoice Register'!$G$2:$G$501,"USD",'Invoice Register'!$B$2:$B$501,B70,'Invoice Register'!$L$2:$L$501,"VALID")+SUMIFS('Invoice Register'!$H$2:$H$501,'Invoice Register'!$M$2:$M$501,A70,'Invoice Register'!$G$2:$G$501,"USD",'Invoice Register'!$B$2:$B$501,B70,'Invoice Register'!$L$2:$L$501,"FX HOLD")))</x:f>
      </x:c>
      <x:c r="W70" s="49" t="str">
        <x:f>IF(B70="","",IF(COUNTIF('Invoice Register'!$M$2:$M$501,A70)=0,"INVOICE DATA REQUIRED",SUMIFS('Invoice Register'!$H$2:$H$501,'Invoice Register'!$M$2:$M$501,A70,'Invoice Register'!$G$2:$G$501,"MXN",'Invoice Register'!$B$2:$B$501,B70,'Invoice Register'!$L$2:$L$501,"VALID")+SUMIFS('Invoice Register'!$H$2:$H$501,'Invoice Register'!$M$2:$M$501,A70,'Invoice Register'!$G$2:$G$501,"MXN",'Invoice Register'!$B$2:$B$501,B70,'Invoice Register'!$L$2:$L$501,"FX HOLD")))</x:f>
      </x:c>
    </x:row>
    <x:row r="71">
      <x:c r="H71" t="str">
        <x:f>IF(B71="","",IF(COUNTIF('Invoice Register'!$M$2:$M$501,A71)=0,"INVOICE DATA REQUIRED",SUMIFS('Invoice Register'!$N$2:$N$501,'Invoice Register'!$M$2:$M$501,A71,'Invoice Register'!$B$2:$B$501,B71)))</x:f>
      </x:c>
      <x:c r="N71" t="str">
        <x:f>IF(B71="","",IF(COUNTIF('ERP Snapshot'!$A$2:$A$101,B71)=0,"UNKNOWN",IF(COUNTIFS('ERP Snapshot'!$A$2:$A$101,B71,'ERP Snapshot'!$D$2:$D$101,"MXN")&gt;0,"MXN","USD")))</x:f>
      </x:c>
      <x:c r="O71" t="str">
        <x:f>IF(B71="","",IF(N71="UNKNOWN","SOURCE REVIEW",IF(N71="USD","NOT REQUIRED",IF(AND(Settings!$B$8="APPROVED",Settings!$B$9&lt;&gt;"",Settings!$B$10&lt;&gt;"",Settings!$B$2&gt;0),"APPROVED","FX HOLD"))))</x:f>
      </x:c>
      <x:c r="P71" t="str">
        <x:f>IF(B71="","",IF(O71="FX HOLD","USD normalized input is provisional; FX approval missing",IF(O71="SOURCE REVIEW","Missing source currency mapping",IF(O71="APPROVED","Approval metadata supplied; source rates not independently audited",""))))</x:f>
      </x:c>
      <x:c r="T71" s="50"/>
      <x:c r="U71" t="str">
        <x:f>IF(B71="","",IF(COUNTIFS('Invoice Register'!$L$2:$L$501,"&lt;&gt;",'Invoice Register'!$L$2:$L$501,"&lt;&gt;VALID",'Invoice Register'!$L$2:$L$501,"&lt;&gt;CANCELLED",'Invoice Register'!$L$2:$L$501,"&lt;&gt;FX HOLD",'Invoice Register'!$M$2:$M$501,A71)&gt;0,"SUBTOTAL; EXCLUDED RECORDS - SEE MANAGEMENT REPORT",IF(B71="","",IF(ISNUMBER(H71),"DATED ERP INVOICES",IF(ISNUMBER(T71),"HISTORICAL DATES REQUIRED",H71)))))</x:f>
      </x:c>
      <x:c r="V71" s="49" t="str">
        <x:f>IF(B71="","",IF(COUNTIF('Invoice Register'!$M$2:$M$501,A71)=0,"INVOICE DATA REQUIRED",SUMIFS('Invoice Register'!$H$2:$H$501,'Invoice Register'!$M$2:$M$501,A71,'Invoice Register'!$G$2:$G$501,"USD",'Invoice Register'!$B$2:$B$501,B71,'Invoice Register'!$L$2:$L$501,"VALID")+SUMIFS('Invoice Register'!$H$2:$H$501,'Invoice Register'!$M$2:$M$501,A71,'Invoice Register'!$G$2:$G$501,"USD",'Invoice Register'!$B$2:$B$501,B71,'Invoice Register'!$L$2:$L$501,"FX HOLD")))</x:f>
      </x:c>
      <x:c r="W71" s="49" t="str">
        <x:f>IF(B71="","",IF(COUNTIF('Invoice Register'!$M$2:$M$501,A71)=0,"INVOICE DATA REQUIRED",SUMIFS('Invoice Register'!$H$2:$H$501,'Invoice Register'!$M$2:$M$501,A71,'Invoice Register'!$G$2:$G$501,"MXN",'Invoice Register'!$B$2:$B$501,B71,'Invoice Register'!$L$2:$L$501,"VALID")+SUMIFS('Invoice Register'!$H$2:$H$501,'Invoice Register'!$M$2:$M$501,A71,'Invoice Register'!$G$2:$G$501,"MXN",'Invoice Register'!$B$2:$B$501,B71,'Invoice Register'!$L$2:$L$501,"FX HOLD")))</x:f>
      </x:c>
    </x:row>
    <x:row r="72">
      <x:c r="H72" t="str">
        <x:f>IF(B72="","",IF(COUNTIF('Invoice Register'!$M$2:$M$501,A72)=0,"INVOICE DATA REQUIRED",SUMIFS('Invoice Register'!$N$2:$N$501,'Invoice Register'!$M$2:$M$501,A72,'Invoice Register'!$B$2:$B$501,B72)))</x:f>
      </x:c>
      <x:c r="N72" t="str">
        <x:f>IF(B72="","",IF(COUNTIF('ERP Snapshot'!$A$2:$A$101,B72)=0,"UNKNOWN",IF(COUNTIFS('ERP Snapshot'!$A$2:$A$101,B72,'ERP Snapshot'!$D$2:$D$101,"MXN")&gt;0,"MXN","USD")))</x:f>
      </x:c>
      <x:c r="O72" t="str">
        <x:f>IF(B72="","",IF(N72="UNKNOWN","SOURCE REVIEW",IF(N72="USD","NOT REQUIRED",IF(AND(Settings!$B$8="APPROVED",Settings!$B$9&lt;&gt;"",Settings!$B$10&lt;&gt;"",Settings!$B$2&gt;0),"APPROVED","FX HOLD"))))</x:f>
      </x:c>
      <x:c r="P72" t="str">
        <x:f>IF(B72="","",IF(O72="FX HOLD","USD normalized input is provisional; FX approval missing",IF(O72="SOURCE REVIEW","Missing source currency mapping",IF(O72="APPROVED","Approval metadata supplied; source rates not independently audited",""))))</x:f>
      </x:c>
      <x:c r="T72" s="50"/>
      <x:c r="U72" t="str">
        <x:f>IF(B72="","",IF(COUNTIFS('Invoice Register'!$L$2:$L$501,"&lt;&gt;",'Invoice Register'!$L$2:$L$501,"&lt;&gt;VALID",'Invoice Register'!$L$2:$L$501,"&lt;&gt;CANCELLED",'Invoice Register'!$L$2:$L$501,"&lt;&gt;FX HOLD",'Invoice Register'!$M$2:$M$501,A72)&gt;0,"SUBTOTAL; EXCLUDED RECORDS - SEE MANAGEMENT REPORT",IF(B72="","",IF(ISNUMBER(H72),"DATED ERP INVOICES",IF(ISNUMBER(T72),"HISTORICAL DATES REQUIRED",H72)))))</x:f>
      </x:c>
      <x:c r="V72" s="49" t="str">
        <x:f>IF(B72="","",IF(COUNTIF('Invoice Register'!$M$2:$M$501,A72)=0,"INVOICE DATA REQUIRED",SUMIFS('Invoice Register'!$H$2:$H$501,'Invoice Register'!$M$2:$M$501,A72,'Invoice Register'!$G$2:$G$501,"USD",'Invoice Register'!$B$2:$B$501,B72,'Invoice Register'!$L$2:$L$501,"VALID")+SUMIFS('Invoice Register'!$H$2:$H$501,'Invoice Register'!$M$2:$M$501,A72,'Invoice Register'!$G$2:$G$501,"USD",'Invoice Register'!$B$2:$B$501,B72,'Invoice Register'!$L$2:$L$501,"FX HOLD")))</x:f>
      </x:c>
      <x:c r="W72" s="49" t="str">
        <x:f>IF(B72="","",IF(COUNTIF('Invoice Register'!$M$2:$M$501,A72)=0,"INVOICE DATA REQUIRED",SUMIFS('Invoice Register'!$H$2:$H$501,'Invoice Register'!$M$2:$M$501,A72,'Invoice Register'!$G$2:$G$501,"MXN",'Invoice Register'!$B$2:$B$501,B72,'Invoice Register'!$L$2:$L$501,"VALID")+SUMIFS('Invoice Register'!$H$2:$H$501,'Invoice Register'!$M$2:$M$501,A72,'Invoice Register'!$G$2:$G$501,"MXN",'Invoice Register'!$B$2:$B$501,B72,'Invoice Register'!$L$2:$L$501,"FX HOLD")))</x:f>
      </x:c>
    </x:row>
    <x:row r="73">
      <x:c r="H73" t="str">
        <x:f>IF(B73="","",IF(COUNTIF('Invoice Register'!$M$2:$M$501,A73)=0,"INVOICE DATA REQUIRED",SUMIFS('Invoice Register'!$N$2:$N$501,'Invoice Register'!$M$2:$M$501,A73,'Invoice Register'!$B$2:$B$501,B73)))</x:f>
      </x:c>
      <x:c r="N73" t="str">
        <x:f>IF(B73="","",IF(COUNTIF('ERP Snapshot'!$A$2:$A$101,B73)=0,"UNKNOWN",IF(COUNTIFS('ERP Snapshot'!$A$2:$A$101,B73,'ERP Snapshot'!$D$2:$D$101,"MXN")&gt;0,"MXN","USD")))</x:f>
      </x:c>
      <x:c r="O73" t="str">
        <x:f>IF(B73="","",IF(N73="UNKNOWN","SOURCE REVIEW",IF(N73="USD","NOT REQUIRED",IF(AND(Settings!$B$8="APPROVED",Settings!$B$9&lt;&gt;"",Settings!$B$10&lt;&gt;"",Settings!$B$2&gt;0),"APPROVED","FX HOLD"))))</x:f>
      </x:c>
      <x:c r="P73" t="str">
        <x:f>IF(B73="","",IF(O73="FX HOLD","USD normalized input is provisional; FX approval missing",IF(O73="SOURCE REVIEW","Missing source currency mapping",IF(O73="APPROVED","Approval metadata supplied; source rates not independently audited",""))))</x:f>
      </x:c>
      <x:c r="T73" s="50"/>
      <x:c r="U73" t="str">
        <x:f>IF(B73="","",IF(COUNTIFS('Invoice Register'!$L$2:$L$501,"&lt;&gt;",'Invoice Register'!$L$2:$L$501,"&lt;&gt;VALID",'Invoice Register'!$L$2:$L$501,"&lt;&gt;CANCELLED",'Invoice Register'!$L$2:$L$501,"&lt;&gt;FX HOLD",'Invoice Register'!$M$2:$M$501,A73)&gt;0,"SUBTOTAL; EXCLUDED RECORDS - SEE MANAGEMENT REPORT",IF(B73="","",IF(ISNUMBER(H73),"DATED ERP INVOICES",IF(ISNUMBER(T73),"HISTORICAL DATES REQUIRED",H73)))))</x:f>
      </x:c>
      <x:c r="V73" s="49" t="str">
        <x:f>IF(B73="","",IF(COUNTIF('Invoice Register'!$M$2:$M$501,A73)=0,"INVOICE DATA REQUIRED",SUMIFS('Invoice Register'!$H$2:$H$501,'Invoice Register'!$M$2:$M$501,A73,'Invoice Register'!$G$2:$G$501,"USD",'Invoice Register'!$B$2:$B$501,B73,'Invoice Register'!$L$2:$L$501,"VALID")+SUMIFS('Invoice Register'!$H$2:$H$501,'Invoice Register'!$M$2:$M$501,A73,'Invoice Register'!$G$2:$G$501,"USD",'Invoice Register'!$B$2:$B$501,B73,'Invoice Register'!$L$2:$L$501,"FX HOLD")))</x:f>
      </x:c>
      <x:c r="W73" s="49" t="str">
        <x:f>IF(B73="","",IF(COUNTIF('Invoice Register'!$M$2:$M$501,A73)=0,"INVOICE DATA REQUIRED",SUMIFS('Invoice Register'!$H$2:$H$501,'Invoice Register'!$M$2:$M$501,A73,'Invoice Register'!$G$2:$G$501,"MXN",'Invoice Register'!$B$2:$B$501,B73,'Invoice Register'!$L$2:$L$501,"VALID")+SUMIFS('Invoice Register'!$H$2:$H$501,'Invoice Register'!$M$2:$M$501,A73,'Invoice Register'!$G$2:$G$501,"MXN",'Invoice Register'!$B$2:$B$501,B73,'Invoice Register'!$L$2:$L$501,"FX HOLD")))</x:f>
      </x:c>
    </x:row>
    <x:row r="74">
      <x:c r="H74" t="str">
        <x:f>IF(B74="","",IF(COUNTIF('Invoice Register'!$M$2:$M$501,A74)=0,"INVOICE DATA REQUIRED",SUMIFS('Invoice Register'!$N$2:$N$501,'Invoice Register'!$M$2:$M$501,A74,'Invoice Register'!$B$2:$B$501,B74)))</x:f>
      </x:c>
      <x:c r="N74" t="str">
        <x:f>IF(B74="","",IF(COUNTIF('ERP Snapshot'!$A$2:$A$101,B74)=0,"UNKNOWN",IF(COUNTIFS('ERP Snapshot'!$A$2:$A$101,B74,'ERP Snapshot'!$D$2:$D$101,"MXN")&gt;0,"MXN","USD")))</x:f>
      </x:c>
      <x:c r="O74" t="str">
        <x:f>IF(B74="","",IF(N74="UNKNOWN","SOURCE REVIEW",IF(N74="USD","NOT REQUIRED",IF(AND(Settings!$B$8="APPROVED",Settings!$B$9&lt;&gt;"",Settings!$B$10&lt;&gt;"",Settings!$B$2&gt;0),"APPROVED","FX HOLD"))))</x:f>
      </x:c>
      <x:c r="P74" t="str">
        <x:f>IF(B74="","",IF(O74="FX HOLD","USD normalized input is provisional; FX approval missing",IF(O74="SOURCE REVIEW","Missing source currency mapping",IF(O74="APPROVED","Approval metadata supplied; source rates not independently audited",""))))</x:f>
      </x:c>
      <x:c r="T74" s="50"/>
      <x:c r="U74" t="str">
        <x:f>IF(B74="","",IF(COUNTIFS('Invoice Register'!$L$2:$L$501,"&lt;&gt;",'Invoice Register'!$L$2:$L$501,"&lt;&gt;VALID",'Invoice Register'!$L$2:$L$501,"&lt;&gt;CANCELLED",'Invoice Register'!$L$2:$L$501,"&lt;&gt;FX HOLD",'Invoice Register'!$M$2:$M$501,A74)&gt;0,"SUBTOTAL; EXCLUDED RECORDS - SEE MANAGEMENT REPORT",IF(B74="","",IF(ISNUMBER(H74),"DATED ERP INVOICES",IF(ISNUMBER(T74),"HISTORICAL DATES REQUIRED",H74)))))</x:f>
      </x:c>
      <x:c r="V74" s="49" t="str">
        <x:f>IF(B74="","",IF(COUNTIF('Invoice Register'!$M$2:$M$501,A74)=0,"INVOICE DATA REQUIRED",SUMIFS('Invoice Register'!$H$2:$H$501,'Invoice Register'!$M$2:$M$501,A74,'Invoice Register'!$G$2:$G$501,"USD",'Invoice Register'!$B$2:$B$501,B74,'Invoice Register'!$L$2:$L$501,"VALID")+SUMIFS('Invoice Register'!$H$2:$H$501,'Invoice Register'!$M$2:$M$501,A74,'Invoice Register'!$G$2:$G$501,"USD",'Invoice Register'!$B$2:$B$501,B74,'Invoice Register'!$L$2:$L$501,"FX HOLD")))</x:f>
      </x:c>
      <x:c r="W74" s="49" t="str">
        <x:f>IF(B74="","",IF(COUNTIF('Invoice Register'!$M$2:$M$501,A74)=0,"INVOICE DATA REQUIRED",SUMIFS('Invoice Register'!$H$2:$H$501,'Invoice Register'!$M$2:$M$501,A74,'Invoice Register'!$G$2:$G$501,"MXN",'Invoice Register'!$B$2:$B$501,B74,'Invoice Register'!$L$2:$L$501,"VALID")+SUMIFS('Invoice Register'!$H$2:$H$501,'Invoice Register'!$M$2:$M$501,A74,'Invoice Register'!$G$2:$G$501,"MXN",'Invoice Register'!$B$2:$B$501,B74,'Invoice Register'!$L$2:$L$501,"FX HOLD")))</x:f>
      </x:c>
    </x:row>
    <x:row r="75">
      <x:c r="H75" t="str">
        <x:f>IF(B75="","",IF(COUNTIF('Invoice Register'!$M$2:$M$501,A75)=0,"INVOICE DATA REQUIRED",SUMIFS('Invoice Register'!$N$2:$N$501,'Invoice Register'!$M$2:$M$501,A75,'Invoice Register'!$B$2:$B$501,B75)))</x:f>
      </x:c>
      <x:c r="N75" t="str">
        <x:f>IF(B75="","",IF(COUNTIF('ERP Snapshot'!$A$2:$A$101,B75)=0,"UNKNOWN",IF(COUNTIFS('ERP Snapshot'!$A$2:$A$101,B75,'ERP Snapshot'!$D$2:$D$101,"MXN")&gt;0,"MXN","USD")))</x:f>
      </x:c>
      <x:c r="O75" t="str">
        <x:f>IF(B75="","",IF(N75="UNKNOWN","SOURCE REVIEW",IF(N75="USD","NOT REQUIRED",IF(AND(Settings!$B$8="APPROVED",Settings!$B$9&lt;&gt;"",Settings!$B$10&lt;&gt;"",Settings!$B$2&gt;0),"APPROVED","FX HOLD"))))</x:f>
      </x:c>
      <x:c r="P75" t="str">
        <x:f>IF(B75="","",IF(O75="FX HOLD","USD normalized input is provisional; FX approval missing",IF(O75="SOURCE REVIEW","Missing source currency mapping",IF(O75="APPROVED","Approval metadata supplied; source rates not independently audited",""))))</x:f>
      </x:c>
      <x:c r="T75" s="50"/>
      <x:c r="U75" t="str">
        <x:f>IF(B75="","",IF(COUNTIFS('Invoice Register'!$L$2:$L$501,"&lt;&gt;",'Invoice Register'!$L$2:$L$501,"&lt;&gt;VALID",'Invoice Register'!$L$2:$L$501,"&lt;&gt;CANCELLED",'Invoice Register'!$L$2:$L$501,"&lt;&gt;FX HOLD",'Invoice Register'!$M$2:$M$501,A75)&gt;0,"SUBTOTAL; EXCLUDED RECORDS - SEE MANAGEMENT REPORT",IF(B75="","",IF(ISNUMBER(H75),"DATED ERP INVOICES",IF(ISNUMBER(T75),"HISTORICAL DATES REQUIRED",H75)))))</x:f>
      </x:c>
      <x:c r="V75" s="49" t="str">
        <x:f>IF(B75="","",IF(COUNTIF('Invoice Register'!$M$2:$M$501,A75)=0,"INVOICE DATA REQUIRED",SUMIFS('Invoice Register'!$H$2:$H$501,'Invoice Register'!$M$2:$M$501,A75,'Invoice Register'!$G$2:$G$501,"USD",'Invoice Register'!$B$2:$B$501,B75,'Invoice Register'!$L$2:$L$501,"VALID")+SUMIFS('Invoice Register'!$H$2:$H$501,'Invoice Register'!$M$2:$M$501,A75,'Invoice Register'!$G$2:$G$501,"USD",'Invoice Register'!$B$2:$B$501,B75,'Invoice Register'!$L$2:$L$501,"FX HOLD")))</x:f>
      </x:c>
      <x:c r="W75" s="49" t="str">
        <x:f>IF(B75="","",IF(COUNTIF('Invoice Register'!$M$2:$M$501,A75)=0,"INVOICE DATA REQUIRED",SUMIFS('Invoice Register'!$H$2:$H$501,'Invoice Register'!$M$2:$M$501,A75,'Invoice Register'!$G$2:$G$501,"MXN",'Invoice Register'!$B$2:$B$501,B75,'Invoice Register'!$L$2:$L$501,"VALID")+SUMIFS('Invoice Register'!$H$2:$H$501,'Invoice Register'!$M$2:$M$501,A75,'Invoice Register'!$G$2:$G$501,"MXN",'Invoice Register'!$B$2:$B$501,B75,'Invoice Register'!$L$2:$L$501,"FX HOLD")))</x:f>
      </x:c>
    </x:row>
    <x:row r="76">
      <x:c r="H76" t="str">
        <x:f>IF(B76="","",IF(COUNTIF('Invoice Register'!$M$2:$M$501,A76)=0,"INVOICE DATA REQUIRED",SUMIFS('Invoice Register'!$N$2:$N$501,'Invoice Register'!$M$2:$M$501,A76,'Invoice Register'!$B$2:$B$501,B76)))</x:f>
      </x:c>
      <x:c r="N76" t="str">
        <x:f>IF(B76="","",IF(COUNTIF('ERP Snapshot'!$A$2:$A$101,B76)=0,"UNKNOWN",IF(COUNTIFS('ERP Snapshot'!$A$2:$A$101,B76,'ERP Snapshot'!$D$2:$D$101,"MXN")&gt;0,"MXN","USD")))</x:f>
      </x:c>
      <x:c r="O76" t="str">
        <x:f>IF(B76="","",IF(N76="UNKNOWN","SOURCE REVIEW",IF(N76="USD","NOT REQUIRED",IF(AND(Settings!$B$8="APPROVED",Settings!$B$9&lt;&gt;"",Settings!$B$10&lt;&gt;"",Settings!$B$2&gt;0),"APPROVED","FX HOLD"))))</x:f>
      </x:c>
      <x:c r="P76" t="str">
        <x:f>IF(B76="","",IF(O76="FX HOLD","USD normalized input is provisional; FX approval missing",IF(O76="SOURCE REVIEW","Missing source currency mapping",IF(O76="APPROVED","Approval metadata supplied; source rates not independently audited",""))))</x:f>
      </x:c>
      <x:c r="T76" s="50"/>
      <x:c r="U76" t="str">
        <x:f>IF(B76="","",IF(COUNTIFS('Invoice Register'!$L$2:$L$501,"&lt;&gt;",'Invoice Register'!$L$2:$L$501,"&lt;&gt;VALID",'Invoice Register'!$L$2:$L$501,"&lt;&gt;CANCELLED",'Invoice Register'!$L$2:$L$501,"&lt;&gt;FX HOLD",'Invoice Register'!$M$2:$M$501,A76)&gt;0,"SUBTOTAL; EXCLUDED RECORDS - SEE MANAGEMENT REPORT",IF(B76="","",IF(ISNUMBER(H76),"DATED ERP INVOICES",IF(ISNUMBER(T76),"HISTORICAL DATES REQUIRED",H76)))))</x:f>
      </x:c>
      <x:c r="V76" s="49" t="str">
        <x:f>IF(B76="","",IF(COUNTIF('Invoice Register'!$M$2:$M$501,A76)=0,"INVOICE DATA REQUIRED",SUMIFS('Invoice Register'!$H$2:$H$501,'Invoice Register'!$M$2:$M$501,A76,'Invoice Register'!$G$2:$G$501,"USD",'Invoice Register'!$B$2:$B$501,B76,'Invoice Register'!$L$2:$L$501,"VALID")+SUMIFS('Invoice Register'!$H$2:$H$501,'Invoice Register'!$M$2:$M$501,A76,'Invoice Register'!$G$2:$G$501,"USD",'Invoice Register'!$B$2:$B$501,B76,'Invoice Register'!$L$2:$L$501,"FX HOLD")))</x:f>
      </x:c>
      <x:c r="W76" s="49" t="str">
        <x:f>IF(B76="","",IF(COUNTIF('Invoice Register'!$M$2:$M$501,A76)=0,"INVOICE DATA REQUIRED",SUMIFS('Invoice Register'!$H$2:$H$501,'Invoice Register'!$M$2:$M$501,A76,'Invoice Register'!$G$2:$G$501,"MXN",'Invoice Register'!$B$2:$B$501,B76,'Invoice Register'!$L$2:$L$501,"VALID")+SUMIFS('Invoice Register'!$H$2:$H$501,'Invoice Register'!$M$2:$M$501,A76,'Invoice Register'!$G$2:$G$501,"MXN",'Invoice Register'!$B$2:$B$501,B76,'Invoice Register'!$L$2:$L$501,"FX HOLD")))</x:f>
      </x:c>
    </x:row>
    <x:row r="77">
      <x:c r="H77" t="str">
        <x:f>IF(B77="","",IF(COUNTIF('Invoice Register'!$M$2:$M$501,A77)=0,"INVOICE DATA REQUIRED",SUMIFS('Invoice Register'!$N$2:$N$501,'Invoice Register'!$M$2:$M$501,A77,'Invoice Register'!$B$2:$B$501,B77)))</x:f>
      </x:c>
      <x:c r="N77" t="str">
        <x:f>IF(B77="","",IF(COUNTIF('ERP Snapshot'!$A$2:$A$101,B77)=0,"UNKNOWN",IF(COUNTIFS('ERP Snapshot'!$A$2:$A$101,B77,'ERP Snapshot'!$D$2:$D$101,"MXN")&gt;0,"MXN","USD")))</x:f>
      </x:c>
      <x:c r="O77" t="str">
        <x:f>IF(B77="","",IF(N77="UNKNOWN","SOURCE REVIEW",IF(N77="USD","NOT REQUIRED",IF(AND(Settings!$B$8="APPROVED",Settings!$B$9&lt;&gt;"",Settings!$B$10&lt;&gt;"",Settings!$B$2&gt;0),"APPROVED","FX HOLD"))))</x:f>
      </x:c>
      <x:c r="P77" t="str">
        <x:f>IF(B77="","",IF(O77="FX HOLD","USD normalized input is provisional; FX approval missing",IF(O77="SOURCE REVIEW","Missing source currency mapping",IF(O77="APPROVED","Approval metadata supplied; source rates not independently audited",""))))</x:f>
      </x:c>
      <x:c r="T77" s="50"/>
      <x:c r="U77" t="str">
        <x:f>IF(B77="","",IF(COUNTIFS('Invoice Register'!$L$2:$L$501,"&lt;&gt;",'Invoice Register'!$L$2:$L$501,"&lt;&gt;VALID",'Invoice Register'!$L$2:$L$501,"&lt;&gt;CANCELLED",'Invoice Register'!$L$2:$L$501,"&lt;&gt;FX HOLD",'Invoice Register'!$M$2:$M$501,A77)&gt;0,"SUBTOTAL; EXCLUDED RECORDS - SEE MANAGEMENT REPORT",IF(B77="","",IF(ISNUMBER(H77),"DATED ERP INVOICES",IF(ISNUMBER(T77),"HISTORICAL DATES REQUIRED",H77)))))</x:f>
      </x:c>
      <x:c r="V77" s="49" t="str">
        <x:f>IF(B77="","",IF(COUNTIF('Invoice Register'!$M$2:$M$501,A77)=0,"INVOICE DATA REQUIRED",SUMIFS('Invoice Register'!$H$2:$H$501,'Invoice Register'!$M$2:$M$501,A77,'Invoice Register'!$G$2:$G$501,"USD",'Invoice Register'!$B$2:$B$501,B77,'Invoice Register'!$L$2:$L$501,"VALID")+SUMIFS('Invoice Register'!$H$2:$H$501,'Invoice Register'!$M$2:$M$501,A77,'Invoice Register'!$G$2:$G$501,"USD",'Invoice Register'!$B$2:$B$501,B77,'Invoice Register'!$L$2:$L$501,"FX HOLD")))</x:f>
      </x:c>
      <x:c r="W77" s="49" t="str">
        <x:f>IF(B77="","",IF(COUNTIF('Invoice Register'!$M$2:$M$501,A77)=0,"INVOICE DATA REQUIRED",SUMIFS('Invoice Register'!$H$2:$H$501,'Invoice Register'!$M$2:$M$501,A77,'Invoice Register'!$G$2:$G$501,"MXN",'Invoice Register'!$B$2:$B$501,B77,'Invoice Register'!$L$2:$L$501,"VALID")+SUMIFS('Invoice Register'!$H$2:$H$501,'Invoice Register'!$M$2:$M$501,A77,'Invoice Register'!$G$2:$G$501,"MXN",'Invoice Register'!$B$2:$B$501,B77,'Invoice Register'!$L$2:$L$501,"FX HOLD")))</x:f>
      </x:c>
    </x:row>
    <x:row r="78">
      <x:c r="H78" t="str">
        <x:f>IF(B78="","",IF(COUNTIF('Invoice Register'!$M$2:$M$501,A78)=0,"INVOICE DATA REQUIRED",SUMIFS('Invoice Register'!$N$2:$N$501,'Invoice Register'!$M$2:$M$501,A78,'Invoice Register'!$B$2:$B$501,B78)))</x:f>
      </x:c>
      <x:c r="N78" t="str">
        <x:f>IF(B78="","",IF(COUNTIF('ERP Snapshot'!$A$2:$A$101,B78)=0,"UNKNOWN",IF(COUNTIFS('ERP Snapshot'!$A$2:$A$101,B78,'ERP Snapshot'!$D$2:$D$101,"MXN")&gt;0,"MXN","USD")))</x:f>
      </x:c>
      <x:c r="O78" t="str">
        <x:f>IF(B78="","",IF(N78="UNKNOWN","SOURCE REVIEW",IF(N78="USD","NOT REQUIRED",IF(AND(Settings!$B$8="APPROVED",Settings!$B$9&lt;&gt;"",Settings!$B$10&lt;&gt;"",Settings!$B$2&gt;0),"APPROVED","FX HOLD"))))</x:f>
      </x:c>
      <x:c r="P78" t="str">
        <x:f>IF(B78="","",IF(O78="FX HOLD","USD normalized input is provisional; FX approval missing",IF(O78="SOURCE REVIEW","Missing source currency mapping",IF(O78="APPROVED","Approval metadata supplied; source rates not independently audited",""))))</x:f>
      </x:c>
      <x:c r="T78" s="50"/>
      <x:c r="U78" t="str">
        <x:f>IF(B78="","",IF(COUNTIFS('Invoice Register'!$L$2:$L$501,"&lt;&gt;",'Invoice Register'!$L$2:$L$501,"&lt;&gt;VALID",'Invoice Register'!$L$2:$L$501,"&lt;&gt;CANCELLED",'Invoice Register'!$L$2:$L$501,"&lt;&gt;FX HOLD",'Invoice Register'!$M$2:$M$501,A78)&gt;0,"SUBTOTAL; EXCLUDED RECORDS - SEE MANAGEMENT REPORT",IF(B78="","",IF(ISNUMBER(H78),"DATED ERP INVOICES",IF(ISNUMBER(T78),"HISTORICAL DATES REQUIRED",H78)))))</x:f>
      </x:c>
      <x:c r="V78" s="49" t="str">
        <x:f>IF(B78="","",IF(COUNTIF('Invoice Register'!$M$2:$M$501,A78)=0,"INVOICE DATA REQUIRED",SUMIFS('Invoice Register'!$H$2:$H$501,'Invoice Register'!$M$2:$M$501,A78,'Invoice Register'!$G$2:$G$501,"USD",'Invoice Register'!$B$2:$B$501,B78,'Invoice Register'!$L$2:$L$501,"VALID")+SUMIFS('Invoice Register'!$H$2:$H$501,'Invoice Register'!$M$2:$M$501,A78,'Invoice Register'!$G$2:$G$501,"USD",'Invoice Register'!$B$2:$B$501,B78,'Invoice Register'!$L$2:$L$501,"FX HOLD")))</x:f>
      </x:c>
      <x:c r="W78" s="49" t="str">
        <x:f>IF(B78="","",IF(COUNTIF('Invoice Register'!$M$2:$M$501,A78)=0,"INVOICE DATA REQUIRED",SUMIFS('Invoice Register'!$H$2:$H$501,'Invoice Register'!$M$2:$M$501,A78,'Invoice Register'!$G$2:$G$501,"MXN",'Invoice Register'!$B$2:$B$501,B78,'Invoice Register'!$L$2:$L$501,"VALID")+SUMIFS('Invoice Register'!$H$2:$H$501,'Invoice Register'!$M$2:$M$501,A78,'Invoice Register'!$G$2:$G$501,"MXN",'Invoice Register'!$B$2:$B$501,B78,'Invoice Register'!$L$2:$L$501,"FX HOLD")))</x:f>
      </x:c>
    </x:row>
    <x:row r="79">
      <x:c r="H79" t="str">
        <x:f>IF(B79="","",IF(COUNTIF('Invoice Register'!$M$2:$M$501,A79)=0,"INVOICE DATA REQUIRED",SUMIFS('Invoice Register'!$N$2:$N$501,'Invoice Register'!$M$2:$M$501,A79,'Invoice Register'!$B$2:$B$501,B79)))</x:f>
      </x:c>
      <x:c r="N79" t="str">
        <x:f>IF(B79="","",IF(COUNTIF('ERP Snapshot'!$A$2:$A$101,B79)=0,"UNKNOWN",IF(COUNTIFS('ERP Snapshot'!$A$2:$A$101,B79,'ERP Snapshot'!$D$2:$D$101,"MXN")&gt;0,"MXN","USD")))</x:f>
      </x:c>
      <x:c r="O79" t="str">
        <x:f>IF(B79="","",IF(N79="UNKNOWN","SOURCE REVIEW",IF(N79="USD","NOT REQUIRED",IF(AND(Settings!$B$8="APPROVED",Settings!$B$9&lt;&gt;"",Settings!$B$10&lt;&gt;"",Settings!$B$2&gt;0),"APPROVED","FX HOLD"))))</x:f>
      </x:c>
      <x:c r="P79" t="str">
        <x:f>IF(B79="","",IF(O79="FX HOLD","USD normalized input is provisional; FX approval missing",IF(O79="SOURCE REVIEW","Missing source currency mapping",IF(O79="APPROVED","Approval metadata supplied; source rates not independently audited",""))))</x:f>
      </x:c>
      <x:c r="T79" s="50"/>
      <x:c r="U79" t="str">
        <x:f>IF(B79="","",IF(COUNTIFS('Invoice Register'!$L$2:$L$501,"&lt;&gt;",'Invoice Register'!$L$2:$L$501,"&lt;&gt;VALID",'Invoice Register'!$L$2:$L$501,"&lt;&gt;CANCELLED",'Invoice Register'!$L$2:$L$501,"&lt;&gt;FX HOLD",'Invoice Register'!$M$2:$M$501,A79)&gt;0,"SUBTOTAL; EXCLUDED RECORDS - SEE MANAGEMENT REPORT",IF(B79="","",IF(ISNUMBER(H79),"DATED ERP INVOICES",IF(ISNUMBER(T79),"HISTORICAL DATES REQUIRED",H79)))))</x:f>
      </x:c>
      <x:c r="V79" s="49" t="str">
        <x:f>IF(B79="","",IF(COUNTIF('Invoice Register'!$M$2:$M$501,A79)=0,"INVOICE DATA REQUIRED",SUMIFS('Invoice Register'!$H$2:$H$501,'Invoice Register'!$M$2:$M$501,A79,'Invoice Register'!$G$2:$G$501,"USD",'Invoice Register'!$B$2:$B$501,B79,'Invoice Register'!$L$2:$L$501,"VALID")+SUMIFS('Invoice Register'!$H$2:$H$501,'Invoice Register'!$M$2:$M$501,A79,'Invoice Register'!$G$2:$G$501,"USD",'Invoice Register'!$B$2:$B$501,B79,'Invoice Register'!$L$2:$L$501,"FX HOLD")))</x:f>
      </x:c>
      <x:c r="W79" s="49" t="str">
        <x:f>IF(B79="","",IF(COUNTIF('Invoice Register'!$M$2:$M$501,A79)=0,"INVOICE DATA REQUIRED",SUMIFS('Invoice Register'!$H$2:$H$501,'Invoice Register'!$M$2:$M$501,A79,'Invoice Register'!$G$2:$G$501,"MXN",'Invoice Register'!$B$2:$B$501,B79,'Invoice Register'!$L$2:$L$501,"VALID")+SUMIFS('Invoice Register'!$H$2:$H$501,'Invoice Register'!$M$2:$M$501,A79,'Invoice Register'!$G$2:$G$501,"MXN",'Invoice Register'!$B$2:$B$501,B79,'Invoice Register'!$L$2:$L$501,"FX HOLD")))</x:f>
      </x:c>
    </x:row>
    <x:row r="80">
      <x:c r="H80" t="str">
        <x:f>IF(B80="","",IF(COUNTIF('Invoice Register'!$M$2:$M$501,A80)=0,"INVOICE DATA REQUIRED",SUMIFS('Invoice Register'!$N$2:$N$501,'Invoice Register'!$M$2:$M$501,A80,'Invoice Register'!$B$2:$B$501,B80)))</x:f>
      </x:c>
      <x:c r="N80" t="str">
        <x:f>IF(B80="","",IF(COUNTIF('ERP Snapshot'!$A$2:$A$101,B80)=0,"UNKNOWN",IF(COUNTIFS('ERP Snapshot'!$A$2:$A$101,B80,'ERP Snapshot'!$D$2:$D$101,"MXN")&gt;0,"MXN","USD")))</x:f>
      </x:c>
      <x:c r="O80" t="str">
        <x:f>IF(B80="","",IF(N80="UNKNOWN","SOURCE REVIEW",IF(N80="USD","NOT REQUIRED",IF(AND(Settings!$B$8="APPROVED",Settings!$B$9&lt;&gt;"",Settings!$B$10&lt;&gt;"",Settings!$B$2&gt;0),"APPROVED","FX HOLD"))))</x:f>
      </x:c>
      <x:c r="P80" t="str">
        <x:f>IF(B80="","",IF(O80="FX HOLD","USD normalized input is provisional; FX approval missing",IF(O80="SOURCE REVIEW","Missing source currency mapping",IF(O80="APPROVED","Approval metadata supplied; source rates not independently audited",""))))</x:f>
      </x:c>
      <x:c r="T80" s="50"/>
      <x:c r="U80" t="str">
        <x:f>IF(B80="","",IF(COUNTIFS('Invoice Register'!$L$2:$L$501,"&lt;&gt;",'Invoice Register'!$L$2:$L$501,"&lt;&gt;VALID",'Invoice Register'!$L$2:$L$501,"&lt;&gt;CANCELLED",'Invoice Register'!$L$2:$L$501,"&lt;&gt;FX HOLD",'Invoice Register'!$M$2:$M$501,A80)&gt;0,"SUBTOTAL; EXCLUDED RECORDS - SEE MANAGEMENT REPORT",IF(B80="","",IF(ISNUMBER(H80),"DATED ERP INVOICES",IF(ISNUMBER(T80),"HISTORICAL DATES REQUIRED",H80)))))</x:f>
      </x:c>
      <x:c r="V80" s="49" t="str">
        <x:f>IF(B80="","",IF(COUNTIF('Invoice Register'!$M$2:$M$501,A80)=0,"INVOICE DATA REQUIRED",SUMIFS('Invoice Register'!$H$2:$H$501,'Invoice Register'!$M$2:$M$501,A80,'Invoice Register'!$G$2:$G$501,"USD",'Invoice Register'!$B$2:$B$501,B80,'Invoice Register'!$L$2:$L$501,"VALID")+SUMIFS('Invoice Register'!$H$2:$H$501,'Invoice Register'!$M$2:$M$501,A80,'Invoice Register'!$G$2:$G$501,"USD",'Invoice Register'!$B$2:$B$501,B80,'Invoice Register'!$L$2:$L$501,"FX HOLD")))</x:f>
      </x:c>
      <x:c r="W80" s="49" t="str">
        <x:f>IF(B80="","",IF(COUNTIF('Invoice Register'!$M$2:$M$501,A80)=0,"INVOICE DATA REQUIRED",SUMIFS('Invoice Register'!$H$2:$H$501,'Invoice Register'!$M$2:$M$501,A80,'Invoice Register'!$G$2:$G$501,"MXN",'Invoice Register'!$B$2:$B$501,B80,'Invoice Register'!$L$2:$L$501,"VALID")+SUMIFS('Invoice Register'!$H$2:$H$501,'Invoice Register'!$M$2:$M$501,A80,'Invoice Register'!$G$2:$G$501,"MXN",'Invoice Register'!$B$2:$B$501,B80,'Invoice Register'!$L$2:$L$501,"FX HOLD")))</x:f>
      </x:c>
    </x:row>
    <x:row r="81">
      <x:c r="H81" t="str">
        <x:f>IF(B81="","",IF(COUNTIF('Invoice Register'!$M$2:$M$501,A81)=0,"INVOICE DATA REQUIRED",SUMIFS('Invoice Register'!$N$2:$N$501,'Invoice Register'!$M$2:$M$501,A81,'Invoice Register'!$B$2:$B$501,B81)))</x:f>
      </x:c>
      <x:c r="N81" t="str">
        <x:f>IF(B81="","",IF(COUNTIF('ERP Snapshot'!$A$2:$A$101,B81)=0,"UNKNOWN",IF(COUNTIFS('ERP Snapshot'!$A$2:$A$101,B81,'ERP Snapshot'!$D$2:$D$101,"MXN")&gt;0,"MXN","USD")))</x:f>
      </x:c>
      <x:c r="O81" t="str">
        <x:f>IF(B81="","",IF(N81="UNKNOWN","SOURCE REVIEW",IF(N81="USD","NOT REQUIRED",IF(AND(Settings!$B$8="APPROVED",Settings!$B$9&lt;&gt;"",Settings!$B$10&lt;&gt;"",Settings!$B$2&gt;0),"APPROVED","FX HOLD"))))</x:f>
      </x:c>
      <x:c r="P81" t="str">
        <x:f>IF(B81="","",IF(O81="FX HOLD","USD normalized input is provisional; FX approval missing",IF(O81="SOURCE REVIEW","Missing source currency mapping",IF(O81="APPROVED","Approval metadata supplied; source rates not independently audited",""))))</x:f>
      </x:c>
      <x:c r="T81" s="50"/>
      <x:c r="U81" t="str">
        <x:f>IF(B81="","",IF(COUNTIFS('Invoice Register'!$L$2:$L$501,"&lt;&gt;",'Invoice Register'!$L$2:$L$501,"&lt;&gt;VALID",'Invoice Register'!$L$2:$L$501,"&lt;&gt;CANCELLED",'Invoice Register'!$L$2:$L$501,"&lt;&gt;FX HOLD",'Invoice Register'!$M$2:$M$501,A81)&gt;0,"SUBTOTAL; EXCLUDED RECORDS - SEE MANAGEMENT REPORT",IF(B81="","",IF(ISNUMBER(H81),"DATED ERP INVOICES",IF(ISNUMBER(T81),"HISTORICAL DATES REQUIRED",H81)))))</x:f>
      </x:c>
      <x:c r="V81" s="49" t="str">
        <x:f>IF(B81="","",IF(COUNTIF('Invoice Register'!$M$2:$M$501,A81)=0,"INVOICE DATA REQUIRED",SUMIFS('Invoice Register'!$H$2:$H$501,'Invoice Register'!$M$2:$M$501,A81,'Invoice Register'!$G$2:$G$501,"USD",'Invoice Register'!$B$2:$B$501,B81,'Invoice Register'!$L$2:$L$501,"VALID")+SUMIFS('Invoice Register'!$H$2:$H$501,'Invoice Register'!$M$2:$M$501,A81,'Invoice Register'!$G$2:$G$501,"USD",'Invoice Register'!$B$2:$B$501,B81,'Invoice Register'!$L$2:$L$501,"FX HOLD")))</x:f>
      </x:c>
      <x:c r="W81" s="49" t="str">
        <x:f>IF(B81="","",IF(COUNTIF('Invoice Register'!$M$2:$M$501,A81)=0,"INVOICE DATA REQUIRED",SUMIFS('Invoice Register'!$H$2:$H$501,'Invoice Register'!$M$2:$M$501,A81,'Invoice Register'!$G$2:$G$501,"MXN",'Invoice Register'!$B$2:$B$501,B81,'Invoice Register'!$L$2:$L$501,"VALID")+SUMIFS('Invoice Register'!$H$2:$H$501,'Invoice Register'!$M$2:$M$501,A81,'Invoice Register'!$G$2:$G$501,"MXN",'Invoice Register'!$B$2:$B$501,B81,'Invoice Register'!$L$2:$L$501,"FX HOLD")))</x:f>
      </x:c>
    </x:row>
    <x:row r="82">
      <x:c r="H82" t="str">
        <x:f>IF(B82="","",IF(COUNTIF('Invoice Register'!$M$2:$M$501,A82)=0,"INVOICE DATA REQUIRED",SUMIFS('Invoice Register'!$N$2:$N$501,'Invoice Register'!$M$2:$M$501,A82,'Invoice Register'!$B$2:$B$501,B82)))</x:f>
      </x:c>
      <x:c r="N82" t="str">
        <x:f>IF(B82="","",IF(COUNTIF('ERP Snapshot'!$A$2:$A$101,B82)=0,"UNKNOWN",IF(COUNTIFS('ERP Snapshot'!$A$2:$A$101,B82,'ERP Snapshot'!$D$2:$D$101,"MXN")&gt;0,"MXN","USD")))</x:f>
      </x:c>
      <x:c r="O82" t="str">
        <x:f>IF(B82="","",IF(N82="UNKNOWN","SOURCE REVIEW",IF(N82="USD","NOT REQUIRED",IF(AND(Settings!$B$8="APPROVED",Settings!$B$9&lt;&gt;"",Settings!$B$10&lt;&gt;"",Settings!$B$2&gt;0),"APPROVED","FX HOLD"))))</x:f>
      </x:c>
      <x:c r="P82" t="str">
        <x:f>IF(B82="","",IF(O82="FX HOLD","USD normalized input is provisional; FX approval missing",IF(O82="SOURCE REVIEW","Missing source currency mapping",IF(O82="APPROVED","Approval metadata supplied; source rates not independently audited",""))))</x:f>
      </x:c>
      <x:c r="T82" s="50"/>
      <x:c r="U82" t="str">
        <x:f>IF(B82="","",IF(COUNTIFS('Invoice Register'!$L$2:$L$501,"&lt;&gt;",'Invoice Register'!$L$2:$L$501,"&lt;&gt;VALID",'Invoice Register'!$L$2:$L$501,"&lt;&gt;CANCELLED",'Invoice Register'!$L$2:$L$501,"&lt;&gt;FX HOLD",'Invoice Register'!$M$2:$M$501,A82)&gt;0,"SUBTOTAL; EXCLUDED RECORDS - SEE MANAGEMENT REPORT",IF(B82="","",IF(ISNUMBER(H82),"DATED ERP INVOICES",IF(ISNUMBER(T82),"HISTORICAL DATES REQUIRED",H82)))))</x:f>
      </x:c>
      <x:c r="V82" s="49" t="str">
        <x:f>IF(B82="","",IF(COUNTIF('Invoice Register'!$M$2:$M$501,A82)=0,"INVOICE DATA REQUIRED",SUMIFS('Invoice Register'!$H$2:$H$501,'Invoice Register'!$M$2:$M$501,A82,'Invoice Register'!$G$2:$G$501,"USD",'Invoice Register'!$B$2:$B$501,B82,'Invoice Register'!$L$2:$L$501,"VALID")+SUMIFS('Invoice Register'!$H$2:$H$501,'Invoice Register'!$M$2:$M$501,A82,'Invoice Register'!$G$2:$G$501,"USD",'Invoice Register'!$B$2:$B$501,B82,'Invoice Register'!$L$2:$L$501,"FX HOLD")))</x:f>
      </x:c>
      <x:c r="W82" s="49" t="str">
        <x:f>IF(B82="","",IF(COUNTIF('Invoice Register'!$M$2:$M$501,A82)=0,"INVOICE DATA REQUIRED",SUMIFS('Invoice Register'!$H$2:$H$501,'Invoice Register'!$M$2:$M$501,A82,'Invoice Register'!$G$2:$G$501,"MXN",'Invoice Register'!$B$2:$B$501,B82,'Invoice Register'!$L$2:$L$501,"VALID")+SUMIFS('Invoice Register'!$H$2:$H$501,'Invoice Register'!$M$2:$M$501,A82,'Invoice Register'!$G$2:$G$501,"MXN",'Invoice Register'!$B$2:$B$501,B82,'Invoice Register'!$L$2:$L$501,"FX HOLD")))</x:f>
      </x:c>
    </x:row>
    <x:row r="83">
      <x:c r="H83" t="str">
        <x:f>IF(B83="","",IF(COUNTIF('Invoice Register'!$M$2:$M$501,A83)=0,"INVOICE DATA REQUIRED",SUMIFS('Invoice Register'!$N$2:$N$501,'Invoice Register'!$M$2:$M$501,A83,'Invoice Register'!$B$2:$B$501,B83)))</x:f>
      </x:c>
      <x:c r="N83" t="str">
        <x:f>IF(B83="","",IF(COUNTIF('ERP Snapshot'!$A$2:$A$101,B83)=0,"UNKNOWN",IF(COUNTIFS('ERP Snapshot'!$A$2:$A$101,B83,'ERP Snapshot'!$D$2:$D$101,"MXN")&gt;0,"MXN","USD")))</x:f>
      </x:c>
      <x:c r="O83" t="str">
        <x:f>IF(B83="","",IF(N83="UNKNOWN","SOURCE REVIEW",IF(N83="USD","NOT REQUIRED",IF(AND(Settings!$B$8="APPROVED",Settings!$B$9&lt;&gt;"",Settings!$B$10&lt;&gt;"",Settings!$B$2&gt;0),"APPROVED","FX HOLD"))))</x:f>
      </x:c>
      <x:c r="P83" t="str">
        <x:f>IF(B83="","",IF(O83="FX HOLD","USD normalized input is provisional; FX approval missing",IF(O83="SOURCE REVIEW","Missing source currency mapping",IF(O83="APPROVED","Approval metadata supplied; source rates not independently audited",""))))</x:f>
      </x:c>
      <x:c r="T83" s="50"/>
      <x:c r="U83" t="str">
        <x:f>IF(B83="","",IF(COUNTIFS('Invoice Register'!$L$2:$L$501,"&lt;&gt;",'Invoice Register'!$L$2:$L$501,"&lt;&gt;VALID",'Invoice Register'!$L$2:$L$501,"&lt;&gt;CANCELLED",'Invoice Register'!$L$2:$L$501,"&lt;&gt;FX HOLD",'Invoice Register'!$M$2:$M$501,A83)&gt;0,"SUBTOTAL; EXCLUDED RECORDS - SEE MANAGEMENT REPORT",IF(B83="","",IF(ISNUMBER(H83),"DATED ERP INVOICES",IF(ISNUMBER(T83),"HISTORICAL DATES REQUIRED",H83)))))</x:f>
      </x:c>
      <x:c r="V83" s="49" t="str">
        <x:f>IF(B83="","",IF(COUNTIF('Invoice Register'!$M$2:$M$501,A83)=0,"INVOICE DATA REQUIRED",SUMIFS('Invoice Register'!$H$2:$H$501,'Invoice Register'!$M$2:$M$501,A83,'Invoice Register'!$G$2:$G$501,"USD",'Invoice Register'!$B$2:$B$501,B83,'Invoice Register'!$L$2:$L$501,"VALID")+SUMIFS('Invoice Register'!$H$2:$H$501,'Invoice Register'!$M$2:$M$501,A83,'Invoice Register'!$G$2:$G$501,"USD",'Invoice Register'!$B$2:$B$501,B83,'Invoice Register'!$L$2:$L$501,"FX HOLD")))</x:f>
      </x:c>
      <x:c r="W83" s="49" t="str">
        <x:f>IF(B83="","",IF(COUNTIF('Invoice Register'!$M$2:$M$501,A83)=0,"INVOICE DATA REQUIRED",SUMIFS('Invoice Register'!$H$2:$H$501,'Invoice Register'!$M$2:$M$501,A83,'Invoice Register'!$G$2:$G$501,"MXN",'Invoice Register'!$B$2:$B$501,B83,'Invoice Register'!$L$2:$L$501,"VALID")+SUMIFS('Invoice Register'!$H$2:$H$501,'Invoice Register'!$M$2:$M$501,A83,'Invoice Register'!$G$2:$G$501,"MXN",'Invoice Register'!$B$2:$B$501,B83,'Invoice Register'!$L$2:$L$501,"FX HOLD")))</x:f>
      </x:c>
    </x:row>
    <x:row r="84">
      <x:c r="H84" t="str">
        <x:f>IF(B84="","",IF(COUNTIF('Invoice Register'!$M$2:$M$501,A84)=0,"INVOICE DATA REQUIRED",SUMIFS('Invoice Register'!$N$2:$N$501,'Invoice Register'!$M$2:$M$501,A84,'Invoice Register'!$B$2:$B$501,B84)))</x:f>
      </x:c>
      <x:c r="N84" t="str">
        <x:f>IF(B84="","",IF(COUNTIF('ERP Snapshot'!$A$2:$A$101,B84)=0,"UNKNOWN",IF(COUNTIFS('ERP Snapshot'!$A$2:$A$101,B84,'ERP Snapshot'!$D$2:$D$101,"MXN")&gt;0,"MXN","USD")))</x:f>
      </x:c>
      <x:c r="O84" t="str">
        <x:f>IF(B84="","",IF(N84="UNKNOWN","SOURCE REVIEW",IF(N84="USD","NOT REQUIRED",IF(AND(Settings!$B$8="APPROVED",Settings!$B$9&lt;&gt;"",Settings!$B$10&lt;&gt;"",Settings!$B$2&gt;0),"APPROVED","FX HOLD"))))</x:f>
      </x:c>
      <x:c r="P84" t="str">
        <x:f>IF(B84="","",IF(O84="FX HOLD","USD normalized input is provisional; FX approval missing",IF(O84="SOURCE REVIEW","Missing source currency mapping",IF(O84="APPROVED","Approval metadata supplied; source rates not independently audited",""))))</x:f>
      </x:c>
      <x:c r="T84" s="50"/>
      <x:c r="U84" t="str">
        <x:f>IF(B84="","",IF(COUNTIFS('Invoice Register'!$L$2:$L$501,"&lt;&gt;",'Invoice Register'!$L$2:$L$501,"&lt;&gt;VALID",'Invoice Register'!$L$2:$L$501,"&lt;&gt;CANCELLED",'Invoice Register'!$L$2:$L$501,"&lt;&gt;FX HOLD",'Invoice Register'!$M$2:$M$501,A84)&gt;0,"SUBTOTAL; EXCLUDED RECORDS - SEE MANAGEMENT REPORT",IF(B84="","",IF(ISNUMBER(H84),"DATED ERP INVOICES",IF(ISNUMBER(T84),"HISTORICAL DATES REQUIRED",H84)))))</x:f>
      </x:c>
      <x:c r="V84" s="49" t="str">
        <x:f>IF(B84="","",IF(COUNTIF('Invoice Register'!$M$2:$M$501,A84)=0,"INVOICE DATA REQUIRED",SUMIFS('Invoice Register'!$H$2:$H$501,'Invoice Register'!$M$2:$M$501,A84,'Invoice Register'!$G$2:$G$501,"USD",'Invoice Register'!$B$2:$B$501,B84,'Invoice Register'!$L$2:$L$501,"VALID")+SUMIFS('Invoice Register'!$H$2:$H$501,'Invoice Register'!$M$2:$M$501,A84,'Invoice Register'!$G$2:$G$501,"USD",'Invoice Register'!$B$2:$B$501,B84,'Invoice Register'!$L$2:$L$501,"FX HOLD")))</x:f>
      </x:c>
      <x:c r="W84" s="49" t="str">
        <x:f>IF(B84="","",IF(COUNTIF('Invoice Register'!$M$2:$M$501,A84)=0,"INVOICE DATA REQUIRED",SUMIFS('Invoice Register'!$H$2:$H$501,'Invoice Register'!$M$2:$M$501,A84,'Invoice Register'!$G$2:$G$501,"MXN",'Invoice Register'!$B$2:$B$501,B84,'Invoice Register'!$L$2:$L$501,"VALID")+SUMIFS('Invoice Register'!$H$2:$H$501,'Invoice Register'!$M$2:$M$501,A84,'Invoice Register'!$G$2:$G$501,"MXN",'Invoice Register'!$B$2:$B$501,B84,'Invoice Register'!$L$2:$L$501,"FX HOLD")))</x:f>
      </x:c>
    </x:row>
    <x:row r="85">
      <x:c r="H85" t="str">
        <x:f>IF(B85="","",IF(COUNTIF('Invoice Register'!$M$2:$M$501,A85)=0,"INVOICE DATA REQUIRED",SUMIFS('Invoice Register'!$N$2:$N$501,'Invoice Register'!$M$2:$M$501,A85,'Invoice Register'!$B$2:$B$501,B85)))</x:f>
      </x:c>
      <x:c r="N85" t="str">
        <x:f>IF(B85="","",IF(COUNTIF('ERP Snapshot'!$A$2:$A$101,B85)=0,"UNKNOWN",IF(COUNTIFS('ERP Snapshot'!$A$2:$A$101,B85,'ERP Snapshot'!$D$2:$D$101,"MXN")&gt;0,"MXN","USD")))</x:f>
      </x:c>
      <x:c r="O85" t="str">
        <x:f>IF(B85="","",IF(N85="UNKNOWN","SOURCE REVIEW",IF(N85="USD","NOT REQUIRED",IF(AND(Settings!$B$8="APPROVED",Settings!$B$9&lt;&gt;"",Settings!$B$10&lt;&gt;"",Settings!$B$2&gt;0),"APPROVED","FX HOLD"))))</x:f>
      </x:c>
      <x:c r="P85" t="str">
        <x:f>IF(B85="","",IF(O85="FX HOLD","USD normalized input is provisional; FX approval missing",IF(O85="SOURCE REVIEW","Missing source currency mapping",IF(O85="APPROVED","Approval metadata supplied; source rates not independently audited",""))))</x:f>
      </x:c>
      <x:c r="T85" s="50"/>
      <x:c r="U85" t="str">
        <x:f>IF(B85="","",IF(COUNTIFS('Invoice Register'!$L$2:$L$501,"&lt;&gt;",'Invoice Register'!$L$2:$L$501,"&lt;&gt;VALID",'Invoice Register'!$L$2:$L$501,"&lt;&gt;CANCELLED",'Invoice Register'!$L$2:$L$501,"&lt;&gt;FX HOLD",'Invoice Register'!$M$2:$M$501,A85)&gt;0,"SUBTOTAL; EXCLUDED RECORDS - SEE MANAGEMENT REPORT",IF(B85="","",IF(ISNUMBER(H85),"DATED ERP INVOICES",IF(ISNUMBER(T85),"HISTORICAL DATES REQUIRED",H85)))))</x:f>
      </x:c>
      <x:c r="V85" s="49" t="str">
        <x:f>IF(B85="","",IF(COUNTIF('Invoice Register'!$M$2:$M$501,A85)=0,"INVOICE DATA REQUIRED",SUMIFS('Invoice Register'!$H$2:$H$501,'Invoice Register'!$M$2:$M$501,A85,'Invoice Register'!$G$2:$G$501,"USD",'Invoice Register'!$B$2:$B$501,B85,'Invoice Register'!$L$2:$L$501,"VALID")+SUMIFS('Invoice Register'!$H$2:$H$501,'Invoice Register'!$M$2:$M$501,A85,'Invoice Register'!$G$2:$G$501,"USD",'Invoice Register'!$B$2:$B$501,B85,'Invoice Register'!$L$2:$L$501,"FX HOLD")))</x:f>
      </x:c>
      <x:c r="W85" s="49" t="str">
        <x:f>IF(B85="","",IF(COUNTIF('Invoice Register'!$M$2:$M$501,A85)=0,"INVOICE DATA REQUIRED",SUMIFS('Invoice Register'!$H$2:$H$501,'Invoice Register'!$M$2:$M$501,A85,'Invoice Register'!$G$2:$G$501,"MXN",'Invoice Register'!$B$2:$B$501,B85,'Invoice Register'!$L$2:$L$501,"VALID")+SUMIFS('Invoice Register'!$H$2:$H$501,'Invoice Register'!$M$2:$M$501,A85,'Invoice Register'!$G$2:$G$501,"MXN",'Invoice Register'!$B$2:$B$501,B85,'Invoice Register'!$L$2:$L$501,"FX HOLD")))</x:f>
      </x:c>
    </x:row>
    <x:row r="86">
      <x:c r="H86" t="str">
        <x:f>IF(B86="","",IF(COUNTIF('Invoice Register'!$M$2:$M$501,A86)=0,"INVOICE DATA REQUIRED",SUMIFS('Invoice Register'!$N$2:$N$501,'Invoice Register'!$M$2:$M$501,A86,'Invoice Register'!$B$2:$B$501,B86)))</x:f>
      </x:c>
      <x:c r="N86" t="str">
        <x:f>IF(B86="","",IF(COUNTIF('ERP Snapshot'!$A$2:$A$101,B86)=0,"UNKNOWN",IF(COUNTIFS('ERP Snapshot'!$A$2:$A$101,B86,'ERP Snapshot'!$D$2:$D$101,"MXN")&gt;0,"MXN","USD")))</x:f>
      </x:c>
      <x:c r="O86" t="str">
        <x:f>IF(B86="","",IF(N86="UNKNOWN","SOURCE REVIEW",IF(N86="USD","NOT REQUIRED",IF(AND(Settings!$B$8="APPROVED",Settings!$B$9&lt;&gt;"",Settings!$B$10&lt;&gt;"",Settings!$B$2&gt;0),"APPROVED","FX HOLD"))))</x:f>
      </x:c>
      <x:c r="P86" t="str">
        <x:f>IF(B86="","",IF(O86="FX HOLD","USD normalized input is provisional; FX approval missing",IF(O86="SOURCE REVIEW","Missing source currency mapping",IF(O86="APPROVED","Approval metadata supplied; source rates not independently audited",""))))</x:f>
      </x:c>
      <x:c r="T86" s="50"/>
      <x:c r="U86" t="str">
        <x:f>IF(B86="","",IF(COUNTIFS('Invoice Register'!$L$2:$L$501,"&lt;&gt;",'Invoice Register'!$L$2:$L$501,"&lt;&gt;VALID",'Invoice Register'!$L$2:$L$501,"&lt;&gt;CANCELLED",'Invoice Register'!$L$2:$L$501,"&lt;&gt;FX HOLD",'Invoice Register'!$M$2:$M$501,A86)&gt;0,"SUBTOTAL; EXCLUDED RECORDS - SEE MANAGEMENT REPORT",IF(B86="","",IF(ISNUMBER(H86),"DATED ERP INVOICES",IF(ISNUMBER(T86),"HISTORICAL DATES REQUIRED",H86)))))</x:f>
      </x:c>
      <x:c r="V86" s="49" t="str">
        <x:f>IF(B86="","",IF(COUNTIF('Invoice Register'!$M$2:$M$501,A86)=0,"INVOICE DATA REQUIRED",SUMIFS('Invoice Register'!$H$2:$H$501,'Invoice Register'!$M$2:$M$501,A86,'Invoice Register'!$G$2:$G$501,"USD",'Invoice Register'!$B$2:$B$501,B86,'Invoice Register'!$L$2:$L$501,"VALID")+SUMIFS('Invoice Register'!$H$2:$H$501,'Invoice Register'!$M$2:$M$501,A86,'Invoice Register'!$G$2:$G$501,"USD",'Invoice Register'!$B$2:$B$501,B86,'Invoice Register'!$L$2:$L$501,"FX HOLD")))</x:f>
      </x:c>
      <x:c r="W86" s="49" t="str">
        <x:f>IF(B86="","",IF(COUNTIF('Invoice Register'!$M$2:$M$501,A86)=0,"INVOICE DATA REQUIRED",SUMIFS('Invoice Register'!$H$2:$H$501,'Invoice Register'!$M$2:$M$501,A86,'Invoice Register'!$G$2:$G$501,"MXN",'Invoice Register'!$B$2:$B$501,B86,'Invoice Register'!$L$2:$L$501,"VALID")+SUMIFS('Invoice Register'!$H$2:$H$501,'Invoice Register'!$M$2:$M$501,A86,'Invoice Register'!$G$2:$G$501,"MXN",'Invoice Register'!$B$2:$B$501,B86,'Invoice Register'!$L$2:$L$501,"FX HOLD")))</x:f>
      </x:c>
    </x:row>
    <x:row r="87">
      <x:c r="H87" t="str">
        <x:f>IF(B87="","",IF(COUNTIF('Invoice Register'!$M$2:$M$501,A87)=0,"INVOICE DATA REQUIRED",SUMIFS('Invoice Register'!$N$2:$N$501,'Invoice Register'!$M$2:$M$501,A87,'Invoice Register'!$B$2:$B$501,B87)))</x:f>
      </x:c>
      <x:c r="N87" t="str">
        <x:f>IF(B87="","",IF(COUNTIF('ERP Snapshot'!$A$2:$A$101,B87)=0,"UNKNOWN",IF(COUNTIFS('ERP Snapshot'!$A$2:$A$101,B87,'ERP Snapshot'!$D$2:$D$101,"MXN")&gt;0,"MXN","USD")))</x:f>
      </x:c>
      <x:c r="O87" t="str">
        <x:f>IF(B87="","",IF(N87="UNKNOWN","SOURCE REVIEW",IF(N87="USD","NOT REQUIRED",IF(AND(Settings!$B$8="APPROVED",Settings!$B$9&lt;&gt;"",Settings!$B$10&lt;&gt;"",Settings!$B$2&gt;0),"APPROVED","FX HOLD"))))</x:f>
      </x:c>
      <x:c r="P87" t="str">
        <x:f>IF(B87="","",IF(O87="FX HOLD","USD normalized input is provisional; FX approval missing",IF(O87="SOURCE REVIEW","Missing source currency mapping",IF(O87="APPROVED","Approval metadata supplied; source rates not independently audited",""))))</x:f>
      </x:c>
      <x:c r="T87" s="50"/>
      <x:c r="U87" t="str">
        <x:f>IF(B87="","",IF(COUNTIFS('Invoice Register'!$L$2:$L$501,"&lt;&gt;",'Invoice Register'!$L$2:$L$501,"&lt;&gt;VALID",'Invoice Register'!$L$2:$L$501,"&lt;&gt;CANCELLED",'Invoice Register'!$L$2:$L$501,"&lt;&gt;FX HOLD",'Invoice Register'!$M$2:$M$501,A87)&gt;0,"SUBTOTAL; EXCLUDED RECORDS - SEE MANAGEMENT REPORT",IF(B87="","",IF(ISNUMBER(H87),"DATED ERP INVOICES",IF(ISNUMBER(T87),"HISTORICAL DATES REQUIRED",H87)))))</x:f>
      </x:c>
      <x:c r="V87" s="49" t="str">
        <x:f>IF(B87="","",IF(COUNTIF('Invoice Register'!$M$2:$M$501,A87)=0,"INVOICE DATA REQUIRED",SUMIFS('Invoice Register'!$H$2:$H$501,'Invoice Register'!$M$2:$M$501,A87,'Invoice Register'!$G$2:$G$501,"USD",'Invoice Register'!$B$2:$B$501,B87,'Invoice Register'!$L$2:$L$501,"VALID")+SUMIFS('Invoice Register'!$H$2:$H$501,'Invoice Register'!$M$2:$M$501,A87,'Invoice Register'!$G$2:$G$501,"USD",'Invoice Register'!$B$2:$B$501,B87,'Invoice Register'!$L$2:$L$501,"FX HOLD")))</x:f>
      </x:c>
      <x:c r="W87" s="49" t="str">
        <x:f>IF(B87="","",IF(COUNTIF('Invoice Register'!$M$2:$M$501,A87)=0,"INVOICE DATA REQUIRED",SUMIFS('Invoice Register'!$H$2:$H$501,'Invoice Register'!$M$2:$M$501,A87,'Invoice Register'!$G$2:$G$501,"MXN",'Invoice Register'!$B$2:$B$501,B87,'Invoice Register'!$L$2:$L$501,"VALID")+SUMIFS('Invoice Register'!$H$2:$H$501,'Invoice Register'!$M$2:$M$501,A87,'Invoice Register'!$G$2:$G$501,"MXN",'Invoice Register'!$B$2:$B$501,B87,'Invoice Register'!$L$2:$L$501,"FX HOLD")))</x:f>
      </x:c>
    </x:row>
    <x:row r="88">
      <x:c r="H88" t="str">
        <x:f>IF(B88="","",IF(COUNTIF('Invoice Register'!$M$2:$M$501,A88)=0,"INVOICE DATA REQUIRED",SUMIFS('Invoice Register'!$N$2:$N$501,'Invoice Register'!$M$2:$M$501,A88,'Invoice Register'!$B$2:$B$501,B88)))</x:f>
      </x:c>
      <x:c r="N88" t="str">
        <x:f>IF(B88="","",IF(COUNTIF('ERP Snapshot'!$A$2:$A$101,B88)=0,"UNKNOWN",IF(COUNTIFS('ERP Snapshot'!$A$2:$A$101,B88,'ERP Snapshot'!$D$2:$D$101,"MXN")&gt;0,"MXN","USD")))</x:f>
      </x:c>
      <x:c r="O88" t="str">
        <x:f>IF(B88="","",IF(N88="UNKNOWN","SOURCE REVIEW",IF(N88="USD","NOT REQUIRED",IF(AND(Settings!$B$8="APPROVED",Settings!$B$9&lt;&gt;"",Settings!$B$10&lt;&gt;"",Settings!$B$2&gt;0),"APPROVED","FX HOLD"))))</x:f>
      </x:c>
      <x:c r="P88" t="str">
        <x:f>IF(B88="","",IF(O88="FX HOLD","USD normalized input is provisional; FX approval missing",IF(O88="SOURCE REVIEW","Missing source currency mapping",IF(O88="APPROVED","Approval metadata supplied; source rates not independently audited",""))))</x:f>
      </x:c>
      <x:c r="T88" s="50"/>
      <x:c r="U88" t="str">
        <x:f>IF(B88="","",IF(COUNTIFS('Invoice Register'!$L$2:$L$501,"&lt;&gt;",'Invoice Register'!$L$2:$L$501,"&lt;&gt;VALID",'Invoice Register'!$L$2:$L$501,"&lt;&gt;CANCELLED",'Invoice Register'!$L$2:$L$501,"&lt;&gt;FX HOLD",'Invoice Register'!$M$2:$M$501,A88)&gt;0,"SUBTOTAL; EXCLUDED RECORDS - SEE MANAGEMENT REPORT",IF(B88="","",IF(ISNUMBER(H88),"DATED ERP INVOICES",IF(ISNUMBER(T88),"HISTORICAL DATES REQUIRED",H88)))))</x:f>
      </x:c>
      <x:c r="V88" s="49" t="str">
        <x:f>IF(B88="","",IF(COUNTIF('Invoice Register'!$M$2:$M$501,A88)=0,"INVOICE DATA REQUIRED",SUMIFS('Invoice Register'!$H$2:$H$501,'Invoice Register'!$M$2:$M$501,A88,'Invoice Register'!$G$2:$G$501,"USD",'Invoice Register'!$B$2:$B$501,B88,'Invoice Register'!$L$2:$L$501,"VALID")+SUMIFS('Invoice Register'!$H$2:$H$501,'Invoice Register'!$M$2:$M$501,A88,'Invoice Register'!$G$2:$G$501,"USD",'Invoice Register'!$B$2:$B$501,B88,'Invoice Register'!$L$2:$L$501,"FX HOLD")))</x:f>
      </x:c>
      <x:c r="W88" s="49" t="str">
        <x:f>IF(B88="","",IF(COUNTIF('Invoice Register'!$M$2:$M$501,A88)=0,"INVOICE DATA REQUIRED",SUMIFS('Invoice Register'!$H$2:$H$501,'Invoice Register'!$M$2:$M$501,A88,'Invoice Register'!$G$2:$G$501,"MXN",'Invoice Register'!$B$2:$B$501,B88,'Invoice Register'!$L$2:$L$501,"VALID")+SUMIFS('Invoice Register'!$H$2:$H$501,'Invoice Register'!$M$2:$M$501,A88,'Invoice Register'!$G$2:$G$501,"MXN",'Invoice Register'!$B$2:$B$501,B88,'Invoice Register'!$L$2:$L$501,"FX HOLD")))</x:f>
      </x:c>
    </x:row>
    <x:row r="89">
      <x:c r="H89" t="str">
        <x:f>IF(B89="","",IF(COUNTIF('Invoice Register'!$M$2:$M$501,A89)=0,"INVOICE DATA REQUIRED",SUMIFS('Invoice Register'!$N$2:$N$501,'Invoice Register'!$M$2:$M$501,A89,'Invoice Register'!$B$2:$B$501,B89)))</x:f>
      </x:c>
      <x:c r="N89" t="str">
        <x:f>IF(B89="","",IF(COUNTIF('ERP Snapshot'!$A$2:$A$101,B89)=0,"UNKNOWN",IF(COUNTIFS('ERP Snapshot'!$A$2:$A$101,B89,'ERP Snapshot'!$D$2:$D$101,"MXN")&gt;0,"MXN","USD")))</x:f>
      </x:c>
      <x:c r="O89" t="str">
        <x:f>IF(B89="","",IF(N89="UNKNOWN","SOURCE REVIEW",IF(N89="USD","NOT REQUIRED",IF(AND(Settings!$B$8="APPROVED",Settings!$B$9&lt;&gt;"",Settings!$B$10&lt;&gt;"",Settings!$B$2&gt;0),"APPROVED","FX HOLD"))))</x:f>
      </x:c>
      <x:c r="P89" t="str">
        <x:f>IF(B89="","",IF(O89="FX HOLD","USD normalized input is provisional; FX approval missing",IF(O89="SOURCE REVIEW","Missing source currency mapping",IF(O89="APPROVED","Approval metadata supplied; source rates not independently audited",""))))</x:f>
      </x:c>
      <x:c r="T89" s="50"/>
      <x:c r="U89" t="str">
        <x:f>IF(B89="","",IF(COUNTIFS('Invoice Register'!$L$2:$L$501,"&lt;&gt;",'Invoice Register'!$L$2:$L$501,"&lt;&gt;VALID",'Invoice Register'!$L$2:$L$501,"&lt;&gt;CANCELLED",'Invoice Register'!$L$2:$L$501,"&lt;&gt;FX HOLD",'Invoice Register'!$M$2:$M$501,A89)&gt;0,"SUBTOTAL; EXCLUDED RECORDS - SEE MANAGEMENT REPORT",IF(B89="","",IF(ISNUMBER(H89),"DATED ERP INVOICES",IF(ISNUMBER(T89),"HISTORICAL DATES REQUIRED",H89)))))</x:f>
      </x:c>
      <x:c r="V89" s="49" t="str">
        <x:f>IF(B89="","",IF(COUNTIF('Invoice Register'!$M$2:$M$501,A89)=0,"INVOICE DATA REQUIRED",SUMIFS('Invoice Register'!$H$2:$H$501,'Invoice Register'!$M$2:$M$501,A89,'Invoice Register'!$G$2:$G$501,"USD",'Invoice Register'!$B$2:$B$501,B89,'Invoice Register'!$L$2:$L$501,"VALID")+SUMIFS('Invoice Register'!$H$2:$H$501,'Invoice Register'!$M$2:$M$501,A89,'Invoice Register'!$G$2:$G$501,"USD",'Invoice Register'!$B$2:$B$501,B89,'Invoice Register'!$L$2:$L$501,"FX HOLD")))</x:f>
      </x:c>
      <x:c r="W89" s="49" t="str">
        <x:f>IF(B89="","",IF(COUNTIF('Invoice Register'!$M$2:$M$501,A89)=0,"INVOICE DATA REQUIRED",SUMIFS('Invoice Register'!$H$2:$H$501,'Invoice Register'!$M$2:$M$501,A89,'Invoice Register'!$G$2:$G$501,"MXN",'Invoice Register'!$B$2:$B$501,B89,'Invoice Register'!$L$2:$L$501,"VALID")+SUMIFS('Invoice Register'!$H$2:$H$501,'Invoice Register'!$M$2:$M$501,A89,'Invoice Register'!$G$2:$G$501,"MXN",'Invoice Register'!$B$2:$B$501,B89,'Invoice Register'!$L$2:$L$501,"FX HOLD")))</x:f>
      </x:c>
    </x:row>
    <x:row r="90">
      <x:c r="H90" t="str">
        <x:f>IF(B90="","",IF(COUNTIF('Invoice Register'!$M$2:$M$501,A90)=0,"INVOICE DATA REQUIRED",SUMIFS('Invoice Register'!$N$2:$N$501,'Invoice Register'!$M$2:$M$501,A90,'Invoice Register'!$B$2:$B$501,B90)))</x:f>
      </x:c>
      <x:c r="N90" t="str">
        <x:f>IF(B90="","",IF(COUNTIF('ERP Snapshot'!$A$2:$A$101,B90)=0,"UNKNOWN",IF(COUNTIFS('ERP Snapshot'!$A$2:$A$101,B90,'ERP Snapshot'!$D$2:$D$101,"MXN")&gt;0,"MXN","USD")))</x:f>
      </x:c>
      <x:c r="O90" t="str">
        <x:f>IF(B90="","",IF(N90="UNKNOWN","SOURCE REVIEW",IF(N90="USD","NOT REQUIRED",IF(AND(Settings!$B$8="APPROVED",Settings!$B$9&lt;&gt;"",Settings!$B$10&lt;&gt;"",Settings!$B$2&gt;0),"APPROVED","FX HOLD"))))</x:f>
      </x:c>
      <x:c r="P90" t="str">
        <x:f>IF(B90="","",IF(O90="FX HOLD","USD normalized input is provisional; FX approval missing",IF(O90="SOURCE REVIEW","Missing source currency mapping",IF(O90="APPROVED","Approval metadata supplied; source rates not independently audited",""))))</x:f>
      </x:c>
      <x:c r="T90" s="50"/>
      <x:c r="U90" t="str">
        <x:f>IF(B90="","",IF(COUNTIFS('Invoice Register'!$L$2:$L$501,"&lt;&gt;",'Invoice Register'!$L$2:$L$501,"&lt;&gt;VALID",'Invoice Register'!$L$2:$L$501,"&lt;&gt;CANCELLED",'Invoice Register'!$L$2:$L$501,"&lt;&gt;FX HOLD",'Invoice Register'!$M$2:$M$501,A90)&gt;0,"SUBTOTAL; EXCLUDED RECORDS - SEE MANAGEMENT REPORT",IF(B90="","",IF(ISNUMBER(H90),"DATED ERP INVOICES",IF(ISNUMBER(T90),"HISTORICAL DATES REQUIRED",H90)))))</x:f>
      </x:c>
      <x:c r="V90" s="49" t="str">
        <x:f>IF(B90="","",IF(COUNTIF('Invoice Register'!$M$2:$M$501,A90)=0,"INVOICE DATA REQUIRED",SUMIFS('Invoice Register'!$H$2:$H$501,'Invoice Register'!$M$2:$M$501,A90,'Invoice Register'!$G$2:$G$501,"USD",'Invoice Register'!$B$2:$B$501,B90,'Invoice Register'!$L$2:$L$501,"VALID")+SUMIFS('Invoice Register'!$H$2:$H$501,'Invoice Register'!$M$2:$M$501,A90,'Invoice Register'!$G$2:$G$501,"USD",'Invoice Register'!$B$2:$B$501,B90,'Invoice Register'!$L$2:$L$501,"FX HOLD")))</x:f>
      </x:c>
      <x:c r="W90" s="49" t="str">
        <x:f>IF(B90="","",IF(COUNTIF('Invoice Register'!$M$2:$M$501,A90)=0,"INVOICE DATA REQUIRED",SUMIFS('Invoice Register'!$H$2:$H$501,'Invoice Register'!$M$2:$M$501,A90,'Invoice Register'!$G$2:$G$501,"MXN",'Invoice Register'!$B$2:$B$501,B90,'Invoice Register'!$L$2:$L$501,"VALID")+SUMIFS('Invoice Register'!$H$2:$H$501,'Invoice Register'!$M$2:$M$501,A90,'Invoice Register'!$G$2:$G$501,"MXN",'Invoice Register'!$B$2:$B$501,B90,'Invoice Register'!$L$2:$L$501,"FX HOLD")))</x:f>
      </x:c>
    </x:row>
    <x:row r="91">
      <x:c r="H91" t="str">
        <x:f>IF(B91="","",IF(COUNTIF('Invoice Register'!$M$2:$M$501,A91)=0,"INVOICE DATA REQUIRED",SUMIFS('Invoice Register'!$N$2:$N$501,'Invoice Register'!$M$2:$M$501,A91,'Invoice Register'!$B$2:$B$501,B91)))</x:f>
      </x:c>
      <x:c r="N91" t="str">
        <x:f>IF(B91="","",IF(COUNTIF('ERP Snapshot'!$A$2:$A$101,B91)=0,"UNKNOWN",IF(COUNTIFS('ERP Snapshot'!$A$2:$A$101,B91,'ERP Snapshot'!$D$2:$D$101,"MXN")&gt;0,"MXN","USD")))</x:f>
      </x:c>
      <x:c r="O91" t="str">
        <x:f>IF(B91="","",IF(N91="UNKNOWN","SOURCE REVIEW",IF(N91="USD","NOT REQUIRED",IF(AND(Settings!$B$8="APPROVED",Settings!$B$9&lt;&gt;"",Settings!$B$10&lt;&gt;"",Settings!$B$2&gt;0),"APPROVED","FX HOLD"))))</x:f>
      </x:c>
      <x:c r="P91" t="str">
        <x:f>IF(B91="","",IF(O91="FX HOLD","USD normalized input is provisional; FX approval missing",IF(O91="SOURCE REVIEW","Missing source currency mapping",IF(O91="APPROVED","Approval metadata supplied; source rates not independently audited",""))))</x:f>
      </x:c>
      <x:c r="T91" s="50"/>
      <x:c r="U91" t="str">
        <x:f>IF(B91="","",IF(COUNTIFS('Invoice Register'!$L$2:$L$501,"&lt;&gt;",'Invoice Register'!$L$2:$L$501,"&lt;&gt;VALID",'Invoice Register'!$L$2:$L$501,"&lt;&gt;CANCELLED",'Invoice Register'!$L$2:$L$501,"&lt;&gt;FX HOLD",'Invoice Register'!$M$2:$M$501,A91)&gt;0,"SUBTOTAL; EXCLUDED RECORDS - SEE MANAGEMENT REPORT",IF(B91="","",IF(ISNUMBER(H91),"DATED ERP INVOICES",IF(ISNUMBER(T91),"HISTORICAL DATES REQUIRED",H91)))))</x:f>
      </x:c>
      <x:c r="V91" s="49" t="str">
        <x:f>IF(B91="","",IF(COUNTIF('Invoice Register'!$M$2:$M$501,A91)=0,"INVOICE DATA REQUIRED",SUMIFS('Invoice Register'!$H$2:$H$501,'Invoice Register'!$M$2:$M$501,A91,'Invoice Register'!$G$2:$G$501,"USD",'Invoice Register'!$B$2:$B$501,B91,'Invoice Register'!$L$2:$L$501,"VALID")+SUMIFS('Invoice Register'!$H$2:$H$501,'Invoice Register'!$M$2:$M$501,A91,'Invoice Register'!$G$2:$G$501,"USD",'Invoice Register'!$B$2:$B$501,B91,'Invoice Register'!$L$2:$L$501,"FX HOLD")))</x:f>
      </x:c>
      <x:c r="W91" s="49" t="str">
        <x:f>IF(B91="","",IF(COUNTIF('Invoice Register'!$M$2:$M$501,A91)=0,"INVOICE DATA REQUIRED",SUMIFS('Invoice Register'!$H$2:$H$501,'Invoice Register'!$M$2:$M$501,A91,'Invoice Register'!$G$2:$G$501,"MXN",'Invoice Register'!$B$2:$B$501,B91,'Invoice Register'!$L$2:$L$501,"VALID")+SUMIFS('Invoice Register'!$H$2:$H$501,'Invoice Register'!$M$2:$M$501,A91,'Invoice Register'!$G$2:$G$501,"MXN",'Invoice Register'!$B$2:$B$501,B91,'Invoice Register'!$L$2:$L$501,"FX HOLD")))</x:f>
      </x:c>
    </x:row>
    <x:row r="92">
      <x:c r="H92" t="str">
        <x:f>IF(B92="","",IF(COUNTIF('Invoice Register'!$M$2:$M$501,A92)=0,"INVOICE DATA REQUIRED",SUMIFS('Invoice Register'!$N$2:$N$501,'Invoice Register'!$M$2:$M$501,A92,'Invoice Register'!$B$2:$B$501,B92)))</x:f>
      </x:c>
      <x:c r="N92" t="str">
        <x:f>IF(B92="","",IF(COUNTIF('ERP Snapshot'!$A$2:$A$101,B92)=0,"UNKNOWN",IF(COUNTIFS('ERP Snapshot'!$A$2:$A$101,B92,'ERP Snapshot'!$D$2:$D$101,"MXN")&gt;0,"MXN","USD")))</x:f>
      </x:c>
      <x:c r="O92" t="str">
        <x:f>IF(B92="","",IF(N92="UNKNOWN","SOURCE REVIEW",IF(N92="USD","NOT REQUIRED",IF(AND(Settings!$B$8="APPROVED",Settings!$B$9&lt;&gt;"",Settings!$B$10&lt;&gt;"",Settings!$B$2&gt;0),"APPROVED","FX HOLD"))))</x:f>
      </x:c>
      <x:c r="P92" t="str">
        <x:f>IF(B92="","",IF(O92="FX HOLD","USD normalized input is provisional; FX approval missing",IF(O92="SOURCE REVIEW","Missing source currency mapping",IF(O92="APPROVED","Approval metadata supplied; source rates not independently audited",""))))</x:f>
      </x:c>
      <x:c r="T92" s="50"/>
      <x:c r="U92" t="str">
        <x:f>IF(B92="","",IF(COUNTIFS('Invoice Register'!$L$2:$L$501,"&lt;&gt;",'Invoice Register'!$L$2:$L$501,"&lt;&gt;VALID",'Invoice Register'!$L$2:$L$501,"&lt;&gt;CANCELLED",'Invoice Register'!$L$2:$L$501,"&lt;&gt;FX HOLD",'Invoice Register'!$M$2:$M$501,A92)&gt;0,"SUBTOTAL; EXCLUDED RECORDS - SEE MANAGEMENT REPORT",IF(B92="","",IF(ISNUMBER(H92),"DATED ERP INVOICES",IF(ISNUMBER(T92),"HISTORICAL DATES REQUIRED",H92)))))</x:f>
      </x:c>
      <x:c r="V92" s="49" t="str">
        <x:f>IF(B92="","",IF(COUNTIF('Invoice Register'!$M$2:$M$501,A92)=0,"INVOICE DATA REQUIRED",SUMIFS('Invoice Register'!$H$2:$H$501,'Invoice Register'!$M$2:$M$501,A92,'Invoice Register'!$G$2:$G$501,"USD",'Invoice Register'!$B$2:$B$501,B92,'Invoice Register'!$L$2:$L$501,"VALID")+SUMIFS('Invoice Register'!$H$2:$H$501,'Invoice Register'!$M$2:$M$501,A92,'Invoice Register'!$G$2:$G$501,"USD",'Invoice Register'!$B$2:$B$501,B92,'Invoice Register'!$L$2:$L$501,"FX HOLD")))</x:f>
      </x:c>
      <x:c r="W92" s="49" t="str">
        <x:f>IF(B92="","",IF(COUNTIF('Invoice Register'!$M$2:$M$501,A92)=0,"INVOICE DATA REQUIRED",SUMIFS('Invoice Register'!$H$2:$H$501,'Invoice Register'!$M$2:$M$501,A92,'Invoice Register'!$G$2:$G$501,"MXN",'Invoice Register'!$B$2:$B$501,B92,'Invoice Register'!$L$2:$L$501,"VALID")+SUMIFS('Invoice Register'!$H$2:$H$501,'Invoice Register'!$M$2:$M$501,A92,'Invoice Register'!$G$2:$G$501,"MXN",'Invoice Register'!$B$2:$B$501,B92,'Invoice Register'!$L$2:$L$501,"FX HOLD")))</x:f>
      </x:c>
    </x:row>
    <x:row r="93">
      <x:c r="H93" t="str">
        <x:f>IF(B93="","",IF(COUNTIF('Invoice Register'!$M$2:$M$501,A93)=0,"INVOICE DATA REQUIRED",SUMIFS('Invoice Register'!$N$2:$N$501,'Invoice Register'!$M$2:$M$501,A93,'Invoice Register'!$B$2:$B$501,B93)))</x:f>
      </x:c>
      <x:c r="N93" t="str">
        <x:f>IF(B93="","",IF(COUNTIF('ERP Snapshot'!$A$2:$A$101,B93)=0,"UNKNOWN",IF(COUNTIFS('ERP Snapshot'!$A$2:$A$101,B93,'ERP Snapshot'!$D$2:$D$101,"MXN")&gt;0,"MXN","USD")))</x:f>
      </x:c>
      <x:c r="O93" t="str">
        <x:f>IF(B93="","",IF(N93="UNKNOWN","SOURCE REVIEW",IF(N93="USD","NOT REQUIRED",IF(AND(Settings!$B$8="APPROVED",Settings!$B$9&lt;&gt;"",Settings!$B$10&lt;&gt;"",Settings!$B$2&gt;0),"APPROVED","FX HOLD"))))</x:f>
      </x:c>
      <x:c r="P93" t="str">
        <x:f>IF(B93="","",IF(O93="FX HOLD","USD normalized input is provisional; FX approval missing",IF(O93="SOURCE REVIEW","Missing source currency mapping",IF(O93="APPROVED","Approval metadata supplied; source rates not independently audited",""))))</x:f>
      </x:c>
      <x:c r="T93" s="50"/>
      <x:c r="U93" t="str">
        <x:f>IF(B93="","",IF(COUNTIFS('Invoice Register'!$L$2:$L$501,"&lt;&gt;",'Invoice Register'!$L$2:$L$501,"&lt;&gt;VALID",'Invoice Register'!$L$2:$L$501,"&lt;&gt;CANCELLED",'Invoice Register'!$L$2:$L$501,"&lt;&gt;FX HOLD",'Invoice Register'!$M$2:$M$501,A93)&gt;0,"SUBTOTAL; EXCLUDED RECORDS - SEE MANAGEMENT REPORT",IF(B93="","",IF(ISNUMBER(H93),"DATED ERP INVOICES",IF(ISNUMBER(T93),"HISTORICAL DATES REQUIRED",H93)))))</x:f>
      </x:c>
      <x:c r="V93" s="49" t="str">
        <x:f>IF(B93="","",IF(COUNTIF('Invoice Register'!$M$2:$M$501,A93)=0,"INVOICE DATA REQUIRED",SUMIFS('Invoice Register'!$H$2:$H$501,'Invoice Register'!$M$2:$M$501,A93,'Invoice Register'!$G$2:$G$501,"USD",'Invoice Register'!$B$2:$B$501,B93,'Invoice Register'!$L$2:$L$501,"VALID")+SUMIFS('Invoice Register'!$H$2:$H$501,'Invoice Register'!$M$2:$M$501,A93,'Invoice Register'!$G$2:$G$501,"USD",'Invoice Register'!$B$2:$B$501,B93,'Invoice Register'!$L$2:$L$501,"FX HOLD")))</x:f>
      </x:c>
      <x:c r="W93" s="49" t="str">
        <x:f>IF(B93="","",IF(COUNTIF('Invoice Register'!$M$2:$M$501,A93)=0,"INVOICE DATA REQUIRED",SUMIFS('Invoice Register'!$H$2:$H$501,'Invoice Register'!$M$2:$M$501,A93,'Invoice Register'!$G$2:$G$501,"MXN",'Invoice Register'!$B$2:$B$501,B93,'Invoice Register'!$L$2:$L$501,"VALID")+SUMIFS('Invoice Register'!$H$2:$H$501,'Invoice Register'!$M$2:$M$501,A93,'Invoice Register'!$G$2:$G$501,"MXN",'Invoice Register'!$B$2:$B$501,B93,'Invoice Register'!$L$2:$L$501,"FX HOLD")))</x:f>
      </x:c>
    </x:row>
    <x:row r="94">
      <x:c r="H94" t="str">
        <x:f>IF(B94="","",IF(COUNTIF('Invoice Register'!$M$2:$M$501,A94)=0,"INVOICE DATA REQUIRED",SUMIFS('Invoice Register'!$N$2:$N$501,'Invoice Register'!$M$2:$M$501,A94,'Invoice Register'!$B$2:$B$501,B94)))</x:f>
      </x:c>
      <x:c r="N94" t="str">
        <x:f>IF(B94="","",IF(COUNTIF('ERP Snapshot'!$A$2:$A$101,B94)=0,"UNKNOWN",IF(COUNTIFS('ERP Snapshot'!$A$2:$A$101,B94,'ERP Snapshot'!$D$2:$D$101,"MXN")&gt;0,"MXN","USD")))</x:f>
      </x:c>
      <x:c r="O94" t="str">
        <x:f>IF(B94="","",IF(N94="UNKNOWN","SOURCE REVIEW",IF(N94="USD","NOT REQUIRED",IF(AND(Settings!$B$8="APPROVED",Settings!$B$9&lt;&gt;"",Settings!$B$10&lt;&gt;"",Settings!$B$2&gt;0),"APPROVED","FX HOLD"))))</x:f>
      </x:c>
      <x:c r="P94" t="str">
        <x:f>IF(B94="","",IF(O94="FX HOLD","USD normalized input is provisional; FX approval missing",IF(O94="SOURCE REVIEW","Missing source currency mapping",IF(O94="APPROVED","Approval metadata supplied; source rates not independently audited",""))))</x:f>
      </x:c>
      <x:c r="T94" s="50"/>
      <x:c r="U94" t="str">
        <x:f>IF(B94="","",IF(COUNTIFS('Invoice Register'!$L$2:$L$501,"&lt;&gt;",'Invoice Register'!$L$2:$L$501,"&lt;&gt;VALID",'Invoice Register'!$L$2:$L$501,"&lt;&gt;CANCELLED",'Invoice Register'!$L$2:$L$501,"&lt;&gt;FX HOLD",'Invoice Register'!$M$2:$M$501,A94)&gt;0,"SUBTOTAL; EXCLUDED RECORDS - SEE MANAGEMENT REPORT",IF(B94="","",IF(ISNUMBER(H94),"DATED ERP INVOICES",IF(ISNUMBER(T94),"HISTORICAL DATES REQUIRED",H94)))))</x:f>
      </x:c>
      <x:c r="V94" s="49" t="str">
        <x:f>IF(B94="","",IF(COUNTIF('Invoice Register'!$M$2:$M$501,A94)=0,"INVOICE DATA REQUIRED",SUMIFS('Invoice Register'!$H$2:$H$501,'Invoice Register'!$M$2:$M$501,A94,'Invoice Register'!$G$2:$G$501,"USD",'Invoice Register'!$B$2:$B$501,B94,'Invoice Register'!$L$2:$L$501,"VALID")+SUMIFS('Invoice Register'!$H$2:$H$501,'Invoice Register'!$M$2:$M$501,A94,'Invoice Register'!$G$2:$G$501,"USD",'Invoice Register'!$B$2:$B$501,B94,'Invoice Register'!$L$2:$L$501,"FX HOLD")))</x:f>
      </x:c>
      <x:c r="W94" s="49" t="str">
        <x:f>IF(B94="","",IF(COUNTIF('Invoice Register'!$M$2:$M$501,A94)=0,"INVOICE DATA REQUIRED",SUMIFS('Invoice Register'!$H$2:$H$501,'Invoice Register'!$M$2:$M$501,A94,'Invoice Register'!$G$2:$G$501,"MXN",'Invoice Register'!$B$2:$B$501,B94,'Invoice Register'!$L$2:$L$501,"VALID")+SUMIFS('Invoice Register'!$H$2:$H$501,'Invoice Register'!$M$2:$M$501,A94,'Invoice Register'!$G$2:$G$501,"MXN",'Invoice Register'!$B$2:$B$501,B94,'Invoice Register'!$L$2:$L$501,"FX HOLD")))</x:f>
      </x:c>
    </x:row>
    <x:row r="95">
      <x:c r="H95" t="str">
        <x:f>IF(B95="","",IF(COUNTIF('Invoice Register'!$M$2:$M$501,A95)=0,"INVOICE DATA REQUIRED",SUMIFS('Invoice Register'!$N$2:$N$501,'Invoice Register'!$M$2:$M$501,A95,'Invoice Register'!$B$2:$B$501,B95)))</x:f>
      </x:c>
      <x:c r="N95" t="str">
        <x:f>IF(B95="","",IF(COUNTIF('ERP Snapshot'!$A$2:$A$101,B95)=0,"UNKNOWN",IF(COUNTIFS('ERP Snapshot'!$A$2:$A$101,B95,'ERP Snapshot'!$D$2:$D$101,"MXN")&gt;0,"MXN","USD")))</x:f>
      </x:c>
      <x:c r="O95" t="str">
        <x:f>IF(B95="","",IF(N95="UNKNOWN","SOURCE REVIEW",IF(N95="USD","NOT REQUIRED",IF(AND(Settings!$B$8="APPROVED",Settings!$B$9&lt;&gt;"",Settings!$B$10&lt;&gt;"",Settings!$B$2&gt;0),"APPROVED","FX HOLD"))))</x:f>
      </x:c>
      <x:c r="P95" t="str">
        <x:f>IF(B95="","",IF(O95="FX HOLD","USD normalized input is provisional; FX approval missing",IF(O95="SOURCE REVIEW","Missing source currency mapping",IF(O95="APPROVED","Approval metadata supplied; source rates not independently audited",""))))</x:f>
      </x:c>
      <x:c r="T95" s="50"/>
      <x:c r="U95" t="str">
        <x:f>IF(B95="","",IF(COUNTIFS('Invoice Register'!$L$2:$L$501,"&lt;&gt;",'Invoice Register'!$L$2:$L$501,"&lt;&gt;VALID",'Invoice Register'!$L$2:$L$501,"&lt;&gt;CANCELLED",'Invoice Register'!$L$2:$L$501,"&lt;&gt;FX HOLD",'Invoice Register'!$M$2:$M$501,A95)&gt;0,"SUBTOTAL; EXCLUDED RECORDS - SEE MANAGEMENT REPORT",IF(B95="","",IF(ISNUMBER(H95),"DATED ERP INVOICES",IF(ISNUMBER(T95),"HISTORICAL DATES REQUIRED",H95)))))</x:f>
      </x:c>
      <x:c r="V95" s="49" t="str">
        <x:f>IF(B95="","",IF(COUNTIF('Invoice Register'!$M$2:$M$501,A95)=0,"INVOICE DATA REQUIRED",SUMIFS('Invoice Register'!$H$2:$H$501,'Invoice Register'!$M$2:$M$501,A95,'Invoice Register'!$G$2:$G$501,"USD",'Invoice Register'!$B$2:$B$501,B95,'Invoice Register'!$L$2:$L$501,"VALID")+SUMIFS('Invoice Register'!$H$2:$H$501,'Invoice Register'!$M$2:$M$501,A95,'Invoice Register'!$G$2:$G$501,"USD",'Invoice Register'!$B$2:$B$501,B95,'Invoice Register'!$L$2:$L$501,"FX HOLD")))</x:f>
      </x:c>
      <x:c r="W95" s="49" t="str">
        <x:f>IF(B95="","",IF(COUNTIF('Invoice Register'!$M$2:$M$501,A95)=0,"INVOICE DATA REQUIRED",SUMIFS('Invoice Register'!$H$2:$H$501,'Invoice Register'!$M$2:$M$501,A95,'Invoice Register'!$G$2:$G$501,"MXN",'Invoice Register'!$B$2:$B$501,B95,'Invoice Register'!$L$2:$L$501,"VALID")+SUMIFS('Invoice Register'!$H$2:$H$501,'Invoice Register'!$M$2:$M$501,A95,'Invoice Register'!$G$2:$G$501,"MXN",'Invoice Register'!$B$2:$B$501,B95,'Invoice Register'!$L$2:$L$501,"FX HOLD")))</x:f>
      </x:c>
    </x:row>
    <x:row r="96">
      <x:c r="H96" t="str">
        <x:f>IF(B96="","",IF(COUNTIF('Invoice Register'!$M$2:$M$501,A96)=0,"INVOICE DATA REQUIRED",SUMIFS('Invoice Register'!$N$2:$N$501,'Invoice Register'!$M$2:$M$501,A96,'Invoice Register'!$B$2:$B$501,B96)))</x:f>
      </x:c>
      <x:c r="N96" t="str">
        <x:f>IF(B96="","",IF(COUNTIF('ERP Snapshot'!$A$2:$A$101,B96)=0,"UNKNOWN",IF(COUNTIFS('ERP Snapshot'!$A$2:$A$101,B96,'ERP Snapshot'!$D$2:$D$101,"MXN")&gt;0,"MXN","USD")))</x:f>
      </x:c>
      <x:c r="O96" t="str">
        <x:f>IF(B96="","",IF(N96="UNKNOWN","SOURCE REVIEW",IF(N96="USD","NOT REQUIRED",IF(AND(Settings!$B$8="APPROVED",Settings!$B$9&lt;&gt;"",Settings!$B$10&lt;&gt;"",Settings!$B$2&gt;0),"APPROVED","FX HOLD"))))</x:f>
      </x:c>
      <x:c r="P96" t="str">
        <x:f>IF(B96="","",IF(O96="FX HOLD","USD normalized input is provisional; FX approval missing",IF(O96="SOURCE REVIEW","Missing source currency mapping",IF(O96="APPROVED","Approval metadata supplied; source rates not independently audited",""))))</x:f>
      </x:c>
      <x:c r="T96" s="50"/>
      <x:c r="U96" t="str">
        <x:f>IF(B96="","",IF(COUNTIFS('Invoice Register'!$L$2:$L$501,"&lt;&gt;",'Invoice Register'!$L$2:$L$501,"&lt;&gt;VALID",'Invoice Register'!$L$2:$L$501,"&lt;&gt;CANCELLED",'Invoice Register'!$L$2:$L$501,"&lt;&gt;FX HOLD",'Invoice Register'!$M$2:$M$501,A96)&gt;0,"SUBTOTAL; EXCLUDED RECORDS - SEE MANAGEMENT REPORT",IF(B96="","",IF(ISNUMBER(H96),"DATED ERP INVOICES",IF(ISNUMBER(T96),"HISTORICAL DATES REQUIRED",H96)))))</x:f>
      </x:c>
      <x:c r="V96" s="49" t="str">
        <x:f>IF(B96="","",IF(COUNTIF('Invoice Register'!$M$2:$M$501,A96)=0,"INVOICE DATA REQUIRED",SUMIFS('Invoice Register'!$H$2:$H$501,'Invoice Register'!$M$2:$M$501,A96,'Invoice Register'!$G$2:$G$501,"USD",'Invoice Register'!$B$2:$B$501,B96,'Invoice Register'!$L$2:$L$501,"VALID")+SUMIFS('Invoice Register'!$H$2:$H$501,'Invoice Register'!$M$2:$M$501,A96,'Invoice Register'!$G$2:$G$501,"USD",'Invoice Register'!$B$2:$B$501,B96,'Invoice Register'!$L$2:$L$501,"FX HOLD")))</x:f>
      </x:c>
      <x:c r="W96" s="49" t="str">
        <x:f>IF(B96="","",IF(COUNTIF('Invoice Register'!$M$2:$M$501,A96)=0,"INVOICE DATA REQUIRED",SUMIFS('Invoice Register'!$H$2:$H$501,'Invoice Register'!$M$2:$M$501,A96,'Invoice Register'!$G$2:$G$501,"MXN",'Invoice Register'!$B$2:$B$501,B96,'Invoice Register'!$L$2:$L$501,"VALID")+SUMIFS('Invoice Register'!$H$2:$H$501,'Invoice Register'!$M$2:$M$501,A96,'Invoice Register'!$G$2:$G$501,"MXN",'Invoice Register'!$B$2:$B$501,B96,'Invoice Register'!$L$2:$L$501,"FX HOLD")))</x:f>
      </x:c>
    </x:row>
    <x:row r="97">
      <x:c r="H97" t="str">
        <x:f>IF(B97="","",IF(COUNTIF('Invoice Register'!$M$2:$M$501,A97)=0,"INVOICE DATA REQUIRED",SUMIFS('Invoice Register'!$N$2:$N$501,'Invoice Register'!$M$2:$M$501,A97,'Invoice Register'!$B$2:$B$501,B97)))</x:f>
      </x:c>
      <x:c r="N97" t="str">
        <x:f>IF(B97="","",IF(COUNTIF('ERP Snapshot'!$A$2:$A$101,B97)=0,"UNKNOWN",IF(COUNTIFS('ERP Snapshot'!$A$2:$A$101,B97,'ERP Snapshot'!$D$2:$D$101,"MXN")&gt;0,"MXN","USD")))</x:f>
      </x:c>
      <x:c r="O97" t="str">
        <x:f>IF(B97="","",IF(N97="UNKNOWN","SOURCE REVIEW",IF(N97="USD","NOT REQUIRED",IF(AND(Settings!$B$8="APPROVED",Settings!$B$9&lt;&gt;"",Settings!$B$10&lt;&gt;"",Settings!$B$2&gt;0),"APPROVED","FX HOLD"))))</x:f>
      </x:c>
      <x:c r="P97" t="str">
        <x:f>IF(B97="","",IF(O97="FX HOLD","USD normalized input is provisional; FX approval missing",IF(O97="SOURCE REVIEW","Missing source currency mapping",IF(O97="APPROVED","Approval metadata supplied; source rates not independently audited",""))))</x:f>
      </x:c>
      <x:c r="T97" s="50"/>
      <x:c r="U97" t="str">
        <x:f>IF(B97="","",IF(COUNTIFS('Invoice Register'!$L$2:$L$501,"&lt;&gt;",'Invoice Register'!$L$2:$L$501,"&lt;&gt;VALID",'Invoice Register'!$L$2:$L$501,"&lt;&gt;CANCELLED",'Invoice Register'!$L$2:$L$501,"&lt;&gt;FX HOLD",'Invoice Register'!$M$2:$M$501,A97)&gt;0,"SUBTOTAL; EXCLUDED RECORDS - SEE MANAGEMENT REPORT",IF(B97="","",IF(ISNUMBER(H97),"DATED ERP INVOICES",IF(ISNUMBER(T97),"HISTORICAL DATES REQUIRED",H97)))))</x:f>
      </x:c>
      <x:c r="V97" s="49" t="str">
        <x:f>IF(B97="","",IF(COUNTIF('Invoice Register'!$M$2:$M$501,A97)=0,"INVOICE DATA REQUIRED",SUMIFS('Invoice Register'!$H$2:$H$501,'Invoice Register'!$M$2:$M$501,A97,'Invoice Register'!$G$2:$G$501,"USD",'Invoice Register'!$B$2:$B$501,B97,'Invoice Register'!$L$2:$L$501,"VALID")+SUMIFS('Invoice Register'!$H$2:$H$501,'Invoice Register'!$M$2:$M$501,A97,'Invoice Register'!$G$2:$G$501,"USD",'Invoice Register'!$B$2:$B$501,B97,'Invoice Register'!$L$2:$L$501,"FX HOLD")))</x:f>
      </x:c>
      <x:c r="W97" s="49" t="str">
        <x:f>IF(B97="","",IF(COUNTIF('Invoice Register'!$M$2:$M$501,A97)=0,"INVOICE DATA REQUIRED",SUMIFS('Invoice Register'!$H$2:$H$501,'Invoice Register'!$M$2:$M$501,A97,'Invoice Register'!$G$2:$G$501,"MXN",'Invoice Register'!$B$2:$B$501,B97,'Invoice Register'!$L$2:$L$501,"VALID")+SUMIFS('Invoice Register'!$H$2:$H$501,'Invoice Register'!$M$2:$M$501,A97,'Invoice Register'!$G$2:$G$501,"MXN",'Invoice Register'!$B$2:$B$501,B97,'Invoice Register'!$L$2:$L$501,"FX HOLD")))</x:f>
      </x:c>
    </x:row>
    <x:row r="98">
      <x:c r="H98" t="str">
        <x:f>IF(B98="","",IF(COUNTIF('Invoice Register'!$M$2:$M$501,A98)=0,"INVOICE DATA REQUIRED",SUMIFS('Invoice Register'!$N$2:$N$501,'Invoice Register'!$M$2:$M$501,A98,'Invoice Register'!$B$2:$B$501,B98)))</x:f>
      </x:c>
      <x:c r="N98" t="str">
        <x:f>IF(B98="","",IF(COUNTIF('ERP Snapshot'!$A$2:$A$101,B98)=0,"UNKNOWN",IF(COUNTIFS('ERP Snapshot'!$A$2:$A$101,B98,'ERP Snapshot'!$D$2:$D$101,"MXN")&gt;0,"MXN","USD")))</x:f>
      </x:c>
      <x:c r="O98" t="str">
        <x:f>IF(B98="","",IF(N98="UNKNOWN","SOURCE REVIEW",IF(N98="USD","NOT REQUIRED",IF(AND(Settings!$B$8="APPROVED",Settings!$B$9&lt;&gt;"",Settings!$B$10&lt;&gt;"",Settings!$B$2&gt;0),"APPROVED","FX HOLD"))))</x:f>
      </x:c>
      <x:c r="P98" t="str">
        <x:f>IF(B98="","",IF(O98="FX HOLD","USD normalized input is provisional; FX approval missing",IF(O98="SOURCE REVIEW","Missing source currency mapping",IF(O98="APPROVED","Approval metadata supplied; source rates not independently audited",""))))</x:f>
      </x:c>
      <x:c r="T98" s="50"/>
      <x:c r="U98" t="str">
        <x:f>IF(B98="","",IF(COUNTIFS('Invoice Register'!$L$2:$L$501,"&lt;&gt;",'Invoice Register'!$L$2:$L$501,"&lt;&gt;VALID",'Invoice Register'!$L$2:$L$501,"&lt;&gt;CANCELLED",'Invoice Register'!$L$2:$L$501,"&lt;&gt;FX HOLD",'Invoice Register'!$M$2:$M$501,A98)&gt;0,"SUBTOTAL; EXCLUDED RECORDS - SEE MANAGEMENT REPORT",IF(B98="","",IF(ISNUMBER(H98),"DATED ERP INVOICES",IF(ISNUMBER(T98),"HISTORICAL DATES REQUIRED",H98)))))</x:f>
      </x:c>
      <x:c r="V98" s="49" t="str">
        <x:f>IF(B98="","",IF(COUNTIF('Invoice Register'!$M$2:$M$501,A98)=0,"INVOICE DATA REQUIRED",SUMIFS('Invoice Register'!$H$2:$H$501,'Invoice Register'!$M$2:$M$501,A98,'Invoice Register'!$G$2:$G$501,"USD",'Invoice Register'!$B$2:$B$501,B98,'Invoice Register'!$L$2:$L$501,"VALID")+SUMIFS('Invoice Register'!$H$2:$H$501,'Invoice Register'!$M$2:$M$501,A98,'Invoice Register'!$G$2:$G$501,"USD",'Invoice Register'!$B$2:$B$501,B98,'Invoice Register'!$L$2:$L$501,"FX HOLD")))</x:f>
      </x:c>
      <x:c r="W98" s="49" t="str">
        <x:f>IF(B98="","",IF(COUNTIF('Invoice Register'!$M$2:$M$501,A98)=0,"INVOICE DATA REQUIRED",SUMIFS('Invoice Register'!$H$2:$H$501,'Invoice Register'!$M$2:$M$501,A98,'Invoice Register'!$G$2:$G$501,"MXN",'Invoice Register'!$B$2:$B$501,B98,'Invoice Register'!$L$2:$L$501,"VALID")+SUMIFS('Invoice Register'!$H$2:$H$501,'Invoice Register'!$M$2:$M$501,A98,'Invoice Register'!$G$2:$G$501,"MXN",'Invoice Register'!$B$2:$B$501,B98,'Invoice Register'!$L$2:$L$501,"FX HOLD")))</x:f>
      </x:c>
    </x:row>
    <x:row r="99">
      <x:c r="H99" t="str">
        <x:f>IF(B99="","",IF(COUNTIF('Invoice Register'!$M$2:$M$501,A99)=0,"INVOICE DATA REQUIRED",SUMIFS('Invoice Register'!$N$2:$N$501,'Invoice Register'!$M$2:$M$501,A99,'Invoice Register'!$B$2:$B$501,B99)))</x:f>
      </x:c>
      <x:c r="N99" t="str">
        <x:f>IF(B99="","",IF(COUNTIF('ERP Snapshot'!$A$2:$A$101,B99)=0,"UNKNOWN",IF(COUNTIFS('ERP Snapshot'!$A$2:$A$101,B99,'ERP Snapshot'!$D$2:$D$101,"MXN")&gt;0,"MXN","USD")))</x:f>
      </x:c>
      <x:c r="O99" t="str">
        <x:f>IF(B99="","",IF(N99="UNKNOWN","SOURCE REVIEW",IF(N99="USD","NOT REQUIRED",IF(AND(Settings!$B$8="APPROVED",Settings!$B$9&lt;&gt;"",Settings!$B$10&lt;&gt;"",Settings!$B$2&gt;0),"APPROVED","FX HOLD"))))</x:f>
      </x:c>
      <x:c r="P99" t="str">
        <x:f>IF(B99="","",IF(O99="FX HOLD","USD normalized input is provisional; FX approval missing",IF(O99="SOURCE REVIEW","Missing source currency mapping",IF(O99="APPROVED","Approval metadata supplied; source rates not independently audited",""))))</x:f>
      </x:c>
      <x:c r="T99" s="50"/>
      <x:c r="U99" t="str">
        <x:f>IF(B99="","",IF(COUNTIFS('Invoice Register'!$L$2:$L$501,"&lt;&gt;",'Invoice Register'!$L$2:$L$501,"&lt;&gt;VALID",'Invoice Register'!$L$2:$L$501,"&lt;&gt;CANCELLED",'Invoice Register'!$L$2:$L$501,"&lt;&gt;FX HOLD",'Invoice Register'!$M$2:$M$501,A99)&gt;0,"SUBTOTAL; EXCLUDED RECORDS - SEE MANAGEMENT REPORT",IF(B99="","",IF(ISNUMBER(H99),"DATED ERP INVOICES",IF(ISNUMBER(T99),"HISTORICAL DATES REQUIRED",H99)))))</x:f>
      </x:c>
      <x:c r="V99" s="49" t="str">
        <x:f>IF(B99="","",IF(COUNTIF('Invoice Register'!$M$2:$M$501,A99)=0,"INVOICE DATA REQUIRED",SUMIFS('Invoice Register'!$H$2:$H$501,'Invoice Register'!$M$2:$M$501,A99,'Invoice Register'!$G$2:$G$501,"USD",'Invoice Register'!$B$2:$B$501,B99,'Invoice Register'!$L$2:$L$501,"VALID")+SUMIFS('Invoice Register'!$H$2:$H$501,'Invoice Register'!$M$2:$M$501,A99,'Invoice Register'!$G$2:$G$501,"USD",'Invoice Register'!$B$2:$B$501,B99,'Invoice Register'!$L$2:$L$501,"FX HOLD")))</x:f>
      </x:c>
      <x:c r="W99" s="49" t="str">
        <x:f>IF(B99="","",IF(COUNTIF('Invoice Register'!$M$2:$M$501,A99)=0,"INVOICE DATA REQUIRED",SUMIFS('Invoice Register'!$H$2:$H$501,'Invoice Register'!$M$2:$M$501,A99,'Invoice Register'!$G$2:$G$501,"MXN",'Invoice Register'!$B$2:$B$501,B99,'Invoice Register'!$L$2:$L$501,"VALID")+SUMIFS('Invoice Register'!$H$2:$H$501,'Invoice Register'!$M$2:$M$501,A99,'Invoice Register'!$G$2:$G$501,"MXN",'Invoice Register'!$B$2:$B$501,B99,'Invoice Register'!$L$2:$L$501,"FX HOLD")))</x:f>
      </x:c>
    </x:row>
    <x:row r="100">
      <x:c r="H100" t="str">
        <x:f>IF(B100="","",IF(COUNTIF('Invoice Register'!$M$2:$M$501,A100)=0,"INVOICE DATA REQUIRED",SUMIFS('Invoice Register'!$N$2:$N$501,'Invoice Register'!$M$2:$M$501,A100,'Invoice Register'!$B$2:$B$501,B100)))</x:f>
      </x:c>
      <x:c r="N100" t="str">
        <x:f>IF(B100="","",IF(COUNTIF('ERP Snapshot'!$A$2:$A$101,B100)=0,"UNKNOWN",IF(COUNTIFS('ERP Snapshot'!$A$2:$A$101,B100,'ERP Snapshot'!$D$2:$D$101,"MXN")&gt;0,"MXN","USD")))</x:f>
      </x:c>
      <x:c r="O100" t="str">
        <x:f>IF(B100="","",IF(N100="UNKNOWN","SOURCE REVIEW",IF(N100="USD","NOT REQUIRED",IF(AND(Settings!$B$8="APPROVED",Settings!$B$9&lt;&gt;"",Settings!$B$10&lt;&gt;"",Settings!$B$2&gt;0),"APPROVED","FX HOLD"))))</x:f>
      </x:c>
      <x:c r="P100" t="str">
        <x:f>IF(B100="","",IF(O100="FX HOLD","USD normalized input is provisional; FX approval missing",IF(O100="SOURCE REVIEW","Missing source currency mapping",IF(O100="APPROVED","Approval metadata supplied; source rates not independently audited",""))))</x:f>
      </x:c>
      <x:c r="T100" s="50"/>
      <x:c r="U100" t="str">
        <x:f>IF(B100="","",IF(COUNTIFS('Invoice Register'!$L$2:$L$501,"&lt;&gt;",'Invoice Register'!$L$2:$L$501,"&lt;&gt;VALID",'Invoice Register'!$L$2:$L$501,"&lt;&gt;CANCELLED",'Invoice Register'!$L$2:$L$501,"&lt;&gt;FX HOLD",'Invoice Register'!$M$2:$M$501,A100)&gt;0,"SUBTOTAL; EXCLUDED RECORDS - SEE MANAGEMENT REPORT",IF(B100="","",IF(ISNUMBER(H100),"DATED ERP INVOICES",IF(ISNUMBER(T100),"HISTORICAL DATES REQUIRED",H100)))))</x:f>
      </x:c>
      <x:c r="V100" s="49" t="str">
        <x:f>IF(B100="","",IF(COUNTIF('Invoice Register'!$M$2:$M$501,A100)=0,"INVOICE DATA REQUIRED",SUMIFS('Invoice Register'!$H$2:$H$501,'Invoice Register'!$M$2:$M$501,A100,'Invoice Register'!$G$2:$G$501,"USD",'Invoice Register'!$B$2:$B$501,B100,'Invoice Register'!$L$2:$L$501,"VALID")+SUMIFS('Invoice Register'!$H$2:$H$501,'Invoice Register'!$M$2:$M$501,A100,'Invoice Register'!$G$2:$G$501,"USD",'Invoice Register'!$B$2:$B$501,B100,'Invoice Register'!$L$2:$L$501,"FX HOLD")))</x:f>
      </x:c>
      <x:c r="W100" s="49" t="str">
        <x:f>IF(B100="","",IF(COUNTIF('Invoice Register'!$M$2:$M$501,A100)=0,"INVOICE DATA REQUIRED",SUMIFS('Invoice Register'!$H$2:$H$501,'Invoice Register'!$M$2:$M$501,A100,'Invoice Register'!$G$2:$G$501,"MXN",'Invoice Register'!$B$2:$B$501,B100,'Invoice Register'!$L$2:$L$501,"VALID")+SUMIFS('Invoice Register'!$H$2:$H$501,'Invoice Register'!$M$2:$M$501,A100,'Invoice Register'!$G$2:$G$501,"MXN",'Invoice Register'!$B$2:$B$501,B100,'Invoice Register'!$L$2:$L$501,"FX HOLD")))</x:f>
      </x:c>
    </x:row>
    <x:row r="101">
      <x:c r="H101" t="str">
        <x:f>IF(B101="","",IF(COUNTIF('Invoice Register'!$M$2:$M$501,A101)=0,"INVOICE DATA REQUIRED",SUMIFS('Invoice Register'!$N$2:$N$501,'Invoice Register'!$M$2:$M$501,A101,'Invoice Register'!$B$2:$B$501,B101)))</x:f>
      </x:c>
      <x:c r="N101" t="str">
        <x:f>IF(B101="","",IF(COUNTIF('ERP Snapshot'!$A$2:$A$101,B101)=0,"UNKNOWN",IF(COUNTIFS('ERP Snapshot'!$A$2:$A$101,B101,'ERP Snapshot'!$D$2:$D$101,"MXN")&gt;0,"MXN","USD")))</x:f>
      </x:c>
      <x:c r="O101" t="str">
        <x:f>IF(B101="","",IF(N101="UNKNOWN","SOURCE REVIEW",IF(N101="USD","NOT REQUIRED",IF(AND(Settings!$B$8="APPROVED",Settings!$B$9&lt;&gt;"",Settings!$B$10&lt;&gt;"",Settings!$B$2&gt;0),"APPROVED","FX HOLD"))))</x:f>
      </x:c>
      <x:c r="P101" t="str">
        <x:f>IF(B101="","",IF(O101="FX HOLD","USD normalized input is provisional; FX approval missing",IF(O101="SOURCE REVIEW","Missing source currency mapping",IF(O101="APPROVED","Approval metadata supplied; source rates not independently audited",""))))</x:f>
      </x:c>
      <x:c r="T101" s="50"/>
      <x:c r="U101" t="str">
        <x:f>IF(B101="","",IF(COUNTIFS('Invoice Register'!$L$2:$L$501,"&lt;&gt;",'Invoice Register'!$L$2:$L$501,"&lt;&gt;VALID",'Invoice Register'!$L$2:$L$501,"&lt;&gt;CANCELLED",'Invoice Register'!$L$2:$L$501,"&lt;&gt;FX HOLD",'Invoice Register'!$M$2:$M$501,A101)&gt;0,"SUBTOTAL; EXCLUDED RECORDS - SEE MANAGEMENT REPORT",IF(B101="","",IF(ISNUMBER(H101),"DATED ERP INVOICES",IF(ISNUMBER(T101),"HISTORICAL DATES REQUIRED",H101)))))</x:f>
      </x:c>
      <x:c r="V101" s="49" t="str">
        <x:f>IF(B101="","",IF(COUNTIF('Invoice Register'!$M$2:$M$501,A101)=0,"INVOICE DATA REQUIRED",SUMIFS('Invoice Register'!$H$2:$H$501,'Invoice Register'!$M$2:$M$501,A101,'Invoice Register'!$G$2:$G$501,"USD",'Invoice Register'!$B$2:$B$501,B101,'Invoice Register'!$L$2:$L$501,"VALID")+SUMIFS('Invoice Register'!$H$2:$H$501,'Invoice Register'!$M$2:$M$501,A101,'Invoice Register'!$G$2:$G$501,"USD",'Invoice Register'!$B$2:$B$501,B101,'Invoice Register'!$L$2:$L$501,"FX HOLD")))</x:f>
      </x:c>
      <x:c r="W101" s="49" t="str">
        <x:f>IF(B101="","",IF(COUNTIF('Invoice Register'!$M$2:$M$501,A101)=0,"INVOICE DATA REQUIRED",SUMIFS('Invoice Register'!$H$2:$H$501,'Invoice Register'!$M$2:$M$501,A101,'Invoice Register'!$G$2:$G$501,"MXN",'Invoice Register'!$B$2:$B$501,B101,'Invoice Register'!$L$2:$L$501,"VALID")+SUMIFS('Invoice Register'!$H$2:$H$501,'Invoice Register'!$M$2:$M$501,A101,'Invoice Register'!$G$2:$G$501,"MXN",'Invoice Register'!$B$2:$B$501,B101,'Invoice Register'!$L$2:$L$501,"FX HOLD")))</x:f>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35" hidden="0" customWidth="1"/>
  </x:cols>
  <x:sheetData>
    <x:row r="1" ht="42" customHeight="1">
      <x:c r="A1" s="13" t="str">
        <x:v>Month YYYY-MM</x:v>
      </x:c>
      <x:c r="B1" s="13" t="str">
        <x:v>Business Unit</x:v>
      </x:c>
      <x:c r="C1" s="13" t="str">
        <x:v>Selling Entity</x:v>
      </x:c>
      <x:c r="D1" s="13" t="str">
        <x:v>PO intake USD</x:v>
      </x:c>
      <x:c r="E1" s="13" t="str">
        <x:v>Invoiced USD - valid subtotal</x:v>
      </x:c>
      <x:c r="F1" s="66" t="str">
        <x:v>REMOVED - payment metric</x:v>
      </x:c>
      <x:c r="G1" s="66" t="str">
        <x:v>REMOVED - payment metric</x:v>
      </x:c>
      <x:c r="H1" s="13" t="str">
        <x:v>ERP recognized cost USD</x:v>
      </x:c>
      <x:c r="I1" s="66" t="str">
        <x:v>REMOVED - invoice/cost gap</x:v>
      </x:c>
      <x:c r="J1" s="13" t="str">
        <x:v>Reconciliation flag</x:v>
      </x:c>
      <x:c r="K1" s="29" t="str">
        <x:v>FX reporting status</x:v>
      </x:c>
    </x:row>
    <x:row r="2">
      <x:c r="A2" t="str">
        <x:v>2026-09</x:v>
      </x:c>
      <x:c r="B2" t="str">
        <x:v>Strategic Services</x:v>
      </x:c>
      <x:c r="C2" t="str">
        <x:v>MX</x:v>
      </x:c>
      <x:c r="D2" t="n">
        <x:f>SUMIFS('Monthly Project Activity'!$G$2:$G$101,'Monthly Project Activity'!$A$2:$A$101,$A2,'Monthly Project Activity'!$D$2:$D$101,$B2,'Monthly Project Activity'!$F$2:$F$101,$C2)</x:f>
        <x:v>50000</x:v>
      </x:c>
      <x:c r="E2" t="str">
        <x:f>IF(COUNTIF('Invoice Register'!$M$2:$M$501,$A2)=0,"INVOICE DATA REQUIRED",SUMIFS('Invoice Register'!$N$2:$N$501,'Invoice Register'!$M$2:$M$501,$A2,'Invoice Register'!$E$2:$E$501,$B2,'Invoice Register'!$D$2:$D$501,$C2))</x:f>
        <x:v>INVOICE DATA REQUIRED</x:v>
      </x:c>
      <x:c r="F2" s="52"/>
      <x:c r="G2" s="52"/>
      <x:c r="H2" t="n">
        <x:f>SUMIFS('Monthly Project Activity'!$K$2:$K$101,'Monthly Project Activity'!$A$2:$A$101,$A2,'Monthly Project Activity'!$D$2:$D$101,$B2,'Monthly Project Activity'!$F$2:$F$101,$C2)</x:f>
        <x:v>16000</x:v>
      </x:c>
      <x:c r="I2" s="52"/>
      <x:c r="J2" t="str">
        <x:f>IF(COUNTIFS('Monthly Project Activity'!$A$2:$A$101,A2,'Monthly Project Activity'!$D$2:$D$101,B2,'Monthly Project Activity'!$F$2:$F$101,C2)=0,"NO ACTIVITY","ERP SUMMARY / REVIEW")</x:f>
        <x:v>ERP SUMMARY / REVIEW</x:v>
      </x:c>
      <x:c r="K2" s="25" t="str">
        <x:f>IF(A2="","",IF(COUNTIFS('Monthly Project Activity'!$A$2:$A$101,A2,'Monthly Project Activity'!$D$2:$D$101,B2,'Monthly Project Activity'!$F$2:$F$101,C2,'Monthly Project Activity'!$O$2:$O$101,"FX HOLD")&gt;0,"FX HOLD - PROVISIONAL USD",IF(COUNTIFS('Monthly Project Activity'!$A$2:$A$101,A2,'Monthly Project Activity'!$D$2:$D$101,B2,'Monthly Project Activity'!$F$2:$F$101,C2,'Monthly Project Activity'!$O$2:$O$101,"SOURCE REVIEW")&gt;0,"SOURCE REVIEW",IF(COUNTIFS('Monthly Project Activity'!$A$2:$A$101,A2,'Monthly Project Activity'!$D$2:$D$101,B2,'Monthly Project Activity'!$F$2:$F$101,C2,'Monthly Project Activity'!$O$2:$O$101,"APPROVED")&gt;0,"FX APPROVED (METADATA)","NO FX EXCEPTION"))))</x:f>
        <x:v>NO FX EXCEPTION</x:v>
      </x:c>
    </x:row>
    <x:row r="3">
      <x:c r="A3" t="str">
        <x:v>2026-09</x:v>
      </x:c>
      <x:c r="B3" t="str">
        <x:v>Strategic Services</x:v>
      </x:c>
      <x:c r="C3" t="str">
        <x:v>US</x:v>
      </x:c>
      <x:c r="D3" t="n">
        <x:f>SUMIFS('Monthly Project Activity'!$G$2:$G$101,'Monthly Project Activity'!$A$2:$A$101,$A3,'Monthly Project Activity'!$D$2:$D$101,$B3,'Monthly Project Activity'!$F$2:$F$101,$C3)</x:f>
        <x:v>0</x:v>
      </x:c>
      <x:c r="E3" t="str">
        <x:f>IF(COUNTIF('Invoice Register'!$M$2:$M$501,$A3)=0,"INVOICE DATA REQUIRED",SUMIFS('Invoice Register'!$N$2:$N$501,'Invoice Register'!$M$2:$M$501,$A3,'Invoice Register'!$E$2:$E$501,$B3,'Invoice Register'!$D$2:$D$501,$C3))</x:f>
        <x:v>INVOICE DATA REQUIRED</x:v>
      </x:c>
      <x:c r="F3" s="52"/>
      <x:c r="G3" s="52"/>
      <x:c r="H3" t="n">
        <x:f>SUMIFS('Monthly Project Activity'!$K$2:$K$101,'Monthly Project Activity'!$A$2:$A$101,$A3,'Monthly Project Activity'!$D$2:$D$101,$B3,'Monthly Project Activity'!$F$2:$F$101,$C3)</x:f>
        <x:v>0</x:v>
      </x:c>
      <x:c r="I3" s="52"/>
      <x:c r="J3" t="str">
        <x:f>IF(COUNTIFS('Monthly Project Activity'!$A$2:$A$101,A3,'Monthly Project Activity'!$D$2:$D$101,B3,'Monthly Project Activity'!$F$2:$F$101,C3)=0,"NO ACTIVITY","ERP SUMMARY / REVIEW")</x:f>
        <x:v>NO ACTIVITY</x:v>
      </x:c>
      <x:c r="K3" s="25" t="str">
        <x:f>IF(A3="","",IF(COUNTIFS('Monthly Project Activity'!$A$2:$A$101,A3,'Monthly Project Activity'!$D$2:$D$101,B3,'Monthly Project Activity'!$F$2:$F$101,C3,'Monthly Project Activity'!$O$2:$O$101,"FX HOLD")&gt;0,"FX HOLD - PROVISIONAL USD",IF(COUNTIFS('Monthly Project Activity'!$A$2:$A$101,A3,'Monthly Project Activity'!$D$2:$D$101,B3,'Monthly Project Activity'!$F$2:$F$101,C3,'Monthly Project Activity'!$O$2:$O$101,"SOURCE REVIEW")&gt;0,"SOURCE REVIEW",IF(COUNTIFS('Monthly Project Activity'!$A$2:$A$101,A3,'Monthly Project Activity'!$D$2:$D$101,B3,'Monthly Project Activity'!$F$2:$F$101,C3,'Monthly Project Activity'!$O$2:$O$101,"APPROVED")&gt;0,"FX APPROVED (METADATA)","NO FX EXCEPTION"))))</x:f>
        <x:v>NO FX EXCEPTION</x:v>
      </x:c>
    </x:row>
    <x:row r="4">
      <x:c r="A4" t="str">
        <x:v>2026-09</x:v>
      </x:c>
      <x:c r="B4" t="str">
        <x:v>Brands</x:v>
      </x:c>
      <x:c r="C4" t="str">
        <x:v>MX</x:v>
      </x:c>
      <x:c r="D4" t="n">
        <x:f>SUMIFS('Monthly Project Activity'!$G$2:$G$101,'Monthly Project Activity'!$A$2:$A$101,$A4,'Monthly Project Activity'!$D$2:$D$101,$B4,'Monthly Project Activity'!$F$2:$F$101,$C4)</x:f>
        <x:v>41000</x:v>
      </x:c>
      <x:c r="E4" t="str">
        <x:f>IF(COUNTIF('Invoice Register'!$M$2:$M$501,$A4)=0,"INVOICE DATA REQUIRED",SUMIFS('Invoice Register'!$N$2:$N$501,'Invoice Register'!$M$2:$M$501,$A4,'Invoice Register'!$E$2:$E$501,$B4,'Invoice Register'!$D$2:$D$501,$C4))</x:f>
        <x:v>INVOICE DATA REQUIRED</x:v>
      </x:c>
      <x:c r="F4" s="52"/>
      <x:c r="G4" s="52"/>
      <x:c r="H4" t="n">
        <x:f>SUMIFS('Monthly Project Activity'!$K$2:$K$101,'Monthly Project Activity'!$A$2:$A$101,$A4,'Monthly Project Activity'!$D$2:$D$101,$B4,'Monthly Project Activity'!$F$2:$F$101,$C4)</x:f>
        <x:v>18000</x:v>
      </x:c>
      <x:c r="I4" s="52"/>
      <x:c r="J4" t="str">
        <x:f>IF(COUNTIFS('Monthly Project Activity'!$A$2:$A$101,A4,'Monthly Project Activity'!$D$2:$D$101,B4,'Monthly Project Activity'!$F$2:$F$101,C4)=0,"NO ACTIVITY","ERP SUMMARY / REVIEW")</x:f>
        <x:v>ERP SUMMARY / REVIEW</x:v>
      </x:c>
      <x:c r="K4" s="25" t="str">
        <x:f>IF(A4="","",IF(COUNTIFS('Monthly Project Activity'!$A$2:$A$101,A4,'Monthly Project Activity'!$D$2:$D$101,B4,'Monthly Project Activity'!$F$2:$F$101,C4,'Monthly Project Activity'!$O$2:$O$101,"FX HOLD")&gt;0,"FX HOLD - PROVISIONAL USD",IF(COUNTIFS('Monthly Project Activity'!$A$2:$A$101,A4,'Monthly Project Activity'!$D$2:$D$101,B4,'Monthly Project Activity'!$F$2:$F$101,C4,'Monthly Project Activity'!$O$2:$O$101,"SOURCE REVIEW")&gt;0,"SOURCE REVIEW",IF(COUNTIFS('Monthly Project Activity'!$A$2:$A$101,A4,'Monthly Project Activity'!$D$2:$D$101,B4,'Monthly Project Activity'!$F$2:$F$101,C4,'Monthly Project Activity'!$O$2:$O$101,"APPROVED")&gt;0,"FX APPROVED (METADATA)","NO FX EXCEPTION"))))</x:f>
        <x:v>FX APPROVED (METADATA)</x:v>
      </x:c>
    </x:row>
    <x:row r="5">
      <x:c r="A5" t="str">
        <x:v>2026-09</x:v>
      </x:c>
      <x:c r="B5" t="str">
        <x:v>Brands</x:v>
      </x:c>
      <x:c r="C5" t="str">
        <x:v>US</x:v>
      </x:c>
      <x:c r="D5" t="n">
        <x:f>SUMIFS('Monthly Project Activity'!$G$2:$G$101,'Monthly Project Activity'!$A$2:$A$101,$A5,'Monthly Project Activity'!$D$2:$D$101,$B5,'Monthly Project Activity'!$F$2:$F$101,$C5)</x:f>
        <x:v>34000</x:v>
      </x:c>
      <x:c r="E5" t="str">
        <x:f>IF(COUNTIF('Invoice Register'!$M$2:$M$501,$A5)=0,"INVOICE DATA REQUIRED",SUMIFS('Invoice Register'!$N$2:$N$501,'Invoice Register'!$M$2:$M$501,$A5,'Invoice Register'!$E$2:$E$501,$B5,'Invoice Register'!$D$2:$D$501,$C5))</x:f>
        <x:v>INVOICE DATA REQUIRED</x:v>
      </x:c>
      <x:c r="F5" s="52"/>
      <x:c r="G5" s="52"/>
      <x:c r="H5" t="n">
        <x:f>SUMIFS('Monthly Project Activity'!$K$2:$K$101,'Monthly Project Activity'!$A$2:$A$101,$A5,'Monthly Project Activity'!$D$2:$D$101,$B5,'Monthly Project Activity'!$F$2:$F$101,$C5)</x:f>
        <x:v>9000</x:v>
      </x:c>
      <x:c r="I5" s="52"/>
      <x:c r="J5" t="str">
        <x:f>IF(COUNTIFS('Monthly Project Activity'!$A$2:$A$101,A5,'Monthly Project Activity'!$D$2:$D$101,B5,'Monthly Project Activity'!$F$2:$F$101,C5)=0,"NO ACTIVITY","ERP SUMMARY / REVIEW")</x:f>
        <x:v>ERP SUMMARY / REVIEW</x:v>
      </x:c>
      <x:c r="K5" s="25" t="str">
        <x:f>IF(A5="","",IF(COUNTIFS('Monthly Project Activity'!$A$2:$A$101,A5,'Monthly Project Activity'!$D$2:$D$101,B5,'Monthly Project Activity'!$F$2:$F$101,C5,'Monthly Project Activity'!$O$2:$O$101,"FX HOLD")&gt;0,"FX HOLD - PROVISIONAL USD",IF(COUNTIFS('Monthly Project Activity'!$A$2:$A$101,A5,'Monthly Project Activity'!$D$2:$D$101,B5,'Monthly Project Activity'!$F$2:$F$101,C5,'Monthly Project Activity'!$O$2:$O$101,"SOURCE REVIEW")&gt;0,"SOURCE REVIEW",IF(COUNTIFS('Monthly Project Activity'!$A$2:$A$101,A5,'Monthly Project Activity'!$D$2:$D$101,B5,'Monthly Project Activity'!$F$2:$F$101,C5,'Monthly Project Activity'!$O$2:$O$101,"APPROVED")&gt;0,"FX APPROVED (METADATA)","NO FX EXCEPTION"))))</x:f>
        <x:v>NO FX EXCEPTION</x:v>
      </x:c>
    </x:row>
    <x:row r="6">
      <x:c r="A6" t="str">
        <x:v>2026-10</x:v>
      </x:c>
      <x:c r="B6" t="str">
        <x:v>Strategic Services</x:v>
      </x:c>
      <x:c r="C6" t="str">
        <x:v>MX</x:v>
      </x:c>
      <x:c r="D6" t="n">
        <x:f>SUMIFS('Monthly Project Activity'!$G$2:$G$101,'Monthly Project Activity'!$A$2:$A$101,$A6,'Monthly Project Activity'!$D$2:$D$101,$B6,'Monthly Project Activity'!$F$2:$F$101,$C6)</x:f>
        <x:v>24000</x:v>
      </x:c>
      <x:c r="E6" t="str">
        <x:f>IF(COUNTIF('Invoice Register'!$M$2:$M$501,$A6)=0,"INVOICE DATA REQUIRED",SUMIFS('Invoice Register'!$N$2:$N$501,'Invoice Register'!$M$2:$M$501,$A6,'Invoice Register'!$E$2:$E$501,$B6,'Invoice Register'!$D$2:$D$501,$C6))</x:f>
        <x:v>INVOICE DATA REQUIRED</x:v>
      </x:c>
      <x:c r="F6" s="52"/>
      <x:c r="G6" s="52"/>
      <x:c r="H6" t="n">
        <x:f>SUMIFS('Monthly Project Activity'!$K$2:$K$101,'Monthly Project Activity'!$A$2:$A$101,$A6,'Monthly Project Activity'!$D$2:$D$101,$B6,'Monthly Project Activity'!$F$2:$F$101,$C6)</x:f>
        <x:v>20000</x:v>
      </x:c>
      <x:c r="I6" s="52"/>
      <x:c r="J6" t="str">
        <x:f>IF(COUNTIFS('Monthly Project Activity'!$A$2:$A$101,A6,'Monthly Project Activity'!$D$2:$D$101,B6,'Monthly Project Activity'!$F$2:$F$101,C6)=0,"NO ACTIVITY","ERP SUMMARY / REVIEW")</x:f>
        <x:v>ERP SUMMARY / REVIEW</x:v>
      </x:c>
      <x:c r="K6" s="25" t="str">
        <x:f>IF(A6="","",IF(COUNTIFS('Monthly Project Activity'!$A$2:$A$101,A6,'Monthly Project Activity'!$D$2:$D$101,B6,'Monthly Project Activity'!$F$2:$F$101,C6,'Monthly Project Activity'!$O$2:$O$101,"FX HOLD")&gt;0,"FX HOLD - PROVISIONAL USD",IF(COUNTIFS('Monthly Project Activity'!$A$2:$A$101,A6,'Monthly Project Activity'!$D$2:$D$101,B6,'Monthly Project Activity'!$F$2:$F$101,C6,'Monthly Project Activity'!$O$2:$O$101,"SOURCE REVIEW")&gt;0,"SOURCE REVIEW",IF(COUNTIFS('Monthly Project Activity'!$A$2:$A$101,A6,'Monthly Project Activity'!$D$2:$D$101,B6,'Monthly Project Activity'!$F$2:$F$101,C6,'Monthly Project Activity'!$O$2:$O$101,"APPROVED")&gt;0,"FX APPROVED (METADATA)","NO FX EXCEPTION"))))</x:f>
        <x:v>NO FX EXCEPTION</x:v>
      </x:c>
    </x:row>
    <x:row r="7">
      <x:c r="A7" t="str">
        <x:v>2026-10</x:v>
      </x:c>
      <x:c r="B7" t="str">
        <x:v>Strategic Services</x:v>
      </x:c>
      <x:c r="C7" t="str">
        <x:v>US</x:v>
      </x:c>
      <x:c r="D7" t="n">
        <x:f>SUMIFS('Monthly Project Activity'!$G$2:$G$101,'Monthly Project Activity'!$A$2:$A$101,$A7,'Monthly Project Activity'!$D$2:$D$101,$B7,'Monthly Project Activity'!$F$2:$F$101,$C7)</x:f>
        <x:v>0</x:v>
      </x:c>
      <x:c r="E7" t="str">
        <x:f>IF(COUNTIF('Invoice Register'!$M$2:$M$501,$A7)=0,"INVOICE DATA REQUIRED",SUMIFS('Invoice Register'!$N$2:$N$501,'Invoice Register'!$M$2:$M$501,$A7,'Invoice Register'!$E$2:$E$501,$B7,'Invoice Register'!$D$2:$D$501,$C7))</x:f>
        <x:v>INVOICE DATA REQUIRED</x:v>
      </x:c>
      <x:c r="F7" s="52"/>
      <x:c r="G7" s="52"/>
      <x:c r="H7" t="n">
        <x:f>SUMIFS('Monthly Project Activity'!$K$2:$K$101,'Monthly Project Activity'!$A$2:$A$101,$A7,'Monthly Project Activity'!$D$2:$D$101,$B7,'Monthly Project Activity'!$F$2:$F$101,$C7)</x:f>
        <x:v>0</x:v>
      </x:c>
      <x:c r="I7" s="52"/>
      <x:c r="J7" t="str">
        <x:f>IF(COUNTIFS('Monthly Project Activity'!$A$2:$A$101,A7,'Monthly Project Activity'!$D$2:$D$101,B7,'Monthly Project Activity'!$F$2:$F$101,C7)=0,"NO ACTIVITY","ERP SUMMARY / REVIEW")</x:f>
        <x:v>NO ACTIVITY</x:v>
      </x:c>
      <x:c r="K7" s="25" t="str">
        <x:f>IF(A7="","",IF(COUNTIFS('Monthly Project Activity'!$A$2:$A$101,A7,'Monthly Project Activity'!$D$2:$D$101,B7,'Monthly Project Activity'!$F$2:$F$101,C7,'Monthly Project Activity'!$O$2:$O$101,"FX HOLD")&gt;0,"FX HOLD - PROVISIONAL USD",IF(COUNTIFS('Monthly Project Activity'!$A$2:$A$101,A7,'Monthly Project Activity'!$D$2:$D$101,B7,'Monthly Project Activity'!$F$2:$F$101,C7,'Monthly Project Activity'!$O$2:$O$101,"SOURCE REVIEW")&gt;0,"SOURCE REVIEW",IF(COUNTIFS('Monthly Project Activity'!$A$2:$A$101,A7,'Monthly Project Activity'!$D$2:$D$101,B7,'Monthly Project Activity'!$F$2:$F$101,C7,'Monthly Project Activity'!$O$2:$O$101,"APPROVED")&gt;0,"FX APPROVED (METADATA)","NO FX EXCEPTION"))))</x:f>
        <x:v>NO FX EXCEPTION</x:v>
      </x:c>
    </x:row>
    <x:row r="8">
      <x:c r="A8" t="str">
        <x:v>2026-10</x:v>
      </x:c>
      <x:c r="B8" t="str">
        <x:v>Brands</x:v>
      </x:c>
      <x:c r="C8" t="str">
        <x:v>MX</x:v>
      </x:c>
      <x:c r="D8" t="n">
        <x:f>SUMIFS('Monthly Project Activity'!$G$2:$G$101,'Monthly Project Activity'!$A$2:$A$101,$A8,'Monthly Project Activity'!$D$2:$D$101,$B8,'Monthly Project Activity'!$F$2:$F$101,$C8)</x:f>
        <x:v>0</x:v>
      </x:c>
      <x:c r="E8" t="str">
        <x:f>IF(COUNTIF('Invoice Register'!$M$2:$M$501,$A8)=0,"INVOICE DATA REQUIRED",SUMIFS('Invoice Register'!$N$2:$N$501,'Invoice Register'!$M$2:$M$501,$A8,'Invoice Register'!$E$2:$E$501,$B8,'Invoice Register'!$D$2:$D$501,$C8))</x:f>
        <x:v>INVOICE DATA REQUIRED</x:v>
      </x:c>
      <x:c r="F8" s="52"/>
      <x:c r="G8" s="52"/>
      <x:c r="H8" t="n">
        <x:f>SUMIFS('Monthly Project Activity'!$K$2:$K$101,'Monthly Project Activity'!$A$2:$A$101,$A8,'Monthly Project Activity'!$D$2:$D$101,$B8,'Monthly Project Activity'!$F$2:$F$101,$C8)</x:f>
        <x:v>11000</x:v>
      </x:c>
      <x:c r="I8" s="52"/>
      <x:c r="J8" t="str">
        <x:f>IF(COUNTIFS('Monthly Project Activity'!$A$2:$A$101,A8,'Monthly Project Activity'!$D$2:$D$101,B8,'Monthly Project Activity'!$F$2:$F$101,C8)=0,"NO ACTIVITY","ERP SUMMARY / REVIEW")</x:f>
        <x:v>ERP SUMMARY / REVIEW</x:v>
      </x:c>
      <x:c r="K8" s="25" t="str">
        <x:f>IF(A8="","",IF(COUNTIFS('Monthly Project Activity'!$A$2:$A$101,A8,'Monthly Project Activity'!$D$2:$D$101,B8,'Monthly Project Activity'!$F$2:$F$101,C8,'Monthly Project Activity'!$O$2:$O$101,"FX HOLD")&gt;0,"FX HOLD - PROVISIONAL USD",IF(COUNTIFS('Monthly Project Activity'!$A$2:$A$101,A8,'Monthly Project Activity'!$D$2:$D$101,B8,'Monthly Project Activity'!$F$2:$F$101,C8,'Monthly Project Activity'!$O$2:$O$101,"SOURCE REVIEW")&gt;0,"SOURCE REVIEW",IF(COUNTIFS('Monthly Project Activity'!$A$2:$A$101,A8,'Monthly Project Activity'!$D$2:$D$101,B8,'Monthly Project Activity'!$F$2:$F$101,C8,'Monthly Project Activity'!$O$2:$O$101,"APPROVED")&gt;0,"FX APPROVED (METADATA)","NO FX EXCEPTION"))))</x:f>
        <x:v>FX APPROVED (METADATA)</x:v>
      </x:c>
    </x:row>
    <x:row r="9">
      <x:c r="A9" t="str">
        <x:v>2026-10</x:v>
      </x:c>
      <x:c r="B9" t="str">
        <x:v>Brands</x:v>
      </x:c>
      <x:c r="C9" t="str">
        <x:v>US</x:v>
      </x:c>
      <x:c r="D9" t="n">
        <x:f>SUMIFS('Monthly Project Activity'!$G$2:$G$101,'Monthly Project Activity'!$A$2:$A$101,$A9,'Monthly Project Activity'!$D$2:$D$101,$B9,'Monthly Project Activity'!$F$2:$F$101,$C9)</x:f>
        <x:v>0</x:v>
      </x:c>
      <x:c r="E9" t="str">
        <x:f>IF(COUNTIF('Invoice Register'!$M$2:$M$501,$A9)=0,"INVOICE DATA REQUIRED",SUMIFS('Invoice Register'!$N$2:$N$501,'Invoice Register'!$M$2:$M$501,$A9,'Invoice Register'!$E$2:$E$501,$B9,'Invoice Register'!$D$2:$D$501,$C9))</x:f>
        <x:v>INVOICE DATA REQUIRED</x:v>
      </x:c>
      <x:c r="F9" s="52"/>
      <x:c r="G9" s="52"/>
      <x:c r="H9" t="n">
        <x:f>SUMIFS('Monthly Project Activity'!$K$2:$K$101,'Monthly Project Activity'!$A$2:$A$101,$A9,'Monthly Project Activity'!$D$2:$D$101,$B9,'Monthly Project Activity'!$F$2:$F$101,$C9)</x:f>
        <x:v>12000</x:v>
      </x:c>
      <x:c r="I9" s="52"/>
      <x:c r="J9" t="str">
        <x:f>IF(COUNTIFS('Monthly Project Activity'!$A$2:$A$101,A9,'Monthly Project Activity'!$D$2:$D$101,B9,'Monthly Project Activity'!$F$2:$F$101,C9)=0,"NO ACTIVITY","ERP SUMMARY / REVIEW")</x:f>
        <x:v>ERP SUMMARY / REVIEW</x:v>
      </x:c>
      <x:c r="K9" s="25" t="str">
        <x:f>IF(A9="","",IF(COUNTIFS('Monthly Project Activity'!$A$2:$A$101,A9,'Monthly Project Activity'!$D$2:$D$101,B9,'Monthly Project Activity'!$F$2:$F$101,C9,'Monthly Project Activity'!$O$2:$O$101,"FX HOLD")&gt;0,"FX HOLD - PROVISIONAL USD",IF(COUNTIFS('Monthly Project Activity'!$A$2:$A$101,A9,'Monthly Project Activity'!$D$2:$D$101,B9,'Monthly Project Activity'!$F$2:$F$101,C9,'Monthly Project Activity'!$O$2:$O$101,"SOURCE REVIEW")&gt;0,"SOURCE REVIEW",IF(COUNTIFS('Monthly Project Activity'!$A$2:$A$101,A9,'Monthly Project Activity'!$D$2:$D$101,B9,'Monthly Project Activity'!$F$2:$F$101,C9,'Monthly Project Activity'!$O$2:$O$101,"APPROVED")&gt;0,"FX APPROVED (METADATA)","NO FX EXCEPTION"))))</x:f>
        <x:v>NO FX EXCEPTION</x:v>
      </x:c>
    </x:row>
    <x:row r="10">
      <x:c r="K10" s="25" t="str">
        <x:f>IF(A10="","",IF(COUNTIFS('Monthly Project Activity'!$A$2:$A$101,A10,'Monthly Project Activity'!$D$2:$D$101,B10,'Monthly Project Activity'!$F$2:$F$101,C10,'Monthly Project Activity'!$O$2:$O$101,"FX HOLD")&gt;0,"FX HOLD - PROVISIONAL USD",IF(COUNTIFS('Monthly Project Activity'!$A$2:$A$101,A10,'Monthly Project Activity'!$D$2:$D$101,B10,'Monthly Project Activity'!$F$2:$F$101,C10,'Monthly Project Activity'!$O$2:$O$101,"SOURCE REVIEW")&gt;0,"SOURCE REVIEW",IF(COUNTIFS('Monthly Project Activity'!$A$2:$A$101,A10,'Monthly Project Activity'!$D$2:$D$101,B10,'Monthly Project Activity'!$F$2:$F$101,C10,'Monthly Project Activity'!$O$2:$O$101,"APPROVED")&gt;0,"FX APPROVED (METADATA)","NO FX EXCEPTION"))))</x:f>
      </x:c>
    </x:row>
    <x:row r="11">
      <x:c r="K11" s="25" t="str">
        <x:f>IF(A11="","",IF(COUNTIFS('Monthly Project Activity'!$A$2:$A$101,A11,'Monthly Project Activity'!$D$2:$D$101,B11,'Monthly Project Activity'!$F$2:$F$101,C11,'Monthly Project Activity'!$O$2:$O$101,"FX HOLD")&gt;0,"FX HOLD - PROVISIONAL USD",IF(COUNTIFS('Monthly Project Activity'!$A$2:$A$101,A11,'Monthly Project Activity'!$D$2:$D$101,B11,'Monthly Project Activity'!$F$2:$F$101,C11,'Monthly Project Activity'!$O$2:$O$101,"SOURCE REVIEW")&gt;0,"SOURCE REVIEW",IF(COUNTIFS('Monthly Project Activity'!$A$2:$A$101,A11,'Monthly Project Activity'!$D$2:$D$101,B11,'Monthly Project Activity'!$F$2:$F$101,C11,'Monthly Project Activity'!$O$2:$O$101,"APPROVED")&gt;0,"FX APPROVED (METADATA)","NO FX EXCEPTION"))))</x:f>
      </x:c>
    </x:row>
    <x:row r="12">
      <x:c r="K12" s="25" t="str">
        <x:f>IF(A12="","",IF(COUNTIFS('Monthly Project Activity'!$A$2:$A$101,A12,'Monthly Project Activity'!$D$2:$D$101,B12,'Monthly Project Activity'!$F$2:$F$101,C12,'Monthly Project Activity'!$O$2:$O$101,"FX HOLD")&gt;0,"FX HOLD - PROVISIONAL USD",IF(COUNTIFS('Monthly Project Activity'!$A$2:$A$101,A12,'Monthly Project Activity'!$D$2:$D$101,B12,'Monthly Project Activity'!$F$2:$F$101,C12,'Monthly Project Activity'!$O$2:$O$101,"SOURCE REVIEW")&gt;0,"SOURCE REVIEW",IF(COUNTIFS('Monthly Project Activity'!$A$2:$A$101,A12,'Monthly Project Activity'!$D$2:$D$101,B12,'Monthly Project Activity'!$F$2:$F$101,C12,'Monthly Project Activity'!$O$2:$O$101,"APPROVED")&gt;0,"FX APPROVED (METADATA)","NO FX EXCEPTION"))))</x:f>
      </x:c>
    </x:row>
    <x:row r="13">
      <x:c r="K13" s="25" t="str">
        <x:f>IF(A13="","",IF(COUNTIFS('Monthly Project Activity'!$A$2:$A$101,A13,'Monthly Project Activity'!$D$2:$D$101,B13,'Monthly Project Activity'!$F$2:$F$101,C13,'Monthly Project Activity'!$O$2:$O$101,"FX HOLD")&gt;0,"FX HOLD - PROVISIONAL USD",IF(COUNTIFS('Monthly Project Activity'!$A$2:$A$101,A13,'Monthly Project Activity'!$D$2:$D$101,B13,'Monthly Project Activity'!$F$2:$F$101,C13,'Monthly Project Activity'!$O$2:$O$101,"SOURCE REVIEW")&gt;0,"SOURCE REVIEW",IF(COUNTIFS('Monthly Project Activity'!$A$2:$A$101,A13,'Monthly Project Activity'!$D$2:$D$101,B13,'Monthly Project Activity'!$F$2:$F$101,C13,'Monthly Project Activity'!$O$2:$O$101,"APPROVED")&gt;0,"FX APPROVED (METADATA)","NO FX EXCEPTION"))))</x:f>
      </x:c>
    </x:row>
    <x:row r="14">
      <x:c r="K14" s="25" t="str">
        <x:f>IF(A14="","",IF(COUNTIFS('Monthly Project Activity'!$A$2:$A$101,A14,'Monthly Project Activity'!$D$2:$D$101,B14,'Monthly Project Activity'!$F$2:$F$101,C14,'Monthly Project Activity'!$O$2:$O$101,"FX HOLD")&gt;0,"FX HOLD - PROVISIONAL USD",IF(COUNTIFS('Monthly Project Activity'!$A$2:$A$101,A14,'Monthly Project Activity'!$D$2:$D$101,B14,'Monthly Project Activity'!$F$2:$F$101,C14,'Monthly Project Activity'!$O$2:$O$101,"SOURCE REVIEW")&gt;0,"SOURCE REVIEW",IF(COUNTIFS('Monthly Project Activity'!$A$2:$A$101,A14,'Monthly Project Activity'!$D$2:$D$101,B14,'Monthly Project Activity'!$F$2:$F$101,C14,'Monthly Project Activity'!$O$2:$O$101,"APPROVED")&gt;0,"FX APPROVED (METADATA)","NO FX EXCEPTION"))))</x:f>
      </x:c>
    </x:row>
    <x:row r="15">
      <x:c r="K15" s="25" t="str">
        <x:f>IF(A15="","",IF(COUNTIFS('Monthly Project Activity'!$A$2:$A$101,A15,'Monthly Project Activity'!$D$2:$D$101,B15,'Monthly Project Activity'!$F$2:$F$101,C15,'Monthly Project Activity'!$O$2:$O$101,"FX HOLD")&gt;0,"FX HOLD - PROVISIONAL USD",IF(COUNTIFS('Monthly Project Activity'!$A$2:$A$101,A15,'Monthly Project Activity'!$D$2:$D$101,B15,'Monthly Project Activity'!$F$2:$F$101,C15,'Monthly Project Activity'!$O$2:$O$101,"SOURCE REVIEW")&gt;0,"SOURCE REVIEW",IF(COUNTIFS('Monthly Project Activity'!$A$2:$A$101,A15,'Monthly Project Activity'!$D$2:$D$101,B15,'Monthly Project Activity'!$F$2:$F$101,C15,'Monthly Project Activity'!$O$2:$O$101,"APPROVED")&gt;0,"FX APPROVED (METADATA)","NO FX EXCEPTION"))))</x:f>
      </x:c>
    </x:row>
    <x:row r="16">
      <x:c r="K16" s="25" t="str">
        <x:f>IF(A16="","",IF(COUNTIFS('Monthly Project Activity'!$A$2:$A$101,A16,'Monthly Project Activity'!$D$2:$D$101,B16,'Monthly Project Activity'!$F$2:$F$101,C16,'Monthly Project Activity'!$O$2:$O$101,"FX HOLD")&gt;0,"FX HOLD - PROVISIONAL USD",IF(COUNTIFS('Monthly Project Activity'!$A$2:$A$101,A16,'Monthly Project Activity'!$D$2:$D$101,B16,'Monthly Project Activity'!$F$2:$F$101,C16,'Monthly Project Activity'!$O$2:$O$101,"SOURCE REVIEW")&gt;0,"SOURCE REVIEW",IF(COUNTIFS('Monthly Project Activity'!$A$2:$A$101,A16,'Monthly Project Activity'!$D$2:$D$101,B16,'Monthly Project Activity'!$F$2:$F$101,C16,'Monthly Project Activity'!$O$2:$O$101,"APPROVED")&gt;0,"FX APPROVED (METADATA)","NO FX EXCEPTION"))))</x:f>
      </x:c>
    </x:row>
    <x:row r="17">
      <x:c r="K17" s="25" t="str">
        <x:f>IF(A17="","",IF(COUNTIFS('Monthly Project Activity'!$A$2:$A$101,A17,'Monthly Project Activity'!$D$2:$D$101,B17,'Monthly Project Activity'!$F$2:$F$101,C17,'Monthly Project Activity'!$O$2:$O$101,"FX HOLD")&gt;0,"FX HOLD - PROVISIONAL USD",IF(COUNTIFS('Monthly Project Activity'!$A$2:$A$101,A17,'Monthly Project Activity'!$D$2:$D$101,B17,'Monthly Project Activity'!$F$2:$F$101,C17,'Monthly Project Activity'!$O$2:$O$101,"SOURCE REVIEW")&gt;0,"SOURCE REVIEW",IF(COUNTIFS('Monthly Project Activity'!$A$2:$A$101,A17,'Monthly Project Activity'!$D$2:$D$101,B17,'Monthly Project Activity'!$F$2:$F$101,C17,'Monthly Project Activity'!$O$2:$O$101,"APPROVED")&gt;0,"FX APPROVED (METADATA)","NO FX EXCEPTION"))))</x:f>
      </x:c>
    </x:row>
    <x:row r="18">
      <x:c r="K18" s="25" t="str">
        <x:f>IF(A18="","",IF(COUNTIFS('Monthly Project Activity'!$A$2:$A$101,A18,'Monthly Project Activity'!$D$2:$D$101,B18,'Monthly Project Activity'!$F$2:$F$101,C18,'Monthly Project Activity'!$O$2:$O$101,"FX HOLD")&gt;0,"FX HOLD - PROVISIONAL USD",IF(COUNTIFS('Monthly Project Activity'!$A$2:$A$101,A18,'Monthly Project Activity'!$D$2:$D$101,B18,'Monthly Project Activity'!$F$2:$F$101,C18,'Monthly Project Activity'!$O$2:$O$101,"SOURCE REVIEW")&gt;0,"SOURCE REVIEW",IF(COUNTIFS('Monthly Project Activity'!$A$2:$A$101,A18,'Monthly Project Activity'!$D$2:$D$101,B18,'Monthly Project Activity'!$F$2:$F$101,C18,'Monthly Project Activity'!$O$2:$O$101,"APPROVED")&gt;0,"FX APPROVED (METADATA)","NO FX EXCEPTION"))))</x:f>
      </x:c>
    </x:row>
    <x:row r="19">
      <x:c r="K19" s="25" t="str">
        <x:f>IF(A19="","",IF(COUNTIFS('Monthly Project Activity'!$A$2:$A$101,A19,'Monthly Project Activity'!$D$2:$D$101,B19,'Monthly Project Activity'!$F$2:$F$101,C19,'Monthly Project Activity'!$O$2:$O$101,"FX HOLD")&gt;0,"FX HOLD - PROVISIONAL USD",IF(COUNTIFS('Monthly Project Activity'!$A$2:$A$101,A19,'Monthly Project Activity'!$D$2:$D$101,B19,'Monthly Project Activity'!$F$2:$F$101,C19,'Monthly Project Activity'!$O$2:$O$101,"SOURCE REVIEW")&gt;0,"SOURCE REVIEW",IF(COUNTIFS('Monthly Project Activity'!$A$2:$A$101,A19,'Monthly Project Activity'!$D$2:$D$101,B19,'Monthly Project Activity'!$F$2:$F$101,C19,'Monthly Project Activity'!$O$2:$O$101,"APPROVED")&gt;0,"FX APPROVED (METADATA)","NO FX EXCEPTION"))))</x:f>
      </x:c>
    </x:row>
    <x:row r="20">
      <x:c r="K20" s="25" t="str">
        <x:f>IF(A20="","",IF(COUNTIFS('Monthly Project Activity'!$A$2:$A$101,A20,'Monthly Project Activity'!$D$2:$D$101,B20,'Monthly Project Activity'!$F$2:$F$101,C20,'Monthly Project Activity'!$O$2:$O$101,"FX HOLD")&gt;0,"FX HOLD - PROVISIONAL USD",IF(COUNTIFS('Monthly Project Activity'!$A$2:$A$101,A20,'Monthly Project Activity'!$D$2:$D$101,B20,'Monthly Project Activity'!$F$2:$F$101,C20,'Monthly Project Activity'!$O$2:$O$101,"SOURCE REVIEW")&gt;0,"SOURCE REVIEW",IF(COUNTIFS('Monthly Project Activity'!$A$2:$A$101,A20,'Monthly Project Activity'!$D$2:$D$101,B20,'Monthly Project Activity'!$F$2:$F$101,C20,'Monthly Project Activity'!$O$2:$O$101,"APPROVED")&gt;0,"FX APPROVED (METADATA)","NO FX EXCEPTION"))))</x:f>
      </x:c>
    </x:row>
    <x:row r="21">
      <x:c r="K21" s="25" t="str">
        <x:f>IF(A21="","",IF(COUNTIFS('Monthly Project Activity'!$A$2:$A$101,A21,'Monthly Project Activity'!$D$2:$D$101,B21,'Monthly Project Activity'!$F$2:$F$101,C21,'Monthly Project Activity'!$O$2:$O$101,"FX HOLD")&gt;0,"FX HOLD - PROVISIONAL USD",IF(COUNTIFS('Monthly Project Activity'!$A$2:$A$101,A21,'Monthly Project Activity'!$D$2:$D$101,B21,'Monthly Project Activity'!$F$2:$F$101,C21,'Monthly Project Activity'!$O$2:$O$101,"SOURCE REVIEW")&gt;0,"SOURCE REVIEW",IF(COUNTIFS('Monthly Project Activity'!$A$2:$A$101,A21,'Monthly Project Activity'!$D$2:$D$101,B21,'Monthly Project Activity'!$F$2:$F$101,C21,'Monthly Project Activity'!$O$2:$O$101,"APPROVED")&gt;0,"FX APPROVED (METADATA)","NO FX EXCEPTION"))))</x:f>
      </x:c>
    </x:row>
    <x:row r="22">
      <x:c r="K22" s="25" t="str">
        <x:f>IF(A22="","",IF(COUNTIFS('Monthly Project Activity'!$A$2:$A$101,A22,'Monthly Project Activity'!$D$2:$D$101,B22,'Monthly Project Activity'!$F$2:$F$101,C22,'Monthly Project Activity'!$O$2:$O$101,"FX HOLD")&gt;0,"FX HOLD - PROVISIONAL USD",IF(COUNTIFS('Monthly Project Activity'!$A$2:$A$101,A22,'Monthly Project Activity'!$D$2:$D$101,B22,'Monthly Project Activity'!$F$2:$F$101,C22,'Monthly Project Activity'!$O$2:$O$101,"SOURCE REVIEW")&gt;0,"SOURCE REVIEW",IF(COUNTIFS('Monthly Project Activity'!$A$2:$A$101,A22,'Monthly Project Activity'!$D$2:$D$101,B22,'Monthly Project Activity'!$F$2:$F$101,C22,'Monthly Project Activity'!$O$2:$O$101,"APPROVED")&gt;0,"FX APPROVED (METADATA)","NO FX EXCEPTION"))))</x:f>
      </x:c>
    </x:row>
    <x:row r="23">
      <x:c r="K23" s="25" t="str">
        <x:f>IF(A23="","",IF(COUNTIFS('Monthly Project Activity'!$A$2:$A$101,A23,'Monthly Project Activity'!$D$2:$D$101,B23,'Monthly Project Activity'!$F$2:$F$101,C23,'Monthly Project Activity'!$O$2:$O$101,"FX HOLD")&gt;0,"FX HOLD - PROVISIONAL USD",IF(COUNTIFS('Monthly Project Activity'!$A$2:$A$101,A23,'Monthly Project Activity'!$D$2:$D$101,B23,'Monthly Project Activity'!$F$2:$F$101,C23,'Monthly Project Activity'!$O$2:$O$101,"SOURCE REVIEW")&gt;0,"SOURCE REVIEW",IF(COUNTIFS('Monthly Project Activity'!$A$2:$A$101,A23,'Monthly Project Activity'!$D$2:$D$101,B23,'Monthly Project Activity'!$F$2:$F$101,C23,'Monthly Project Activity'!$O$2:$O$101,"APPROVED")&gt;0,"FX APPROVED (METADATA)","NO FX EXCEPTION"))))</x:f>
      </x:c>
    </x:row>
    <x:row r="24">
      <x:c r="K24" s="25" t="str">
        <x:f>IF(A24="","",IF(COUNTIFS('Monthly Project Activity'!$A$2:$A$101,A24,'Monthly Project Activity'!$D$2:$D$101,B24,'Monthly Project Activity'!$F$2:$F$101,C24,'Monthly Project Activity'!$O$2:$O$101,"FX HOLD")&gt;0,"FX HOLD - PROVISIONAL USD",IF(COUNTIFS('Monthly Project Activity'!$A$2:$A$101,A24,'Monthly Project Activity'!$D$2:$D$101,B24,'Monthly Project Activity'!$F$2:$F$101,C24,'Monthly Project Activity'!$O$2:$O$101,"SOURCE REVIEW")&gt;0,"SOURCE REVIEW",IF(COUNTIFS('Monthly Project Activity'!$A$2:$A$101,A24,'Monthly Project Activity'!$D$2:$D$101,B24,'Monthly Project Activity'!$F$2:$F$101,C24,'Monthly Project Activity'!$O$2:$O$101,"APPROVED")&gt;0,"FX APPROVED (METADATA)","NO FX EXCEPTION"))))</x:f>
      </x:c>
    </x:row>
    <x:row r="25">
      <x:c r="K25" s="25" t="str">
        <x:f>IF(A25="","",IF(COUNTIFS('Monthly Project Activity'!$A$2:$A$101,A25,'Monthly Project Activity'!$D$2:$D$101,B25,'Monthly Project Activity'!$F$2:$F$101,C25,'Monthly Project Activity'!$O$2:$O$101,"FX HOLD")&gt;0,"FX HOLD - PROVISIONAL USD",IF(COUNTIFS('Monthly Project Activity'!$A$2:$A$101,A25,'Monthly Project Activity'!$D$2:$D$101,B25,'Monthly Project Activity'!$F$2:$F$101,C25,'Monthly Project Activity'!$O$2:$O$101,"SOURCE REVIEW")&gt;0,"SOURCE REVIEW",IF(COUNTIFS('Monthly Project Activity'!$A$2:$A$101,A25,'Monthly Project Activity'!$D$2:$D$101,B25,'Monthly Project Activity'!$F$2:$F$101,C25,'Monthly Project Activity'!$O$2:$O$101,"APPROVED")&gt;0,"FX APPROVED (METADATA)","NO FX EXCEPTION"))))</x:f>
      </x:c>
    </x:row>
    <x:row r="26">
      <x:c r="K26" s="25" t="str">
        <x:f>IF(A26="","",IF(COUNTIFS('Monthly Project Activity'!$A$2:$A$101,A26,'Monthly Project Activity'!$D$2:$D$101,B26,'Monthly Project Activity'!$F$2:$F$101,C26,'Monthly Project Activity'!$O$2:$O$101,"FX HOLD")&gt;0,"FX HOLD - PROVISIONAL USD",IF(COUNTIFS('Monthly Project Activity'!$A$2:$A$101,A26,'Monthly Project Activity'!$D$2:$D$101,B26,'Monthly Project Activity'!$F$2:$F$101,C26,'Monthly Project Activity'!$O$2:$O$101,"SOURCE REVIEW")&gt;0,"SOURCE REVIEW",IF(COUNTIFS('Monthly Project Activity'!$A$2:$A$101,A26,'Monthly Project Activity'!$D$2:$D$101,B26,'Monthly Project Activity'!$F$2:$F$101,C26,'Monthly Project Activity'!$O$2:$O$101,"APPROVED")&gt;0,"FX APPROVED (METADATA)","NO FX EXCEPTION"))))</x:f>
      </x:c>
    </x:row>
    <x:row r="27">
      <x:c r="K27" s="25" t="str">
        <x:f>IF(A27="","",IF(COUNTIFS('Monthly Project Activity'!$A$2:$A$101,A27,'Monthly Project Activity'!$D$2:$D$101,B27,'Monthly Project Activity'!$F$2:$F$101,C27,'Monthly Project Activity'!$O$2:$O$101,"FX HOLD")&gt;0,"FX HOLD - PROVISIONAL USD",IF(COUNTIFS('Monthly Project Activity'!$A$2:$A$101,A27,'Monthly Project Activity'!$D$2:$D$101,B27,'Monthly Project Activity'!$F$2:$F$101,C27,'Monthly Project Activity'!$O$2:$O$101,"SOURCE REVIEW")&gt;0,"SOURCE REVIEW",IF(COUNTIFS('Monthly Project Activity'!$A$2:$A$101,A27,'Monthly Project Activity'!$D$2:$D$101,B27,'Monthly Project Activity'!$F$2:$F$101,C27,'Monthly Project Activity'!$O$2:$O$101,"APPROVED")&gt;0,"FX APPROVED (METADATA)","NO FX EXCEPTION"))))</x:f>
      </x:c>
    </x:row>
    <x:row r="28">
      <x:c r="K28" s="25" t="str">
        <x:f>IF(A28="","",IF(COUNTIFS('Monthly Project Activity'!$A$2:$A$101,A28,'Monthly Project Activity'!$D$2:$D$101,B28,'Monthly Project Activity'!$F$2:$F$101,C28,'Monthly Project Activity'!$O$2:$O$101,"FX HOLD")&gt;0,"FX HOLD - PROVISIONAL USD",IF(COUNTIFS('Monthly Project Activity'!$A$2:$A$101,A28,'Monthly Project Activity'!$D$2:$D$101,B28,'Monthly Project Activity'!$F$2:$F$101,C28,'Monthly Project Activity'!$O$2:$O$101,"SOURCE REVIEW")&gt;0,"SOURCE REVIEW",IF(COUNTIFS('Monthly Project Activity'!$A$2:$A$101,A28,'Monthly Project Activity'!$D$2:$D$101,B28,'Monthly Project Activity'!$F$2:$F$101,C28,'Monthly Project Activity'!$O$2:$O$101,"APPROVED")&gt;0,"FX APPROVED (METADATA)","NO FX EXCEPTION"))))</x:f>
      </x:c>
    </x:row>
    <x:row r="29">
      <x:c r="K29" s="25" t="str">
        <x:f>IF(A29="","",IF(COUNTIFS('Monthly Project Activity'!$A$2:$A$101,A29,'Monthly Project Activity'!$D$2:$D$101,B29,'Monthly Project Activity'!$F$2:$F$101,C29,'Monthly Project Activity'!$O$2:$O$101,"FX HOLD")&gt;0,"FX HOLD - PROVISIONAL USD",IF(COUNTIFS('Monthly Project Activity'!$A$2:$A$101,A29,'Monthly Project Activity'!$D$2:$D$101,B29,'Monthly Project Activity'!$F$2:$F$101,C29,'Monthly Project Activity'!$O$2:$O$101,"SOURCE REVIEW")&gt;0,"SOURCE REVIEW",IF(COUNTIFS('Monthly Project Activity'!$A$2:$A$101,A29,'Monthly Project Activity'!$D$2:$D$101,B29,'Monthly Project Activity'!$F$2:$F$101,C29,'Monthly Project Activity'!$O$2:$O$101,"APPROVED")&gt;0,"FX APPROVED (METADATA)","NO FX EXCEPTION"))))</x:f>
      </x:c>
    </x:row>
    <x:row r="30">
      <x:c r="K30" s="25" t="str">
        <x:f>IF(A30="","",IF(COUNTIFS('Monthly Project Activity'!$A$2:$A$101,A30,'Monthly Project Activity'!$D$2:$D$101,B30,'Monthly Project Activity'!$F$2:$F$101,C30,'Monthly Project Activity'!$O$2:$O$101,"FX HOLD")&gt;0,"FX HOLD - PROVISIONAL USD",IF(COUNTIFS('Monthly Project Activity'!$A$2:$A$101,A30,'Monthly Project Activity'!$D$2:$D$101,B30,'Monthly Project Activity'!$F$2:$F$101,C30,'Monthly Project Activity'!$O$2:$O$101,"SOURCE REVIEW")&gt;0,"SOURCE REVIEW",IF(COUNTIFS('Monthly Project Activity'!$A$2:$A$101,A30,'Monthly Project Activity'!$D$2:$D$101,B30,'Monthly Project Activity'!$F$2:$F$101,C30,'Monthly Project Activity'!$O$2:$O$101,"APPROVED")&gt;0,"FX APPROVED (METADATA)","NO FX EXCEPTION"))))</x:f>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42" customHeight="1">
      <x:c r="A1" s="13" t="str">
        <x:v>Month YYYY-MM</x:v>
      </x:c>
      <x:c r="B1" s="13" t="str">
        <x:v>Brand</x:v>
      </x:c>
      <x:c r="C1" s="13" t="str">
        <x:v>Selling Entity</x:v>
      </x:c>
      <x:c r="D1" s="13" t="str">
        <x:v>PO intake USD</x:v>
      </x:c>
      <x:c r="E1" s="13" t="str">
        <x:v>Invoiced USD - valid subtotal</x:v>
      </x:c>
      <x:c r="F1" s="66" t="str">
        <x:v>REMOVED - payment metric</x:v>
      </x:c>
      <x:c r="G1" s="66" t="str">
        <x:v>REMOVED - payment metric</x:v>
      </x:c>
      <x:c r="H1" s="13" t="str">
        <x:v>ERP cost recognized USD</x:v>
      </x:c>
    </x:row>
    <x:row r="2">
      <x:c r="A2" t="str">
        <x:v>2026-09</x:v>
      </x:c>
      <x:c r="B2" t="str">
        <x:v>Desoutter</x:v>
      </x:c>
      <x:c r="C2" t="str">
        <x:v>MX</x:v>
      </x:c>
      <x:c r="D2" t="n">
        <x:f>SUMIFS('Monthly Project Activity'!$G$2:$G$101,'Monthly Project Activity'!$A$2:$A$101,$A2,'Monthly Project Activity'!$E$2:$E$101,$B2,'Monthly Project Activity'!$F$2:$F$101,$C2,'Monthly Project Activity'!$D$2:$D$101,"Brands")</x:f>
        <x:v>41000</x:v>
      </x:c>
      <x:c r="E2" t="str">
        <x:f>IF(COUNTIF('Invoice Register'!$M$2:$M$501,$A2)=0,"INVOICE DATA REQUIRED",SUMIFS('Invoice Register'!$N$2:$N$501,'Invoice Register'!$M$2:$M$501,$A2,'Invoice Register'!$F$2:$F$501,$B2,'Invoice Register'!$D$2:$D$501,$C2))</x:f>
        <x:v>INVOICE DATA REQUIRED</x:v>
      </x:c>
      <x:c r="F2" s="52"/>
      <x:c r="G2" s="52"/>
      <x:c r="H2" t="n">
        <x:f>SUMIFS('Monthly Project Activity'!$K$2:$K$101,'Monthly Project Activity'!$A$2:$A$101,$A2,'Monthly Project Activity'!$E$2:$E$101,$B2,'Monthly Project Activity'!$F$2:$F$101,$C2,'Monthly Project Activity'!$D$2:$D$101,"Brands")</x:f>
        <x:v>18000</x:v>
      </x:c>
    </x:row>
    <x:row r="3">
      <x:c r="A3" t="str">
        <x:v>2026-09</x:v>
      </x:c>
      <x:c r="B3" t="str">
        <x:v>Desoutter</x:v>
      </x:c>
      <x:c r="C3" t="str">
        <x:v>US</x:v>
      </x:c>
      <x:c r="D3" t="n">
        <x:f>SUMIFS('Monthly Project Activity'!$G$2:$G$101,'Monthly Project Activity'!$A$2:$A$101,$A3,'Monthly Project Activity'!$E$2:$E$101,$B3,'Monthly Project Activity'!$F$2:$F$101,$C3,'Monthly Project Activity'!$D$2:$D$101,"Brands")</x:f>
        <x:v>0</x:v>
      </x:c>
      <x:c r="E3" t="str">
        <x:f>IF(COUNTIF('Invoice Register'!$M$2:$M$501,$A3)=0,"INVOICE DATA REQUIRED",SUMIFS('Invoice Register'!$N$2:$N$501,'Invoice Register'!$M$2:$M$501,$A3,'Invoice Register'!$F$2:$F$501,$B3,'Invoice Register'!$D$2:$D$501,$C3))</x:f>
        <x:v>INVOICE DATA REQUIRED</x:v>
      </x:c>
      <x:c r="F3" s="52"/>
      <x:c r="G3" s="52"/>
      <x:c r="H3" t="n">
        <x:f>SUMIFS('Monthly Project Activity'!$K$2:$K$101,'Monthly Project Activity'!$A$2:$A$101,$A3,'Monthly Project Activity'!$E$2:$E$101,$B3,'Monthly Project Activity'!$F$2:$F$101,$C3,'Monthly Project Activity'!$D$2:$D$101,"Brands")</x:f>
        <x:v>0</x:v>
      </x:c>
    </x:row>
    <x:row r="4">
      <x:c r="A4" t="str">
        <x:v>2026-09</x:v>
      </x:c>
      <x:c r="B4" t="str">
        <x:v>Datalogic</x:v>
      </x:c>
      <x:c r="C4" t="str">
        <x:v>MX</x:v>
      </x:c>
      <x:c r="D4" t="n">
        <x:f>SUMIFS('Monthly Project Activity'!$G$2:$G$101,'Monthly Project Activity'!$A$2:$A$101,$A4,'Monthly Project Activity'!$E$2:$E$101,$B4,'Monthly Project Activity'!$F$2:$F$101,$C4,'Monthly Project Activity'!$D$2:$D$101,"Brands")</x:f>
        <x:v>0</x:v>
      </x:c>
      <x:c r="E4" t="str">
        <x:f>IF(COUNTIF('Invoice Register'!$M$2:$M$501,$A4)=0,"INVOICE DATA REQUIRED",SUMIFS('Invoice Register'!$N$2:$N$501,'Invoice Register'!$M$2:$M$501,$A4,'Invoice Register'!$F$2:$F$501,$B4,'Invoice Register'!$D$2:$D$501,$C4))</x:f>
        <x:v>INVOICE DATA REQUIRED</x:v>
      </x:c>
      <x:c r="F4" s="52"/>
      <x:c r="G4" s="52"/>
      <x:c r="H4" t="n">
        <x:f>SUMIFS('Monthly Project Activity'!$K$2:$K$101,'Monthly Project Activity'!$A$2:$A$101,$A4,'Monthly Project Activity'!$E$2:$E$101,$B4,'Monthly Project Activity'!$F$2:$F$101,$C4,'Monthly Project Activity'!$D$2:$D$101,"Brands")</x:f>
        <x:v>0</x:v>
      </x:c>
    </x:row>
    <x:row r="5">
      <x:c r="A5" t="str">
        <x:v>2026-09</x:v>
      </x:c>
      <x:c r="B5" t="str">
        <x:v>Datalogic</x:v>
      </x:c>
      <x:c r="C5" t="str">
        <x:v>US</x:v>
      </x:c>
      <x:c r="D5" t="n">
        <x:f>SUMIFS('Monthly Project Activity'!$G$2:$G$101,'Monthly Project Activity'!$A$2:$A$101,$A5,'Monthly Project Activity'!$E$2:$E$101,$B5,'Monthly Project Activity'!$F$2:$F$101,$C5,'Monthly Project Activity'!$D$2:$D$101,"Brands")</x:f>
        <x:v>34000</x:v>
      </x:c>
      <x:c r="E5" t="str">
        <x:f>IF(COUNTIF('Invoice Register'!$M$2:$M$501,$A5)=0,"INVOICE DATA REQUIRED",SUMIFS('Invoice Register'!$N$2:$N$501,'Invoice Register'!$M$2:$M$501,$A5,'Invoice Register'!$F$2:$F$501,$B5,'Invoice Register'!$D$2:$D$501,$C5))</x:f>
        <x:v>INVOICE DATA REQUIRED</x:v>
      </x:c>
      <x:c r="F5" s="52"/>
      <x:c r="G5" s="52"/>
      <x:c r="H5" t="n">
        <x:f>SUMIFS('Monthly Project Activity'!$K$2:$K$101,'Monthly Project Activity'!$A$2:$A$101,$A5,'Monthly Project Activity'!$E$2:$E$101,$B5,'Monthly Project Activity'!$F$2:$F$101,$C5,'Monthly Project Activity'!$D$2:$D$101,"Brands")</x:f>
        <x:v>9000</x:v>
      </x:c>
    </x:row>
    <x:row r="6">
      <x:c r="A6" t="str">
        <x:v>2026-09</x:v>
      </x:c>
      <x:c r="B6" t="str">
        <x:v>Graco</x:v>
      </x:c>
      <x:c r="C6" t="str">
        <x:v>MX</x:v>
      </x:c>
      <x:c r="D6" t="n">
        <x:f>SUMIFS('Monthly Project Activity'!$G$2:$G$101,'Monthly Project Activity'!$A$2:$A$101,$A6,'Monthly Project Activity'!$E$2:$E$101,$B6,'Monthly Project Activity'!$F$2:$F$101,$C6,'Monthly Project Activity'!$D$2:$D$101,"Brands")</x:f>
        <x:v>0</x:v>
      </x:c>
      <x:c r="E6" t="str">
        <x:f>IF(COUNTIF('Invoice Register'!$M$2:$M$501,$A6)=0,"INVOICE DATA REQUIRED",SUMIFS('Invoice Register'!$N$2:$N$501,'Invoice Register'!$M$2:$M$501,$A6,'Invoice Register'!$F$2:$F$501,$B6,'Invoice Register'!$D$2:$D$501,$C6))</x:f>
        <x:v>INVOICE DATA REQUIRED</x:v>
      </x:c>
      <x:c r="F6" s="52"/>
      <x:c r="G6" s="52"/>
      <x:c r="H6" t="n">
        <x:f>SUMIFS('Monthly Project Activity'!$K$2:$K$101,'Monthly Project Activity'!$A$2:$A$101,$A6,'Monthly Project Activity'!$E$2:$E$101,$B6,'Monthly Project Activity'!$F$2:$F$101,$C6,'Monthly Project Activity'!$D$2:$D$101,"Brands")</x:f>
        <x:v>0</x:v>
      </x:c>
    </x:row>
    <x:row r="7">
      <x:c r="A7" t="str">
        <x:v>2026-09</x:v>
      </x:c>
      <x:c r="B7" t="str">
        <x:v>Graco</x:v>
      </x:c>
      <x:c r="C7" t="str">
        <x:v>US</x:v>
      </x:c>
      <x:c r="D7" t="n">
        <x:f>SUMIFS('Monthly Project Activity'!$G$2:$G$101,'Monthly Project Activity'!$A$2:$A$101,$A7,'Monthly Project Activity'!$E$2:$E$101,$B7,'Monthly Project Activity'!$F$2:$F$101,$C7,'Monthly Project Activity'!$D$2:$D$101,"Brands")</x:f>
        <x:v>0</x:v>
      </x:c>
      <x:c r="E7" t="str">
        <x:f>IF(COUNTIF('Invoice Register'!$M$2:$M$501,$A7)=0,"INVOICE DATA REQUIRED",SUMIFS('Invoice Register'!$N$2:$N$501,'Invoice Register'!$M$2:$M$501,$A7,'Invoice Register'!$F$2:$F$501,$B7,'Invoice Register'!$D$2:$D$501,$C7))</x:f>
        <x:v>INVOICE DATA REQUIRED</x:v>
      </x:c>
      <x:c r="F7" s="52"/>
      <x:c r="G7" s="52"/>
      <x:c r="H7" t="n">
        <x:f>SUMIFS('Monthly Project Activity'!$K$2:$K$101,'Monthly Project Activity'!$A$2:$A$101,$A7,'Monthly Project Activity'!$E$2:$E$101,$B7,'Monthly Project Activity'!$F$2:$F$101,$C7,'Monthly Project Activity'!$D$2:$D$101,"Brands")</x:f>
        <x:v>0</x:v>
      </x:c>
    </x:row>
    <x:row r="8">
      <x:c r="A8" t="str">
        <x:v>2026-09</x:v>
      </x:c>
      <x:c r="B8" t="str">
        <x:v>Chicago Pneumatic</x:v>
      </x:c>
      <x:c r="C8" t="str">
        <x:v>MX</x:v>
      </x:c>
      <x:c r="D8" t="n">
        <x:f>SUMIFS('Monthly Project Activity'!$G$2:$G$101,'Monthly Project Activity'!$A$2:$A$101,$A8,'Monthly Project Activity'!$E$2:$E$101,$B8,'Monthly Project Activity'!$F$2:$F$101,$C8,'Monthly Project Activity'!$D$2:$D$101,"Brands")</x:f>
        <x:v>0</x:v>
      </x:c>
      <x:c r="E8" t="str">
        <x:f>IF(COUNTIF('Invoice Register'!$M$2:$M$501,$A8)=0,"INVOICE DATA REQUIRED",SUMIFS('Invoice Register'!$N$2:$N$501,'Invoice Register'!$M$2:$M$501,$A8,'Invoice Register'!$F$2:$F$501,$B8,'Invoice Register'!$D$2:$D$501,$C8))</x:f>
        <x:v>INVOICE DATA REQUIRED</x:v>
      </x:c>
      <x:c r="F8" s="52"/>
      <x:c r="G8" s="52"/>
      <x:c r="H8" t="n">
        <x:f>SUMIFS('Monthly Project Activity'!$K$2:$K$101,'Monthly Project Activity'!$A$2:$A$101,$A8,'Monthly Project Activity'!$E$2:$E$101,$B8,'Monthly Project Activity'!$F$2:$F$101,$C8,'Monthly Project Activity'!$D$2:$D$101,"Brands")</x:f>
        <x:v>0</x:v>
      </x:c>
    </x:row>
    <x:row r="9">
      <x:c r="A9" t="str">
        <x:v>2026-09</x:v>
      </x:c>
      <x:c r="B9" t="str">
        <x:v>Chicago Pneumatic</x:v>
      </x:c>
      <x:c r="C9" t="str">
        <x:v>US</x:v>
      </x:c>
      <x:c r="D9" t="n">
        <x:f>SUMIFS('Monthly Project Activity'!$G$2:$G$101,'Monthly Project Activity'!$A$2:$A$101,$A9,'Monthly Project Activity'!$E$2:$E$101,$B9,'Monthly Project Activity'!$F$2:$F$101,$C9,'Monthly Project Activity'!$D$2:$D$101,"Brands")</x:f>
        <x:v>0</x:v>
      </x:c>
      <x:c r="E9" t="str">
        <x:f>IF(COUNTIF('Invoice Register'!$M$2:$M$501,$A9)=0,"INVOICE DATA REQUIRED",SUMIFS('Invoice Register'!$N$2:$N$501,'Invoice Register'!$M$2:$M$501,$A9,'Invoice Register'!$F$2:$F$501,$B9,'Invoice Register'!$D$2:$D$501,$C9))</x:f>
        <x:v>INVOICE DATA REQUIRED</x:v>
      </x:c>
      <x:c r="F9" s="52"/>
      <x:c r="G9" s="52"/>
      <x:c r="H9" t="n">
        <x:f>SUMIFS('Monthly Project Activity'!$K$2:$K$101,'Monthly Project Activity'!$A$2:$A$101,$A9,'Monthly Project Activity'!$E$2:$E$101,$B9,'Monthly Project Activity'!$F$2:$F$101,$C9,'Monthly Project Activity'!$D$2:$D$101,"Brands")</x:f>
        <x:v>0</x:v>
      </x:c>
    </x:row>
    <x:row r="10">
      <x:c r="A10" t="str">
        <x:v>2026-09</x:v>
      </x:c>
      <x:c r="B10" t="str">
        <x:v>Ohtake</x:v>
      </x:c>
      <x:c r="C10" t="str">
        <x:v>MX</x:v>
      </x:c>
      <x:c r="D10" t="n">
        <x:f>SUMIFS('Monthly Project Activity'!$G$2:$G$101,'Monthly Project Activity'!$A$2:$A$101,$A10,'Monthly Project Activity'!$E$2:$E$101,$B10,'Monthly Project Activity'!$F$2:$F$101,$C10,'Monthly Project Activity'!$D$2:$D$101,"Brands")</x:f>
        <x:v>0</x:v>
      </x:c>
      <x:c r="E10" t="str">
        <x:f>IF(COUNTIF('Invoice Register'!$M$2:$M$501,$A10)=0,"INVOICE DATA REQUIRED",SUMIFS('Invoice Register'!$N$2:$N$501,'Invoice Register'!$M$2:$M$501,$A10,'Invoice Register'!$F$2:$F$501,$B10,'Invoice Register'!$D$2:$D$501,$C10))</x:f>
        <x:v>INVOICE DATA REQUIRED</x:v>
      </x:c>
      <x:c r="F10" s="52"/>
      <x:c r="G10" s="52"/>
      <x:c r="H10" t="n">
        <x:f>SUMIFS('Monthly Project Activity'!$K$2:$K$101,'Monthly Project Activity'!$A$2:$A$101,$A10,'Monthly Project Activity'!$E$2:$E$101,$B10,'Monthly Project Activity'!$F$2:$F$101,$C10,'Monthly Project Activity'!$D$2:$D$101,"Brands")</x:f>
        <x:v>0</x:v>
      </x:c>
    </x:row>
    <x:row r="11">
      <x:c r="A11" t="str">
        <x:v>2026-09</x:v>
      </x:c>
      <x:c r="B11" t="str">
        <x:v>Ohtake</x:v>
      </x:c>
      <x:c r="C11" t="str">
        <x:v>US</x:v>
      </x:c>
      <x:c r="D11" t="n">
        <x:f>SUMIFS('Monthly Project Activity'!$G$2:$G$101,'Monthly Project Activity'!$A$2:$A$101,$A11,'Monthly Project Activity'!$E$2:$E$101,$B11,'Monthly Project Activity'!$F$2:$F$101,$C11,'Monthly Project Activity'!$D$2:$D$101,"Brands")</x:f>
        <x:v>0</x:v>
      </x:c>
      <x:c r="E11" t="str">
        <x:f>IF(COUNTIF('Invoice Register'!$M$2:$M$501,$A11)=0,"INVOICE DATA REQUIRED",SUMIFS('Invoice Register'!$N$2:$N$501,'Invoice Register'!$M$2:$M$501,$A11,'Invoice Register'!$F$2:$F$501,$B11,'Invoice Register'!$D$2:$D$501,$C11))</x:f>
        <x:v>INVOICE DATA REQUIRED</x:v>
      </x:c>
      <x:c r="F11" s="52"/>
      <x:c r="G11" s="52"/>
      <x:c r="H11" t="n">
        <x:f>SUMIFS('Monthly Project Activity'!$K$2:$K$101,'Monthly Project Activity'!$A$2:$A$101,$A11,'Monthly Project Activity'!$E$2:$E$101,$B11,'Monthly Project Activity'!$F$2:$F$101,$C11,'Monthly Project Activity'!$D$2:$D$101,"Brands")</x:f>
        <x:v>0</x:v>
      </x:c>
    </x:row>
    <x:row r="12">
      <x:c r="A12" t="str">
        <x:v>2026-09</x:v>
      </x:c>
      <x:c r="B12" t="str">
        <x:v>Other / configurable</x:v>
      </x:c>
      <x:c r="C12" t="str">
        <x:v>MX</x:v>
      </x:c>
      <x:c r="D12" t="n">
        <x:f>SUMIFS('Monthly Project Activity'!$G$2:$G$101,'Monthly Project Activity'!$A$2:$A$101,$A12,'Monthly Project Activity'!$E$2:$E$101,$B12,'Monthly Project Activity'!$F$2:$F$101,$C12,'Monthly Project Activity'!$D$2:$D$101,"Brands")</x:f>
        <x:v>0</x:v>
      </x:c>
      <x:c r="E12" t="str">
        <x:f>IF(COUNTIF('Invoice Register'!$M$2:$M$501,$A12)=0,"INVOICE DATA REQUIRED",SUMIFS('Invoice Register'!$N$2:$N$501,'Invoice Register'!$M$2:$M$501,$A12,'Invoice Register'!$F$2:$F$501,$B12,'Invoice Register'!$D$2:$D$501,$C12))</x:f>
        <x:v>INVOICE DATA REQUIRED</x:v>
      </x:c>
      <x:c r="F12" s="52"/>
      <x:c r="G12" s="52"/>
      <x:c r="H12" t="n">
        <x:f>SUMIFS('Monthly Project Activity'!$K$2:$K$101,'Monthly Project Activity'!$A$2:$A$101,$A12,'Monthly Project Activity'!$E$2:$E$101,$B12,'Monthly Project Activity'!$F$2:$F$101,$C12,'Monthly Project Activity'!$D$2:$D$101,"Brands")</x:f>
        <x:v>0</x:v>
      </x:c>
    </x:row>
    <x:row r="13">
      <x:c r="A13" t="str">
        <x:v>2026-09</x:v>
      </x:c>
      <x:c r="B13" t="str">
        <x:v>Other / configurable</x:v>
      </x:c>
      <x:c r="C13" t="str">
        <x:v>US</x:v>
      </x:c>
      <x:c r="D13" t="n">
        <x:f>SUMIFS('Monthly Project Activity'!$G$2:$G$101,'Monthly Project Activity'!$A$2:$A$101,$A13,'Monthly Project Activity'!$E$2:$E$101,$B13,'Monthly Project Activity'!$F$2:$F$101,$C13,'Monthly Project Activity'!$D$2:$D$101,"Brands")</x:f>
        <x:v>0</x:v>
      </x:c>
      <x:c r="E13" t="str">
        <x:f>IF(COUNTIF('Invoice Register'!$M$2:$M$501,$A13)=0,"INVOICE DATA REQUIRED",SUMIFS('Invoice Register'!$N$2:$N$501,'Invoice Register'!$M$2:$M$501,$A13,'Invoice Register'!$F$2:$F$501,$B13,'Invoice Register'!$D$2:$D$501,$C13))</x:f>
        <x:v>INVOICE DATA REQUIRED</x:v>
      </x:c>
      <x:c r="F13" s="52"/>
      <x:c r="G13" s="52"/>
      <x:c r="H13" t="n">
        <x:f>SUMIFS('Monthly Project Activity'!$K$2:$K$101,'Monthly Project Activity'!$A$2:$A$101,$A13,'Monthly Project Activity'!$E$2:$E$101,$B13,'Monthly Project Activity'!$F$2:$F$101,$C13,'Monthly Project Activity'!$D$2:$D$101,"Brands")</x:f>
        <x:v>0</x:v>
      </x:c>
    </x:row>
    <x:row r="14">
      <x:c r="A14" t="str">
        <x:v>2026-10</x:v>
      </x:c>
      <x:c r="B14" t="str">
        <x:v>Desoutter</x:v>
      </x:c>
      <x:c r="C14" t="str">
        <x:v>MX</x:v>
      </x:c>
      <x:c r="D14" t="n">
        <x:f>SUMIFS('Monthly Project Activity'!$G$2:$G$101,'Monthly Project Activity'!$A$2:$A$101,$A14,'Monthly Project Activity'!$E$2:$E$101,$B14,'Monthly Project Activity'!$F$2:$F$101,$C14,'Monthly Project Activity'!$D$2:$D$101,"Brands")</x:f>
        <x:v>0</x:v>
      </x:c>
      <x:c r="E14" t="str">
        <x:f>IF(COUNTIF('Invoice Register'!$M$2:$M$501,$A14)=0,"INVOICE DATA REQUIRED",SUMIFS('Invoice Register'!$N$2:$N$501,'Invoice Register'!$M$2:$M$501,$A14,'Invoice Register'!$F$2:$F$501,$B14,'Invoice Register'!$D$2:$D$501,$C14))</x:f>
        <x:v>INVOICE DATA REQUIRED</x:v>
      </x:c>
      <x:c r="F14" s="52"/>
      <x:c r="G14" s="52"/>
      <x:c r="H14" t="n">
        <x:f>SUMIFS('Monthly Project Activity'!$K$2:$K$101,'Monthly Project Activity'!$A$2:$A$101,$A14,'Monthly Project Activity'!$E$2:$E$101,$B14,'Monthly Project Activity'!$F$2:$F$101,$C14,'Monthly Project Activity'!$D$2:$D$101,"Brands")</x:f>
        <x:v>11000</x:v>
      </x:c>
    </x:row>
    <x:row r="15">
      <x:c r="A15" t="str">
        <x:v>2026-10</x:v>
      </x:c>
      <x:c r="B15" t="str">
        <x:v>Desoutter</x:v>
      </x:c>
      <x:c r="C15" t="str">
        <x:v>US</x:v>
      </x:c>
      <x:c r="D15" t="n">
        <x:f>SUMIFS('Monthly Project Activity'!$G$2:$G$101,'Monthly Project Activity'!$A$2:$A$101,$A15,'Monthly Project Activity'!$E$2:$E$101,$B15,'Monthly Project Activity'!$F$2:$F$101,$C15,'Monthly Project Activity'!$D$2:$D$101,"Brands")</x:f>
        <x:v>0</x:v>
      </x:c>
      <x:c r="E15" t="str">
        <x:f>IF(COUNTIF('Invoice Register'!$M$2:$M$501,$A15)=0,"INVOICE DATA REQUIRED",SUMIFS('Invoice Register'!$N$2:$N$501,'Invoice Register'!$M$2:$M$501,$A15,'Invoice Register'!$F$2:$F$501,$B15,'Invoice Register'!$D$2:$D$501,$C15))</x:f>
        <x:v>INVOICE DATA REQUIRED</x:v>
      </x:c>
      <x:c r="F15" s="52"/>
      <x:c r="G15" s="52"/>
      <x:c r="H15" t="n">
        <x:f>SUMIFS('Monthly Project Activity'!$K$2:$K$101,'Monthly Project Activity'!$A$2:$A$101,$A15,'Monthly Project Activity'!$E$2:$E$101,$B15,'Monthly Project Activity'!$F$2:$F$101,$C15,'Monthly Project Activity'!$D$2:$D$101,"Brands")</x:f>
        <x:v>0</x:v>
      </x:c>
    </x:row>
    <x:row r="16">
      <x:c r="A16" t="str">
        <x:v>2026-10</x:v>
      </x:c>
      <x:c r="B16" t="str">
        <x:v>Datalogic</x:v>
      </x:c>
      <x:c r="C16" t="str">
        <x:v>MX</x:v>
      </x:c>
      <x:c r="D16" t="n">
        <x:f>SUMIFS('Monthly Project Activity'!$G$2:$G$101,'Monthly Project Activity'!$A$2:$A$101,$A16,'Monthly Project Activity'!$E$2:$E$101,$B16,'Monthly Project Activity'!$F$2:$F$101,$C16,'Monthly Project Activity'!$D$2:$D$101,"Brands")</x:f>
        <x:v>0</x:v>
      </x:c>
      <x:c r="E16" t="str">
        <x:f>IF(COUNTIF('Invoice Register'!$M$2:$M$501,$A16)=0,"INVOICE DATA REQUIRED",SUMIFS('Invoice Register'!$N$2:$N$501,'Invoice Register'!$M$2:$M$501,$A16,'Invoice Register'!$F$2:$F$501,$B16,'Invoice Register'!$D$2:$D$501,$C16))</x:f>
        <x:v>INVOICE DATA REQUIRED</x:v>
      </x:c>
      <x:c r="F16" s="52"/>
      <x:c r="G16" s="52"/>
      <x:c r="H16" t="n">
        <x:f>SUMIFS('Monthly Project Activity'!$K$2:$K$101,'Monthly Project Activity'!$A$2:$A$101,$A16,'Monthly Project Activity'!$E$2:$E$101,$B16,'Monthly Project Activity'!$F$2:$F$101,$C16,'Monthly Project Activity'!$D$2:$D$101,"Brands")</x:f>
        <x:v>0</x:v>
      </x:c>
    </x:row>
    <x:row r="17">
      <x:c r="A17" t="str">
        <x:v>2026-10</x:v>
      </x:c>
      <x:c r="B17" t="str">
        <x:v>Datalogic</x:v>
      </x:c>
      <x:c r="C17" t="str">
        <x:v>US</x:v>
      </x:c>
      <x:c r="D17" t="n">
        <x:f>SUMIFS('Monthly Project Activity'!$G$2:$G$101,'Monthly Project Activity'!$A$2:$A$101,$A17,'Monthly Project Activity'!$E$2:$E$101,$B17,'Monthly Project Activity'!$F$2:$F$101,$C17,'Monthly Project Activity'!$D$2:$D$101,"Brands")</x:f>
        <x:v>0</x:v>
      </x:c>
      <x:c r="E17" t="str">
        <x:f>IF(COUNTIF('Invoice Register'!$M$2:$M$501,$A17)=0,"INVOICE DATA REQUIRED",SUMIFS('Invoice Register'!$N$2:$N$501,'Invoice Register'!$M$2:$M$501,$A17,'Invoice Register'!$F$2:$F$501,$B17,'Invoice Register'!$D$2:$D$501,$C17))</x:f>
        <x:v>INVOICE DATA REQUIRED</x:v>
      </x:c>
      <x:c r="F17" s="52"/>
      <x:c r="G17" s="52"/>
      <x:c r="H17" t="n">
        <x:f>SUMIFS('Monthly Project Activity'!$K$2:$K$101,'Monthly Project Activity'!$A$2:$A$101,$A17,'Monthly Project Activity'!$E$2:$E$101,$B17,'Monthly Project Activity'!$F$2:$F$101,$C17,'Monthly Project Activity'!$D$2:$D$101,"Brands")</x:f>
        <x:v>12000</x:v>
      </x:c>
    </x:row>
    <x:row r="18">
      <x:c r="A18" t="str">
        <x:v>2026-10</x:v>
      </x:c>
      <x:c r="B18" t="str">
        <x:v>Graco</x:v>
      </x:c>
      <x:c r="C18" t="str">
        <x:v>MX</x:v>
      </x:c>
      <x:c r="D18" t="n">
        <x:f>SUMIFS('Monthly Project Activity'!$G$2:$G$101,'Monthly Project Activity'!$A$2:$A$101,$A18,'Monthly Project Activity'!$E$2:$E$101,$B18,'Monthly Project Activity'!$F$2:$F$101,$C18,'Monthly Project Activity'!$D$2:$D$101,"Brands")</x:f>
        <x:v>0</x:v>
      </x:c>
      <x:c r="E18" t="str">
        <x:f>IF(COUNTIF('Invoice Register'!$M$2:$M$501,$A18)=0,"INVOICE DATA REQUIRED",SUMIFS('Invoice Register'!$N$2:$N$501,'Invoice Register'!$M$2:$M$501,$A18,'Invoice Register'!$F$2:$F$501,$B18,'Invoice Register'!$D$2:$D$501,$C18))</x:f>
        <x:v>INVOICE DATA REQUIRED</x:v>
      </x:c>
      <x:c r="F18" s="52"/>
      <x:c r="G18" s="52"/>
      <x:c r="H18" t="n">
        <x:f>SUMIFS('Monthly Project Activity'!$K$2:$K$101,'Monthly Project Activity'!$A$2:$A$101,$A18,'Monthly Project Activity'!$E$2:$E$101,$B18,'Monthly Project Activity'!$F$2:$F$101,$C18,'Monthly Project Activity'!$D$2:$D$101,"Brands")</x:f>
        <x:v>0</x:v>
      </x:c>
    </x:row>
    <x:row r="19">
      <x:c r="A19" t="str">
        <x:v>2026-10</x:v>
      </x:c>
      <x:c r="B19" t="str">
        <x:v>Graco</x:v>
      </x:c>
      <x:c r="C19" t="str">
        <x:v>US</x:v>
      </x:c>
      <x:c r="D19" t="n">
        <x:f>SUMIFS('Monthly Project Activity'!$G$2:$G$101,'Monthly Project Activity'!$A$2:$A$101,$A19,'Monthly Project Activity'!$E$2:$E$101,$B19,'Monthly Project Activity'!$F$2:$F$101,$C19,'Monthly Project Activity'!$D$2:$D$101,"Brands")</x:f>
        <x:v>0</x:v>
      </x:c>
      <x:c r="E19" t="str">
        <x:f>IF(COUNTIF('Invoice Register'!$M$2:$M$501,$A19)=0,"INVOICE DATA REQUIRED",SUMIFS('Invoice Register'!$N$2:$N$501,'Invoice Register'!$M$2:$M$501,$A19,'Invoice Register'!$F$2:$F$501,$B19,'Invoice Register'!$D$2:$D$501,$C19))</x:f>
        <x:v>INVOICE DATA REQUIRED</x:v>
      </x:c>
      <x:c r="F19" s="52"/>
      <x:c r="G19" s="52"/>
      <x:c r="H19" t="n">
        <x:f>SUMIFS('Monthly Project Activity'!$K$2:$K$101,'Monthly Project Activity'!$A$2:$A$101,$A19,'Monthly Project Activity'!$E$2:$E$101,$B19,'Monthly Project Activity'!$F$2:$F$101,$C19,'Monthly Project Activity'!$D$2:$D$101,"Brands")</x:f>
        <x:v>0</x:v>
      </x:c>
    </x:row>
    <x:row r="20">
      <x:c r="A20" t="str">
        <x:v>2026-10</x:v>
      </x:c>
      <x:c r="B20" t="str">
        <x:v>Chicago Pneumatic</x:v>
      </x:c>
      <x:c r="C20" t="str">
        <x:v>MX</x:v>
      </x:c>
      <x:c r="D20" t="n">
        <x:f>SUMIFS('Monthly Project Activity'!$G$2:$G$101,'Monthly Project Activity'!$A$2:$A$101,$A20,'Monthly Project Activity'!$E$2:$E$101,$B20,'Monthly Project Activity'!$F$2:$F$101,$C20,'Monthly Project Activity'!$D$2:$D$101,"Brands")</x:f>
        <x:v>0</x:v>
      </x:c>
      <x:c r="E20" t="str">
        <x:f>IF(COUNTIF('Invoice Register'!$M$2:$M$501,$A20)=0,"INVOICE DATA REQUIRED",SUMIFS('Invoice Register'!$N$2:$N$501,'Invoice Register'!$M$2:$M$501,$A20,'Invoice Register'!$F$2:$F$501,$B20,'Invoice Register'!$D$2:$D$501,$C20))</x:f>
        <x:v>INVOICE DATA REQUIRED</x:v>
      </x:c>
      <x:c r="F20" s="52"/>
      <x:c r="G20" s="52"/>
      <x:c r="H20" t="n">
        <x:f>SUMIFS('Monthly Project Activity'!$K$2:$K$101,'Monthly Project Activity'!$A$2:$A$101,$A20,'Monthly Project Activity'!$E$2:$E$101,$B20,'Monthly Project Activity'!$F$2:$F$101,$C20,'Monthly Project Activity'!$D$2:$D$101,"Brands")</x:f>
        <x:v>0</x:v>
      </x:c>
    </x:row>
    <x:row r="21">
      <x:c r="A21" t="str">
        <x:v>2026-10</x:v>
      </x:c>
      <x:c r="B21" t="str">
        <x:v>Chicago Pneumatic</x:v>
      </x:c>
      <x:c r="C21" t="str">
        <x:v>US</x:v>
      </x:c>
      <x:c r="D21" t="n">
        <x:f>SUMIFS('Monthly Project Activity'!$G$2:$G$101,'Monthly Project Activity'!$A$2:$A$101,$A21,'Monthly Project Activity'!$E$2:$E$101,$B21,'Monthly Project Activity'!$F$2:$F$101,$C21,'Monthly Project Activity'!$D$2:$D$101,"Brands")</x:f>
        <x:v>0</x:v>
      </x:c>
      <x:c r="E21" t="str">
        <x:f>IF(COUNTIF('Invoice Register'!$M$2:$M$501,$A21)=0,"INVOICE DATA REQUIRED",SUMIFS('Invoice Register'!$N$2:$N$501,'Invoice Register'!$M$2:$M$501,$A21,'Invoice Register'!$F$2:$F$501,$B21,'Invoice Register'!$D$2:$D$501,$C21))</x:f>
        <x:v>INVOICE DATA REQUIRED</x:v>
      </x:c>
      <x:c r="F21" s="52"/>
      <x:c r="G21" s="52"/>
      <x:c r="H21" t="n">
        <x:f>SUMIFS('Monthly Project Activity'!$K$2:$K$101,'Monthly Project Activity'!$A$2:$A$101,$A21,'Monthly Project Activity'!$E$2:$E$101,$B21,'Monthly Project Activity'!$F$2:$F$101,$C21,'Monthly Project Activity'!$D$2:$D$101,"Brands")</x:f>
        <x:v>0</x:v>
      </x:c>
    </x:row>
    <x:row r="22">
      <x:c r="A22" t="str">
        <x:v>2026-10</x:v>
      </x:c>
      <x:c r="B22" t="str">
        <x:v>Ohtake</x:v>
      </x:c>
      <x:c r="C22" t="str">
        <x:v>MX</x:v>
      </x:c>
      <x:c r="D22" t="n">
        <x:f>SUMIFS('Monthly Project Activity'!$G$2:$G$101,'Monthly Project Activity'!$A$2:$A$101,$A22,'Monthly Project Activity'!$E$2:$E$101,$B22,'Monthly Project Activity'!$F$2:$F$101,$C22,'Monthly Project Activity'!$D$2:$D$101,"Brands")</x:f>
        <x:v>0</x:v>
      </x:c>
      <x:c r="E22" t="str">
        <x:f>IF(COUNTIF('Invoice Register'!$M$2:$M$501,$A22)=0,"INVOICE DATA REQUIRED",SUMIFS('Invoice Register'!$N$2:$N$501,'Invoice Register'!$M$2:$M$501,$A22,'Invoice Register'!$F$2:$F$501,$B22,'Invoice Register'!$D$2:$D$501,$C22))</x:f>
        <x:v>INVOICE DATA REQUIRED</x:v>
      </x:c>
      <x:c r="F22" s="52"/>
      <x:c r="G22" s="52"/>
      <x:c r="H22" t="n">
        <x:f>SUMIFS('Monthly Project Activity'!$K$2:$K$101,'Monthly Project Activity'!$A$2:$A$101,$A22,'Monthly Project Activity'!$E$2:$E$101,$B22,'Monthly Project Activity'!$F$2:$F$101,$C22,'Monthly Project Activity'!$D$2:$D$101,"Brands")</x:f>
        <x:v>0</x:v>
      </x:c>
    </x:row>
    <x:row r="23">
      <x:c r="A23" t="str">
        <x:v>2026-10</x:v>
      </x:c>
      <x:c r="B23" t="str">
        <x:v>Ohtake</x:v>
      </x:c>
      <x:c r="C23" t="str">
        <x:v>US</x:v>
      </x:c>
      <x:c r="D23" t="n">
        <x:f>SUMIFS('Monthly Project Activity'!$G$2:$G$101,'Monthly Project Activity'!$A$2:$A$101,$A23,'Monthly Project Activity'!$E$2:$E$101,$B23,'Monthly Project Activity'!$F$2:$F$101,$C23,'Monthly Project Activity'!$D$2:$D$101,"Brands")</x:f>
        <x:v>0</x:v>
      </x:c>
      <x:c r="E23" t="str">
        <x:f>IF(COUNTIF('Invoice Register'!$M$2:$M$501,$A23)=0,"INVOICE DATA REQUIRED",SUMIFS('Invoice Register'!$N$2:$N$501,'Invoice Register'!$M$2:$M$501,$A23,'Invoice Register'!$F$2:$F$501,$B23,'Invoice Register'!$D$2:$D$501,$C23))</x:f>
        <x:v>INVOICE DATA REQUIRED</x:v>
      </x:c>
      <x:c r="F23" s="52"/>
      <x:c r="G23" s="52"/>
      <x:c r="H23" t="n">
        <x:f>SUMIFS('Monthly Project Activity'!$K$2:$K$101,'Monthly Project Activity'!$A$2:$A$101,$A23,'Monthly Project Activity'!$E$2:$E$101,$B23,'Monthly Project Activity'!$F$2:$F$101,$C23,'Monthly Project Activity'!$D$2:$D$101,"Brands")</x:f>
        <x:v>0</x:v>
      </x:c>
    </x:row>
    <x:row r="24">
      <x:c r="A24" t="str">
        <x:v>2026-10</x:v>
      </x:c>
      <x:c r="B24" t="str">
        <x:v>Other / configurable</x:v>
      </x:c>
      <x:c r="C24" t="str">
        <x:v>MX</x:v>
      </x:c>
      <x:c r="D24" t="n">
        <x:f>SUMIFS('Monthly Project Activity'!$G$2:$G$101,'Monthly Project Activity'!$A$2:$A$101,$A24,'Monthly Project Activity'!$E$2:$E$101,$B24,'Monthly Project Activity'!$F$2:$F$101,$C24,'Monthly Project Activity'!$D$2:$D$101,"Brands")</x:f>
        <x:v>0</x:v>
      </x:c>
      <x:c r="E24" t="str">
        <x:f>IF(COUNTIF('Invoice Register'!$M$2:$M$501,$A24)=0,"INVOICE DATA REQUIRED",SUMIFS('Invoice Register'!$N$2:$N$501,'Invoice Register'!$M$2:$M$501,$A24,'Invoice Register'!$F$2:$F$501,$B24,'Invoice Register'!$D$2:$D$501,$C24))</x:f>
        <x:v>INVOICE DATA REQUIRED</x:v>
      </x:c>
      <x:c r="F24" s="52"/>
      <x:c r="G24" s="52"/>
      <x:c r="H24" t="n">
        <x:f>SUMIFS('Monthly Project Activity'!$K$2:$K$101,'Monthly Project Activity'!$A$2:$A$101,$A24,'Monthly Project Activity'!$E$2:$E$101,$B24,'Monthly Project Activity'!$F$2:$F$101,$C24,'Monthly Project Activity'!$D$2:$D$101,"Brands")</x:f>
        <x:v>0</x:v>
      </x:c>
    </x:row>
    <x:row r="25">
      <x:c r="A25" t="str">
        <x:v>2026-10</x:v>
      </x:c>
      <x:c r="B25" t="str">
        <x:v>Other / configurable</x:v>
      </x:c>
      <x:c r="C25" t="str">
        <x:v>US</x:v>
      </x:c>
      <x:c r="D25" t="n">
        <x:f>SUMIFS('Monthly Project Activity'!$G$2:$G$101,'Monthly Project Activity'!$A$2:$A$101,$A25,'Monthly Project Activity'!$E$2:$E$101,$B25,'Monthly Project Activity'!$F$2:$F$101,$C25,'Monthly Project Activity'!$D$2:$D$101,"Brands")</x:f>
        <x:v>0</x:v>
      </x:c>
      <x:c r="E25" t="str">
        <x:f>IF(COUNTIF('Invoice Register'!$M$2:$M$501,$A25)=0,"INVOICE DATA REQUIRED",SUMIFS('Invoice Register'!$N$2:$N$501,'Invoice Register'!$M$2:$M$501,$A25,'Invoice Register'!$F$2:$F$501,$B25,'Invoice Register'!$D$2:$D$501,$C25))</x:f>
        <x:v>INVOICE DATA REQUIRED</x:v>
      </x:c>
      <x:c r="F25" s="52"/>
      <x:c r="G25" s="52"/>
      <x:c r="H25" t="n">
        <x:f>SUMIFS('Monthly Project Activity'!$K$2:$K$101,'Monthly Project Activity'!$A$2:$A$101,$A25,'Monthly Project Activity'!$E$2:$E$101,$B25,'Monthly Project Activity'!$F$2:$F$101,$C25,'Monthly Project Activity'!$D$2:$D$101,"Brands")</x:f>
        <x:v>0</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00" hidden="0" customWidth="1"/>
    <x:col min="3" max="3" width="26" hidden="0" customWidth="1"/>
  </x:cols>
  <x:sheetData>
    <x:row r="1" ht="15" hidden="0" customHeight="1">
      <x:c r="A1" s="4" t="str">
        <x:v>ID</x:v>
      </x:c>
      <x:c r="B1" s="4" t="str">
        <x:v>Rule / clarification</x:v>
      </x:c>
      <x:c r="C1" s="4" t="str">
        <x:v>Decision</x:v>
      </x:c>
    </x:row>
    <x:row r="2" ht="15" hidden="0" customHeight="1">
      <x:c r="A2" s="25" t="str">
        <x:v>SCOPE</x:v>
      </x:c>
      <x:c r="B2" s="25" t="str">
        <x:v>Operational project control and monthly management reporting; payments and accounting outside scope.</x:v>
      </x:c>
      <x:c r="C2" s="25" t="str">
        <x:v>APPROVED</x:v>
      </x:c>
    </x:row>
    <x:row r="3" ht="15" hidden="0" customHeight="1">
      <x:c r="A3" s="25" t="str">
        <x:v>BU</x:v>
      </x:c>
      <x:c r="B3" s="25" t="str">
        <x:v>Business Units: Strategic Services, Brands; Automation and Machining recognized but out of scope.</x:v>
      </x:c>
      <x:c r="C3" s="25" t="str">
        <x:v>APPROVED</x:v>
      </x:c>
    </x:row>
    <x:row r="4" ht="15" hidden="0" customHeight="1">
      <x:c r="A4" s="25" t="str">
        <x:v>BRAND</x:v>
      </x:c>
      <x:c r="B4" s="25" t="str">
        <x:v>One brand per quotation; customer consolidated PO may reference several quotes/projects without duplicating order intake.</x:v>
      </x:c>
      <x:c r="C4" s="25" t="str">
        <x:v>APPROVED</x:v>
      </x:c>
    </x:row>
    <x:row r="5" ht="15" hidden="0" customHeight="1">
      <x:c r="A5" s="25" t="str">
        <x:v>ENTITY</x:v>
      </x:c>
      <x:c r="B5" s="25" t="str">
        <x:v>Selling Entity MX/US independent of Business Unit and Brand; monthly reporting by both dimensions.</x:v>
      </x:c>
      <x:c r="C5" s="25" t="str">
        <x:v>APPROVED</x:v>
      </x:c>
    </x:row>
    <x:row r="6" ht="26.399999618530273" hidden="0" customHeight="1">
      <x:c r="A6" s="25" t="str">
        <x:v>INTERCO</x:v>
      </x:c>
      <x:c r="B6" s="25" t="str">
        <x:v>For MX sale sourced via USA, USA is supplier to MX; use MX ERP purchase/cost for MX project, never double-count USA external purchase.</x:v>
      </x:c>
      <x:c r="C6" s="25" t="str">
        <x:v>APPROVED</x:v>
      </x:c>
    </x:row>
    <x:row r="7" ht="15" hidden="0" customHeight="1">
      <x:c r="A7" s="25" t="str">
        <x:v>MONTHLY</x:v>
      </x:c>
      <x:c r="B7" s="25" t="str">
        <x:v>ERP-derived monthly project activity preserved historically; weekly latest snapshot must not overwrite monthly close.</x:v>
      </x:c>
      <x:c r="C7" s="25" t="str">
        <x:v>APPROVED</x:v>
      </x:c>
    </x:row>
    <x:row r="8" ht="15" hidden="0" customHeight="1">
      <x:c r="A8" s="25" t="str">
        <x:v>PO INTAKE</x:v>
      </x:c>
      <x:c r="B8" s="25" t="str">
        <x:v>Count newly authorized customer PO value and approved incremental revisions in effective month, once only.</x:v>
      </x:c>
      <x:c r="C8" s="25" t="str">
        <x:v>PROPOSED / TEST</x:v>
      </x:c>
    </x:row>
    <x:row r="9" ht="26.399999618530273" hidden="0" customHeight="1">
      <x:c r="A9" s="25" t="str">
        <x:v>PURCHASING</x:v>
      </x:c>
      <x:c r="B9" s="25" t="str">
        <x:v>For the goods-sale operating scenario, mandatory project PO is an internal-policy premise. Budget vs supplier PO is complete only for matching cost coverage. PO values are authorized commitments, not actual cost, receipt, liability or profit.</x:v>
      </x:c>
      <x:c r="C9" s="25" t="str">
        <x:v>APPROVED</x:v>
      </x:c>
    </x:row>
    <x:row r="10" ht="15" hidden="0" customHeight="1">
      <x:c r="A10" s="25" t="str">
        <x:v>BOUNDARY</x:v>
      </x:c>
      <x:c r="B10" s="25" t="str">
        <x:v>No invoice-cost profit calculation. ERP recognized costs may be displayed separately.</x:v>
      </x:c>
      <x:c r="C10" s="25" t="str">
        <x:v>APPROVED</x:v>
      </x:c>
    </x:row>
    <x:row r="11" ht="15" hidden="0" customHeight="1">
      <x:c r="A11" s="25" t="str">
        <x:v>FX</x:v>
      </x:c>
      <x:c r="B11" s="25" t="str">
        <x:v>USD reporting; demo values normalized. Official conversion basis from ERP/Finance remains to be confirmed.</x:v>
      </x:c>
      <x:c r="C11" s="25" t="str">
        <x:v>OPEN PL-001</x:v>
      </x:c>
    </x:row>
    <x:row r="12" ht="15" hidden="0" customHeight="1">
      <x:c r="A12" s="25" t="str">
        <x:v>ERP MAPPING</x:v>
      </x:c>
      <x:c r="B12" s="25" t="str">
        <x:v>Sample monthly ledger is fictional; requires actual ERP export field mapping and reconciliation.</x:v>
      </x:c>
      <x:c r="C12" s="25" t="str">
        <x:v>OPEN</x:v>
      </x:c>
    </x:row>
    <x:row r="13" ht="15" hidden="0" customHeight="1">
      <x:c r="A13" s="25" t="str">
        <x:v>PROJECT ID</x:v>
      </x:c>
      <x:c r="B13" s="25" t="str">
        <x:v>ERP generates official consecutive project identifier, Excel never assigns it.</x:v>
      </x:c>
      <x:c r="C13" s="25" t="str">
        <x:v>APPROVED</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3" hidden="0" customWidth="1"/>
    <x:col min="2" max="2" width="23" hidden="0" customWidth="1"/>
    <x:col min="3" max="3" width="91" hidden="0" customWidth="1"/>
    <x:col min="4" max="4" width="3"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0" customHeight="1">
      <x:c r="A1" s="17" t="str">
        <x:v>BUD - PRUEBA SINTETICA 26-OCT-2026</x:v>
      </x:c>
      <x:c r="B1" s="17" t="str">
        <x:v>VALUE / PERIOD</x:v>
      </x:c>
      <x:c r="C1" s="17" t="str">
        <x:v>BUSINESS INTERPRETATION</x:v>
      </x:c>
      <x:c r="E1" s="32" t="str">
        <x:v>YEAR HISTORY</x:v>
      </x:c>
      <x:c r="F1" s="32" t="str">
        <x:v>Cut-off: B2</x:v>
      </x:c>
      <x:c r="G1" s="32"/>
      <x:c r="H1" s="32"/>
      <x:c r="I1" s="32"/>
      <x:c r="J1" s="32"/>
      <x:c r="K1" s="32"/>
      <x:c r="L1" s="32"/>
      <x:c r="M1" s="32"/>
      <x:c r="N1" s="32"/>
      <x:c r="O1" s="32"/>
      <x:c r="P1" s="32"/>
      <x:c r="Q1" s="32"/>
    </x:row>
    <x:row r="2" ht="30" customHeight="1">
      <x:c r="A2" t="str">
        <x:v>Reporting month</x:v>
      </x:c>
      <x:c r="B2" s="70" t="str">
        <x:v>2026-05</x:v>
      </x:c>
      <x:c r="C2" t="str">
        <x:v>Change B2 to YYYY-MM. Billing: Invoice Register by Invoice date; other monthly inputs: Monthly Project Activity.</x:v>
      </x:c>
      <x:c r="E2" s="37" t="str">
        <x:f>IF(1&lt;=VALUE(RIGHT($B$2,2)),LEFT($B$2,4)&amp;"-"&amp;TEXT(1,"00"),IF(1=VALUE(RIGHT($B$2,2))+1,"YTD TO CUT-OFF",""))</x:f>
        <x:v>2026-01</x:v>
      </x:c>
      <x:c r="F2" s="37" t="str">
        <x:f>IF(2&lt;=VALUE(RIGHT($B$2,2)),LEFT($B$2,4)&amp;"-"&amp;TEXT(2,"00"),IF(2=VALUE(RIGHT($B$2,2))+1,"YTD TO CUT-OFF",""))</x:f>
        <x:v>2026-02</x:v>
      </x:c>
      <x:c r="G2" s="37" t="str">
        <x:f>IF(3&lt;=VALUE(RIGHT($B$2,2)),LEFT($B$2,4)&amp;"-"&amp;TEXT(3,"00"),IF(3=VALUE(RIGHT($B$2,2))+1,"YTD TO CUT-OFF",""))</x:f>
        <x:v>2026-03</x:v>
      </x:c>
      <x:c r="H2" s="37" t="str">
        <x:f>IF(4&lt;=VALUE(RIGHT($B$2,2)),LEFT($B$2,4)&amp;"-"&amp;TEXT(4,"00"),IF(4=VALUE(RIGHT($B$2,2))+1,"YTD TO CUT-OFF",""))</x:f>
        <x:v>2026-04</x:v>
      </x:c>
      <x:c r="I2" s="37" t="str">
        <x:f>IF(5&lt;=VALUE(RIGHT($B$2,2)),LEFT($B$2,4)&amp;"-"&amp;TEXT(5,"00"),IF(5=VALUE(RIGHT($B$2,2))+1,"YTD TO CUT-OFF",""))</x:f>
        <x:v>2026-05</x:v>
      </x:c>
      <x:c r="J2" s="37" t="str">
        <x:f>IF(6&lt;=VALUE(RIGHT($B$2,2)),LEFT($B$2,4)&amp;"-"&amp;TEXT(6,"00"),IF(6=VALUE(RIGHT($B$2,2))+1,"YTD TO CUT-OFF",""))</x:f>
        <x:v>YTD TO CUT-OFF</x:v>
      </x:c>
      <x:c r="K2" s="37" t="str">
        <x:f>IF(7&lt;=VALUE(RIGHT($B$2,2)),LEFT($B$2,4)&amp;"-"&amp;TEXT(7,"00"),IF(7=VALUE(RIGHT($B$2,2))+1,"YTD TO CUT-OFF",""))</x:f>
      </x:c>
      <x:c r="L2" s="37" t="str">
        <x:f>IF(8&lt;=VALUE(RIGHT($B$2,2)),LEFT($B$2,4)&amp;"-"&amp;TEXT(8,"00"),IF(8=VALUE(RIGHT($B$2,2))+1,"YTD TO CUT-OFF",""))</x:f>
      </x:c>
      <x:c r="M2" s="37" t="str">
        <x:f>IF(9&lt;=VALUE(RIGHT($B$2,2)),LEFT($B$2,4)&amp;"-"&amp;TEXT(9,"00"),IF(9=VALUE(RIGHT($B$2,2))+1,"YTD TO CUT-OFF",""))</x:f>
      </x:c>
      <x:c r="N2" s="37" t="str">
        <x:f>IF(10&lt;=VALUE(RIGHT($B$2,2)),LEFT($B$2,4)&amp;"-"&amp;TEXT(10,"00"),IF(10=VALUE(RIGHT($B$2,2))+1,"YTD TO CUT-OFF",""))</x:f>
      </x:c>
      <x:c r="O2" s="37" t="str">
        <x:f>IF(11&lt;=VALUE(RIGHT($B$2,2)),LEFT($B$2,4)&amp;"-"&amp;TEXT(11,"00"),IF(11=VALUE(RIGHT($B$2,2))+1,"YTD TO CUT-OFF",""))</x:f>
      </x:c>
      <x:c r="P2" s="37" t="str">
        <x:f>IF(12&lt;=VALUE(RIGHT($B$2,2)),LEFT($B$2,4)&amp;"-"&amp;TEXT(12,"00"),IF(12=VALUE(RIGHT($B$2,2))+1,"YTD TO CUT-OFF",""))</x:f>
      </x:c>
      <x:c r="Q2" s="37" t="str">
        <x:f>IF(13&lt;=VALUE(RIGHT($B$2,2)),LEFT($B$2,4)&amp;"-"&amp;TEXT(13,"00"),IF(13=VALUE(RIGHT($B$2,2))+1,"YTD TO CUT-OFF",""))</x:f>
      </x:c>
    </x:row>
    <x:row r="3" ht="42" customHeight="1">
      <x:c r="E3" s="38" t="str">
        <x:f>IF(E$2="","",IF(1=VALUE(RIGHT($B$2,2))+1,"",IF(COUNTIFS('Monthly Project Activity'!$A$2:$A$101,E$2)=0,"NO DATA",IF(COUNTIFS('Monthly Project Activity'!$A$2:$A$101,E$2,'Monthly Project Activity'!$O$2:$O$101,"FX HOLD")&gt;0,"PROVISIONAL / FX HOLD","DATA AVAILABLE"))))</x:f>
        <x:v>NO DATA</x:v>
      </x:c>
      <x:c r="F3" s="38" t="str">
        <x:f>IF(F$2="","",IF(2=VALUE(RIGHT($B$2,2))+1,IF(COUNTIFS($E$3:E$3,"NO DATA")&gt;0,"INCOMPLETE", "DATA AVAILABLE")&amp;IF(COUNTIFS($E$3:E$3,"PROVISIONAL / FX HOLD")&gt;0," / FX HOLD",""),IF(COUNTIFS('Monthly Project Activity'!$A$2:$A$101,F$2)=0,"NO DATA",IF(COUNTIFS('Monthly Project Activity'!$A$2:$A$101,F$2,'Monthly Project Activity'!$O$2:$O$101,"FX HOLD")&gt;0,"PROVISIONAL / FX HOLD","DATA AVAILABLE"))))</x:f>
        <x:v>NO DATA</x:v>
      </x:c>
      <x:c r="G3" s="38" t="str">
        <x:f>IF(G$2="","",IF(3=VALUE(RIGHT($B$2,2))+1,IF(COUNTIFS($E$3:F$3,"NO DATA")&gt;0,"INCOMPLETE", "DATA AVAILABLE")&amp;IF(COUNTIFS($E$3:F$3,"PROVISIONAL / FX HOLD")&gt;0," / FX HOLD",""),IF(COUNTIFS('Monthly Project Activity'!$A$2:$A$101,G$2)=0,"NO DATA",IF(COUNTIFS('Monthly Project Activity'!$A$2:$A$101,G$2,'Monthly Project Activity'!$O$2:$O$101,"FX HOLD")&gt;0,"PROVISIONAL / FX HOLD","DATA AVAILABLE"))))</x:f>
        <x:v>NO DATA</x:v>
      </x:c>
      <x:c r="H3" s="38" t="str">
        <x:f>IF(H$2="","",IF(4=VALUE(RIGHT($B$2,2))+1,IF(COUNTIFS($E$3:G$3,"NO DATA")&gt;0,"INCOMPLETE", "DATA AVAILABLE")&amp;IF(COUNTIFS($E$3:G$3,"PROVISIONAL / FX HOLD")&gt;0," / FX HOLD",""),IF(COUNTIFS('Monthly Project Activity'!$A$2:$A$101,H$2)=0,"NO DATA",IF(COUNTIFS('Monthly Project Activity'!$A$2:$A$101,H$2,'Monthly Project Activity'!$O$2:$O$101,"FX HOLD")&gt;0,"PROVISIONAL / FX HOLD","DATA AVAILABLE"))))</x:f>
        <x:v>NO DATA</x:v>
      </x:c>
      <x:c r="I3" s="38" t="str">
        <x:f>IF(I$2="","",IF(5=VALUE(RIGHT($B$2,2))+1,IF(COUNTIFS($E$3:H$3,"NO DATA")&gt;0,"INCOMPLETE", "DATA AVAILABLE")&amp;IF(COUNTIFS($E$3:H$3,"PROVISIONAL / FX HOLD")&gt;0," / FX HOLD",""),IF(COUNTIFS('Monthly Project Activity'!$A$2:$A$101,I$2)=0,"NO DATA",IF(COUNTIFS('Monthly Project Activity'!$A$2:$A$101,I$2,'Monthly Project Activity'!$O$2:$O$101,"FX HOLD")&gt;0,"PROVISIONAL / FX HOLD","DATA AVAILABLE"))))</x:f>
        <x:v>NO DATA</x:v>
      </x:c>
      <x:c r="J3" s="38" t="str">
        <x:f>IF(J$2="","",IF(6=VALUE(RIGHT($B$2,2))+1,IF(COUNTIFS($E$3:I$3,"NO DATA")&gt;0,"INCOMPLETE", "DATA AVAILABLE")&amp;IF(COUNTIFS($E$3:I$3,"PROVISIONAL / FX HOLD")&gt;0," / FX HOLD",""),IF(COUNTIFS('Monthly Project Activity'!$A$2:$A$101,J$2)=0,"NO DATA",IF(COUNTIFS('Monthly Project Activity'!$A$2:$A$101,J$2,'Monthly Project Activity'!$O$2:$O$101,"FX HOLD")&gt;0,"PROVISIONAL / FX HOLD","DATA AVAILABLE"))))</x:f>
        <x:v>INCOMPLETE</x:v>
      </x:c>
      <x:c r="K3" s="38" t="str">
        <x:f>IF(K$2="","",IF(7=VALUE(RIGHT($B$2,2))+1,IF(COUNTIFS($E$3:J$3,"NO DATA")&gt;0,"INCOMPLETE", "DATA AVAILABLE")&amp;IF(COUNTIFS($E$3:J$3,"PROVISIONAL / FX HOLD")&gt;0," / FX HOLD",""),IF(COUNTIFS('Monthly Project Activity'!$A$2:$A$101,K$2)=0,"NO DATA",IF(COUNTIFS('Monthly Project Activity'!$A$2:$A$101,K$2,'Monthly Project Activity'!$O$2:$O$101,"FX HOLD")&gt;0,"PROVISIONAL / FX HOLD","DATA AVAILABLE"))))</x:f>
      </x:c>
      <x:c r="L3" s="38" t="str">
        <x:f>IF(L$2="","",IF(8=VALUE(RIGHT($B$2,2))+1,IF(COUNTIFS($E$3:K$3,"NO DATA")&gt;0,"INCOMPLETE", "DATA AVAILABLE")&amp;IF(COUNTIFS($E$3:K$3,"PROVISIONAL / FX HOLD")&gt;0," / FX HOLD",""),IF(COUNTIFS('Monthly Project Activity'!$A$2:$A$101,L$2)=0,"NO DATA",IF(COUNTIFS('Monthly Project Activity'!$A$2:$A$101,L$2,'Monthly Project Activity'!$O$2:$O$101,"FX HOLD")&gt;0,"PROVISIONAL / FX HOLD","DATA AVAILABLE"))))</x:f>
      </x:c>
      <x:c r="M3" s="38" t="str">
        <x:f>IF(M$2="","",IF(9=VALUE(RIGHT($B$2,2))+1,IF(COUNTIFS($E$3:L$3,"NO DATA")&gt;0,"INCOMPLETE", "DATA AVAILABLE")&amp;IF(COUNTIFS($E$3:L$3,"PROVISIONAL / FX HOLD")&gt;0," / FX HOLD",""),IF(COUNTIFS('Monthly Project Activity'!$A$2:$A$101,M$2)=0,"NO DATA",IF(COUNTIFS('Monthly Project Activity'!$A$2:$A$101,M$2,'Monthly Project Activity'!$O$2:$O$101,"FX HOLD")&gt;0,"PROVISIONAL / FX HOLD","DATA AVAILABLE"))))</x:f>
      </x:c>
      <x:c r="N3" s="38" t="str">
        <x:f>IF(N$2="","",IF(10=VALUE(RIGHT($B$2,2))+1,IF(COUNTIFS($E$3:M$3,"NO DATA")&gt;0,"INCOMPLETE", "DATA AVAILABLE")&amp;IF(COUNTIFS($E$3:M$3,"PROVISIONAL / FX HOLD")&gt;0," / FX HOLD",""),IF(COUNTIFS('Monthly Project Activity'!$A$2:$A$101,N$2)=0,"NO DATA",IF(COUNTIFS('Monthly Project Activity'!$A$2:$A$101,N$2,'Monthly Project Activity'!$O$2:$O$101,"FX HOLD")&gt;0,"PROVISIONAL / FX HOLD","DATA AVAILABLE"))))</x:f>
      </x:c>
      <x:c r="O3" s="38" t="str">
        <x:f>IF(O$2="","",IF(11=VALUE(RIGHT($B$2,2))+1,IF(COUNTIFS($E$3:N$3,"NO DATA")&gt;0,"INCOMPLETE", "DATA AVAILABLE")&amp;IF(COUNTIFS($E$3:N$3,"PROVISIONAL / FX HOLD")&gt;0," / FX HOLD",""),IF(COUNTIFS('Monthly Project Activity'!$A$2:$A$101,O$2)=0,"NO DATA",IF(COUNTIFS('Monthly Project Activity'!$A$2:$A$101,O$2,'Monthly Project Activity'!$O$2:$O$101,"FX HOLD")&gt;0,"PROVISIONAL / FX HOLD","DATA AVAILABLE"))))</x:f>
      </x:c>
      <x:c r="P3" s="38" t="str">
        <x:f>IF(P$2="","",IF(12=VALUE(RIGHT($B$2,2))+1,IF(COUNTIFS($E$3:O$3,"NO DATA")&gt;0,"INCOMPLETE", "DATA AVAILABLE")&amp;IF(COUNTIFS($E$3:O$3,"PROVISIONAL / FX HOLD")&gt;0," / FX HOLD",""),IF(COUNTIFS('Monthly Project Activity'!$A$2:$A$101,P$2)=0,"NO DATA",IF(COUNTIFS('Monthly Project Activity'!$A$2:$A$101,P$2,'Monthly Project Activity'!$O$2:$O$101,"FX HOLD")&gt;0,"PROVISIONAL / FX HOLD","DATA AVAILABLE"))))</x:f>
      </x:c>
      <x:c r="Q3" s="38" t="str">
        <x:f>IF(Q$2="","",IF(13=VALUE(RIGHT($B$2,2))+1,IF(COUNTIFS($E$3:P$3,"NO DATA")&gt;0,"INCOMPLETE", "DATA AVAILABLE")&amp;IF(COUNTIFS($E$3:P$3,"PROVISIONAL / FX HOLD")&gt;0," / FX HOLD",""),IF(COUNTIFS('Monthly Project Activity'!$A$2:$A$101,Q$2)=0,"NO DATA",IF(COUNTIFS('Monthly Project Activity'!$A$2:$A$101,Q$2,'Monthly Project Activity'!$O$2:$O$101,"FX HOLD")&gt;0,"PROVISIONAL / FX HOLD","DATA AVAILABLE"))))</x:f>
      </x:c>
    </x:row>
    <x:row r="4">
      <x:c r="A4" s="15" t="str">
        <x:v>MONTHLY COMMERCIAL PERFORMANCE</x:v>
      </x:c>
      <x:c r="B4" s="15" t="str">
        <x:v>USD</x:v>
      </x:c>
      <x:c r="C4" s="15" t="str">
        <x:v>Reporting by invoice entity; not statutory revenue</x:v>
      </x:c>
      <x:c r="E4" s="42"/>
      <x:c r="F4" s="42"/>
      <x:c r="G4" s="42"/>
      <x:c r="H4" s="42"/>
      <x:c r="I4" s="42"/>
      <x:c r="J4" s="42"/>
      <x:c r="K4" s="42"/>
      <x:c r="L4" s="42"/>
      <x:c r="M4" s="42"/>
      <x:c r="N4" s="42"/>
      <x:c r="O4" s="42"/>
      <x:c r="P4" s="42"/>
      <x:c r="Q4" s="42"/>
    </x:row>
    <x:row r="5">
      <x:c r="A5" t="str">
        <x:v>Customer PO intake</x:v>
      </x:c>
      <x:c r="B5" s="18" t="n">
        <x:f>SUMIF('Monthly Project Activity'!$A$2:$A$101,$B$2,'Monthly Project Activity'!$G$2:$G$101)</x:f>
        <x:v>0</x:v>
      </x:c>
      <x:c r="C5" t="str">
        <x:v>Authorized new POs and net approved revisions received this month</x:v>
      </x:c>
      <x:c r="E5" s="40" t="str">
        <x:f>IF(E$2="","",IF(1=VALUE(RIGHT($B$2,2))+1,IF(FALSE,"NO DATA",""),IF(E$3="NO DATA","NO DATA",SUMIFS('Monthly Project Activity'!$G$2:$G$101,'Monthly Project Activity'!$A$2:$A$101,E$2))))</x:f>
        <x:v>NO DATA</x:v>
      </x:c>
      <x:c r="F5" s="40" t="str">
        <x:f>IF(F$2="","",IF(2=VALUE(RIGHT($B$2,2))+1,IF(COUNTIFS($E$3:E$3,"&lt;&gt;NO DATA")=0,"NO DATA",SUM($E5:E5)),IF(F$3="NO DATA","NO DATA",SUMIFS('Monthly Project Activity'!$G$2:$G$101,'Monthly Project Activity'!$A$2:$A$101,F$2))))</x:f>
        <x:v>NO DATA</x:v>
      </x:c>
      <x:c r="G5" s="40" t="str">
        <x:f>IF(G$2="","",IF(3=VALUE(RIGHT($B$2,2))+1,IF(COUNTIFS($E$3:F$3,"&lt;&gt;NO DATA")=0,"NO DATA",SUM($E5:F5)),IF(G$3="NO DATA","NO DATA",SUMIFS('Monthly Project Activity'!$G$2:$G$101,'Monthly Project Activity'!$A$2:$A$101,G$2))))</x:f>
        <x:v>NO DATA</x:v>
      </x:c>
      <x:c r="H5" s="40" t="str">
        <x:f>IF(H$2="","",IF(4=VALUE(RIGHT($B$2,2))+1,IF(COUNTIFS($E$3:G$3,"&lt;&gt;NO DATA")=0,"NO DATA",SUM($E5:G5)),IF(H$3="NO DATA","NO DATA",SUMIFS('Monthly Project Activity'!$G$2:$G$101,'Monthly Project Activity'!$A$2:$A$101,H$2))))</x:f>
        <x:v>NO DATA</x:v>
      </x:c>
      <x:c r="I5" s="40" t="str">
        <x:f>IF(I$2="","",IF(5=VALUE(RIGHT($B$2,2))+1,IF(COUNTIFS($E$3:H$3,"&lt;&gt;NO DATA")=0,"NO DATA",SUM($E5:H5)),IF(I$3="NO DATA","NO DATA",SUMIFS('Monthly Project Activity'!$G$2:$G$101,'Monthly Project Activity'!$A$2:$A$101,I$2))))</x:f>
        <x:v>NO DATA</x:v>
      </x:c>
      <x:c r="J5" s="40" t="str">
        <x:f>IF(J$2="","",IF(6=VALUE(RIGHT($B$2,2))+1,IF(COUNTIFS($E$3:I$3,"&lt;&gt;NO DATA")=0,"NO DATA",SUM($E5:I5)),IF(J$3="NO DATA","NO DATA",SUMIFS('Monthly Project Activity'!$G$2:$G$101,'Monthly Project Activity'!$A$2:$A$101,J$2))))</x:f>
        <x:v>NO DATA</x:v>
      </x:c>
      <x:c r="K5" s="40" t="str">
        <x:f>IF(K$2="","",IF(7=VALUE(RIGHT($B$2,2))+1,IF(COUNTIFS($E$3:J$3,"&lt;&gt;NO DATA")=0,"NO DATA",SUM($E5:J5)),IF(K$3="NO DATA","NO DATA",SUMIFS('Monthly Project Activity'!$G$2:$G$101,'Monthly Project Activity'!$A$2:$A$101,K$2))))</x:f>
      </x:c>
      <x:c r="L5" s="40" t="str">
        <x:f>IF(L$2="","",IF(8=VALUE(RIGHT($B$2,2))+1,IF(COUNTIFS($E$3:K$3,"&lt;&gt;NO DATA")=0,"NO DATA",SUM($E5:K5)),IF(L$3="NO DATA","NO DATA",SUMIFS('Monthly Project Activity'!$G$2:$G$101,'Monthly Project Activity'!$A$2:$A$101,L$2))))</x:f>
      </x:c>
      <x:c r="M5" s="40" t="str">
        <x:f>IF(M$2="","",IF(9=VALUE(RIGHT($B$2,2))+1,IF(COUNTIFS($E$3:L$3,"&lt;&gt;NO DATA")=0,"NO DATA",SUM($E5:L5)),IF(M$3="NO DATA","NO DATA",SUMIFS('Monthly Project Activity'!$G$2:$G$101,'Monthly Project Activity'!$A$2:$A$101,M$2))))</x:f>
      </x:c>
      <x:c r="N5" s="40" t="str">
        <x:f>IF(N$2="","",IF(10=VALUE(RIGHT($B$2,2))+1,IF(COUNTIFS($E$3:M$3,"&lt;&gt;NO DATA")=0,"NO DATA",SUM($E5:M5)),IF(N$3="NO DATA","NO DATA",SUMIFS('Monthly Project Activity'!$G$2:$G$101,'Monthly Project Activity'!$A$2:$A$101,N$2))))</x:f>
      </x:c>
      <x:c r="O5" s="40" t="str">
        <x:f>IF(O$2="","",IF(11=VALUE(RIGHT($B$2,2))+1,IF(COUNTIFS($E$3:N$3,"&lt;&gt;NO DATA")=0,"NO DATA",SUM($E5:N5)),IF(O$3="NO DATA","NO DATA",SUMIFS('Monthly Project Activity'!$G$2:$G$101,'Monthly Project Activity'!$A$2:$A$101,O$2))))</x:f>
      </x:c>
      <x:c r="P5" s="40" t="str">
        <x:f>IF(P$2="","",IF(12=VALUE(RIGHT($B$2,2))+1,IF(COUNTIFS($E$3:O$3,"&lt;&gt;NO DATA")=0,"NO DATA",SUM($E5:O5)),IF(P$3="NO DATA","NO DATA",SUMIFS('Monthly Project Activity'!$G$2:$G$101,'Monthly Project Activity'!$A$2:$A$101,P$2))))</x:f>
      </x:c>
      <x:c r="Q5" s="40" t="str">
        <x:f>IF(Q$2="","",IF(13=VALUE(RIGHT($B$2,2))+1,IF(COUNTIFS($E$3:P$3,"&lt;&gt;NO DATA")=0,"NO DATA",SUM($E5:P5)),IF(Q$3="NO DATA","NO DATA",SUMIFS('Monthly Project Activity'!$G$2:$G$101,'Monthly Project Activity'!$A$2:$A$101,Q$2))))</x:f>
      </x:c>
    </x:row>
    <x:row r="6">
      <x:c r="A6" t="str">
        <x:v>Subtotal facturación válida del mes USD</x:v>
      </x:c>
      <x:c r="B6" s="18" t="n">
        <x:f>IF(COUNTIF('Invoice Register'!$M$2:$M$501,$B$2)=0,"INVOICE DATA REQUIRED",SUMIFS('Invoice Register'!$N$2:$N$501,'Invoice Register'!$M$2:$M$501,$B$2))</x:f>
        <x:v>10500</x:v>
      </x:c>
      <x:c r="C6" t="str">
        <x:v>Issued ERP invoices grouped by validated Invoice date, not by a manually assigned month.</x:v>
      </x:c>
      <x:c r="E6" s="40" t="n">
        <x:f>IF(E$2="","",IF(1=VALUE(RIGHT($B$2,2))+1,"",IF(COUNTIF('Invoice Register'!$M$2:$M$501,E$2)=0,"INVOICE DATA REQUIRED",SUMIFS('Invoice Register'!$N$2:$N$501,'Invoice Register'!$M$2:$M$501,E$2))))</x:f>
        <x:v>1000</x:v>
      </x:c>
      <x:c r="F6" s="40" t="n">
        <x:f>IF(F$2="","",IF(2=VALUE(RIGHT($B$2,2))+1,IF(COUNTIFS($E6:E6,"INVOICE REVIEW")&gt;0,"INVOICE REVIEW",IF(COUNT($E6:E6)=0,"INVOICE DATA REQUIRED",SUM($E6:E6))),IF(COUNTIF('Invoice Register'!$M$2:$M$501,F$2)=0,"INVOICE DATA REQUIRED",SUMIFS('Invoice Register'!$N$2:$N$501,'Invoice Register'!$M$2:$M$501,F$2))))</x:f>
        <x:v>2000</x:v>
      </x:c>
      <x:c r="G6" s="40" t="n">
        <x:f>IF(G$2="","",IF(3=VALUE(RIGHT($B$2,2))+1,IF(COUNTIFS($E6:F6,"INVOICE REVIEW")&gt;0,"INVOICE REVIEW",IF(COUNT($E6:F6)=0,"INVOICE DATA REQUIRED",SUM($E6:F6))),IF(COUNTIF('Invoice Register'!$M$2:$M$501,G$2)=0,"INVOICE DATA REQUIRED",SUMIFS('Invoice Register'!$N$2:$N$501,'Invoice Register'!$M$2:$M$501,G$2))))</x:f>
        <x:v>3000</x:v>
      </x:c>
      <x:c r="H6" s="40" t="n">
        <x:f>IF(H$2="","",IF(4=VALUE(RIGHT($B$2,2))+1,IF(COUNTIFS($E6:G6,"INVOICE REVIEW")&gt;0,"INVOICE REVIEW",IF(COUNT($E6:G6)=0,"INVOICE DATA REQUIRED",SUM($E6:G6))),IF(COUNTIF('Invoice Register'!$M$2:$M$501,H$2)=0,"INVOICE DATA REQUIRED",SUMIFS('Invoice Register'!$N$2:$N$501,'Invoice Register'!$M$2:$M$501,H$2))))</x:f>
        <x:v>1500</x:v>
      </x:c>
      <x:c r="I6" s="40" t="n">
        <x:f>IF(I$2="","",IF(5=VALUE(RIGHT($B$2,2))+1,IF(COUNTIFS($E6:H6,"INVOICE REVIEW")&gt;0,"INVOICE REVIEW",IF(COUNT($E6:H6)=0,"INVOICE DATA REQUIRED",SUM($E6:H6))),IF(COUNTIF('Invoice Register'!$M$2:$M$501,I$2)=0,"INVOICE DATA REQUIRED",SUMIFS('Invoice Register'!$N$2:$N$501,'Invoice Register'!$M$2:$M$501,I$2))))</x:f>
        <x:v>10500</x:v>
      </x:c>
      <x:c r="J6" s="40" t="n">
        <x:f>IF(J$2="","",IF(6=VALUE(RIGHT($B$2,2))+1,IF(COUNTIFS($E6:I6,"INVOICE REVIEW")&gt;0,"INVOICE REVIEW",IF(COUNT($E6:I6)=0,"INVOICE DATA REQUIRED",SUM($E6:I6))),IF(COUNTIF('Invoice Register'!$M$2:$M$501,J$2)=0,"INVOICE DATA REQUIRED",SUMIFS('Invoice Register'!$N$2:$N$501,'Invoice Register'!$M$2:$M$501,J$2))))</x:f>
        <x:v>18000</x:v>
      </x:c>
      <x:c r="K6" s="40" t="str">
        <x:f>IF(K$2="","",IF(7=VALUE(RIGHT($B$2,2))+1,IF(COUNTIFS($E6:J6,"INVOICE REVIEW")&gt;0,"INVOICE REVIEW",IF(COUNT($E6:J6)=0,"INVOICE DATA REQUIRED",SUM($E6:J6))),IF(COUNTIF('Invoice Register'!$M$2:$M$501,K$2)=0,"INVOICE DATA REQUIRED",SUMIFS('Invoice Register'!$N$2:$N$501,'Invoice Register'!$M$2:$M$501,K$2))))</x:f>
      </x:c>
      <x:c r="L6" s="40" t="str">
        <x:f>IF(L$2="","",IF(8=VALUE(RIGHT($B$2,2))+1,IF(COUNTIFS($E6:K6,"INVOICE REVIEW")&gt;0,"INVOICE REVIEW",IF(COUNT($E6:K6)=0,"INVOICE DATA REQUIRED",SUM($E6:K6))),IF(COUNTIF('Invoice Register'!$M$2:$M$501,L$2)=0,"INVOICE DATA REQUIRED",SUMIFS('Invoice Register'!$N$2:$N$501,'Invoice Register'!$M$2:$M$501,L$2))))</x:f>
      </x:c>
      <x:c r="M6" s="40" t="str">
        <x:f>IF(M$2="","",IF(9=VALUE(RIGHT($B$2,2))+1,IF(COUNTIFS($E6:L6,"INVOICE REVIEW")&gt;0,"INVOICE REVIEW",IF(COUNT($E6:L6)=0,"INVOICE DATA REQUIRED",SUM($E6:L6))),IF(COUNTIF('Invoice Register'!$M$2:$M$501,M$2)=0,"INVOICE DATA REQUIRED",SUMIFS('Invoice Register'!$N$2:$N$501,'Invoice Register'!$M$2:$M$501,M$2))))</x:f>
      </x:c>
      <x:c r="N6" s="40" t="str">
        <x:f>IF(N$2="","",IF(10=VALUE(RIGHT($B$2,2))+1,IF(COUNTIFS($E6:M6,"INVOICE REVIEW")&gt;0,"INVOICE REVIEW",IF(COUNT($E6:M6)=0,"INVOICE DATA REQUIRED",SUM($E6:M6))),IF(COUNTIF('Invoice Register'!$M$2:$M$501,N$2)=0,"INVOICE DATA REQUIRED",SUMIFS('Invoice Register'!$N$2:$N$501,'Invoice Register'!$M$2:$M$501,N$2))))</x:f>
      </x:c>
      <x:c r="O6" s="40" t="str">
        <x:f>IF(O$2="","",IF(11=VALUE(RIGHT($B$2,2))+1,IF(COUNTIFS($E6:N6,"INVOICE REVIEW")&gt;0,"INVOICE REVIEW",IF(COUNT($E6:N6)=0,"INVOICE DATA REQUIRED",SUM($E6:N6))),IF(COUNTIF('Invoice Register'!$M$2:$M$501,O$2)=0,"INVOICE DATA REQUIRED",SUMIFS('Invoice Register'!$N$2:$N$501,'Invoice Register'!$M$2:$M$501,O$2))))</x:f>
      </x:c>
      <x:c r="P6" s="40" t="str">
        <x:f>IF(P$2="","",IF(12=VALUE(RIGHT($B$2,2))+1,IF(COUNTIFS($E6:O6,"INVOICE REVIEW")&gt;0,"INVOICE REVIEW",IF(COUNT($E6:O6)=0,"INVOICE DATA REQUIRED",SUM($E6:O6))),IF(COUNTIF('Invoice Register'!$M$2:$M$501,P$2)=0,"INVOICE DATA REQUIRED",SUMIFS('Invoice Register'!$N$2:$N$501,'Invoice Register'!$M$2:$M$501,P$2))))</x:f>
      </x:c>
      <x:c r="Q6" s="40" t="str">
        <x:f>IF(Q$2="","",IF(13=VALUE(RIGHT($B$2,2))+1,IF(COUNTIFS($E6:P6,"INVOICE REVIEW")&gt;0,"INVOICE REVIEW",IF(COUNT($E6:P6)=0,"INVOICE DATA REQUIRED",SUM($E6:P6))),IF(COUNTIF('Invoice Register'!$M$2:$M$501,Q$2)=0,"INVOICE DATA REQUIRED",SUMIFS('Invoice Register'!$N$2:$N$501,'Invoice Register'!$M$2:$M$501,Q$2))))</x:f>
      </x:c>
    </x:row>
    <x:row r="7">
      <x:c r="A7" t="str">
        <x:v>Payments outside operational scope</x:v>
      </x:c>
      <x:c r="B7" s="18"/>
      <x:c r="C7" t="str">
        <x:v>Retired from operational BUD; no payment or accounting inference.</x:v>
      </x:c>
      <x:c r="E7" s="40"/>
      <x:c r="F7" s="40"/>
      <x:c r="G7" s="40"/>
      <x:c r="H7" s="40"/>
      <x:c r="I7" s="40"/>
      <x:c r="J7" s="40"/>
      <x:c r="K7" s="40"/>
      <x:c r="L7" s="40"/>
      <x:c r="M7" s="40"/>
      <x:c r="N7" s="40"/>
      <x:c r="O7" s="40"/>
      <x:c r="P7" s="40"/>
      <x:c r="Q7" s="40"/>
    </x:row>
    <x:row r="8">
      <x:c r="A8" t="str">
        <x:v>Payables outside operational scope</x:v>
      </x:c>
      <x:c r="B8" s="18"/>
      <x:c r="C8" t="str">
        <x:v>Retired from operational BUD; no payment or accounting inference.</x:v>
      </x:c>
      <x:c r="E8" s="40"/>
      <x:c r="F8" s="40"/>
      <x:c r="G8" s="40"/>
      <x:c r="H8" s="40"/>
      <x:c r="I8" s="40"/>
      <x:c r="J8" s="40"/>
      <x:c r="K8" s="40"/>
      <x:c r="L8" s="40"/>
      <x:c r="M8" s="40"/>
      <x:c r="N8" s="40"/>
      <x:c r="O8" s="40"/>
      <x:c r="P8" s="40"/>
      <x:c r="Q8" s="40"/>
    </x:row>
    <x:row r="9">
      <x:c r="A9" t="str">
        <x:v>ERP recognized cost this month</x:v>
      </x:c>
      <x:c r="B9" s="18" t="n">
        <x:f>SUMIF('Monthly Project Activity'!$A$2:$A$101,$B$2,'Monthly Project Activity'!$K$2:$K$101)</x:f>
        <x:v>0</x:v>
      </x:c>
      <x:c r="C9" t="str">
        <x:v>Accounting-sourced cost measure for operational monitoring</x:v>
      </x:c>
      <x:c r="E9" s="40" t="str">
        <x:f>IF(E$2="","",IF(1=VALUE(RIGHT($B$2,2))+1,IF(FALSE,"NO DATA",""),IF(E$3="NO DATA","NO DATA",SUMIFS('Monthly Project Activity'!$K$2:$K$101,'Monthly Project Activity'!$A$2:$A$101,E$2))))</x:f>
        <x:v>NO DATA</x:v>
      </x:c>
      <x:c r="F9" s="40" t="str">
        <x:f>IF(F$2="","",IF(2=VALUE(RIGHT($B$2,2))+1,IF(COUNTIFS($E$3:E$3,"&lt;&gt;NO DATA")=0,"NO DATA",SUM($E9:E9)),IF(F$3="NO DATA","NO DATA",SUMIFS('Monthly Project Activity'!$K$2:$K$101,'Monthly Project Activity'!$A$2:$A$101,F$2))))</x:f>
        <x:v>NO DATA</x:v>
      </x:c>
      <x:c r="G9" s="40" t="str">
        <x:f>IF(G$2="","",IF(3=VALUE(RIGHT($B$2,2))+1,IF(COUNTIFS($E$3:F$3,"&lt;&gt;NO DATA")=0,"NO DATA",SUM($E9:F9)),IF(G$3="NO DATA","NO DATA",SUMIFS('Monthly Project Activity'!$K$2:$K$101,'Monthly Project Activity'!$A$2:$A$101,G$2))))</x:f>
        <x:v>NO DATA</x:v>
      </x:c>
      <x:c r="H9" s="40" t="str">
        <x:f>IF(H$2="","",IF(4=VALUE(RIGHT($B$2,2))+1,IF(COUNTIFS($E$3:G$3,"&lt;&gt;NO DATA")=0,"NO DATA",SUM($E9:G9)),IF(H$3="NO DATA","NO DATA",SUMIFS('Monthly Project Activity'!$K$2:$K$101,'Monthly Project Activity'!$A$2:$A$101,H$2))))</x:f>
        <x:v>NO DATA</x:v>
      </x:c>
      <x:c r="I9" s="40" t="str">
        <x:f>IF(I$2="","",IF(5=VALUE(RIGHT($B$2,2))+1,IF(COUNTIFS($E$3:H$3,"&lt;&gt;NO DATA")=0,"NO DATA",SUM($E9:H9)),IF(I$3="NO DATA","NO DATA",SUMIFS('Monthly Project Activity'!$K$2:$K$101,'Monthly Project Activity'!$A$2:$A$101,I$2))))</x:f>
        <x:v>NO DATA</x:v>
      </x:c>
      <x:c r="J9" s="40" t="str">
        <x:f>IF(J$2="","",IF(6=VALUE(RIGHT($B$2,2))+1,IF(COUNTIFS($E$3:I$3,"&lt;&gt;NO DATA")=0,"NO DATA",SUM($E9:I9)),IF(J$3="NO DATA","NO DATA",SUMIFS('Monthly Project Activity'!$K$2:$K$101,'Monthly Project Activity'!$A$2:$A$101,J$2))))</x:f>
        <x:v>NO DATA</x:v>
      </x:c>
      <x:c r="K9" s="40" t="str">
        <x:f>IF(K$2="","",IF(7=VALUE(RIGHT($B$2,2))+1,IF(COUNTIFS($E$3:J$3,"&lt;&gt;NO DATA")=0,"NO DATA",SUM($E9:J9)),IF(K$3="NO DATA","NO DATA",SUMIFS('Monthly Project Activity'!$K$2:$K$101,'Monthly Project Activity'!$A$2:$A$101,K$2))))</x:f>
      </x:c>
      <x:c r="L9" s="40" t="str">
        <x:f>IF(L$2="","",IF(8=VALUE(RIGHT($B$2,2))+1,IF(COUNTIFS($E$3:K$3,"&lt;&gt;NO DATA")=0,"NO DATA",SUM($E9:K9)),IF(L$3="NO DATA","NO DATA",SUMIFS('Monthly Project Activity'!$K$2:$K$101,'Monthly Project Activity'!$A$2:$A$101,L$2))))</x:f>
      </x:c>
      <x:c r="M9" s="40" t="str">
        <x:f>IF(M$2="","",IF(9=VALUE(RIGHT($B$2,2))+1,IF(COUNTIFS($E$3:L$3,"&lt;&gt;NO DATA")=0,"NO DATA",SUM($E9:L9)),IF(M$3="NO DATA","NO DATA",SUMIFS('Monthly Project Activity'!$K$2:$K$101,'Monthly Project Activity'!$A$2:$A$101,M$2))))</x:f>
      </x:c>
      <x:c r="N9" s="40" t="str">
        <x:f>IF(N$2="","",IF(10=VALUE(RIGHT($B$2,2))+1,IF(COUNTIFS($E$3:M$3,"&lt;&gt;NO DATA")=0,"NO DATA",SUM($E9:M9)),IF(N$3="NO DATA","NO DATA",SUMIFS('Monthly Project Activity'!$K$2:$K$101,'Monthly Project Activity'!$A$2:$A$101,N$2))))</x:f>
      </x:c>
      <x:c r="O9" s="40" t="str">
        <x:f>IF(O$2="","",IF(11=VALUE(RIGHT($B$2,2))+1,IF(COUNTIFS($E$3:N$3,"&lt;&gt;NO DATA")=0,"NO DATA",SUM($E9:N9)),IF(O$3="NO DATA","NO DATA",SUMIFS('Monthly Project Activity'!$K$2:$K$101,'Monthly Project Activity'!$A$2:$A$101,O$2))))</x:f>
      </x:c>
      <x:c r="P9" s="40" t="str">
        <x:f>IF(P$2="","",IF(12=VALUE(RIGHT($B$2,2))+1,IF(COUNTIFS($E$3:O$3,"&lt;&gt;NO DATA")=0,"NO DATA",SUM($E9:O9)),IF(P$3="NO DATA","NO DATA",SUMIFS('Monthly Project Activity'!$K$2:$K$101,'Monthly Project Activity'!$A$2:$A$101,P$2))))</x:f>
      </x:c>
      <x:c r="Q9" s="40" t="str">
        <x:f>IF(Q$2="","",IF(13=VALUE(RIGHT($B$2,2))+1,IF(COUNTIFS($E$3:P$3,"&lt;&gt;NO DATA")=0,"NO DATA",SUM($E9:P9)),IF(Q$3="NO DATA","NO DATA",SUMIFS('Monthly Project Activity'!$K$2:$K$101,'Monthly Project Activity'!$A$2:$A$101,Q$2))))</x:f>
      </x:c>
    </x:row>
    <x:row r="10">
      <x:c r="A10" t="str">
        <x:v>No invoice/cost profit inference</x:v>
      </x:c>
      <x:c r="B10" s="18"/>
      <x:c r="C10" t="str">
        <x:v>Retired from operational BUD; no payment or accounting inference.</x:v>
      </x:c>
      <x:c r="E10" s="44"/>
      <x:c r="F10" s="44"/>
      <x:c r="G10" s="44"/>
      <x:c r="H10" s="44"/>
      <x:c r="I10" s="44"/>
      <x:c r="J10" s="44"/>
      <x:c r="K10" s="44"/>
      <x:c r="L10" s="44"/>
      <x:c r="M10" s="44"/>
      <x:c r="N10" s="44"/>
      <x:c r="O10" s="44"/>
      <x:c r="P10" s="44"/>
      <x:c r="Q10" s="44"/>
    </x:row>
    <x:row r="11">
      <x:c r="A11" t="str">
        <x:v>Proyectos con facturación válida del mes</x:v>
      </x:c>
      <x:c r="B11" t="n">
        <x:f>IF(COUNTIF('Invoice Register'!$M$2:$M$501,$B$2)=0,"INVOICE DATA REQUIRED",SUMIFS('Invoice Register'!$O$2:$O$501,'Invoice Register'!$M$2:$M$501,$B$2))</x:f>
        <x:v>3</x:v>
      </x:c>
      <x:c r="C11" t="str">
        <x:v>Unique Project IDs with invoicing &gt;0 in selected month</x:v>
      </x:c>
      <x:c r="E11" s="41" t="n">
        <x:f>IF(E$2="","",IF(1=VALUE(RIGHT($B$2,2))+1,"n.a.",IF(COUNTIF('Invoice Register'!$M$2:$M$501,E$2)=0,"INVOICE DATA REQUIRED",SUMIFS('Invoice Register'!$O$2:$O$501,'Invoice Register'!$M$2:$M$501,E$2))))</x:f>
        <x:v>1</x:v>
      </x:c>
      <x:c r="F11" s="41" t="n">
        <x:f>IF(F$2="","",IF(2=VALUE(RIGHT($B$2,2))+1,"n.a.",IF(COUNTIF('Invoice Register'!$M$2:$M$501,F$2)=0,"INVOICE DATA REQUIRED",SUMIFS('Invoice Register'!$O$2:$O$501,'Invoice Register'!$M$2:$M$501,F$2))))</x:f>
        <x:v>1</x:v>
      </x:c>
      <x:c r="G11" s="41" t="n">
        <x:f>IF(G$2="","",IF(3=VALUE(RIGHT($B$2,2))+1,"n.a.",IF(COUNTIF('Invoice Register'!$M$2:$M$501,G$2)=0,"INVOICE DATA REQUIRED",SUMIFS('Invoice Register'!$O$2:$O$501,'Invoice Register'!$M$2:$M$501,G$2))))</x:f>
        <x:v>1</x:v>
      </x:c>
      <x:c r="H11" s="41" t="n">
        <x:f>IF(H$2="","",IF(4=VALUE(RIGHT($B$2,2))+1,"n.a.",IF(COUNTIF('Invoice Register'!$M$2:$M$501,H$2)=0,"INVOICE DATA REQUIRED",SUMIFS('Invoice Register'!$O$2:$O$501,'Invoice Register'!$M$2:$M$501,H$2))))</x:f>
        <x:v>1</x:v>
      </x:c>
      <x:c r="I11" s="41" t="n">
        <x:f>IF(I$2="","",IF(5=VALUE(RIGHT($B$2,2))+1,"n.a.",IF(COUNTIF('Invoice Register'!$M$2:$M$501,I$2)=0,"INVOICE DATA REQUIRED",SUMIFS('Invoice Register'!$O$2:$O$501,'Invoice Register'!$M$2:$M$501,I$2))))</x:f>
        <x:v>3</x:v>
      </x:c>
      <x:c r="J11" s="41" t="str">
        <x:f>IF(J$2="","",IF(6=VALUE(RIGHT($B$2,2))+1,"n.a.",IF(COUNTIF('Invoice Register'!$M$2:$M$501,J$2)=0,"INVOICE DATA REQUIRED",SUMIFS('Invoice Register'!$O$2:$O$501,'Invoice Register'!$M$2:$M$501,J$2))))</x:f>
        <x:v>n.a.</x:v>
      </x:c>
      <x:c r="K11" s="41" t="str">
        <x:f>IF(K$2="","",IF(7=VALUE(RIGHT($B$2,2))+1,"n.a.",IF(COUNTIF('Invoice Register'!$M$2:$M$501,K$2)=0,"INVOICE DATA REQUIRED",SUMIFS('Invoice Register'!$O$2:$O$501,'Invoice Register'!$M$2:$M$501,K$2))))</x:f>
      </x:c>
      <x:c r="L11" s="41" t="str">
        <x:f>IF(L$2="","",IF(8=VALUE(RIGHT($B$2,2))+1,"n.a.",IF(COUNTIF('Invoice Register'!$M$2:$M$501,L$2)=0,"INVOICE DATA REQUIRED",SUMIFS('Invoice Register'!$O$2:$O$501,'Invoice Register'!$M$2:$M$501,L$2))))</x:f>
      </x:c>
      <x:c r="M11" s="41" t="str">
        <x:f>IF(M$2="","",IF(9=VALUE(RIGHT($B$2,2))+1,"n.a.",IF(COUNTIF('Invoice Register'!$M$2:$M$501,M$2)=0,"INVOICE DATA REQUIRED",SUMIFS('Invoice Register'!$O$2:$O$501,'Invoice Register'!$M$2:$M$501,M$2))))</x:f>
      </x:c>
      <x:c r="N11" s="41" t="str">
        <x:f>IF(N$2="","",IF(10=VALUE(RIGHT($B$2,2))+1,"n.a.",IF(COUNTIF('Invoice Register'!$M$2:$M$501,N$2)=0,"INVOICE DATA REQUIRED",SUMIFS('Invoice Register'!$O$2:$O$501,'Invoice Register'!$M$2:$M$501,N$2))))</x:f>
      </x:c>
      <x:c r="O11" s="41" t="str">
        <x:f>IF(O$2="","",IF(11=VALUE(RIGHT($B$2,2))+1,"n.a.",IF(COUNTIF('Invoice Register'!$M$2:$M$501,O$2)=0,"INVOICE DATA REQUIRED",SUMIFS('Invoice Register'!$O$2:$O$501,'Invoice Register'!$M$2:$M$501,O$2))))</x:f>
      </x:c>
      <x:c r="P11" s="41" t="str">
        <x:f>IF(P$2="","",IF(12=VALUE(RIGHT($B$2,2))+1,"n.a.",IF(COUNTIF('Invoice Register'!$M$2:$M$501,P$2)=0,"INVOICE DATA REQUIRED",SUMIFS('Invoice Register'!$O$2:$O$501,'Invoice Register'!$M$2:$M$501,P$2))))</x:f>
      </x:c>
      <x:c r="Q11" s="41" t="str">
        <x:f>IF(Q$2="","",IF(13=VALUE(RIGHT($B$2,2))+1,"n.a.",IF(COUNTIF('Invoice Register'!$M$2:$M$501,Q$2)=0,"INVOICE DATA REQUIRED",SUMIFS('Invoice Register'!$O$2:$O$501,'Invoice Register'!$M$2:$M$501,Q$2))))</x:f>
      </x:c>
    </x:row>
    <x:row r="12">
      <x:c r="A12" t="str">
        <x:v>Projects with PO intake this month</x:v>
      </x:c>
      <x:c r="B12" t="n">
        <x:f>COUNTIFS('Monthly Project Activity'!$A$2:$A$101,$B$2,'Monthly Project Activity'!$G$2:$G$101,"&gt;0")</x:f>
        <x:v>0</x:v>
      </x:c>
      <x:c r="C12" t="str">
        <x:v>Unique Project IDs with new/adjusted authorized customer POs</x:v>
      </x:c>
      <x:c r="E12" s="41" t="str">
        <x:f>IF(E$2="","",IF(1=VALUE(RIGHT($B$2,2))+1,IF(FALSE,"NO DATA","n.a."),IF(E$3="NO DATA","NO DATA",COUNTIFS('Monthly Project Activity'!$A$2:$A$101,E$2,'Monthly Project Activity'!$G$2:$G$101,"&gt;0"))))</x:f>
        <x:v>NO DATA</x:v>
      </x:c>
      <x:c r="F12" s="41" t="str">
        <x:f>IF(F$2="","",IF(2=VALUE(RIGHT($B$2,2))+1,IF(COUNTIFS($E$3:E$3,"&lt;&gt;NO DATA")=0,"NO DATA","n.a."),IF(F$3="NO DATA","NO DATA",COUNTIFS('Monthly Project Activity'!$A$2:$A$101,F$2,'Monthly Project Activity'!$G$2:$G$101,"&gt;0"))))</x:f>
        <x:v>NO DATA</x:v>
      </x:c>
      <x:c r="G12" s="41" t="str">
        <x:f>IF(G$2="","",IF(3=VALUE(RIGHT($B$2,2))+1,IF(COUNTIFS($E$3:F$3,"&lt;&gt;NO DATA")=0,"NO DATA","n.a."),IF(G$3="NO DATA","NO DATA",COUNTIFS('Monthly Project Activity'!$A$2:$A$101,G$2,'Monthly Project Activity'!$G$2:$G$101,"&gt;0"))))</x:f>
        <x:v>NO DATA</x:v>
      </x:c>
      <x:c r="H12" s="41" t="str">
        <x:f>IF(H$2="","",IF(4=VALUE(RIGHT($B$2,2))+1,IF(COUNTIFS($E$3:G$3,"&lt;&gt;NO DATA")=0,"NO DATA","n.a."),IF(H$3="NO DATA","NO DATA",COUNTIFS('Monthly Project Activity'!$A$2:$A$101,H$2,'Monthly Project Activity'!$G$2:$G$101,"&gt;0"))))</x:f>
        <x:v>NO DATA</x:v>
      </x:c>
      <x:c r="I12" s="41" t="str">
        <x:f>IF(I$2="","",IF(5=VALUE(RIGHT($B$2,2))+1,IF(COUNTIFS($E$3:H$3,"&lt;&gt;NO DATA")=0,"NO DATA","n.a."),IF(I$3="NO DATA","NO DATA",COUNTIFS('Monthly Project Activity'!$A$2:$A$101,I$2,'Monthly Project Activity'!$G$2:$G$101,"&gt;0"))))</x:f>
        <x:v>NO DATA</x:v>
      </x:c>
      <x:c r="J12" s="41" t="str">
        <x:f>IF(J$2="","",IF(6=VALUE(RIGHT($B$2,2))+1,IF(COUNTIFS($E$3:I$3,"&lt;&gt;NO DATA")=0,"NO DATA","n.a."),IF(J$3="NO DATA","NO DATA",COUNTIFS('Monthly Project Activity'!$A$2:$A$101,J$2,'Monthly Project Activity'!$G$2:$G$101,"&gt;0"))))</x:f>
        <x:v>NO DATA</x:v>
      </x:c>
      <x:c r="K12" s="41" t="str">
        <x:f>IF(K$2="","",IF(7=VALUE(RIGHT($B$2,2))+1,IF(COUNTIFS($E$3:J$3,"&lt;&gt;NO DATA")=0,"NO DATA","n.a."),IF(K$3="NO DATA","NO DATA",COUNTIFS('Monthly Project Activity'!$A$2:$A$101,K$2,'Monthly Project Activity'!$G$2:$G$101,"&gt;0"))))</x:f>
      </x:c>
      <x:c r="L12" s="41" t="str">
        <x:f>IF(L$2="","",IF(8=VALUE(RIGHT($B$2,2))+1,IF(COUNTIFS($E$3:K$3,"&lt;&gt;NO DATA")=0,"NO DATA","n.a."),IF(L$3="NO DATA","NO DATA",COUNTIFS('Monthly Project Activity'!$A$2:$A$101,L$2,'Monthly Project Activity'!$G$2:$G$101,"&gt;0"))))</x:f>
      </x:c>
      <x:c r="M12" s="41" t="str">
        <x:f>IF(M$2="","",IF(9=VALUE(RIGHT($B$2,2))+1,IF(COUNTIFS($E$3:L$3,"&lt;&gt;NO DATA")=0,"NO DATA","n.a."),IF(M$3="NO DATA","NO DATA",COUNTIFS('Monthly Project Activity'!$A$2:$A$101,M$2,'Monthly Project Activity'!$G$2:$G$101,"&gt;0"))))</x:f>
      </x:c>
      <x:c r="N12" s="41" t="str">
        <x:f>IF(N$2="","",IF(10=VALUE(RIGHT($B$2,2))+1,IF(COUNTIFS($E$3:M$3,"&lt;&gt;NO DATA")=0,"NO DATA","n.a."),IF(N$3="NO DATA","NO DATA",COUNTIFS('Monthly Project Activity'!$A$2:$A$101,N$2,'Monthly Project Activity'!$G$2:$G$101,"&gt;0"))))</x:f>
      </x:c>
      <x:c r="O12" s="41" t="str">
        <x:f>IF(O$2="","",IF(11=VALUE(RIGHT($B$2,2))+1,IF(COUNTIFS($E$3:N$3,"&lt;&gt;NO DATA")=0,"NO DATA","n.a."),IF(O$3="NO DATA","NO DATA",COUNTIFS('Monthly Project Activity'!$A$2:$A$101,O$2,'Monthly Project Activity'!$G$2:$G$101,"&gt;0"))))</x:f>
      </x:c>
      <x:c r="P12" s="41" t="str">
        <x:f>IF(P$2="","",IF(12=VALUE(RIGHT($B$2,2))+1,IF(COUNTIFS($E$3:O$3,"&lt;&gt;NO DATA")=0,"NO DATA","n.a."),IF(P$3="NO DATA","NO DATA",COUNTIFS('Monthly Project Activity'!$A$2:$A$101,P$2,'Monthly Project Activity'!$G$2:$G$101,"&gt;0"))))</x:f>
      </x:c>
      <x:c r="Q12" s="41" t="str">
        <x:f>IF(Q$2="","",IF(13=VALUE(RIGHT($B$2,2))+1,IF(COUNTIFS($E$3:P$3,"&lt;&gt;NO DATA")=0,"NO DATA","n.a."),IF(Q$3="NO DATA","NO DATA",COUNTIFS('Monthly Project Activity'!$A$2:$A$101,Q$2,'Monthly Project Activity'!$G$2:$G$101,"&gt;0"))))</x:f>
      </x:c>
    </x:row>
    <x:row r="13">
      <x:c r="E13" s="40"/>
      <x:c r="F13" s="40"/>
      <x:c r="G13" s="40"/>
      <x:c r="H13" s="40"/>
      <x:c r="I13" s="40"/>
      <x:c r="J13" s="40"/>
      <x:c r="K13" s="40"/>
      <x:c r="L13" s="40"/>
      <x:c r="M13" s="40"/>
      <x:c r="N13" s="40"/>
      <x:c r="O13" s="40"/>
      <x:c r="P13" s="40"/>
      <x:c r="Q13" s="40"/>
    </x:row>
    <x:row r="14">
      <x:c r="A14" s="15" t="str">
        <x:v>MONTHLY INVOICE BY SELLING ENTITY</x:v>
      </x:c>
      <x:c r="B14" s="15" t="str">
        <x:v>USD</x:v>
      </x:c>
      <x:c r="C14" s="15" t="str">
        <x:v>MX and US must reconcile to total invoiced</x:v>
      </x:c>
      <x:c r="E14" s="43"/>
      <x:c r="F14" s="43"/>
      <x:c r="G14" s="43"/>
      <x:c r="H14" s="43"/>
      <x:c r="I14" s="43"/>
      <x:c r="J14" s="43"/>
      <x:c r="K14" s="43"/>
      <x:c r="L14" s="43"/>
      <x:c r="M14" s="43"/>
      <x:c r="N14" s="43"/>
      <x:c r="O14" s="43"/>
      <x:c r="P14" s="43"/>
      <x:c r="Q14" s="43"/>
    </x:row>
    <x:row r="15">
      <x:c r="A15" t="str">
        <x:v>Selling entity MX</x:v>
      </x:c>
      <x:c r="B15" s="18" t="n">
        <x:f>IF(COUNTIF('Invoice Register'!$M$2:$M$501,$B$2)=0,"INVOICE DATA REQUIRED",SUMIFS('Invoice Register'!$N$2:$N$501,'Invoice Register'!$M$2:$M$501,$B$2,'Invoice Register'!$D$2:$D$501,"MX"))</x:f>
        <x:v>8000</x:v>
      </x:c>
      <x:c r="E15" s="40" t="n">
        <x:f>IF(E$2="","",IF(1=VALUE(RIGHT($B$2,2))+1,"",IF(COUNTIF('Invoice Register'!$M$2:$M$501,E$2)=0,"INVOICE DATA REQUIRED",SUMIFS('Invoice Register'!$N$2:$N$501,'Invoice Register'!$M$2:$M$501,E$2,'Invoice Register'!$D$2:$D$501,"MX"))))</x:f>
        <x:v>1000</x:v>
      </x:c>
      <x:c r="F15" s="40" t="n">
        <x:f>IF(F$2="","",IF(2=VALUE(RIGHT($B$2,2))+1,IF(COUNTIFS($E15:E15,"INVOICE REVIEW")&gt;0,"INVOICE REVIEW",IF(COUNT($E15:E15)=0,"INVOICE DATA REQUIRED",SUM($E15:E15))),IF(COUNTIF('Invoice Register'!$M$2:$M$501,F$2)=0,"INVOICE DATA REQUIRED",SUMIFS('Invoice Register'!$N$2:$N$501,'Invoice Register'!$M$2:$M$501,F$2,'Invoice Register'!$D$2:$D$501,"MX"))))</x:f>
        <x:v>2000</x:v>
      </x:c>
      <x:c r="G15" s="40" t="n">
        <x:f>IF(G$2="","",IF(3=VALUE(RIGHT($B$2,2))+1,IF(COUNTIFS($E15:F15,"INVOICE REVIEW")&gt;0,"INVOICE REVIEW",IF(COUNT($E15:F15)=0,"INVOICE DATA REQUIRED",SUM($E15:F15))),IF(COUNTIF('Invoice Register'!$M$2:$M$501,G$2)=0,"INVOICE DATA REQUIRED",SUMIFS('Invoice Register'!$N$2:$N$501,'Invoice Register'!$M$2:$M$501,G$2,'Invoice Register'!$D$2:$D$501,"MX"))))</x:f>
        <x:v>3000</x:v>
      </x:c>
      <x:c r="H15" s="40" t="n">
        <x:f>IF(H$2="","",IF(4=VALUE(RIGHT($B$2,2))+1,IF(COUNTIFS($E15:G15,"INVOICE REVIEW")&gt;0,"INVOICE REVIEW",IF(COUNT($E15:G15)=0,"INVOICE DATA REQUIRED",SUM($E15:G15))),IF(COUNTIF('Invoice Register'!$M$2:$M$501,H$2)=0,"INVOICE DATA REQUIRED",SUMIFS('Invoice Register'!$N$2:$N$501,'Invoice Register'!$M$2:$M$501,H$2,'Invoice Register'!$D$2:$D$501,"MX"))))</x:f>
        <x:v>1500</x:v>
      </x:c>
      <x:c r="I15" s="40" t="n">
        <x:f>IF(I$2="","",IF(5=VALUE(RIGHT($B$2,2))+1,IF(COUNTIFS($E15:H15,"INVOICE REVIEW")&gt;0,"INVOICE REVIEW",IF(COUNT($E15:H15)=0,"INVOICE DATA REQUIRED",SUM($E15:H15))),IF(COUNTIF('Invoice Register'!$M$2:$M$501,I$2)=0,"INVOICE DATA REQUIRED",SUMIFS('Invoice Register'!$N$2:$N$501,'Invoice Register'!$M$2:$M$501,I$2,'Invoice Register'!$D$2:$D$501,"MX"))))</x:f>
        <x:v>8000</x:v>
      </x:c>
      <x:c r="J15" s="40" t="n">
        <x:f>IF(J$2="","",IF(6=VALUE(RIGHT($B$2,2))+1,IF(COUNTIFS($E15:I15,"INVOICE REVIEW")&gt;0,"INVOICE REVIEW",IF(COUNT($E15:I15)=0,"INVOICE DATA REQUIRED",SUM($E15:I15))),IF(COUNTIF('Invoice Register'!$M$2:$M$501,J$2)=0,"INVOICE DATA REQUIRED",SUMIFS('Invoice Register'!$N$2:$N$501,'Invoice Register'!$M$2:$M$501,J$2,'Invoice Register'!$D$2:$D$501,"MX"))))</x:f>
        <x:v>15500</x:v>
      </x:c>
      <x:c r="K15" s="40" t="str">
        <x:f>IF(K$2="","",IF(7=VALUE(RIGHT($B$2,2))+1,IF(COUNTIFS($E15:J15,"INVOICE REVIEW")&gt;0,"INVOICE REVIEW",IF(COUNT($E15:J15)=0,"INVOICE DATA REQUIRED",SUM($E15:J15))),IF(COUNTIF('Invoice Register'!$M$2:$M$501,K$2)=0,"INVOICE DATA REQUIRED",SUMIFS('Invoice Register'!$N$2:$N$501,'Invoice Register'!$M$2:$M$501,K$2,'Invoice Register'!$D$2:$D$501,"MX"))))</x:f>
      </x:c>
      <x:c r="L15" s="40" t="str">
        <x:f>IF(L$2="","",IF(8=VALUE(RIGHT($B$2,2))+1,IF(COUNTIFS($E15:K15,"INVOICE REVIEW")&gt;0,"INVOICE REVIEW",IF(COUNT($E15:K15)=0,"INVOICE DATA REQUIRED",SUM($E15:K15))),IF(COUNTIF('Invoice Register'!$M$2:$M$501,L$2)=0,"INVOICE DATA REQUIRED",SUMIFS('Invoice Register'!$N$2:$N$501,'Invoice Register'!$M$2:$M$501,L$2,'Invoice Register'!$D$2:$D$501,"MX"))))</x:f>
      </x:c>
      <x:c r="M15" s="40" t="str">
        <x:f>IF(M$2="","",IF(9=VALUE(RIGHT($B$2,2))+1,IF(COUNTIFS($E15:L15,"INVOICE REVIEW")&gt;0,"INVOICE REVIEW",IF(COUNT($E15:L15)=0,"INVOICE DATA REQUIRED",SUM($E15:L15))),IF(COUNTIF('Invoice Register'!$M$2:$M$501,M$2)=0,"INVOICE DATA REQUIRED",SUMIFS('Invoice Register'!$N$2:$N$501,'Invoice Register'!$M$2:$M$501,M$2,'Invoice Register'!$D$2:$D$501,"MX"))))</x:f>
      </x:c>
      <x:c r="N15" s="40" t="str">
        <x:f>IF(N$2="","",IF(10=VALUE(RIGHT($B$2,2))+1,IF(COUNTIFS($E15:M15,"INVOICE REVIEW")&gt;0,"INVOICE REVIEW",IF(COUNT($E15:M15)=0,"INVOICE DATA REQUIRED",SUM($E15:M15))),IF(COUNTIF('Invoice Register'!$M$2:$M$501,N$2)=0,"INVOICE DATA REQUIRED",SUMIFS('Invoice Register'!$N$2:$N$501,'Invoice Register'!$M$2:$M$501,N$2,'Invoice Register'!$D$2:$D$501,"MX"))))</x:f>
      </x:c>
      <x:c r="O15" s="40" t="str">
        <x:f>IF(O$2="","",IF(11=VALUE(RIGHT($B$2,2))+1,IF(COUNTIFS($E15:N15,"INVOICE REVIEW")&gt;0,"INVOICE REVIEW",IF(COUNT($E15:N15)=0,"INVOICE DATA REQUIRED",SUM($E15:N15))),IF(COUNTIF('Invoice Register'!$M$2:$M$501,O$2)=0,"INVOICE DATA REQUIRED",SUMIFS('Invoice Register'!$N$2:$N$501,'Invoice Register'!$M$2:$M$501,O$2,'Invoice Register'!$D$2:$D$501,"MX"))))</x:f>
      </x:c>
      <x:c r="P15" s="40" t="str">
        <x:f>IF(P$2="","",IF(12=VALUE(RIGHT($B$2,2))+1,IF(COUNTIFS($E15:O15,"INVOICE REVIEW")&gt;0,"INVOICE REVIEW",IF(COUNT($E15:O15)=0,"INVOICE DATA REQUIRED",SUM($E15:O15))),IF(COUNTIF('Invoice Register'!$M$2:$M$501,P$2)=0,"INVOICE DATA REQUIRED",SUMIFS('Invoice Register'!$N$2:$N$501,'Invoice Register'!$M$2:$M$501,P$2,'Invoice Register'!$D$2:$D$501,"MX"))))</x:f>
      </x:c>
      <x:c r="Q15" s="40" t="str">
        <x:f>IF(Q$2="","",IF(13=VALUE(RIGHT($B$2,2))+1,IF(COUNTIFS($E15:P15,"INVOICE REVIEW")&gt;0,"INVOICE REVIEW",IF(COUNT($E15:P15)=0,"INVOICE DATA REQUIRED",SUM($E15:P15))),IF(COUNTIF('Invoice Register'!$M$2:$M$501,Q$2)=0,"INVOICE DATA REQUIRED",SUMIFS('Invoice Register'!$N$2:$N$501,'Invoice Register'!$M$2:$M$501,Q$2,'Invoice Register'!$D$2:$D$501,"MX"))))</x:f>
      </x:c>
    </x:row>
    <x:row r="16">
      <x:c r="A16" t="str">
        <x:v>Selling entity US</x:v>
      </x:c>
      <x:c r="B16" s="18" t="n">
        <x:f>IF(COUNTIF('Invoice Register'!$M$2:$M$501,$B$2)=0,"INVOICE DATA REQUIRED",SUMIFS('Invoice Register'!$N$2:$N$501,'Invoice Register'!$M$2:$M$501,$B$2,'Invoice Register'!$D$2:$D$501,"US"))</x:f>
        <x:v>2500</x:v>
      </x:c>
      <x:c r="E16" s="40" t="n">
        <x:f>IF(E$2="","",IF(1=VALUE(RIGHT($B$2,2))+1,"",IF(COUNTIF('Invoice Register'!$M$2:$M$501,E$2)=0,"INVOICE DATA REQUIRED",SUMIFS('Invoice Register'!$N$2:$N$501,'Invoice Register'!$M$2:$M$501,E$2,'Invoice Register'!$D$2:$D$501,"US"))))</x:f>
        <x:v>0</x:v>
      </x:c>
      <x:c r="F16" s="40" t="n">
        <x:f>IF(F$2="","",IF(2=VALUE(RIGHT($B$2,2))+1,IF(COUNTIFS($E16:E16,"INVOICE REVIEW")&gt;0,"INVOICE REVIEW",IF(COUNT($E16:E16)=0,"INVOICE DATA REQUIRED",SUM($E16:E16))),IF(COUNTIF('Invoice Register'!$M$2:$M$501,F$2)=0,"INVOICE DATA REQUIRED",SUMIFS('Invoice Register'!$N$2:$N$501,'Invoice Register'!$M$2:$M$501,F$2,'Invoice Register'!$D$2:$D$501,"US"))))</x:f>
        <x:v>0</x:v>
      </x:c>
      <x:c r="G16" s="40" t="n">
        <x:f>IF(G$2="","",IF(3=VALUE(RIGHT($B$2,2))+1,IF(COUNTIFS($E16:F16,"INVOICE REVIEW")&gt;0,"INVOICE REVIEW",IF(COUNT($E16:F16)=0,"INVOICE DATA REQUIRED",SUM($E16:F16))),IF(COUNTIF('Invoice Register'!$M$2:$M$501,G$2)=0,"INVOICE DATA REQUIRED",SUMIFS('Invoice Register'!$N$2:$N$501,'Invoice Register'!$M$2:$M$501,G$2,'Invoice Register'!$D$2:$D$501,"US"))))</x:f>
        <x:v>0</x:v>
      </x:c>
      <x:c r="H16" s="40" t="n">
        <x:f>IF(H$2="","",IF(4=VALUE(RIGHT($B$2,2))+1,IF(COUNTIFS($E16:G16,"INVOICE REVIEW")&gt;0,"INVOICE REVIEW",IF(COUNT($E16:G16)=0,"INVOICE DATA REQUIRED",SUM($E16:G16))),IF(COUNTIF('Invoice Register'!$M$2:$M$501,H$2)=0,"INVOICE DATA REQUIRED",SUMIFS('Invoice Register'!$N$2:$N$501,'Invoice Register'!$M$2:$M$501,H$2,'Invoice Register'!$D$2:$D$501,"US"))))</x:f>
        <x:v>0</x:v>
      </x:c>
      <x:c r="I16" s="40" t="n">
        <x:f>IF(I$2="","",IF(5=VALUE(RIGHT($B$2,2))+1,IF(COUNTIFS($E16:H16,"INVOICE REVIEW")&gt;0,"INVOICE REVIEW",IF(COUNT($E16:H16)=0,"INVOICE DATA REQUIRED",SUM($E16:H16))),IF(COUNTIF('Invoice Register'!$M$2:$M$501,I$2)=0,"INVOICE DATA REQUIRED",SUMIFS('Invoice Register'!$N$2:$N$501,'Invoice Register'!$M$2:$M$501,I$2,'Invoice Register'!$D$2:$D$501,"US"))))</x:f>
        <x:v>2500</x:v>
      </x:c>
      <x:c r="J16" s="40" t="n">
        <x:f>IF(J$2="","",IF(6=VALUE(RIGHT($B$2,2))+1,IF(COUNTIFS($E16:I16,"INVOICE REVIEW")&gt;0,"INVOICE REVIEW",IF(COUNT($E16:I16)=0,"INVOICE DATA REQUIRED",SUM($E16:I16))),IF(COUNTIF('Invoice Register'!$M$2:$M$501,J$2)=0,"INVOICE DATA REQUIRED",SUMIFS('Invoice Register'!$N$2:$N$501,'Invoice Register'!$M$2:$M$501,J$2,'Invoice Register'!$D$2:$D$501,"US"))))</x:f>
        <x:v>2500</x:v>
      </x:c>
      <x:c r="K16" s="40" t="str">
        <x:f>IF(K$2="","",IF(7=VALUE(RIGHT($B$2,2))+1,IF(COUNTIFS($E16:J16,"INVOICE REVIEW")&gt;0,"INVOICE REVIEW",IF(COUNT($E16:J16)=0,"INVOICE DATA REQUIRED",SUM($E16:J16))),IF(COUNTIF('Invoice Register'!$M$2:$M$501,K$2)=0,"INVOICE DATA REQUIRED",SUMIFS('Invoice Register'!$N$2:$N$501,'Invoice Register'!$M$2:$M$501,K$2,'Invoice Register'!$D$2:$D$501,"US"))))</x:f>
      </x:c>
      <x:c r="L16" s="40" t="str">
        <x:f>IF(L$2="","",IF(8=VALUE(RIGHT($B$2,2))+1,IF(COUNTIFS($E16:K16,"INVOICE REVIEW")&gt;0,"INVOICE REVIEW",IF(COUNT($E16:K16)=0,"INVOICE DATA REQUIRED",SUM($E16:K16))),IF(COUNTIF('Invoice Register'!$M$2:$M$501,L$2)=0,"INVOICE DATA REQUIRED",SUMIFS('Invoice Register'!$N$2:$N$501,'Invoice Register'!$M$2:$M$501,L$2,'Invoice Register'!$D$2:$D$501,"US"))))</x:f>
      </x:c>
      <x:c r="M16" s="40" t="str">
        <x:f>IF(M$2="","",IF(9=VALUE(RIGHT($B$2,2))+1,IF(COUNTIFS($E16:L16,"INVOICE REVIEW")&gt;0,"INVOICE REVIEW",IF(COUNT($E16:L16)=0,"INVOICE DATA REQUIRED",SUM($E16:L16))),IF(COUNTIF('Invoice Register'!$M$2:$M$501,M$2)=0,"INVOICE DATA REQUIRED",SUMIFS('Invoice Register'!$N$2:$N$501,'Invoice Register'!$M$2:$M$501,M$2,'Invoice Register'!$D$2:$D$501,"US"))))</x:f>
      </x:c>
      <x:c r="N16" s="40" t="str">
        <x:f>IF(N$2="","",IF(10=VALUE(RIGHT($B$2,2))+1,IF(COUNTIFS($E16:M16,"INVOICE REVIEW")&gt;0,"INVOICE REVIEW",IF(COUNT($E16:M16)=0,"INVOICE DATA REQUIRED",SUM($E16:M16))),IF(COUNTIF('Invoice Register'!$M$2:$M$501,N$2)=0,"INVOICE DATA REQUIRED",SUMIFS('Invoice Register'!$N$2:$N$501,'Invoice Register'!$M$2:$M$501,N$2,'Invoice Register'!$D$2:$D$501,"US"))))</x:f>
      </x:c>
      <x:c r="O16" s="40" t="str">
        <x:f>IF(O$2="","",IF(11=VALUE(RIGHT($B$2,2))+1,IF(COUNTIFS($E16:N16,"INVOICE REVIEW")&gt;0,"INVOICE REVIEW",IF(COUNT($E16:N16)=0,"INVOICE DATA REQUIRED",SUM($E16:N16))),IF(COUNTIF('Invoice Register'!$M$2:$M$501,O$2)=0,"INVOICE DATA REQUIRED",SUMIFS('Invoice Register'!$N$2:$N$501,'Invoice Register'!$M$2:$M$501,O$2,'Invoice Register'!$D$2:$D$501,"US"))))</x:f>
      </x:c>
      <x:c r="P16" s="40" t="str">
        <x:f>IF(P$2="","",IF(12=VALUE(RIGHT($B$2,2))+1,IF(COUNTIFS($E16:O16,"INVOICE REVIEW")&gt;0,"INVOICE REVIEW",IF(COUNT($E16:O16)=0,"INVOICE DATA REQUIRED",SUM($E16:O16))),IF(COUNTIF('Invoice Register'!$M$2:$M$501,P$2)=0,"INVOICE DATA REQUIRED",SUMIFS('Invoice Register'!$N$2:$N$501,'Invoice Register'!$M$2:$M$501,P$2,'Invoice Register'!$D$2:$D$501,"US"))))</x:f>
      </x:c>
      <x:c r="Q16" s="40" t="str">
        <x:f>IF(Q$2="","",IF(13=VALUE(RIGHT($B$2,2))+1,IF(COUNTIFS($E16:P16,"INVOICE REVIEW")&gt;0,"INVOICE REVIEW",IF(COUNT($E16:P16)=0,"INVOICE DATA REQUIRED",SUM($E16:P16))),IF(COUNTIF('Invoice Register'!$M$2:$M$501,Q$2)=0,"INVOICE DATA REQUIRED",SUMIFS('Invoice Register'!$N$2:$N$501,'Invoice Register'!$M$2:$M$501,Q$2,'Invoice Register'!$D$2:$D$501,"US"))))</x:f>
      </x:c>
    </x:row>
    <x:row r="17">
      <x:c r="A17" t="str">
        <x:v>Entity reconciliation</x:v>
      </x:c>
      <x:c r="B17" s="18" t="n">
        <x:f>IF(AND(ISNUMBER(B6),ISNUMBER(B15),ISNUMBER(B16)),B6-SUM(B15:B16),"INVOICE REVIEW")</x:f>
        <x:v>0</x:v>
      </x:c>
      <x:c r="C17" t="str">
        <x:v>Conciliación del subtotal válido; no acredita inclusión de registros cuestionados. Revisar controles de exclusión.</x:v>
      </x:c>
      <x:c r="E17" s="44" t="n">
        <x:f>IF(E$2="","",IF(AND(ISNUMBER(E6),ISNUMBER(E15),ISNUMBER(E16)),E6-E15-E16,"INVOICE REVIEW"))</x:f>
        <x:v>0</x:v>
      </x:c>
      <x:c r="F17" s="44" t="n">
        <x:f>IF(F$2="","",IF(AND(ISNUMBER(F6),ISNUMBER(F15),ISNUMBER(F16)),F6-F15-F16,"INVOICE REVIEW"))</x:f>
        <x:v>0</x:v>
      </x:c>
      <x:c r="G17" s="44" t="n">
        <x:f>IF(G$2="","",IF(AND(ISNUMBER(G6),ISNUMBER(G15),ISNUMBER(G16)),G6-G15-G16,"INVOICE REVIEW"))</x:f>
        <x:v>0</x:v>
      </x:c>
      <x:c r="H17" s="44" t="n">
        <x:f>IF(H$2="","",IF(AND(ISNUMBER(H6),ISNUMBER(H15),ISNUMBER(H16)),H6-H15-H16,"INVOICE REVIEW"))</x:f>
        <x:v>0</x:v>
      </x:c>
      <x:c r="I17" s="44" t="n">
        <x:f>IF(I$2="","",IF(AND(ISNUMBER(I6),ISNUMBER(I15),ISNUMBER(I16)),I6-I15-I16,"INVOICE REVIEW"))</x:f>
        <x:v>0</x:v>
      </x:c>
      <x:c r="J17" s="44" t="n">
        <x:f>IF(J$2="","",IF(AND(ISNUMBER(J6),ISNUMBER(J15),ISNUMBER(J16)),J6-J15-J16,"INVOICE REVIEW"))</x:f>
        <x:v>0</x:v>
      </x:c>
      <x:c r="K17" s="44" t="str">
        <x:f>IF(K$2="","",IF(AND(ISNUMBER(K6),ISNUMBER(K15),ISNUMBER(K16)),K6-K15-K16,"INVOICE REVIEW"))</x:f>
      </x:c>
      <x:c r="L17" s="44" t="str">
        <x:f>IF(L$2="","",IF(AND(ISNUMBER(L6),ISNUMBER(L15),ISNUMBER(L16)),L6-L15-L16,"INVOICE REVIEW"))</x:f>
      </x:c>
      <x:c r="M17" s="44" t="str">
        <x:f>IF(M$2="","",IF(AND(ISNUMBER(M6),ISNUMBER(M15),ISNUMBER(M16)),M6-M15-M16,"INVOICE REVIEW"))</x:f>
      </x:c>
      <x:c r="N17" s="44" t="str">
        <x:f>IF(N$2="","",IF(AND(ISNUMBER(N6),ISNUMBER(N15),ISNUMBER(N16)),N6-N15-N16,"INVOICE REVIEW"))</x:f>
      </x:c>
      <x:c r="O17" s="44" t="str">
        <x:f>IF(O$2="","",IF(AND(ISNUMBER(O6),ISNUMBER(O15),ISNUMBER(O16)),O6-O15-O16,"INVOICE REVIEW"))</x:f>
      </x:c>
      <x:c r="P17" s="44" t="str">
        <x:f>IF(P$2="","",IF(AND(ISNUMBER(P6),ISNUMBER(P15),ISNUMBER(P16)),P6-P15-P16,"INVOICE REVIEW"))</x:f>
      </x:c>
      <x:c r="Q17" s="44" t="str">
        <x:f>IF(Q$2="","",IF(AND(ISNUMBER(Q6),ISNUMBER(Q15),ISNUMBER(Q16)),Q6-Q15-Q16,"INVOICE REVIEW"))</x:f>
      </x:c>
    </x:row>
    <x:row r="18">
      <x:c r="B18" s="18"/>
      <x:c r="E18" s="40"/>
      <x:c r="F18" s="40"/>
      <x:c r="G18" s="40"/>
      <x:c r="H18" s="40"/>
      <x:c r="I18" s="40"/>
      <x:c r="J18" s="40"/>
      <x:c r="K18" s="40"/>
      <x:c r="L18" s="40"/>
      <x:c r="M18" s="40"/>
      <x:c r="N18" s="40"/>
      <x:c r="O18" s="40"/>
      <x:c r="P18" s="40"/>
      <x:c r="Q18" s="40"/>
    </x:row>
    <x:row r="19">
      <x:c r="A19" s="15" t="str">
        <x:v>MONTHLY INVOICE BY BUSINESS UNIT</x:v>
      </x:c>
      <x:c r="B19" s="19" t="str">
        <x:v>USD</x:v>
      </x:c>
      <x:c r="C19" s="15" t="str">
        <x:v>Only the two business units in scope</x:v>
      </x:c>
      <x:c r="E19" s="43"/>
      <x:c r="F19" s="43"/>
      <x:c r="G19" s="43"/>
      <x:c r="H19" s="43"/>
      <x:c r="I19" s="43"/>
      <x:c r="J19" s="43"/>
      <x:c r="K19" s="43"/>
      <x:c r="L19" s="43"/>
      <x:c r="M19" s="43"/>
      <x:c r="N19" s="43"/>
      <x:c r="O19" s="43"/>
      <x:c r="P19" s="43"/>
      <x:c r="Q19" s="43"/>
    </x:row>
    <x:row r="20">
      <x:c r="A20" t="str">
        <x:v>Strategic Services</x:v>
      </x:c>
      <x:c r="B20" s="18" t="n">
        <x:f>IF(COUNTIF('Invoice Register'!$M$2:$M$501,$B$2)=0,"INVOICE DATA REQUIRED",SUMIFS('Invoice Register'!$N$2:$N$501,'Invoice Register'!$M$2:$M$501,$B$2,'Invoice Register'!$E$2:$E$501,"Strategic Services"))</x:f>
        <x:v>4000</x:v>
      </x:c>
      <x:c r="E20" s="40" t="n">
        <x:f>IF(E$2="","",IF(1=VALUE(RIGHT($B$2,2))+1,"",IF(COUNTIF('Invoice Register'!$M$2:$M$501,E$2)=0,"INVOICE DATA REQUIRED",SUMIFS('Invoice Register'!$N$2:$N$501,'Invoice Register'!$M$2:$M$501,E$2,'Invoice Register'!$E$2:$E$501,"Strategic Services"))))</x:f>
        <x:v>1000</x:v>
      </x:c>
      <x:c r="F20" s="40" t="n">
        <x:f>IF(F$2="","",IF(2=VALUE(RIGHT($B$2,2))+1,IF(COUNTIFS($E20:E20,"INVOICE REVIEW")&gt;0,"INVOICE REVIEW",IF(COUNT($E20:E20)=0,"INVOICE DATA REQUIRED",SUM($E20:E20))),IF(COUNTIF('Invoice Register'!$M$2:$M$501,F$2)=0,"INVOICE DATA REQUIRED",SUMIFS('Invoice Register'!$N$2:$N$501,'Invoice Register'!$M$2:$M$501,F$2,'Invoice Register'!$E$2:$E$501,"Strategic Services"))))</x:f>
        <x:v>2000</x:v>
      </x:c>
      <x:c r="G20" s="40" t="n">
        <x:f>IF(G$2="","",IF(3=VALUE(RIGHT($B$2,2))+1,IF(COUNTIFS($E20:F20,"INVOICE REVIEW")&gt;0,"INVOICE REVIEW",IF(COUNT($E20:F20)=0,"INVOICE DATA REQUIRED",SUM($E20:F20))),IF(COUNTIF('Invoice Register'!$M$2:$M$501,G$2)=0,"INVOICE DATA REQUIRED",SUMIFS('Invoice Register'!$N$2:$N$501,'Invoice Register'!$M$2:$M$501,G$2,'Invoice Register'!$E$2:$E$501,"Strategic Services"))))</x:f>
        <x:v>0</x:v>
      </x:c>
      <x:c r="H20" s="40" t="n">
        <x:f>IF(H$2="","",IF(4=VALUE(RIGHT($B$2,2))+1,IF(COUNTIFS($E20:G20,"INVOICE REVIEW")&gt;0,"INVOICE REVIEW",IF(COUNT($E20:G20)=0,"INVOICE DATA REQUIRED",SUM($E20:G20))),IF(COUNTIF('Invoice Register'!$M$2:$M$501,H$2)=0,"INVOICE DATA REQUIRED",SUMIFS('Invoice Register'!$N$2:$N$501,'Invoice Register'!$M$2:$M$501,H$2,'Invoice Register'!$E$2:$E$501,"Strategic Services"))))</x:f>
        <x:v>1500</x:v>
      </x:c>
      <x:c r="I20" s="40" t="n">
        <x:f>IF(I$2="","",IF(5=VALUE(RIGHT($B$2,2))+1,IF(COUNTIFS($E20:H20,"INVOICE REVIEW")&gt;0,"INVOICE REVIEW",IF(COUNT($E20:H20)=0,"INVOICE DATA REQUIRED",SUM($E20:H20))),IF(COUNTIF('Invoice Register'!$M$2:$M$501,I$2)=0,"INVOICE DATA REQUIRED",SUMIFS('Invoice Register'!$N$2:$N$501,'Invoice Register'!$M$2:$M$501,I$2,'Invoice Register'!$E$2:$E$501,"Strategic Services"))))</x:f>
        <x:v>4000</x:v>
      </x:c>
      <x:c r="J20" s="40" t="n">
        <x:f>IF(J$2="","",IF(6=VALUE(RIGHT($B$2,2))+1,IF(COUNTIFS($E20:I20,"INVOICE REVIEW")&gt;0,"INVOICE REVIEW",IF(COUNT($E20:I20)=0,"INVOICE DATA REQUIRED",SUM($E20:I20))),IF(COUNTIF('Invoice Register'!$M$2:$M$501,J$2)=0,"INVOICE DATA REQUIRED",SUMIFS('Invoice Register'!$N$2:$N$501,'Invoice Register'!$M$2:$M$501,J$2,'Invoice Register'!$E$2:$E$501,"Strategic Services"))))</x:f>
        <x:v>8500</x:v>
      </x:c>
      <x:c r="K20" s="40" t="str">
        <x:f>IF(K$2="","",IF(7=VALUE(RIGHT($B$2,2))+1,IF(COUNTIFS($E20:J20,"INVOICE REVIEW")&gt;0,"INVOICE REVIEW",IF(COUNT($E20:J20)=0,"INVOICE DATA REQUIRED",SUM($E20:J20))),IF(COUNTIF('Invoice Register'!$M$2:$M$501,K$2)=0,"INVOICE DATA REQUIRED",SUMIFS('Invoice Register'!$N$2:$N$501,'Invoice Register'!$M$2:$M$501,K$2,'Invoice Register'!$E$2:$E$501,"Strategic Services"))))</x:f>
      </x:c>
      <x:c r="L20" s="40" t="str">
        <x:f>IF(L$2="","",IF(8=VALUE(RIGHT($B$2,2))+1,IF(COUNTIFS($E20:K20,"INVOICE REVIEW")&gt;0,"INVOICE REVIEW",IF(COUNT($E20:K20)=0,"INVOICE DATA REQUIRED",SUM($E20:K20))),IF(COUNTIF('Invoice Register'!$M$2:$M$501,L$2)=0,"INVOICE DATA REQUIRED",SUMIFS('Invoice Register'!$N$2:$N$501,'Invoice Register'!$M$2:$M$501,L$2,'Invoice Register'!$E$2:$E$501,"Strategic Services"))))</x:f>
      </x:c>
      <x:c r="M20" s="40" t="str">
        <x:f>IF(M$2="","",IF(9=VALUE(RIGHT($B$2,2))+1,IF(COUNTIFS($E20:L20,"INVOICE REVIEW")&gt;0,"INVOICE REVIEW",IF(COUNT($E20:L20)=0,"INVOICE DATA REQUIRED",SUM($E20:L20))),IF(COUNTIF('Invoice Register'!$M$2:$M$501,M$2)=0,"INVOICE DATA REQUIRED",SUMIFS('Invoice Register'!$N$2:$N$501,'Invoice Register'!$M$2:$M$501,M$2,'Invoice Register'!$E$2:$E$501,"Strategic Services"))))</x:f>
      </x:c>
      <x:c r="N20" s="40" t="str">
        <x:f>IF(N$2="","",IF(10=VALUE(RIGHT($B$2,2))+1,IF(COUNTIFS($E20:M20,"INVOICE REVIEW")&gt;0,"INVOICE REVIEW",IF(COUNT($E20:M20)=0,"INVOICE DATA REQUIRED",SUM($E20:M20))),IF(COUNTIF('Invoice Register'!$M$2:$M$501,N$2)=0,"INVOICE DATA REQUIRED",SUMIFS('Invoice Register'!$N$2:$N$501,'Invoice Register'!$M$2:$M$501,N$2,'Invoice Register'!$E$2:$E$501,"Strategic Services"))))</x:f>
      </x:c>
      <x:c r="O20" s="40" t="str">
        <x:f>IF(O$2="","",IF(11=VALUE(RIGHT($B$2,2))+1,IF(COUNTIFS($E20:N20,"INVOICE REVIEW")&gt;0,"INVOICE REVIEW",IF(COUNT($E20:N20)=0,"INVOICE DATA REQUIRED",SUM($E20:N20))),IF(COUNTIF('Invoice Register'!$M$2:$M$501,O$2)=0,"INVOICE DATA REQUIRED",SUMIFS('Invoice Register'!$N$2:$N$501,'Invoice Register'!$M$2:$M$501,O$2,'Invoice Register'!$E$2:$E$501,"Strategic Services"))))</x:f>
      </x:c>
      <x:c r="P20" s="40" t="str">
        <x:f>IF(P$2="","",IF(12=VALUE(RIGHT($B$2,2))+1,IF(COUNTIFS($E20:O20,"INVOICE REVIEW")&gt;0,"INVOICE REVIEW",IF(COUNT($E20:O20)=0,"INVOICE DATA REQUIRED",SUM($E20:O20))),IF(COUNTIF('Invoice Register'!$M$2:$M$501,P$2)=0,"INVOICE DATA REQUIRED",SUMIFS('Invoice Register'!$N$2:$N$501,'Invoice Register'!$M$2:$M$501,P$2,'Invoice Register'!$E$2:$E$501,"Strategic Services"))))</x:f>
      </x:c>
      <x:c r="Q20" s="40" t="str">
        <x:f>IF(Q$2="","",IF(13=VALUE(RIGHT($B$2,2))+1,IF(COUNTIFS($E20:P20,"INVOICE REVIEW")&gt;0,"INVOICE REVIEW",IF(COUNT($E20:P20)=0,"INVOICE DATA REQUIRED",SUM($E20:P20))),IF(COUNTIF('Invoice Register'!$M$2:$M$501,Q$2)=0,"INVOICE DATA REQUIRED",SUMIFS('Invoice Register'!$N$2:$N$501,'Invoice Register'!$M$2:$M$501,Q$2,'Invoice Register'!$E$2:$E$501,"Strategic Services"))))</x:f>
      </x:c>
    </x:row>
    <x:row r="21">
      <x:c r="A21" t="str">
        <x:v>Brands</x:v>
      </x:c>
      <x:c r="B21" s="18" t="n">
        <x:f>IF(COUNTIF('Invoice Register'!$M$2:$M$501,$B$2)=0,"INVOICE DATA REQUIRED",SUMIFS('Invoice Register'!$N$2:$N$501,'Invoice Register'!$M$2:$M$501,$B$2,'Invoice Register'!$E$2:$E$501,"Brands"))</x:f>
        <x:v>6500</x:v>
      </x:c>
      <x:c r="E21" s="40" t="n">
        <x:f>IF(E$2="","",IF(1=VALUE(RIGHT($B$2,2))+1,"",IF(COUNTIF('Invoice Register'!$M$2:$M$501,E$2)=0,"INVOICE DATA REQUIRED",SUMIFS('Invoice Register'!$N$2:$N$501,'Invoice Register'!$M$2:$M$501,E$2,'Invoice Register'!$E$2:$E$501,"Brands"))))</x:f>
        <x:v>0</x:v>
      </x:c>
      <x:c r="F21" s="40" t="n">
        <x:f>IF(F$2="","",IF(2=VALUE(RIGHT($B$2,2))+1,IF(COUNTIFS($E21:E21,"INVOICE REVIEW")&gt;0,"INVOICE REVIEW",IF(COUNT($E21:E21)=0,"INVOICE DATA REQUIRED",SUM($E21:E21))),IF(COUNTIF('Invoice Register'!$M$2:$M$501,F$2)=0,"INVOICE DATA REQUIRED",SUMIFS('Invoice Register'!$N$2:$N$501,'Invoice Register'!$M$2:$M$501,F$2,'Invoice Register'!$E$2:$E$501,"Brands"))))</x:f>
        <x:v>0</x:v>
      </x:c>
      <x:c r="G21" s="40" t="n">
        <x:f>IF(G$2="","",IF(3=VALUE(RIGHT($B$2,2))+1,IF(COUNTIFS($E21:F21,"INVOICE REVIEW")&gt;0,"INVOICE REVIEW",IF(COUNT($E21:F21)=0,"INVOICE DATA REQUIRED",SUM($E21:F21))),IF(COUNTIF('Invoice Register'!$M$2:$M$501,G$2)=0,"INVOICE DATA REQUIRED",SUMIFS('Invoice Register'!$N$2:$N$501,'Invoice Register'!$M$2:$M$501,G$2,'Invoice Register'!$E$2:$E$501,"Brands"))))</x:f>
        <x:v>3000</x:v>
      </x:c>
      <x:c r="H21" s="40" t="n">
        <x:f>IF(H$2="","",IF(4=VALUE(RIGHT($B$2,2))+1,IF(COUNTIFS($E21:G21,"INVOICE REVIEW")&gt;0,"INVOICE REVIEW",IF(COUNT($E21:G21)=0,"INVOICE DATA REQUIRED",SUM($E21:G21))),IF(COUNTIF('Invoice Register'!$M$2:$M$501,H$2)=0,"INVOICE DATA REQUIRED",SUMIFS('Invoice Register'!$N$2:$N$501,'Invoice Register'!$M$2:$M$501,H$2,'Invoice Register'!$E$2:$E$501,"Brands"))))</x:f>
        <x:v>0</x:v>
      </x:c>
      <x:c r="I21" s="40" t="n">
        <x:f>IF(I$2="","",IF(5=VALUE(RIGHT($B$2,2))+1,IF(COUNTIFS($E21:H21,"INVOICE REVIEW")&gt;0,"INVOICE REVIEW",IF(COUNT($E21:H21)=0,"INVOICE DATA REQUIRED",SUM($E21:H21))),IF(COUNTIF('Invoice Register'!$M$2:$M$501,I$2)=0,"INVOICE DATA REQUIRED",SUMIFS('Invoice Register'!$N$2:$N$501,'Invoice Register'!$M$2:$M$501,I$2,'Invoice Register'!$E$2:$E$501,"Brands"))))</x:f>
        <x:v>6500</x:v>
      </x:c>
      <x:c r="J21" s="40" t="n">
        <x:f>IF(J$2="","",IF(6=VALUE(RIGHT($B$2,2))+1,IF(COUNTIFS($E21:I21,"INVOICE REVIEW")&gt;0,"INVOICE REVIEW",IF(COUNT($E21:I21)=0,"INVOICE DATA REQUIRED",SUM($E21:I21))),IF(COUNTIF('Invoice Register'!$M$2:$M$501,J$2)=0,"INVOICE DATA REQUIRED",SUMIFS('Invoice Register'!$N$2:$N$501,'Invoice Register'!$M$2:$M$501,J$2,'Invoice Register'!$E$2:$E$501,"Brands"))))</x:f>
        <x:v>9500</x:v>
      </x:c>
      <x:c r="K21" s="40" t="str">
        <x:f>IF(K$2="","",IF(7=VALUE(RIGHT($B$2,2))+1,IF(COUNTIFS($E21:J21,"INVOICE REVIEW")&gt;0,"INVOICE REVIEW",IF(COUNT($E21:J21)=0,"INVOICE DATA REQUIRED",SUM($E21:J21))),IF(COUNTIF('Invoice Register'!$M$2:$M$501,K$2)=0,"INVOICE DATA REQUIRED",SUMIFS('Invoice Register'!$N$2:$N$501,'Invoice Register'!$M$2:$M$501,K$2,'Invoice Register'!$E$2:$E$501,"Brands"))))</x:f>
      </x:c>
      <x:c r="L21" s="40" t="str">
        <x:f>IF(L$2="","",IF(8=VALUE(RIGHT($B$2,2))+1,IF(COUNTIFS($E21:K21,"INVOICE REVIEW")&gt;0,"INVOICE REVIEW",IF(COUNT($E21:K21)=0,"INVOICE DATA REQUIRED",SUM($E21:K21))),IF(COUNTIF('Invoice Register'!$M$2:$M$501,L$2)=0,"INVOICE DATA REQUIRED",SUMIFS('Invoice Register'!$N$2:$N$501,'Invoice Register'!$M$2:$M$501,L$2,'Invoice Register'!$E$2:$E$501,"Brands"))))</x:f>
      </x:c>
      <x:c r="M21" s="40" t="str">
        <x:f>IF(M$2="","",IF(9=VALUE(RIGHT($B$2,2))+1,IF(COUNTIFS($E21:L21,"INVOICE REVIEW")&gt;0,"INVOICE REVIEW",IF(COUNT($E21:L21)=0,"INVOICE DATA REQUIRED",SUM($E21:L21))),IF(COUNTIF('Invoice Register'!$M$2:$M$501,M$2)=0,"INVOICE DATA REQUIRED",SUMIFS('Invoice Register'!$N$2:$N$501,'Invoice Register'!$M$2:$M$501,M$2,'Invoice Register'!$E$2:$E$501,"Brands"))))</x:f>
      </x:c>
      <x:c r="N21" s="40" t="str">
        <x:f>IF(N$2="","",IF(10=VALUE(RIGHT($B$2,2))+1,IF(COUNTIFS($E21:M21,"INVOICE REVIEW")&gt;0,"INVOICE REVIEW",IF(COUNT($E21:M21)=0,"INVOICE DATA REQUIRED",SUM($E21:M21))),IF(COUNTIF('Invoice Register'!$M$2:$M$501,N$2)=0,"INVOICE DATA REQUIRED",SUMIFS('Invoice Register'!$N$2:$N$501,'Invoice Register'!$M$2:$M$501,N$2,'Invoice Register'!$E$2:$E$501,"Brands"))))</x:f>
      </x:c>
      <x:c r="O21" s="40" t="str">
        <x:f>IF(O$2="","",IF(11=VALUE(RIGHT($B$2,2))+1,IF(COUNTIFS($E21:N21,"INVOICE REVIEW")&gt;0,"INVOICE REVIEW",IF(COUNT($E21:N21)=0,"INVOICE DATA REQUIRED",SUM($E21:N21))),IF(COUNTIF('Invoice Register'!$M$2:$M$501,O$2)=0,"INVOICE DATA REQUIRED",SUMIFS('Invoice Register'!$N$2:$N$501,'Invoice Register'!$M$2:$M$501,O$2,'Invoice Register'!$E$2:$E$501,"Brands"))))</x:f>
      </x:c>
      <x:c r="P21" s="40" t="str">
        <x:f>IF(P$2="","",IF(12=VALUE(RIGHT($B$2,2))+1,IF(COUNTIFS($E21:O21,"INVOICE REVIEW")&gt;0,"INVOICE REVIEW",IF(COUNT($E21:O21)=0,"INVOICE DATA REQUIRED",SUM($E21:O21))),IF(COUNTIF('Invoice Register'!$M$2:$M$501,P$2)=0,"INVOICE DATA REQUIRED",SUMIFS('Invoice Register'!$N$2:$N$501,'Invoice Register'!$M$2:$M$501,P$2,'Invoice Register'!$E$2:$E$501,"Brands"))))</x:f>
      </x:c>
      <x:c r="Q21" s="40" t="str">
        <x:f>IF(Q$2="","",IF(13=VALUE(RIGHT($B$2,2))+1,IF(COUNTIFS($E21:P21,"INVOICE REVIEW")&gt;0,"INVOICE REVIEW",IF(COUNT($E21:P21)=0,"INVOICE DATA REQUIRED",SUM($E21:P21))),IF(COUNTIF('Invoice Register'!$M$2:$M$501,Q$2)=0,"INVOICE DATA REQUIRED",SUMIFS('Invoice Register'!$N$2:$N$501,'Invoice Register'!$M$2:$M$501,Q$2,'Invoice Register'!$E$2:$E$501,"Brands"))))</x:f>
      </x:c>
    </x:row>
    <x:row r="22">
      <x:c r="A22" t="str">
        <x:v>BU reconciliation</x:v>
      </x:c>
      <x:c r="B22" s="18" t="n">
        <x:f>IF(AND(ISNUMBER(B6),ISNUMBER(B20),ISNUMBER(B21)),B6-SUM(B20:B21),"INVOICE REVIEW")</x:f>
        <x:v>0</x:v>
      </x:c>
      <x:c r="C22" t="str">
        <x:v>Conciliación del subtotal válido por unidad; revisar registros no considerados.</x:v>
      </x:c>
      <x:c r="E22" s="44" t="n">
        <x:f>IF(E$2="","",IF(AND(ISNUMBER(E6),ISNUMBER(E20),ISNUMBER(E21)),E6-E20-E21,"INVOICE REVIEW"))</x:f>
        <x:v>0</x:v>
      </x:c>
      <x:c r="F22" s="44" t="n">
        <x:f>IF(F$2="","",IF(AND(ISNUMBER(F6),ISNUMBER(F20),ISNUMBER(F21)),F6-F20-F21,"INVOICE REVIEW"))</x:f>
        <x:v>0</x:v>
      </x:c>
      <x:c r="G22" s="44" t="n">
        <x:f>IF(G$2="","",IF(AND(ISNUMBER(G6),ISNUMBER(G20),ISNUMBER(G21)),G6-G20-G21,"INVOICE REVIEW"))</x:f>
        <x:v>0</x:v>
      </x:c>
      <x:c r="H22" s="44" t="n">
        <x:f>IF(H$2="","",IF(AND(ISNUMBER(H6),ISNUMBER(H20),ISNUMBER(H21)),H6-H20-H21,"INVOICE REVIEW"))</x:f>
        <x:v>0</x:v>
      </x:c>
      <x:c r="I22" s="44" t="n">
        <x:f>IF(I$2="","",IF(AND(ISNUMBER(I6),ISNUMBER(I20),ISNUMBER(I21)),I6-I20-I21,"INVOICE REVIEW"))</x:f>
        <x:v>0</x:v>
      </x:c>
      <x:c r="J22" s="44" t="n">
        <x:f>IF(J$2="","",IF(AND(ISNUMBER(J6),ISNUMBER(J20),ISNUMBER(J21)),J6-J20-J21,"INVOICE REVIEW"))</x:f>
        <x:v>0</x:v>
      </x:c>
      <x:c r="K22" s="44" t="str">
        <x:f>IF(K$2="","",IF(AND(ISNUMBER(K6),ISNUMBER(K20),ISNUMBER(K21)),K6-K20-K21,"INVOICE REVIEW"))</x:f>
      </x:c>
      <x:c r="L22" s="44" t="str">
        <x:f>IF(L$2="","",IF(AND(ISNUMBER(L6),ISNUMBER(L20),ISNUMBER(L21)),L6-L20-L21,"INVOICE REVIEW"))</x:f>
      </x:c>
      <x:c r="M22" s="44" t="str">
        <x:f>IF(M$2="","",IF(AND(ISNUMBER(M6),ISNUMBER(M20),ISNUMBER(M21)),M6-M20-M21,"INVOICE REVIEW"))</x:f>
      </x:c>
      <x:c r="N22" s="44" t="str">
        <x:f>IF(N$2="","",IF(AND(ISNUMBER(N6),ISNUMBER(N20),ISNUMBER(N21)),N6-N20-N21,"INVOICE REVIEW"))</x:f>
      </x:c>
      <x:c r="O22" s="44" t="str">
        <x:f>IF(O$2="","",IF(AND(ISNUMBER(O6),ISNUMBER(O20),ISNUMBER(O21)),O6-O20-O21,"INVOICE REVIEW"))</x:f>
      </x:c>
      <x:c r="P22" s="44" t="str">
        <x:f>IF(P$2="","",IF(AND(ISNUMBER(P6),ISNUMBER(P20),ISNUMBER(P21)),P6-P20-P21,"INVOICE REVIEW"))</x:f>
      </x:c>
      <x:c r="Q22" s="44" t="str">
        <x:f>IF(Q$2="","",IF(AND(ISNUMBER(Q6),ISNUMBER(Q20),ISNUMBER(Q21)),Q6-Q20-Q21,"INVOICE REVIEW"))</x:f>
      </x:c>
    </x:row>
    <x:row r="23" ht="60" customHeight="1">
      <x:c r="A23" s="25" t="str">
        <x:v>Control del subtotal normalizado</x:v>
      </x:c>
      <x:c r="B23" s="25" t="str">
        <x:f>IF(COUNTIFS('Invoice Register'!$L$2:$L$501,"&lt;&gt;",'Invoice Register'!$L$2:$L$501,"&lt;&gt;VALID",'Invoice Register'!$L$2:$L$501,"&lt;&gt;CANCELLED",'Invoice Register'!$L$2:$L$501,"&lt;&gt;FX HOLD",'Invoice Register'!$M$2:$M$501,$B$2)&gt;0,"NO CONSIDERADAS USD: "&amp;COUNTIFS('Invoice Register'!$L$2:$L$501,"&lt;&gt;",'Invoice Register'!$L$2:$L$501,"&lt;&gt;VALID",'Invoice Register'!$L$2:$L$501,"&lt;&gt;CANCELLED",'Invoice Register'!$L$2:$L$501,"&lt;&gt;FX HOLD",'Invoice Register'!$M$2:$M$501,$B$2,'Invoice Register'!$G$2:$G$501,"USD")&amp;"; MXN: "&amp;COUNTIFS('Invoice Register'!$L$2:$L$501,"&lt;&gt;",'Invoice Register'!$L$2:$L$501,"&lt;&gt;VALID",'Invoice Register'!$L$2:$L$501,"&lt;&gt;CANCELLED",'Invoice Register'!$L$2:$L$501,"&lt;&gt;FX HOLD",'Invoice Register'!$M$2:$M$501,$B$2,'Invoice Register'!$G$2:$G$501,"MXN")&amp;"; SIN MONEDA: "&amp;(COUNTIFS('Invoice Register'!$L$2:$L$501,"&lt;&gt;",'Invoice Register'!$L$2:$L$501,"&lt;&gt;VALID",'Invoice Register'!$L$2:$L$501,"&lt;&gt;CANCELLED",'Invoice Register'!$L$2:$L$501,"&lt;&gt;FX HOLD",'Invoice Register'!$M$2:$M$501,$B$2)-COUNTIFS('Invoice Register'!$L$2:$L$501,"&lt;&gt;",'Invoice Register'!$L$2:$L$501,"&lt;&gt;VALID",'Invoice Register'!$L$2:$L$501,"&lt;&gt;CANCELLED",'Invoice Register'!$L$2:$L$501,"&lt;&gt;FX HOLD",'Invoice Register'!$M$2:$M$501,$B$2,'Invoice Register'!$G$2:$G$501,"USD")-COUNTIFS('Invoice Register'!$L$2:$L$501,"&lt;&gt;",'Invoice Register'!$L$2:$L$501,"&lt;&gt;VALID",'Invoice Register'!$L$2:$L$501,"&lt;&gt;CANCELLED",'Invoice Register'!$L$2:$L$501,"&lt;&gt;FX HOLD",'Invoice Register'!$M$2:$M$501,$B$2,'Invoice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Register'!$M$2:$M$501,$B$2)&gt;0,"; FX PENDIENTE: "&amp;COUNTIFS('Invoice Register'!$L$2:$L$501,"FX HOLD",'Invoice Register'!$M$2:$M$501,$B$2),"")</x:f>
        <x:v>SIN EXCLUSIONES DETECTADAS</x:v>
      </x:c>
      <x:c r="C23" s="25" t="str">
        <x:v>Subtotal USD excluye registros cuestionados y MXN sin aprobación FX. Monedas originales conservan su control propio.</x:v>
      </x:c>
      <x:c r="D23" s="25"/>
      <x:c r="E23" s="34" t="str">
        <x:f>IF(E$2="","",IF(1=VALUE(RIGHT($B$2,2))+1,IF(COUNTIFS('Invoice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Register'!$M$2:$M$501,E$2)&gt;0,"NO CONSIDERADAS USD: "&amp;COUNTIFS('Invoice Register'!$L$2:$L$501,"&lt;&gt;",'Invoice Register'!$L$2:$L$501,"&lt;&gt;VALID",'Invoice Register'!$L$2:$L$501,"&lt;&gt;CANCELLED",'Invoice Register'!$L$2:$L$501,"&lt;&gt;FX HOLD",'Invoice Register'!$M$2:$M$501,E$2,'Invoice Register'!$G$2:$G$501,"USD")&amp;"; MXN: "&amp;COUNTIFS('Invoice Register'!$L$2:$L$501,"&lt;&gt;",'Invoice Register'!$L$2:$L$501,"&lt;&gt;VALID",'Invoice Register'!$L$2:$L$501,"&lt;&gt;CANCELLED",'Invoice Register'!$L$2:$L$501,"&lt;&gt;FX HOLD",'Invoice Register'!$M$2:$M$501,E$2,'Invoice Register'!$G$2:$G$501,"MXN")&amp;"; SIN MONEDA: "&amp;(COUNTIFS('Invoice Register'!$L$2:$L$501,"&lt;&gt;",'Invoice Register'!$L$2:$L$501,"&lt;&gt;VALID",'Invoice Register'!$L$2:$L$501,"&lt;&gt;CANCELLED",'Invoice Register'!$L$2:$L$501,"&lt;&gt;FX HOLD",'Invoice Register'!$M$2:$M$501,E$2)-COUNTIFS('Invoice Register'!$L$2:$L$501,"&lt;&gt;",'Invoice Register'!$L$2:$L$501,"&lt;&gt;VALID",'Invoice Register'!$L$2:$L$501,"&lt;&gt;CANCELLED",'Invoice Register'!$L$2:$L$501,"&lt;&gt;FX HOLD",'Invoice Register'!$M$2:$M$501,E$2,'Invoice Register'!$G$2:$G$501,"USD")-COUNTIFS('Invoice Register'!$L$2:$L$501,"&lt;&gt;",'Invoice Register'!$L$2:$L$501,"&lt;&gt;VALID",'Invoice Register'!$L$2:$L$501,"&lt;&gt;CANCELLED",'Invoice Register'!$L$2:$L$501,"&lt;&gt;FX HOLD",'Invoice Register'!$M$2:$M$501,E$2,'Invoice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Register'!$M$2:$M$501,E$2)&gt;0,"; FX PENDIENTE: "&amp;COUNTIFS('Invoice Register'!$L$2:$L$501,"FX HOLD",'Invoice Register'!$M$2:$M$501,E$2),"")))</x:f>
        <x:v>SIN EXCLUSIONES DETECTADAS</x:v>
      </x:c>
      <x:c r="F23" s="34" t="str">
        <x:f>IF(F$2="","",IF(2=VALUE(RIGHT($B$2,2))+1,IF(COUNTIFS('Invoice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Register'!$M$2:$M$501,F$2)&gt;0,"NO CONSIDERADAS USD: "&amp;COUNTIFS('Invoice Register'!$L$2:$L$501,"&lt;&gt;",'Invoice Register'!$L$2:$L$501,"&lt;&gt;VALID",'Invoice Register'!$L$2:$L$501,"&lt;&gt;CANCELLED",'Invoice Register'!$L$2:$L$501,"&lt;&gt;FX HOLD",'Invoice Register'!$M$2:$M$501,F$2,'Invoice Register'!$G$2:$G$501,"USD")&amp;"; MXN: "&amp;COUNTIFS('Invoice Register'!$L$2:$L$501,"&lt;&gt;",'Invoice Register'!$L$2:$L$501,"&lt;&gt;VALID",'Invoice Register'!$L$2:$L$501,"&lt;&gt;CANCELLED",'Invoice Register'!$L$2:$L$501,"&lt;&gt;FX HOLD",'Invoice Register'!$M$2:$M$501,F$2,'Invoice Register'!$G$2:$G$501,"MXN")&amp;"; SIN MONEDA: "&amp;(COUNTIFS('Invoice Register'!$L$2:$L$501,"&lt;&gt;",'Invoice Register'!$L$2:$L$501,"&lt;&gt;VALID",'Invoice Register'!$L$2:$L$501,"&lt;&gt;CANCELLED",'Invoice Register'!$L$2:$L$501,"&lt;&gt;FX HOLD",'Invoice Register'!$M$2:$M$501,F$2)-COUNTIFS('Invoice Register'!$L$2:$L$501,"&lt;&gt;",'Invoice Register'!$L$2:$L$501,"&lt;&gt;VALID",'Invoice Register'!$L$2:$L$501,"&lt;&gt;CANCELLED",'Invoice Register'!$L$2:$L$501,"&lt;&gt;FX HOLD",'Invoice Register'!$M$2:$M$501,F$2,'Invoice Register'!$G$2:$G$501,"USD")-COUNTIFS('Invoice Register'!$L$2:$L$501,"&lt;&gt;",'Invoice Register'!$L$2:$L$501,"&lt;&gt;VALID",'Invoice Register'!$L$2:$L$501,"&lt;&gt;CANCELLED",'Invoice Register'!$L$2:$L$501,"&lt;&gt;FX HOLD",'Invoice Register'!$M$2:$M$501,F$2,'Invoice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Register'!$M$2:$M$501,F$2)&gt;0,"; FX PENDIENTE: "&amp;COUNTIFS('Invoice Register'!$L$2:$L$501,"FX HOLD",'Invoice Register'!$M$2:$M$501,F$2),"")))</x:f>
        <x:v>SIN EXCLUSIONES DETECTADAS</x:v>
      </x:c>
      <x:c r="G23" s="34" t="str">
        <x:f>IF(G$2="","",IF(3=VALUE(RIGHT($B$2,2))+1,IF(COUNTIFS('Invoice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Register'!$M$2:$M$501,G$2)&gt;0,"NO CONSIDERADAS USD: "&amp;COUNTIFS('Invoice Register'!$L$2:$L$501,"&lt;&gt;",'Invoice Register'!$L$2:$L$501,"&lt;&gt;VALID",'Invoice Register'!$L$2:$L$501,"&lt;&gt;CANCELLED",'Invoice Register'!$L$2:$L$501,"&lt;&gt;FX HOLD",'Invoice Register'!$M$2:$M$501,G$2,'Invoice Register'!$G$2:$G$501,"USD")&amp;"; MXN: "&amp;COUNTIFS('Invoice Register'!$L$2:$L$501,"&lt;&gt;",'Invoice Register'!$L$2:$L$501,"&lt;&gt;VALID",'Invoice Register'!$L$2:$L$501,"&lt;&gt;CANCELLED",'Invoice Register'!$L$2:$L$501,"&lt;&gt;FX HOLD",'Invoice Register'!$M$2:$M$501,G$2,'Invoice Register'!$G$2:$G$501,"MXN")&amp;"; SIN MONEDA: "&amp;(COUNTIFS('Invoice Register'!$L$2:$L$501,"&lt;&gt;",'Invoice Register'!$L$2:$L$501,"&lt;&gt;VALID",'Invoice Register'!$L$2:$L$501,"&lt;&gt;CANCELLED",'Invoice Register'!$L$2:$L$501,"&lt;&gt;FX HOLD",'Invoice Register'!$M$2:$M$501,G$2)-COUNTIFS('Invoice Register'!$L$2:$L$501,"&lt;&gt;",'Invoice Register'!$L$2:$L$501,"&lt;&gt;VALID",'Invoice Register'!$L$2:$L$501,"&lt;&gt;CANCELLED",'Invoice Register'!$L$2:$L$501,"&lt;&gt;FX HOLD",'Invoice Register'!$M$2:$M$501,G$2,'Invoice Register'!$G$2:$G$501,"USD")-COUNTIFS('Invoice Register'!$L$2:$L$501,"&lt;&gt;",'Invoice Register'!$L$2:$L$501,"&lt;&gt;VALID",'Invoice Register'!$L$2:$L$501,"&lt;&gt;CANCELLED",'Invoice Register'!$L$2:$L$501,"&lt;&gt;FX HOLD",'Invoice Register'!$M$2:$M$501,G$2,'Invoice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Register'!$M$2:$M$501,G$2)&gt;0,"; FX PENDIENTE: "&amp;COUNTIFS('Invoice Register'!$L$2:$L$501,"FX HOLD",'Invoice Register'!$M$2:$M$501,G$2),"")))</x:f>
        <x:v>SIN EXCLUSIONES DETECTADAS</x:v>
      </x:c>
      <x:c r="H23" s="34" t="str">
        <x:f>IF(H$2="","",IF(4=VALUE(RIGHT($B$2,2))+1,IF(COUNTIFS('Invoice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Register'!$M$2:$M$501,H$2)&gt;0,"NO CONSIDERADAS USD: "&amp;COUNTIFS('Invoice Register'!$L$2:$L$501,"&lt;&gt;",'Invoice Register'!$L$2:$L$501,"&lt;&gt;VALID",'Invoice Register'!$L$2:$L$501,"&lt;&gt;CANCELLED",'Invoice Register'!$L$2:$L$501,"&lt;&gt;FX HOLD",'Invoice Register'!$M$2:$M$501,H$2,'Invoice Register'!$G$2:$G$501,"USD")&amp;"; MXN: "&amp;COUNTIFS('Invoice Register'!$L$2:$L$501,"&lt;&gt;",'Invoice Register'!$L$2:$L$501,"&lt;&gt;VALID",'Invoice Register'!$L$2:$L$501,"&lt;&gt;CANCELLED",'Invoice Register'!$L$2:$L$501,"&lt;&gt;FX HOLD",'Invoice Register'!$M$2:$M$501,H$2,'Invoice Register'!$G$2:$G$501,"MXN")&amp;"; SIN MONEDA: "&amp;(COUNTIFS('Invoice Register'!$L$2:$L$501,"&lt;&gt;",'Invoice Register'!$L$2:$L$501,"&lt;&gt;VALID",'Invoice Register'!$L$2:$L$501,"&lt;&gt;CANCELLED",'Invoice Register'!$L$2:$L$501,"&lt;&gt;FX HOLD",'Invoice Register'!$M$2:$M$501,H$2)-COUNTIFS('Invoice Register'!$L$2:$L$501,"&lt;&gt;",'Invoice Register'!$L$2:$L$501,"&lt;&gt;VALID",'Invoice Register'!$L$2:$L$501,"&lt;&gt;CANCELLED",'Invoice Register'!$L$2:$L$501,"&lt;&gt;FX HOLD",'Invoice Register'!$M$2:$M$501,H$2,'Invoice Register'!$G$2:$G$501,"USD")-COUNTIFS('Invoice Register'!$L$2:$L$501,"&lt;&gt;",'Invoice Register'!$L$2:$L$501,"&lt;&gt;VALID",'Invoice Register'!$L$2:$L$501,"&lt;&gt;CANCELLED",'Invoice Register'!$L$2:$L$501,"&lt;&gt;FX HOLD",'Invoice Register'!$M$2:$M$501,H$2,'Invoice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Register'!$M$2:$M$501,H$2)&gt;0,"; FX PENDIENTE: "&amp;COUNTIFS('Invoice Register'!$L$2:$L$501,"FX HOLD",'Invoice Register'!$M$2:$M$501,H$2),"")))</x:f>
        <x:v>SIN EXCLUSIONES DETECTADAS</x:v>
      </x:c>
      <x:c r="I23" s="34" t="str">
        <x:f>IF(I$2="","",IF(5=VALUE(RIGHT($B$2,2))+1,IF(COUNTIFS('Invoice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Register'!$M$2:$M$501,I$2)&gt;0,"NO CONSIDERADAS USD: "&amp;COUNTIFS('Invoice Register'!$L$2:$L$501,"&lt;&gt;",'Invoice Register'!$L$2:$L$501,"&lt;&gt;VALID",'Invoice Register'!$L$2:$L$501,"&lt;&gt;CANCELLED",'Invoice Register'!$L$2:$L$501,"&lt;&gt;FX HOLD",'Invoice Register'!$M$2:$M$501,I$2,'Invoice Register'!$G$2:$G$501,"USD")&amp;"; MXN: "&amp;COUNTIFS('Invoice Register'!$L$2:$L$501,"&lt;&gt;",'Invoice Register'!$L$2:$L$501,"&lt;&gt;VALID",'Invoice Register'!$L$2:$L$501,"&lt;&gt;CANCELLED",'Invoice Register'!$L$2:$L$501,"&lt;&gt;FX HOLD",'Invoice Register'!$M$2:$M$501,I$2,'Invoice Register'!$G$2:$G$501,"MXN")&amp;"; SIN MONEDA: "&amp;(COUNTIFS('Invoice Register'!$L$2:$L$501,"&lt;&gt;",'Invoice Register'!$L$2:$L$501,"&lt;&gt;VALID",'Invoice Register'!$L$2:$L$501,"&lt;&gt;CANCELLED",'Invoice Register'!$L$2:$L$501,"&lt;&gt;FX HOLD",'Invoice Register'!$M$2:$M$501,I$2)-COUNTIFS('Invoice Register'!$L$2:$L$501,"&lt;&gt;",'Invoice Register'!$L$2:$L$501,"&lt;&gt;VALID",'Invoice Register'!$L$2:$L$501,"&lt;&gt;CANCELLED",'Invoice Register'!$L$2:$L$501,"&lt;&gt;FX HOLD",'Invoice Register'!$M$2:$M$501,I$2,'Invoice Register'!$G$2:$G$501,"USD")-COUNTIFS('Invoice Register'!$L$2:$L$501,"&lt;&gt;",'Invoice Register'!$L$2:$L$501,"&lt;&gt;VALID",'Invoice Register'!$L$2:$L$501,"&lt;&gt;CANCELLED",'Invoice Register'!$L$2:$L$501,"&lt;&gt;FX HOLD",'Invoice Register'!$M$2:$M$501,I$2,'Invoice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Register'!$M$2:$M$501,I$2)&gt;0,"; FX PENDIENTE: "&amp;COUNTIFS('Invoice Register'!$L$2:$L$501,"FX HOLD",'Invoice Register'!$M$2:$M$501,I$2),"")))</x:f>
        <x:v>SIN EXCLUSIONES DETECTADAS</x:v>
      </x:c>
      <x:c r="J23" s="34" t="str">
        <x:f>IF(J$2="","",IF(6=VALUE(RIGHT($B$2,2))+1,IF(COUNTIFS('Invoice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Register'!$M$2:$M$501,J$2)&gt;0,"NO CONSIDERADAS USD: "&amp;COUNTIFS('Invoice Register'!$L$2:$L$501,"&lt;&gt;",'Invoice Register'!$L$2:$L$501,"&lt;&gt;VALID",'Invoice Register'!$L$2:$L$501,"&lt;&gt;CANCELLED",'Invoice Register'!$L$2:$L$501,"&lt;&gt;FX HOLD",'Invoice Register'!$M$2:$M$501,J$2,'Invoice Register'!$G$2:$G$501,"USD")&amp;"; MXN: "&amp;COUNTIFS('Invoice Register'!$L$2:$L$501,"&lt;&gt;",'Invoice Register'!$L$2:$L$501,"&lt;&gt;VALID",'Invoice Register'!$L$2:$L$501,"&lt;&gt;CANCELLED",'Invoice Register'!$L$2:$L$501,"&lt;&gt;FX HOLD",'Invoice Register'!$M$2:$M$501,J$2,'Invoice Register'!$G$2:$G$501,"MXN")&amp;"; SIN MONEDA: "&amp;(COUNTIFS('Invoice Register'!$L$2:$L$501,"&lt;&gt;",'Invoice Register'!$L$2:$L$501,"&lt;&gt;VALID",'Invoice Register'!$L$2:$L$501,"&lt;&gt;CANCELLED",'Invoice Register'!$L$2:$L$501,"&lt;&gt;FX HOLD",'Invoice Register'!$M$2:$M$501,J$2)-COUNTIFS('Invoice Register'!$L$2:$L$501,"&lt;&gt;",'Invoice Register'!$L$2:$L$501,"&lt;&gt;VALID",'Invoice Register'!$L$2:$L$501,"&lt;&gt;CANCELLED",'Invoice Register'!$L$2:$L$501,"&lt;&gt;FX HOLD",'Invoice Register'!$M$2:$M$501,J$2,'Invoice Register'!$G$2:$G$501,"USD")-COUNTIFS('Invoice Register'!$L$2:$L$501,"&lt;&gt;",'Invoice Register'!$L$2:$L$501,"&lt;&gt;VALID",'Invoice Register'!$L$2:$L$501,"&lt;&gt;CANCELLED",'Invoice Register'!$L$2:$L$501,"&lt;&gt;FX HOLD",'Invoice Register'!$M$2:$M$501,J$2,'Invoice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Register'!$M$2:$M$501,J$2)&gt;0,"; FX PENDIENTE: "&amp;COUNTIFS('Invoice Register'!$L$2:$L$501,"FX HOLD",'Invoice Register'!$M$2:$M$501,J$2),"")))</x:f>
        <x:v>SIN EXCLUSIONES DETECTADAS</x:v>
      </x:c>
      <x:c r="K23" s="34" t="str">
        <x:f>IF(K$2="","",IF(7=VALUE(RIGHT($B$2,2))+1,IF(COUNTIFS('Invoice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Register'!$M$2:$M$501,K$2)&gt;0,"NO CONSIDERADAS USD: "&amp;COUNTIFS('Invoice Register'!$L$2:$L$501,"&lt;&gt;",'Invoice Register'!$L$2:$L$501,"&lt;&gt;VALID",'Invoice Register'!$L$2:$L$501,"&lt;&gt;CANCELLED",'Invoice Register'!$L$2:$L$501,"&lt;&gt;FX HOLD",'Invoice Register'!$M$2:$M$501,K$2,'Invoice Register'!$G$2:$G$501,"USD")&amp;"; MXN: "&amp;COUNTIFS('Invoice Register'!$L$2:$L$501,"&lt;&gt;",'Invoice Register'!$L$2:$L$501,"&lt;&gt;VALID",'Invoice Register'!$L$2:$L$501,"&lt;&gt;CANCELLED",'Invoice Register'!$L$2:$L$501,"&lt;&gt;FX HOLD",'Invoice Register'!$M$2:$M$501,K$2,'Invoice Register'!$G$2:$G$501,"MXN")&amp;"; SIN MONEDA: "&amp;(COUNTIFS('Invoice Register'!$L$2:$L$501,"&lt;&gt;",'Invoice Register'!$L$2:$L$501,"&lt;&gt;VALID",'Invoice Register'!$L$2:$L$501,"&lt;&gt;CANCELLED",'Invoice Register'!$L$2:$L$501,"&lt;&gt;FX HOLD",'Invoice Register'!$M$2:$M$501,K$2)-COUNTIFS('Invoice Register'!$L$2:$L$501,"&lt;&gt;",'Invoice Register'!$L$2:$L$501,"&lt;&gt;VALID",'Invoice Register'!$L$2:$L$501,"&lt;&gt;CANCELLED",'Invoice Register'!$L$2:$L$501,"&lt;&gt;FX HOLD",'Invoice Register'!$M$2:$M$501,K$2,'Invoice Register'!$G$2:$G$501,"USD")-COUNTIFS('Invoice Register'!$L$2:$L$501,"&lt;&gt;",'Invoice Register'!$L$2:$L$501,"&lt;&gt;VALID",'Invoice Register'!$L$2:$L$501,"&lt;&gt;CANCELLED",'Invoice Register'!$L$2:$L$501,"&lt;&gt;FX HOLD",'Invoice Register'!$M$2:$M$501,K$2,'Invoice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Register'!$M$2:$M$501,K$2)&gt;0,"; FX PENDIENTE: "&amp;COUNTIFS('Invoice Register'!$L$2:$L$501,"FX HOLD",'Invoice Register'!$M$2:$M$501,K$2),"")))</x:f>
      </x:c>
      <x:c r="L23" s="34" t="str">
        <x:f>IF(L$2="","",IF(8=VALUE(RIGHT($B$2,2))+1,IF(COUNTIFS('Invoice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Register'!$M$2:$M$501,L$2)&gt;0,"NO CONSIDERADAS USD: "&amp;COUNTIFS('Invoice Register'!$L$2:$L$501,"&lt;&gt;",'Invoice Register'!$L$2:$L$501,"&lt;&gt;VALID",'Invoice Register'!$L$2:$L$501,"&lt;&gt;CANCELLED",'Invoice Register'!$L$2:$L$501,"&lt;&gt;FX HOLD",'Invoice Register'!$M$2:$M$501,L$2,'Invoice Register'!$G$2:$G$501,"USD")&amp;"; MXN: "&amp;COUNTIFS('Invoice Register'!$L$2:$L$501,"&lt;&gt;",'Invoice Register'!$L$2:$L$501,"&lt;&gt;VALID",'Invoice Register'!$L$2:$L$501,"&lt;&gt;CANCELLED",'Invoice Register'!$L$2:$L$501,"&lt;&gt;FX HOLD",'Invoice Register'!$M$2:$M$501,L$2,'Invoice Register'!$G$2:$G$501,"MXN")&amp;"; SIN MONEDA: "&amp;(COUNTIFS('Invoice Register'!$L$2:$L$501,"&lt;&gt;",'Invoice Register'!$L$2:$L$501,"&lt;&gt;VALID",'Invoice Register'!$L$2:$L$501,"&lt;&gt;CANCELLED",'Invoice Register'!$L$2:$L$501,"&lt;&gt;FX HOLD",'Invoice Register'!$M$2:$M$501,L$2)-COUNTIFS('Invoice Register'!$L$2:$L$501,"&lt;&gt;",'Invoice Register'!$L$2:$L$501,"&lt;&gt;VALID",'Invoice Register'!$L$2:$L$501,"&lt;&gt;CANCELLED",'Invoice Register'!$L$2:$L$501,"&lt;&gt;FX HOLD",'Invoice Register'!$M$2:$M$501,L$2,'Invoice Register'!$G$2:$G$501,"USD")-COUNTIFS('Invoice Register'!$L$2:$L$501,"&lt;&gt;",'Invoice Register'!$L$2:$L$501,"&lt;&gt;VALID",'Invoice Register'!$L$2:$L$501,"&lt;&gt;CANCELLED",'Invoice Register'!$L$2:$L$501,"&lt;&gt;FX HOLD",'Invoice Register'!$M$2:$M$501,L$2,'Invoice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Register'!$M$2:$M$501,L$2)&gt;0,"; FX PENDIENTE: "&amp;COUNTIFS('Invoice Register'!$L$2:$L$501,"FX HOLD",'Invoice Register'!$M$2:$M$501,L$2),"")))</x:f>
      </x:c>
      <x:c r="M23" s="34" t="str">
        <x:f>IF(M$2="","",IF(9=VALUE(RIGHT($B$2,2))+1,IF(COUNTIFS('Invoice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Register'!$M$2:$M$501,M$2)&gt;0,"NO CONSIDERADAS USD: "&amp;COUNTIFS('Invoice Register'!$L$2:$L$501,"&lt;&gt;",'Invoice Register'!$L$2:$L$501,"&lt;&gt;VALID",'Invoice Register'!$L$2:$L$501,"&lt;&gt;CANCELLED",'Invoice Register'!$L$2:$L$501,"&lt;&gt;FX HOLD",'Invoice Register'!$M$2:$M$501,M$2,'Invoice Register'!$G$2:$G$501,"USD")&amp;"; MXN: "&amp;COUNTIFS('Invoice Register'!$L$2:$L$501,"&lt;&gt;",'Invoice Register'!$L$2:$L$501,"&lt;&gt;VALID",'Invoice Register'!$L$2:$L$501,"&lt;&gt;CANCELLED",'Invoice Register'!$L$2:$L$501,"&lt;&gt;FX HOLD",'Invoice Register'!$M$2:$M$501,M$2,'Invoice Register'!$G$2:$G$501,"MXN")&amp;"; SIN MONEDA: "&amp;(COUNTIFS('Invoice Register'!$L$2:$L$501,"&lt;&gt;",'Invoice Register'!$L$2:$L$501,"&lt;&gt;VALID",'Invoice Register'!$L$2:$L$501,"&lt;&gt;CANCELLED",'Invoice Register'!$L$2:$L$501,"&lt;&gt;FX HOLD",'Invoice Register'!$M$2:$M$501,M$2)-COUNTIFS('Invoice Register'!$L$2:$L$501,"&lt;&gt;",'Invoice Register'!$L$2:$L$501,"&lt;&gt;VALID",'Invoice Register'!$L$2:$L$501,"&lt;&gt;CANCELLED",'Invoice Register'!$L$2:$L$501,"&lt;&gt;FX HOLD",'Invoice Register'!$M$2:$M$501,M$2,'Invoice Register'!$G$2:$G$501,"USD")-COUNTIFS('Invoice Register'!$L$2:$L$501,"&lt;&gt;",'Invoice Register'!$L$2:$L$501,"&lt;&gt;VALID",'Invoice Register'!$L$2:$L$501,"&lt;&gt;CANCELLED",'Invoice Register'!$L$2:$L$501,"&lt;&gt;FX HOLD",'Invoice Register'!$M$2:$M$501,M$2,'Invoice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Register'!$M$2:$M$501,M$2)&gt;0,"; FX PENDIENTE: "&amp;COUNTIFS('Invoice Register'!$L$2:$L$501,"FX HOLD",'Invoice Register'!$M$2:$M$501,M$2),"")))</x:f>
      </x:c>
      <x:c r="N23" s="34" t="str">
        <x:f>IF(N$2="","",IF(10=VALUE(RIGHT($B$2,2))+1,IF(COUNTIFS('Invoice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Register'!$M$2:$M$501,N$2)&gt;0,"NO CONSIDERADAS USD: "&amp;COUNTIFS('Invoice Register'!$L$2:$L$501,"&lt;&gt;",'Invoice Register'!$L$2:$L$501,"&lt;&gt;VALID",'Invoice Register'!$L$2:$L$501,"&lt;&gt;CANCELLED",'Invoice Register'!$L$2:$L$501,"&lt;&gt;FX HOLD",'Invoice Register'!$M$2:$M$501,N$2,'Invoice Register'!$G$2:$G$501,"USD")&amp;"; MXN: "&amp;COUNTIFS('Invoice Register'!$L$2:$L$501,"&lt;&gt;",'Invoice Register'!$L$2:$L$501,"&lt;&gt;VALID",'Invoice Register'!$L$2:$L$501,"&lt;&gt;CANCELLED",'Invoice Register'!$L$2:$L$501,"&lt;&gt;FX HOLD",'Invoice Register'!$M$2:$M$501,N$2,'Invoice Register'!$G$2:$G$501,"MXN")&amp;"; SIN MONEDA: "&amp;(COUNTIFS('Invoice Register'!$L$2:$L$501,"&lt;&gt;",'Invoice Register'!$L$2:$L$501,"&lt;&gt;VALID",'Invoice Register'!$L$2:$L$501,"&lt;&gt;CANCELLED",'Invoice Register'!$L$2:$L$501,"&lt;&gt;FX HOLD",'Invoice Register'!$M$2:$M$501,N$2)-COUNTIFS('Invoice Register'!$L$2:$L$501,"&lt;&gt;",'Invoice Register'!$L$2:$L$501,"&lt;&gt;VALID",'Invoice Register'!$L$2:$L$501,"&lt;&gt;CANCELLED",'Invoice Register'!$L$2:$L$501,"&lt;&gt;FX HOLD",'Invoice Register'!$M$2:$M$501,N$2,'Invoice Register'!$G$2:$G$501,"USD")-COUNTIFS('Invoice Register'!$L$2:$L$501,"&lt;&gt;",'Invoice Register'!$L$2:$L$501,"&lt;&gt;VALID",'Invoice Register'!$L$2:$L$501,"&lt;&gt;CANCELLED",'Invoice Register'!$L$2:$L$501,"&lt;&gt;FX HOLD",'Invoice Register'!$M$2:$M$501,N$2,'Invoice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Register'!$M$2:$M$501,N$2)&gt;0,"; FX PENDIENTE: "&amp;COUNTIFS('Invoice Register'!$L$2:$L$501,"FX HOLD",'Invoice Register'!$M$2:$M$501,N$2),"")))</x:f>
      </x:c>
      <x:c r="O23" s="34" t="str">
        <x:f>IF(O$2="","",IF(11=VALUE(RIGHT($B$2,2))+1,IF(COUNTIFS('Invoice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Register'!$M$2:$M$501,O$2)&gt;0,"NO CONSIDERADAS USD: "&amp;COUNTIFS('Invoice Register'!$L$2:$L$501,"&lt;&gt;",'Invoice Register'!$L$2:$L$501,"&lt;&gt;VALID",'Invoice Register'!$L$2:$L$501,"&lt;&gt;CANCELLED",'Invoice Register'!$L$2:$L$501,"&lt;&gt;FX HOLD",'Invoice Register'!$M$2:$M$501,O$2,'Invoice Register'!$G$2:$G$501,"USD")&amp;"; MXN: "&amp;COUNTIFS('Invoice Register'!$L$2:$L$501,"&lt;&gt;",'Invoice Register'!$L$2:$L$501,"&lt;&gt;VALID",'Invoice Register'!$L$2:$L$501,"&lt;&gt;CANCELLED",'Invoice Register'!$L$2:$L$501,"&lt;&gt;FX HOLD",'Invoice Register'!$M$2:$M$501,O$2,'Invoice Register'!$G$2:$G$501,"MXN")&amp;"; SIN MONEDA: "&amp;(COUNTIFS('Invoice Register'!$L$2:$L$501,"&lt;&gt;",'Invoice Register'!$L$2:$L$501,"&lt;&gt;VALID",'Invoice Register'!$L$2:$L$501,"&lt;&gt;CANCELLED",'Invoice Register'!$L$2:$L$501,"&lt;&gt;FX HOLD",'Invoice Register'!$M$2:$M$501,O$2)-COUNTIFS('Invoice Register'!$L$2:$L$501,"&lt;&gt;",'Invoice Register'!$L$2:$L$501,"&lt;&gt;VALID",'Invoice Register'!$L$2:$L$501,"&lt;&gt;CANCELLED",'Invoice Register'!$L$2:$L$501,"&lt;&gt;FX HOLD",'Invoice Register'!$M$2:$M$501,O$2,'Invoice Register'!$G$2:$G$501,"USD")-COUNTIFS('Invoice Register'!$L$2:$L$501,"&lt;&gt;",'Invoice Register'!$L$2:$L$501,"&lt;&gt;VALID",'Invoice Register'!$L$2:$L$501,"&lt;&gt;CANCELLED",'Invoice Register'!$L$2:$L$501,"&lt;&gt;FX HOLD",'Invoice Register'!$M$2:$M$501,O$2,'Invoice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Register'!$M$2:$M$501,O$2)&gt;0,"; FX PENDIENTE: "&amp;COUNTIFS('Invoice Register'!$L$2:$L$501,"FX HOLD",'Invoice Register'!$M$2:$M$501,O$2),"")))</x:f>
      </x:c>
      <x:c r="P23" s="34" t="str">
        <x:f>IF(P$2="","",IF(12=VALUE(RIGHT($B$2,2))+1,IF(COUNTIFS('Invoice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Register'!$M$2:$M$501,P$2)&gt;0,"NO CONSIDERADAS USD: "&amp;COUNTIFS('Invoice Register'!$L$2:$L$501,"&lt;&gt;",'Invoice Register'!$L$2:$L$501,"&lt;&gt;VALID",'Invoice Register'!$L$2:$L$501,"&lt;&gt;CANCELLED",'Invoice Register'!$L$2:$L$501,"&lt;&gt;FX HOLD",'Invoice Register'!$M$2:$M$501,P$2,'Invoice Register'!$G$2:$G$501,"USD")&amp;"; MXN: "&amp;COUNTIFS('Invoice Register'!$L$2:$L$501,"&lt;&gt;",'Invoice Register'!$L$2:$L$501,"&lt;&gt;VALID",'Invoice Register'!$L$2:$L$501,"&lt;&gt;CANCELLED",'Invoice Register'!$L$2:$L$501,"&lt;&gt;FX HOLD",'Invoice Register'!$M$2:$M$501,P$2,'Invoice Register'!$G$2:$G$501,"MXN")&amp;"; SIN MONEDA: "&amp;(COUNTIFS('Invoice Register'!$L$2:$L$501,"&lt;&gt;",'Invoice Register'!$L$2:$L$501,"&lt;&gt;VALID",'Invoice Register'!$L$2:$L$501,"&lt;&gt;CANCELLED",'Invoice Register'!$L$2:$L$501,"&lt;&gt;FX HOLD",'Invoice Register'!$M$2:$M$501,P$2)-COUNTIFS('Invoice Register'!$L$2:$L$501,"&lt;&gt;",'Invoice Register'!$L$2:$L$501,"&lt;&gt;VALID",'Invoice Register'!$L$2:$L$501,"&lt;&gt;CANCELLED",'Invoice Register'!$L$2:$L$501,"&lt;&gt;FX HOLD",'Invoice Register'!$M$2:$M$501,P$2,'Invoice Register'!$G$2:$G$501,"USD")-COUNTIFS('Invoice Register'!$L$2:$L$501,"&lt;&gt;",'Invoice Register'!$L$2:$L$501,"&lt;&gt;VALID",'Invoice Register'!$L$2:$L$501,"&lt;&gt;CANCELLED",'Invoice Register'!$L$2:$L$501,"&lt;&gt;FX HOLD",'Invoice Register'!$M$2:$M$501,P$2,'Invoice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Register'!$M$2:$M$501,P$2)&gt;0,"; FX PENDIENTE: "&amp;COUNTIFS('Invoice Register'!$L$2:$L$501,"FX HOLD",'Invoice Register'!$M$2:$M$501,P$2),"")))</x:f>
      </x:c>
      <x:c r="Q23" s="34" t="str">
        <x:f>IF(Q$2="","",IF(13=VALUE(RIGHT($B$2,2))+1,IF(COUNTIFS('Invoice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Register'!$M$2:$M$501,"&gt;="&amp;LEFT($B$2,4)&amp;"-01",'Invoice Register'!$M$2:$M$501,"&lt;="&amp;$B$2)&gt;0,"; FX PENDIENTE: "&amp;COUNTIFS('Invoice Register'!$L$2:$L$501,"FX HOLD",'Invoice Register'!$M$2:$M$501,"&gt;="&amp;LEFT($B$2,4)&amp;"-01",'Invoice Register'!$M$2:$M$501,"&lt;="&amp;$B$2),""),IF(COUNTIFS('Invoice Register'!$L$2:$L$501,"&lt;&gt;",'Invoice Register'!$L$2:$L$501,"&lt;&gt;VALID",'Invoice Register'!$L$2:$L$501,"&lt;&gt;CANCELLED",'Invoice Register'!$L$2:$L$501,"&lt;&gt;FX HOLD",'Invoice Register'!$M$2:$M$501,Q$2)&gt;0,"NO CONSIDERADAS USD: "&amp;COUNTIFS('Invoice Register'!$L$2:$L$501,"&lt;&gt;",'Invoice Register'!$L$2:$L$501,"&lt;&gt;VALID",'Invoice Register'!$L$2:$L$501,"&lt;&gt;CANCELLED",'Invoice Register'!$L$2:$L$501,"&lt;&gt;FX HOLD",'Invoice Register'!$M$2:$M$501,Q$2,'Invoice Register'!$G$2:$G$501,"USD")&amp;"; MXN: "&amp;COUNTIFS('Invoice Register'!$L$2:$L$501,"&lt;&gt;",'Invoice Register'!$L$2:$L$501,"&lt;&gt;VALID",'Invoice Register'!$L$2:$L$501,"&lt;&gt;CANCELLED",'Invoice Register'!$L$2:$L$501,"&lt;&gt;FX HOLD",'Invoice Register'!$M$2:$M$501,Q$2,'Invoice Register'!$G$2:$G$501,"MXN")&amp;"; SIN MONEDA: "&amp;(COUNTIFS('Invoice Register'!$L$2:$L$501,"&lt;&gt;",'Invoice Register'!$L$2:$L$501,"&lt;&gt;VALID",'Invoice Register'!$L$2:$L$501,"&lt;&gt;CANCELLED",'Invoice Register'!$L$2:$L$501,"&lt;&gt;FX HOLD",'Invoice Register'!$M$2:$M$501,Q$2)-COUNTIFS('Invoice Register'!$L$2:$L$501,"&lt;&gt;",'Invoice Register'!$L$2:$L$501,"&lt;&gt;VALID",'Invoice Register'!$L$2:$L$501,"&lt;&gt;CANCELLED",'Invoice Register'!$L$2:$L$501,"&lt;&gt;FX HOLD",'Invoice Register'!$M$2:$M$501,Q$2,'Invoice Register'!$G$2:$G$501,"USD")-COUNTIFS('Invoice Register'!$L$2:$L$501,"&lt;&gt;",'Invoice Register'!$L$2:$L$501,"&lt;&gt;VALID",'Invoice Register'!$L$2:$L$501,"&lt;&gt;CANCELLED",'Invoice Register'!$L$2:$L$501,"&lt;&gt;FX HOLD",'Invoice Register'!$M$2:$M$501,Q$2,'Invoice Register'!$G$2:$G$501,"MXN")),"SIN EXCLUSIONES DETECTADAS")&amp;IF(SUMPRODUCT(--('Invoice Register'!$M$2:$M$501=""),--('Invoice Register'!$L$2:$L$501&lt;&gt;""),--('Invoice Register'!$L$2:$L$501&lt;&gt;"VALID"),--('Invoice Register'!$L$2:$L$501&lt;&gt;"CANCELLED"),--('Invoice Register'!$L$2:$L$501&lt;&gt;"FX HOLD"))&gt;0,"; HAY REGISTROS SIN FECHA VALIDA","")&amp;IF(COUNTIFS('Invoice Register'!$L$2:$L$501,"FX HOLD",'Invoice Register'!$M$2:$M$501,Q$2)&gt;0,"; FX PENDIENTE: "&amp;COUNTIFS('Invoice Register'!$L$2:$L$501,"FX HOLD",'Invoice Register'!$M$2:$M$501,Q$2),"")))</x:f>
      </x:c>
    </x:row>
    <x:row r="24">
      <x:c r="A24" s="15" t="str">
        <x:v>REPORTING CONSTRAINTS</x:v>
      </x:c>
      <x:c r="B24" s="15" t="str">
        <x:v>Status</x:v>
      </x:c>
      <x:c r="C24" s="15" t="str">
        <x:v>Meaning</x:v>
      </x:c>
      <x:c r="E24" s="42"/>
      <x:c r="F24" s="42"/>
      <x:c r="G24" s="42"/>
      <x:c r="H24" s="42"/>
      <x:c r="I24" s="42"/>
      <x:c r="J24" s="42"/>
      <x:c r="K24" s="42"/>
      <x:c r="L24" s="42"/>
      <x:c r="M24" s="42"/>
      <x:c r="N24" s="42"/>
      <x:c r="O24" s="42"/>
      <x:c r="P24" s="42"/>
      <x:c r="Q24" s="42"/>
    </x:row>
    <x:row r="25" ht="38" customHeight="1">
      <x:c r="A25" t="str">
        <x:v>ERP linkage</x:v>
      </x:c>
      <x:c r="B25" t="str">
        <x:v>NOT CONNECTED</x:v>
      </x:c>
      <x:c r="C25" t="str">
        <x:v>ERP exports are loaded as values; no automated ERP connection.</x:v>
      </x:c>
      <x:c r="E25" s="46" t="str">
        <x:v>Select YYYY-MM in B2. Facturación comes from Invoice Register, grouped by validated Invoice date. Customer PO intake keeps its own authorization month.</x:v>
      </x:c>
      <x:c r="F25" s="46"/>
      <x:c r="G25" s="46"/>
      <x:c r="H25" s="46"/>
      <x:c r="I25" s="46"/>
      <x:c r="J25" s="46"/>
      <x:c r="K25" s="46"/>
      <x:c r="L25" s="46"/>
      <x:c r="M25" s="46"/>
      <x:c r="N25" s="46"/>
      <x:c r="O25" s="46"/>
      <x:c r="P25" s="46"/>
      <x:c r="Q25" s="46"/>
    </x:row>
    <x:row r="26" ht="38" customHeight="1">
      <x:c r="A26" t="str">
        <x:v>FX policy</x:v>
      </x:c>
      <x:c r="B26" t="str">
        <x:v>OPEN</x:v>
      </x:c>
      <x:c r="C26" t="str">
        <x:v>Original currencies remain separate. Normalized invoice USD requires ERP amount and approved FX metadata.</x:v>
      </x:c>
      <x:c r="E26" s="46" t="str">
        <x:v>NO DATA refers to monthly operational records. Missing dated invoices appear as INVOICE DATA REQUIRED / INVOICE REVIEW; old monthly amounts remain in Monthly Project Activity T for reference only.</x:v>
      </x:c>
      <x:c r="F26" s="46"/>
      <x:c r="G26" s="46"/>
      <x:c r="H26" s="46"/>
      <x:c r="I26" s="46"/>
      <x:c r="J26" s="46"/>
      <x:c r="K26" s="46"/>
      <x:c r="L26" s="46"/>
      <x:c r="M26" s="46"/>
      <x:c r="N26" s="46"/>
      <x:c r="O26" s="46"/>
      <x:c r="P26" s="46"/>
      <x:c r="Q26" s="46"/>
    </x:row>
    <x:row r="27" ht="38" customHeight="1">
      <x:c r="A27" t="str">
        <x:v>Monthly close</x:v>
      </x:c>
      <x:c r="B27" t="str">
        <x:v>PROTOTYPE</x:v>
      </x:c>
      <x:c r="C27" t="str">
        <x:v>Period records are not locked, approved, or reconciled to an actual ERP</x:v>
      </x:c>
      <x:c r="E27" s="46" t="str">
        <x:v>Payment metrics retired. Costs recognized in ERP remain separate information. YTD adds available monthly flows; no project-count summation.</x:v>
      </x:c>
      <x:c r="F27" s="46"/>
      <x:c r="G27" s="46"/>
      <x:c r="H27" s="46"/>
      <x:c r="I27" s="46"/>
      <x:c r="J27" s="46"/>
      <x:c r="K27" s="46"/>
      <x:c r="L27" s="46"/>
      <x:c r="M27" s="46"/>
      <x:c r="N27" s="46"/>
      <x:c r="O27" s="46"/>
      <x:c r="P27" s="46"/>
      <x:c r="Q27" s="46"/>
    </x:row>
    <x:row r="28">
      <x:c r="A28" t="str">
        <x:v>Operational scope</x:v>
      </x:c>
      <x:c r="B28" t="str">
        <x:v>BUDGET / PO</x:v>
      </x:c>
      <x:c r="C28" t="str">
        <x:v>Operational budget versus supplier PO control. No receipt, payable, payment or profit calculation.</x:v>
      </x:c>
      <x:c r="E28" s="33"/>
      <x:c r="F28" s="33"/>
      <x:c r="G28" s="33"/>
      <x:c r="H28" s="33"/>
      <x:c r="I28" s="33"/>
      <x:c r="J28" s="33"/>
      <x:c r="K28" s="33"/>
      <x:c r="L28" s="33"/>
      <x:c r="M28" s="33"/>
      <x:c r="N28" s="33"/>
      <x:c r="O28" s="33"/>
      <x:c r="P28" s="33"/>
      <x:c r="Q28" s="33"/>
    </x:row>
    <x:row r="29">
      <x:c r="A29" t="str">
        <x:v>Granularity</x:v>
      </x:c>
      <x:c r="B29" t="str">
        <x:v>PROJECT / MONTH + INVOICE</x:v>
      </x:c>
      <x:c r="C29" t="str">
        <x:v>Operating inputs: one project/month. Billing source: one ERP invoice/project allocation.</x:v>
      </x:c>
      <x:c r="E29" s="33"/>
      <x:c r="F29" s="33"/>
      <x:c r="G29" s="33"/>
      <x:c r="H29" s="33"/>
      <x:c r="I29" s="33"/>
      <x:c r="J29" s="33"/>
      <x:c r="K29" s="33"/>
      <x:c r="L29" s="33"/>
      <x:c r="M29" s="33"/>
      <x:c r="N29" s="33"/>
      <x:c r="O29" s="33"/>
      <x:c r="P29" s="33"/>
      <x:c r="Q29" s="33"/>
    </x:row>
    <x:row r="31" ht="32" customHeight="1">
      <x:c r="A31" s="64" t="str">
        <x:v>FACTURACIÓN EN MONEDA ORIGINAL</x:v>
      </x:c>
      <x:c r="B31" s="64" t="str">
        <x:v>MES / MONEDA</x:v>
      </x:c>
      <x:c r="C31" s="64" t="str">
        <x:v>Fecha real de factura; sin sumar ni convertir monedas.</x:v>
      </x:c>
      <x:c r="D31" s="64"/>
      <x:c r="E31" s="64" t="str">
        <x:f>E2</x:f>
        <x:v>2026-01</x:v>
      </x:c>
      <x:c r="F31" s="64" t="str">
        <x:f>F2</x:f>
        <x:v>2026-02</x:v>
      </x:c>
      <x:c r="G31" s="64" t="str">
        <x:f>G2</x:f>
        <x:v>2026-03</x:v>
      </x:c>
      <x:c r="H31" s="64" t="str">
        <x:f>H2</x:f>
        <x:v>2026-04</x:v>
      </x:c>
      <x:c r="I31" s="64" t="str">
        <x:f>I2</x:f>
        <x:v>2026-05</x:v>
      </x:c>
      <x:c r="J31" s="64" t="str">
        <x:f>J2</x:f>
        <x:v>YTD TO CUT-OFF</x:v>
      </x:c>
      <x:c r="K31" s="64" t="n">
        <x:f>K2</x:f>
        <x:v>0</x:v>
      </x:c>
      <x:c r="L31" s="64" t="n">
        <x:f>L2</x:f>
        <x:v>0</x:v>
      </x:c>
      <x:c r="M31" s="64" t="n">
        <x:f>M2</x:f>
        <x:v>0</x:v>
      </x:c>
      <x:c r="N31" s="64" t="n">
        <x:f>N2</x:f>
        <x:v>0</x:v>
      </x:c>
      <x:c r="O31" s="64" t="n">
        <x:f>O2</x:f>
        <x:v>0</x:v>
      </x:c>
      <x:c r="P31" s="64" t="n">
        <x:f>P2</x:f>
        <x:v>0</x:v>
      </x:c>
      <x:c r="Q31" s="64" t="n">
        <x:f>Q2</x:f>
        <x:v>0</x:v>
      </x:c>
    </x:row>
    <x:row r="32" ht="52" customHeight="1">
      <x:c r="A32" s="25" t="str">
        <x:v>Subtotal facturación USD original</x:v>
      </x:c>
      <x:c r="B32" s="65" t="n">
        <x:f>IF(COUNTIF('Invoice Register'!$M$2:$M$501,$B$2)=0,"INVOICE DATA REQUIRED",SUMIFS('Invoice Register'!$H$2:$H$501,'Invoice Register'!$M$2:$M$501,$B$2,'Invoice Register'!$G$2:$G$501,"USD",'Invoice Register'!$L$2:$L$501,"VALID")+SUMIFS('Invoice Register'!$H$2:$H$501,'Invoice Register'!$M$2:$M$501,$B$2,'Invoice Register'!$G$2:$G$501,"USD",'Invoice Register'!$L$2:$L$501,"FX HOLD"))</x:f>
        <x:v>6500</x:v>
      </x:c>
      <x:c r="C32" s="25" t="str">
        <x:f>IF(COUNTIFS('Invoice Register'!$L$2:$L$501,"&lt;&gt;",'Invoice Register'!$L$2:$L$501,"&lt;&gt;VALID",'Invoice Register'!$L$2:$L$501,"&lt;&gt;CANCELLED",'Invoice Register'!$L$2:$L$501,"&lt;&gt;FX HOLD",'Invoice Register'!$M$2:$M$501,$B$2,'Invoice Register'!$G$2:$G$501,"USD")&gt;0,"SUBTOTAL PARCIAL: "&amp;COUNTIFS('Invoice Register'!$L$2:$L$501,"&lt;&gt;",'Invoice Register'!$L$2:$L$501,"&lt;&gt;VALID",'Invoice Register'!$L$2:$L$501,"&lt;&gt;CANCELLED",'Invoice Register'!$L$2:$L$501,"&lt;&gt;FX HOLD",'Invoice Register'!$M$2:$M$501,$B$2,'Invoice Register'!$G$2:$G$501,"USD")&amp;" registro(s) de factura USD no considerado(s). Ver Invoice Register, L.","Subtotal de registros USD validos del periodo.")&amp;IF(SUMPRODUCT(--('Invoice Register'!$M$2:$M$501=""),--('Invoice Register'!$L$2:$L$501&lt;&gt;""),--('Invoice Register'!$L$2:$L$501&lt;&gt;"VALID"),--('Invoice Register'!$L$2:$L$501&lt;&gt;"CANCELLED"),--('Invoice Register'!$L$2:$L$501&lt;&gt;"FX HOLD"))&gt;0," Revisar registros sin fecha: cobertura pendiente.","")&amp;IF(COUNTIFS('Invoice Register'!$L$2:$L$501,"&lt;&gt;",'Invoice Register'!$L$2:$L$501,"&lt;&gt;VALID",'Invoice Register'!$L$2:$L$501,"&lt;&gt;CANCELLED",'Invoice Register'!$L$2:$L$501,"&lt;&gt;FX HOLD",'Invoice Register'!$M$2:$M$501,$B$2)-COUNTIFS('Invoice Register'!$L$2:$L$501,"&lt;&gt;",'Invoice Register'!$L$2:$L$501,"&lt;&gt;VALID",'Invoice Register'!$L$2:$L$501,"&lt;&gt;CANCELLED",'Invoice Register'!$L$2:$L$501,"&lt;&gt;FX HOLD",'Invoice Register'!$M$2:$M$501,$B$2,'Invoice Register'!$G$2:$G$501,"USD")-COUNTIFS('Invoice Register'!$L$2:$L$501,"&lt;&gt;",'Invoice Register'!$L$2:$L$501,"&lt;&gt;VALID",'Invoice Register'!$L$2:$L$501,"&lt;&gt;CANCELLED",'Invoice Register'!$L$2:$L$501,"&lt;&gt;FX HOLD",'Invoice Register'!$M$2:$M$501,$B$2,'Invoice Register'!$G$2:$G$501,"MXN")&gt;0," Hay registros sin moneda valida.","")</x:f>
        <x:v>Subtotal de registros USD validos del periodo.</x:v>
      </x:c>
      <x:c r="D32" s="25"/>
      <x:c r="E32" s="65" t="n">
        <x:f>IF(E$2="","",IF(1=VALUE(RIGHT($B$2,2))+1,"",IF(COUNTIF('Invoice Register'!$M$2:$M$501,E$2)=0,"INVOICE DATA REQUIRED",SUMIFS('Invoice Register'!$H$2:$H$501,'Invoice Register'!$M$2:$M$501,E$2,'Invoice Register'!$G$2:$G$501,"USD",'Invoice Register'!$L$2:$L$501,"VALID")+SUMIFS('Invoice Register'!$H$2:$H$501,'Invoice Register'!$M$2:$M$501,E$2,'Invoice Register'!$G$2:$G$501,"USD",'Invoice Register'!$L$2:$L$501,"FX HOLD"))))</x:f>
        <x:v>1000</x:v>
      </x:c>
      <x:c r="F32" s="65" t="n">
        <x:f>IF(F$2="","",IF(2=VALUE(RIGHT($B$2,2))+1,IF(COUNTIFS($E32:E32,"INVOICE REVIEW")&gt;0,"INVOICE REVIEW",IF(COUNT($E32:E32)=0,"INVOICE DATA REQUIRED",SUM($E32:E32))),IF(COUNTIF('Invoice Register'!$M$2:$M$501,F$2)=0,"INVOICE DATA REQUIRED",SUMIFS('Invoice Register'!$H$2:$H$501,'Invoice Register'!$M$2:$M$501,F$2,'Invoice Register'!$G$2:$G$501,"USD",'Invoice Register'!$L$2:$L$501,"VALID")+SUMIFS('Invoice Register'!$H$2:$H$501,'Invoice Register'!$M$2:$M$501,F$2,'Invoice Register'!$G$2:$G$501,"USD",'Invoice Register'!$L$2:$L$501,"FX HOLD"))))</x:f>
        <x:v>2000</x:v>
      </x:c>
      <x:c r="G32" s="65" t="n">
        <x:f>IF(G$2="","",IF(3=VALUE(RIGHT($B$2,2))+1,IF(COUNTIFS($E32:F32,"INVOICE REVIEW")&gt;0,"INVOICE REVIEW",IF(COUNT($E32:F32)=0,"INVOICE DATA REQUIRED",SUM($E32:F32))),IF(COUNTIF('Invoice Register'!$M$2:$M$501,G$2)=0,"INVOICE DATA REQUIRED",SUMIFS('Invoice Register'!$H$2:$H$501,'Invoice Register'!$M$2:$M$501,G$2,'Invoice Register'!$G$2:$G$501,"USD",'Invoice Register'!$L$2:$L$501,"VALID")+SUMIFS('Invoice Register'!$H$2:$H$501,'Invoice Register'!$M$2:$M$501,G$2,'Invoice Register'!$G$2:$G$501,"USD",'Invoice Register'!$L$2:$L$501,"FX HOLD"))))</x:f>
        <x:v>0</x:v>
      </x:c>
      <x:c r="H32" s="65" t="n">
        <x:f>IF(H$2="","",IF(4=VALUE(RIGHT($B$2,2))+1,IF(COUNTIFS($E32:G32,"INVOICE REVIEW")&gt;0,"INVOICE REVIEW",IF(COUNT($E32:G32)=0,"INVOICE DATA REQUIRED",SUM($E32:G32))),IF(COUNTIF('Invoice Register'!$M$2:$M$501,H$2)=0,"INVOICE DATA REQUIRED",SUMIFS('Invoice Register'!$H$2:$H$501,'Invoice Register'!$M$2:$M$501,H$2,'Invoice Register'!$G$2:$G$501,"USD",'Invoice Register'!$L$2:$L$501,"VALID")+SUMIFS('Invoice Register'!$H$2:$H$501,'Invoice Register'!$M$2:$M$501,H$2,'Invoice Register'!$G$2:$G$501,"USD",'Invoice Register'!$L$2:$L$501,"FX HOLD"))))</x:f>
        <x:v>1500</x:v>
      </x:c>
      <x:c r="I32" s="65" t="n">
        <x:f>IF(I$2="","",IF(5=VALUE(RIGHT($B$2,2))+1,IF(COUNTIFS($E32:H32,"INVOICE REVIEW")&gt;0,"INVOICE REVIEW",IF(COUNT($E32:H32)=0,"INVOICE DATA REQUIRED",SUM($E32:H32))),IF(COUNTIF('Invoice Register'!$M$2:$M$501,I$2)=0,"INVOICE DATA REQUIRED",SUMIFS('Invoice Register'!$H$2:$H$501,'Invoice Register'!$M$2:$M$501,I$2,'Invoice Register'!$G$2:$G$501,"USD",'Invoice Register'!$L$2:$L$501,"VALID")+SUMIFS('Invoice Register'!$H$2:$H$501,'Invoice Register'!$M$2:$M$501,I$2,'Invoice Register'!$G$2:$G$501,"USD",'Invoice Register'!$L$2:$L$501,"FX HOLD"))))</x:f>
        <x:v>6500</x:v>
      </x:c>
      <x:c r="J32" s="65" t="n">
        <x:f>IF(J$2="","",IF(6=VALUE(RIGHT($B$2,2))+1,IF(COUNTIFS($E32:I32,"INVOICE REVIEW")&gt;0,"INVOICE REVIEW",IF(COUNT($E32:I32)=0,"INVOICE DATA REQUIRED",SUM($E32:I32))),IF(COUNTIF('Invoice Register'!$M$2:$M$501,J$2)=0,"INVOICE DATA REQUIRED",SUMIFS('Invoice Register'!$H$2:$H$501,'Invoice Register'!$M$2:$M$501,J$2,'Invoice Register'!$G$2:$G$501,"USD",'Invoice Register'!$L$2:$L$501,"VALID")+SUMIFS('Invoice Register'!$H$2:$H$501,'Invoice Register'!$M$2:$M$501,J$2,'Invoice Register'!$G$2:$G$501,"USD",'Invoice Register'!$L$2:$L$501,"FX HOLD"))))</x:f>
        <x:v>11000</x:v>
      </x:c>
      <x:c r="K32" s="65" t="str">
        <x:f>IF(K$2="","",IF(7=VALUE(RIGHT($B$2,2))+1,IF(COUNTIFS($E32:J32,"INVOICE REVIEW")&gt;0,"INVOICE REVIEW",IF(COUNT($E32:J32)=0,"INVOICE DATA REQUIRED",SUM($E32:J32))),IF(COUNTIF('Invoice Register'!$M$2:$M$501,K$2)=0,"INVOICE DATA REQUIRED",SUMIFS('Invoice Register'!$H$2:$H$501,'Invoice Register'!$M$2:$M$501,K$2,'Invoice Register'!$G$2:$G$501,"USD",'Invoice Register'!$L$2:$L$501,"VALID")+SUMIFS('Invoice Register'!$H$2:$H$501,'Invoice Register'!$M$2:$M$501,K$2,'Invoice Register'!$G$2:$G$501,"USD",'Invoice Register'!$L$2:$L$501,"FX HOLD"))))</x:f>
      </x:c>
      <x:c r="L32" s="65" t="str">
        <x:f>IF(L$2="","",IF(8=VALUE(RIGHT($B$2,2))+1,IF(COUNTIFS($E32:K32,"INVOICE REVIEW")&gt;0,"INVOICE REVIEW",IF(COUNT($E32:K32)=0,"INVOICE DATA REQUIRED",SUM($E32:K32))),IF(COUNTIF('Invoice Register'!$M$2:$M$501,L$2)=0,"INVOICE DATA REQUIRED",SUMIFS('Invoice Register'!$H$2:$H$501,'Invoice Register'!$M$2:$M$501,L$2,'Invoice Register'!$G$2:$G$501,"USD",'Invoice Register'!$L$2:$L$501,"VALID")+SUMIFS('Invoice Register'!$H$2:$H$501,'Invoice Register'!$M$2:$M$501,L$2,'Invoice Register'!$G$2:$G$501,"USD",'Invoice Register'!$L$2:$L$501,"FX HOLD"))))</x:f>
      </x:c>
      <x:c r="M32" s="65" t="str">
        <x:f>IF(M$2="","",IF(9=VALUE(RIGHT($B$2,2))+1,IF(COUNTIFS($E32:L32,"INVOICE REVIEW")&gt;0,"INVOICE REVIEW",IF(COUNT($E32:L32)=0,"INVOICE DATA REQUIRED",SUM($E32:L32))),IF(COUNTIF('Invoice Register'!$M$2:$M$501,M$2)=0,"INVOICE DATA REQUIRED",SUMIFS('Invoice Register'!$H$2:$H$501,'Invoice Register'!$M$2:$M$501,M$2,'Invoice Register'!$G$2:$G$501,"USD",'Invoice Register'!$L$2:$L$501,"VALID")+SUMIFS('Invoice Register'!$H$2:$H$501,'Invoice Register'!$M$2:$M$501,M$2,'Invoice Register'!$G$2:$G$501,"USD",'Invoice Register'!$L$2:$L$501,"FX HOLD"))))</x:f>
      </x:c>
      <x:c r="N32" s="65" t="str">
        <x:f>IF(N$2="","",IF(10=VALUE(RIGHT($B$2,2))+1,IF(COUNTIFS($E32:M32,"INVOICE REVIEW")&gt;0,"INVOICE REVIEW",IF(COUNT($E32:M32)=0,"INVOICE DATA REQUIRED",SUM($E32:M32))),IF(COUNTIF('Invoice Register'!$M$2:$M$501,N$2)=0,"INVOICE DATA REQUIRED",SUMIFS('Invoice Register'!$H$2:$H$501,'Invoice Register'!$M$2:$M$501,N$2,'Invoice Register'!$G$2:$G$501,"USD",'Invoice Register'!$L$2:$L$501,"VALID")+SUMIFS('Invoice Register'!$H$2:$H$501,'Invoice Register'!$M$2:$M$501,N$2,'Invoice Register'!$G$2:$G$501,"USD",'Invoice Register'!$L$2:$L$501,"FX HOLD"))))</x:f>
      </x:c>
      <x:c r="O32" s="65" t="str">
        <x:f>IF(O$2="","",IF(11=VALUE(RIGHT($B$2,2))+1,IF(COUNTIFS($E32:N32,"INVOICE REVIEW")&gt;0,"INVOICE REVIEW",IF(COUNT($E32:N32)=0,"INVOICE DATA REQUIRED",SUM($E32:N32))),IF(COUNTIF('Invoice Register'!$M$2:$M$501,O$2)=0,"INVOICE DATA REQUIRED",SUMIFS('Invoice Register'!$H$2:$H$501,'Invoice Register'!$M$2:$M$501,O$2,'Invoice Register'!$G$2:$G$501,"USD",'Invoice Register'!$L$2:$L$501,"VALID")+SUMIFS('Invoice Register'!$H$2:$H$501,'Invoice Register'!$M$2:$M$501,O$2,'Invoice Register'!$G$2:$G$501,"USD",'Invoice Register'!$L$2:$L$501,"FX HOLD"))))</x:f>
      </x:c>
      <x:c r="P32" s="65" t="str">
        <x:f>IF(P$2="","",IF(12=VALUE(RIGHT($B$2,2))+1,IF(COUNTIFS($E32:O32,"INVOICE REVIEW")&gt;0,"INVOICE REVIEW",IF(COUNT($E32:O32)=0,"INVOICE DATA REQUIRED",SUM($E32:O32))),IF(COUNTIF('Invoice Register'!$M$2:$M$501,P$2)=0,"INVOICE DATA REQUIRED",SUMIFS('Invoice Register'!$H$2:$H$501,'Invoice Register'!$M$2:$M$501,P$2,'Invoice Register'!$G$2:$G$501,"USD",'Invoice Register'!$L$2:$L$501,"VALID")+SUMIFS('Invoice Register'!$H$2:$H$501,'Invoice Register'!$M$2:$M$501,P$2,'Invoice Register'!$G$2:$G$501,"USD",'Invoice Register'!$L$2:$L$501,"FX HOLD"))))</x:f>
      </x:c>
      <x:c r="Q32" s="65" t="str">
        <x:f>IF(Q$2="","",IF(13=VALUE(RIGHT($B$2,2))+1,IF(COUNTIFS($E32:P32,"INVOICE REVIEW")&gt;0,"INVOICE REVIEW",IF(COUNT($E32:P32)=0,"INVOICE DATA REQUIRED",SUM($E32:P32))),IF(COUNTIF('Invoice Register'!$M$2:$M$501,Q$2)=0,"INVOICE DATA REQUIRED",SUMIFS('Invoice Register'!$H$2:$H$501,'Invoice Register'!$M$2:$M$501,Q$2,'Invoice Register'!$G$2:$G$501,"USD",'Invoice Register'!$L$2:$L$501,"VALID")+SUMIFS('Invoice Register'!$H$2:$H$501,'Invoice Register'!$M$2:$M$501,Q$2,'Invoice Register'!$G$2:$G$501,"USD",'Invoice Register'!$L$2:$L$501,"FX HOLD"))))</x:f>
      </x:c>
    </x:row>
    <x:row r="33" ht="52" customHeight="1">
      <x:c r="A33" s="25" t="str">
        <x:v>Subtotal facturación MXN original</x:v>
      </x:c>
      <x:c r="B33" s="65" t="n">
        <x:f>IF(COUNTIF('Invoice Register'!$M$2:$M$501,$B$2)=0,"INVOICE DATA REQUIRED",SUMIFS('Invoice Register'!$H$2:$H$501,'Invoice Register'!$M$2:$M$501,$B$2,'Invoice Register'!$G$2:$G$501,"MXN",'Invoice Register'!$L$2:$L$501,"VALID")+SUMIFS('Invoice Register'!$H$2:$H$501,'Invoice Register'!$M$2:$M$501,$B$2,'Invoice Register'!$G$2:$G$501,"MXN",'Invoice Register'!$L$2:$L$501,"FX HOLD"))</x:f>
        <x:v>80000</x:v>
      </x:c>
      <x:c r="C33" s="25" t="str">
        <x:f>IF(COUNTIFS('Invoice Register'!$L$2:$L$501,"&lt;&gt;",'Invoice Register'!$L$2:$L$501,"&lt;&gt;VALID",'Invoice Register'!$L$2:$L$501,"&lt;&gt;CANCELLED",'Invoice Register'!$L$2:$L$501,"&lt;&gt;FX HOLD",'Invoice Register'!$M$2:$M$501,$B$2,'Invoice Register'!$G$2:$G$501,"MXN")&gt;0,"SUBTOTAL PARCIAL: "&amp;COUNTIFS('Invoice Register'!$L$2:$L$501,"&lt;&gt;",'Invoice Register'!$L$2:$L$501,"&lt;&gt;VALID",'Invoice Register'!$L$2:$L$501,"&lt;&gt;CANCELLED",'Invoice Register'!$L$2:$L$501,"&lt;&gt;FX HOLD",'Invoice Register'!$M$2:$M$501,$B$2,'Invoice Register'!$G$2:$G$501,"MXN")&amp;" registro(s) de factura MXN no considerado(s). Ver Invoice Register, L.","Subtotal de registros MXN validos del periodo.")&amp;IF(SUMPRODUCT(--('Invoice Register'!$M$2:$M$501=""),--('Invoice Register'!$L$2:$L$501&lt;&gt;""),--('Invoice Register'!$L$2:$L$501&lt;&gt;"VALID"),--('Invoice Register'!$L$2:$L$501&lt;&gt;"CANCELLED"),--('Invoice Register'!$L$2:$L$501&lt;&gt;"FX HOLD"))&gt;0," Revisar registros sin fecha: cobertura pendiente.","")&amp;IF(COUNTIFS('Invoice Register'!$L$2:$L$501,"&lt;&gt;",'Invoice Register'!$L$2:$L$501,"&lt;&gt;VALID",'Invoice Register'!$L$2:$L$501,"&lt;&gt;CANCELLED",'Invoice Register'!$L$2:$L$501,"&lt;&gt;FX HOLD",'Invoice Register'!$M$2:$M$501,$B$2)-COUNTIFS('Invoice Register'!$L$2:$L$501,"&lt;&gt;",'Invoice Register'!$L$2:$L$501,"&lt;&gt;VALID",'Invoice Register'!$L$2:$L$501,"&lt;&gt;CANCELLED",'Invoice Register'!$L$2:$L$501,"&lt;&gt;FX HOLD",'Invoice Register'!$M$2:$M$501,$B$2,'Invoice Register'!$G$2:$G$501,"USD")-COUNTIFS('Invoice Register'!$L$2:$L$501,"&lt;&gt;",'Invoice Register'!$L$2:$L$501,"&lt;&gt;VALID",'Invoice Register'!$L$2:$L$501,"&lt;&gt;CANCELLED",'Invoice Register'!$L$2:$L$501,"&lt;&gt;FX HOLD",'Invoice Register'!$M$2:$M$501,$B$2,'Invoice Register'!$G$2:$G$501,"MXN")&gt;0," Hay registros sin moneda valida.","")</x:f>
        <x:v>Subtotal de registros MXN validos del periodo.</x:v>
      </x:c>
      <x:c r="D33" s="25"/>
      <x:c r="E33" s="65" t="n">
        <x:f>IF(E$2="","",IF(1=VALUE(RIGHT($B$2,2))+1,"",IF(COUNTIF('Invoice Register'!$M$2:$M$501,E$2)=0,"INVOICE DATA REQUIRED",SUMIFS('Invoice Register'!$H$2:$H$501,'Invoice Register'!$M$2:$M$501,E$2,'Invoice Register'!$G$2:$G$501,"MXN",'Invoice Register'!$L$2:$L$501,"VALID")+SUMIFS('Invoice Register'!$H$2:$H$501,'Invoice Register'!$M$2:$M$501,E$2,'Invoice Register'!$G$2:$G$501,"MXN",'Invoice Register'!$L$2:$L$501,"FX HOLD"))))</x:f>
        <x:v>0</x:v>
      </x:c>
      <x:c r="F33" s="65" t="n">
        <x:f>IF(F$2="","",IF(2=VALUE(RIGHT($B$2,2))+1,IF(COUNTIFS($E33:E33,"INVOICE REVIEW")&gt;0,"INVOICE REVIEW",IF(COUNT($E33:E33)=0,"INVOICE DATA REQUIRED",SUM($E33:E33))),IF(COUNTIF('Invoice Register'!$M$2:$M$501,F$2)=0,"INVOICE DATA REQUIRED",SUMIFS('Invoice Register'!$H$2:$H$501,'Invoice Register'!$M$2:$M$501,F$2,'Invoice Register'!$G$2:$G$501,"MXN",'Invoice Register'!$L$2:$L$501,"VALID")+SUMIFS('Invoice Register'!$H$2:$H$501,'Invoice Register'!$M$2:$M$501,F$2,'Invoice Register'!$G$2:$G$501,"MXN",'Invoice Register'!$L$2:$L$501,"FX HOLD"))))</x:f>
        <x:v>0</x:v>
      </x:c>
      <x:c r="G33" s="65" t="n">
        <x:f>IF(G$2="","",IF(3=VALUE(RIGHT($B$2,2))+1,IF(COUNTIFS($E33:F33,"INVOICE REVIEW")&gt;0,"INVOICE REVIEW",IF(COUNT($E33:F33)=0,"INVOICE DATA REQUIRED",SUM($E33:F33))),IF(COUNTIF('Invoice Register'!$M$2:$M$501,G$2)=0,"INVOICE DATA REQUIRED",SUMIFS('Invoice Register'!$H$2:$H$501,'Invoice Register'!$M$2:$M$501,G$2,'Invoice Register'!$G$2:$G$501,"MXN",'Invoice Register'!$L$2:$L$501,"VALID")+SUMIFS('Invoice Register'!$H$2:$H$501,'Invoice Register'!$M$2:$M$501,G$2,'Invoice Register'!$G$2:$G$501,"MXN",'Invoice Register'!$L$2:$L$501,"FX HOLD"))))</x:f>
        <x:v>60000</x:v>
      </x:c>
      <x:c r="H33" s="65" t="n">
        <x:f>IF(H$2="","",IF(4=VALUE(RIGHT($B$2,2))+1,IF(COUNTIFS($E33:G33,"INVOICE REVIEW")&gt;0,"INVOICE REVIEW",IF(COUNT($E33:G33)=0,"INVOICE DATA REQUIRED",SUM($E33:G33))),IF(COUNTIF('Invoice Register'!$M$2:$M$501,H$2)=0,"INVOICE DATA REQUIRED",SUMIFS('Invoice Register'!$H$2:$H$501,'Invoice Register'!$M$2:$M$501,H$2,'Invoice Register'!$G$2:$G$501,"MXN",'Invoice Register'!$L$2:$L$501,"VALID")+SUMIFS('Invoice Register'!$H$2:$H$501,'Invoice Register'!$M$2:$M$501,H$2,'Invoice Register'!$G$2:$G$501,"MXN",'Invoice Register'!$L$2:$L$501,"FX HOLD"))))</x:f>
        <x:v>0</x:v>
      </x:c>
      <x:c r="I33" s="65" t="n">
        <x:f>IF(I$2="","",IF(5=VALUE(RIGHT($B$2,2))+1,IF(COUNTIFS($E33:H33,"INVOICE REVIEW")&gt;0,"INVOICE REVIEW",IF(COUNT($E33:H33)=0,"INVOICE DATA REQUIRED",SUM($E33:H33))),IF(COUNTIF('Invoice Register'!$M$2:$M$501,I$2)=0,"INVOICE DATA REQUIRED",SUMIFS('Invoice Register'!$H$2:$H$501,'Invoice Register'!$M$2:$M$501,I$2,'Invoice Register'!$G$2:$G$501,"MXN",'Invoice Register'!$L$2:$L$501,"VALID")+SUMIFS('Invoice Register'!$H$2:$H$501,'Invoice Register'!$M$2:$M$501,I$2,'Invoice Register'!$G$2:$G$501,"MXN",'Invoice Register'!$L$2:$L$501,"FX HOLD"))))</x:f>
        <x:v>80000</x:v>
      </x:c>
      <x:c r="J33" s="65" t="n">
        <x:f>IF(J$2="","",IF(6=VALUE(RIGHT($B$2,2))+1,IF(COUNTIFS($E33:I33,"INVOICE REVIEW")&gt;0,"INVOICE REVIEW",IF(COUNT($E33:I33)=0,"INVOICE DATA REQUIRED",SUM($E33:I33))),IF(COUNTIF('Invoice Register'!$M$2:$M$501,J$2)=0,"INVOICE DATA REQUIRED",SUMIFS('Invoice Register'!$H$2:$H$501,'Invoice Register'!$M$2:$M$501,J$2,'Invoice Register'!$G$2:$G$501,"MXN",'Invoice Register'!$L$2:$L$501,"VALID")+SUMIFS('Invoice Register'!$H$2:$H$501,'Invoice Register'!$M$2:$M$501,J$2,'Invoice Register'!$G$2:$G$501,"MXN",'Invoice Register'!$L$2:$L$501,"FX HOLD"))))</x:f>
        <x:v>140000</x:v>
      </x:c>
      <x:c r="K33" s="65" t="str">
        <x:f>IF(K$2="","",IF(7=VALUE(RIGHT($B$2,2))+1,IF(COUNTIFS($E33:J33,"INVOICE REVIEW")&gt;0,"INVOICE REVIEW",IF(COUNT($E33:J33)=0,"INVOICE DATA REQUIRED",SUM($E33:J33))),IF(COUNTIF('Invoice Register'!$M$2:$M$501,K$2)=0,"INVOICE DATA REQUIRED",SUMIFS('Invoice Register'!$H$2:$H$501,'Invoice Register'!$M$2:$M$501,K$2,'Invoice Register'!$G$2:$G$501,"MXN",'Invoice Register'!$L$2:$L$501,"VALID")+SUMIFS('Invoice Register'!$H$2:$H$501,'Invoice Register'!$M$2:$M$501,K$2,'Invoice Register'!$G$2:$G$501,"MXN",'Invoice Register'!$L$2:$L$501,"FX HOLD"))))</x:f>
      </x:c>
      <x:c r="L33" s="65" t="str">
        <x:f>IF(L$2="","",IF(8=VALUE(RIGHT($B$2,2))+1,IF(COUNTIFS($E33:K33,"INVOICE REVIEW")&gt;0,"INVOICE REVIEW",IF(COUNT($E33:K33)=0,"INVOICE DATA REQUIRED",SUM($E33:K33))),IF(COUNTIF('Invoice Register'!$M$2:$M$501,L$2)=0,"INVOICE DATA REQUIRED",SUMIFS('Invoice Register'!$H$2:$H$501,'Invoice Register'!$M$2:$M$501,L$2,'Invoice Register'!$G$2:$G$501,"MXN",'Invoice Register'!$L$2:$L$501,"VALID")+SUMIFS('Invoice Register'!$H$2:$H$501,'Invoice Register'!$M$2:$M$501,L$2,'Invoice Register'!$G$2:$G$501,"MXN",'Invoice Register'!$L$2:$L$501,"FX HOLD"))))</x:f>
      </x:c>
      <x:c r="M33" s="65" t="str">
        <x:f>IF(M$2="","",IF(9=VALUE(RIGHT($B$2,2))+1,IF(COUNTIFS($E33:L33,"INVOICE REVIEW")&gt;0,"INVOICE REVIEW",IF(COUNT($E33:L33)=0,"INVOICE DATA REQUIRED",SUM($E33:L33))),IF(COUNTIF('Invoice Register'!$M$2:$M$501,M$2)=0,"INVOICE DATA REQUIRED",SUMIFS('Invoice Register'!$H$2:$H$501,'Invoice Register'!$M$2:$M$501,M$2,'Invoice Register'!$G$2:$G$501,"MXN",'Invoice Register'!$L$2:$L$501,"VALID")+SUMIFS('Invoice Register'!$H$2:$H$501,'Invoice Register'!$M$2:$M$501,M$2,'Invoice Register'!$G$2:$G$501,"MXN",'Invoice Register'!$L$2:$L$501,"FX HOLD"))))</x:f>
      </x:c>
      <x:c r="N33" s="65" t="str">
        <x:f>IF(N$2="","",IF(10=VALUE(RIGHT($B$2,2))+1,IF(COUNTIFS($E33:M33,"INVOICE REVIEW")&gt;0,"INVOICE REVIEW",IF(COUNT($E33:M33)=0,"INVOICE DATA REQUIRED",SUM($E33:M33))),IF(COUNTIF('Invoice Register'!$M$2:$M$501,N$2)=0,"INVOICE DATA REQUIRED",SUMIFS('Invoice Register'!$H$2:$H$501,'Invoice Register'!$M$2:$M$501,N$2,'Invoice Register'!$G$2:$G$501,"MXN",'Invoice Register'!$L$2:$L$501,"VALID")+SUMIFS('Invoice Register'!$H$2:$H$501,'Invoice Register'!$M$2:$M$501,N$2,'Invoice Register'!$G$2:$G$501,"MXN",'Invoice Register'!$L$2:$L$501,"FX HOLD"))))</x:f>
      </x:c>
      <x:c r="O33" s="65" t="str">
        <x:f>IF(O$2="","",IF(11=VALUE(RIGHT($B$2,2))+1,IF(COUNTIFS($E33:N33,"INVOICE REVIEW")&gt;0,"INVOICE REVIEW",IF(COUNT($E33:N33)=0,"INVOICE DATA REQUIRED",SUM($E33:N33))),IF(COUNTIF('Invoice Register'!$M$2:$M$501,O$2)=0,"INVOICE DATA REQUIRED",SUMIFS('Invoice Register'!$H$2:$H$501,'Invoice Register'!$M$2:$M$501,O$2,'Invoice Register'!$G$2:$G$501,"MXN",'Invoice Register'!$L$2:$L$501,"VALID")+SUMIFS('Invoice Register'!$H$2:$H$501,'Invoice Register'!$M$2:$M$501,O$2,'Invoice Register'!$G$2:$G$501,"MXN",'Invoice Register'!$L$2:$L$501,"FX HOLD"))))</x:f>
      </x:c>
      <x:c r="P33" s="65" t="str">
        <x:f>IF(P$2="","",IF(12=VALUE(RIGHT($B$2,2))+1,IF(COUNTIFS($E33:O33,"INVOICE REVIEW")&gt;0,"INVOICE REVIEW",IF(COUNT($E33:O33)=0,"INVOICE DATA REQUIRED",SUM($E33:O33))),IF(COUNTIF('Invoice Register'!$M$2:$M$501,P$2)=0,"INVOICE DATA REQUIRED",SUMIFS('Invoice Register'!$H$2:$H$501,'Invoice Register'!$M$2:$M$501,P$2,'Invoice Register'!$G$2:$G$501,"MXN",'Invoice Register'!$L$2:$L$501,"VALID")+SUMIFS('Invoice Register'!$H$2:$H$501,'Invoice Register'!$M$2:$M$501,P$2,'Invoice Register'!$G$2:$G$501,"MXN",'Invoice Register'!$L$2:$L$501,"FX HOLD"))))</x:f>
      </x:c>
      <x:c r="Q33" s="65" t="str">
        <x:f>IF(Q$2="","",IF(13=VALUE(RIGHT($B$2,2))+1,IF(COUNTIFS($E33:P33,"INVOICE REVIEW")&gt;0,"INVOICE REVIEW",IF(COUNT($E33:P33)=0,"INVOICE DATA REQUIRED",SUM($E33:P33))),IF(COUNTIF('Invoice Register'!$M$2:$M$501,Q$2)=0,"INVOICE DATA REQUIRED",SUMIFS('Invoice Register'!$H$2:$H$501,'Invoice Register'!$M$2:$M$501,Q$2,'Invoice Register'!$G$2:$G$501,"MXN",'Invoice Register'!$L$2:$L$501,"VALID")+SUMIFS('Invoice Register'!$H$2:$H$501,'Invoice Register'!$M$2:$M$501,Q$2,'Invoice Register'!$G$2:$G$501,"MXN",'Invoice Register'!$L$2:$L$501,"FX HOLD"))))</x:f>
      </x:c>
    </x:row>
    <x:row r="34" ht="64" customHeight="1">
      <x:c r="A34" s="25" t="str">
        <x:v>Control de facturas no consideradas</x:v>
      </x:c>
      <x:c r="B34" s="25" t="str">
        <x:f>IF(COUNTIFS('Invoice Register'!$L$2:$L$501,"&lt;&gt;",'Invoice Register'!$L$2:$L$501,"&lt;&gt;VALID",'Invoice Register'!$L$2:$L$501,"&lt;&gt;CANCELLED",'Invoice Register'!$L$2:$L$501,"&lt;&gt;FX HOLD",'Invoice Register'!$M$2:$M$501,$B$2)&gt;0,"NO CONSIDERADAS USD: "&amp;COUNTIFS('Invoice Register'!$L$2:$L$501,"&lt;&gt;",'Invoice Register'!$L$2:$L$501,"&lt;&gt;VALID",'Invoice Register'!$L$2:$L$501,"&lt;&gt;CANCELLED",'Invoice Register'!$L$2:$L$501,"&lt;&gt;FX HOLD",'Invoice Register'!$M$2:$M$501,$B$2,'Invoice Register'!$G$2:$G$501,"USD")&amp;"; MXN: "&amp;COUNTIFS('Invoice Register'!$L$2:$L$501,"&lt;&gt;",'Invoice Register'!$L$2:$L$501,"&lt;&gt;VALID",'Invoice Register'!$L$2:$L$501,"&lt;&gt;CANCELLED",'Invoice Register'!$L$2:$L$501,"&lt;&gt;FX HOLD",'Invoice Register'!$M$2:$M$501,$B$2,'Invoice Register'!$G$2:$G$501,"MXN")&amp;"; SIN MONEDA: "&amp;(COUNTIFS('Invoice Register'!$L$2:$L$501,"&lt;&gt;",'Invoice Register'!$L$2:$L$501,"&lt;&gt;VALID",'Invoice Register'!$L$2:$L$501,"&lt;&gt;CANCELLED",'Invoice Register'!$L$2:$L$501,"&lt;&gt;FX HOLD",'Invoice Register'!$M$2:$M$501,$B$2)-COUNTIFS('Invoice Register'!$L$2:$L$501,"&lt;&gt;",'Invoice Register'!$L$2:$L$501,"&lt;&gt;VALID",'Invoice Register'!$L$2:$L$501,"&lt;&gt;CANCELLED",'Invoice Register'!$L$2:$L$501,"&lt;&gt;FX HOLD",'Invoice Register'!$M$2:$M$501,$B$2,'Invoice Register'!$G$2:$G$501,"USD")-COUNTIFS('Invoice Register'!$L$2:$L$501,"&lt;&gt;",'Invoice Register'!$L$2:$L$501,"&lt;&gt;VALID",'Invoice Register'!$L$2:$L$501,"&lt;&gt;CANCELLED",'Invoice Register'!$L$2:$L$501,"&lt;&gt;FX HOLD",'Invoice Register'!$M$2:$M$501,$B$2,'Invoice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C34" s="25" t="str">
        <x:v>Las cifras son subtotales válidos. L identifica cada registro no considerado. Una fecha o moneda inválida impide asignar su cobertura.</x:v>
      </x:c>
      <x:c r="D34" s="25"/>
      <x:c r="E34" s="25" t="str">
        <x:f>IF(E$2="","",IF(1=VALUE(RIGHT($B$2,2))+1,IF(COUNTIFS('Invoice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Register'!$M$2:$M$501,E$2)&gt;0,"NO CONSIDERADAS USD: "&amp;COUNTIFS('Invoice Register'!$L$2:$L$501,"&lt;&gt;",'Invoice Register'!$L$2:$L$501,"&lt;&gt;VALID",'Invoice Register'!$L$2:$L$501,"&lt;&gt;CANCELLED",'Invoice Register'!$L$2:$L$501,"&lt;&gt;FX HOLD",'Invoice Register'!$M$2:$M$501,E$2,'Invoice Register'!$G$2:$G$501,"USD")&amp;"; MXN: "&amp;COUNTIFS('Invoice Register'!$L$2:$L$501,"&lt;&gt;",'Invoice Register'!$L$2:$L$501,"&lt;&gt;VALID",'Invoice Register'!$L$2:$L$501,"&lt;&gt;CANCELLED",'Invoice Register'!$L$2:$L$501,"&lt;&gt;FX HOLD",'Invoice Register'!$M$2:$M$501,E$2,'Invoice Register'!$G$2:$G$501,"MXN")&amp;"; SIN MONEDA: "&amp;(COUNTIFS('Invoice Register'!$L$2:$L$501,"&lt;&gt;",'Invoice Register'!$L$2:$L$501,"&lt;&gt;VALID",'Invoice Register'!$L$2:$L$501,"&lt;&gt;CANCELLED",'Invoice Register'!$L$2:$L$501,"&lt;&gt;FX HOLD",'Invoice Register'!$M$2:$M$501,E$2)-COUNTIFS('Invoice Register'!$L$2:$L$501,"&lt;&gt;",'Invoice Register'!$L$2:$L$501,"&lt;&gt;VALID",'Invoice Register'!$L$2:$L$501,"&lt;&gt;CANCELLED",'Invoice Register'!$L$2:$L$501,"&lt;&gt;FX HOLD",'Invoice Register'!$M$2:$M$501,E$2,'Invoice Register'!$G$2:$G$501,"USD")-COUNTIFS('Invoice Register'!$L$2:$L$501,"&lt;&gt;",'Invoice Register'!$L$2:$L$501,"&lt;&gt;VALID",'Invoice Register'!$L$2:$L$501,"&lt;&gt;CANCELLED",'Invoice Register'!$L$2:$L$501,"&lt;&gt;FX HOLD",'Invoice Register'!$M$2:$M$501,E$2,'Invoice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F34" s="25" t="str">
        <x:f>IF(F$2="","",IF(2=VALUE(RIGHT($B$2,2))+1,IF(COUNTIFS('Invoice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Register'!$M$2:$M$501,F$2)&gt;0,"NO CONSIDERADAS USD: "&amp;COUNTIFS('Invoice Register'!$L$2:$L$501,"&lt;&gt;",'Invoice Register'!$L$2:$L$501,"&lt;&gt;VALID",'Invoice Register'!$L$2:$L$501,"&lt;&gt;CANCELLED",'Invoice Register'!$L$2:$L$501,"&lt;&gt;FX HOLD",'Invoice Register'!$M$2:$M$501,F$2,'Invoice Register'!$G$2:$G$501,"USD")&amp;"; MXN: "&amp;COUNTIFS('Invoice Register'!$L$2:$L$501,"&lt;&gt;",'Invoice Register'!$L$2:$L$501,"&lt;&gt;VALID",'Invoice Register'!$L$2:$L$501,"&lt;&gt;CANCELLED",'Invoice Register'!$L$2:$L$501,"&lt;&gt;FX HOLD",'Invoice Register'!$M$2:$M$501,F$2,'Invoice Register'!$G$2:$G$501,"MXN")&amp;"; SIN MONEDA: "&amp;(COUNTIFS('Invoice Register'!$L$2:$L$501,"&lt;&gt;",'Invoice Register'!$L$2:$L$501,"&lt;&gt;VALID",'Invoice Register'!$L$2:$L$501,"&lt;&gt;CANCELLED",'Invoice Register'!$L$2:$L$501,"&lt;&gt;FX HOLD",'Invoice Register'!$M$2:$M$501,F$2)-COUNTIFS('Invoice Register'!$L$2:$L$501,"&lt;&gt;",'Invoice Register'!$L$2:$L$501,"&lt;&gt;VALID",'Invoice Register'!$L$2:$L$501,"&lt;&gt;CANCELLED",'Invoice Register'!$L$2:$L$501,"&lt;&gt;FX HOLD",'Invoice Register'!$M$2:$M$501,F$2,'Invoice Register'!$G$2:$G$501,"USD")-COUNTIFS('Invoice Register'!$L$2:$L$501,"&lt;&gt;",'Invoice Register'!$L$2:$L$501,"&lt;&gt;VALID",'Invoice Register'!$L$2:$L$501,"&lt;&gt;CANCELLED",'Invoice Register'!$L$2:$L$501,"&lt;&gt;FX HOLD",'Invoice Register'!$M$2:$M$501,F$2,'Invoice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G34" s="25" t="str">
        <x:f>IF(G$2="","",IF(3=VALUE(RIGHT($B$2,2))+1,IF(COUNTIFS('Invoice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Register'!$M$2:$M$501,G$2)&gt;0,"NO CONSIDERADAS USD: "&amp;COUNTIFS('Invoice Register'!$L$2:$L$501,"&lt;&gt;",'Invoice Register'!$L$2:$L$501,"&lt;&gt;VALID",'Invoice Register'!$L$2:$L$501,"&lt;&gt;CANCELLED",'Invoice Register'!$L$2:$L$501,"&lt;&gt;FX HOLD",'Invoice Register'!$M$2:$M$501,G$2,'Invoice Register'!$G$2:$G$501,"USD")&amp;"; MXN: "&amp;COUNTIFS('Invoice Register'!$L$2:$L$501,"&lt;&gt;",'Invoice Register'!$L$2:$L$501,"&lt;&gt;VALID",'Invoice Register'!$L$2:$L$501,"&lt;&gt;CANCELLED",'Invoice Register'!$L$2:$L$501,"&lt;&gt;FX HOLD",'Invoice Register'!$M$2:$M$501,G$2,'Invoice Register'!$G$2:$G$501,"MXN")&amp;"; SIN MONEDA: "&amp;(COUNTIFS('Invoice Register'!$L$2:$L$501,"&lt;&gt;",'Invoice Register'!$L$2:$L$501,"&lt;&gt;VALID",'Invoice Register'!$L$2:$L$501,"&lt;&gt;CANCELLED",'Invoice Register'!$L$2:$L$501,"&lt;&gt;FX HOLD",'Invoice Register'!$M$2:$M$501,G$2)-COUNTIFS('Invoice Register'!$L$2:$L$501,"&lt;&gt;",'Invoice Register'!$L$2:$L$501,"&lt;&gt;VALID",'Invoice Register'!$L$2:$L$501,"&lt;&gt;CANCELLED",'Invoice Register'!$L$2:$L$501,"&lt;&gt;FX HOLD",'Invoice Register'!$M$2:$M$501,G$2,'Invoice Register'!$G$2:$G$501,"USD")-COUNTIFS('Invoice Register'!$L$2:$L$501,"&lt;&gt;",'Invoice Register'!$L$2:$L$501,"&lt;&gt;VALID",'Invoice Register'!$L$2:$L$501,"&lt;&gt;CANCELLED",'Invoice Register'!$L$2:$L$501,"&lt;&gt;FX HOLD",'Invoice Register'!$M$2:$M$501,G$2,'Invoice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H34" s="25" t="str">
        <x:f>IF(H$2="","",IF(4=VALUE(RIGHT($B$2,2))+1,IF(COUNTIFS('Invoice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Register'!$M$2:$M$501,H$2)&gt;0,"NO CONSIDERADAS USD: "&amp;COUNTIFS('Invoice Register'!$L$2:$L$501,"&lt;&gt;",'Invoice Register'!$L$2:$L$501,"&lt;&gt;VALID",'Invoice Register'!$L$2:$L$501,"&lt;&gt;CANCELLED",'Invoice Register'!$L$2:$L$501,"&lt;&gt;FX HOLD",'Invoice Register'!$M$2:$M$501,H$2,'Invoice Register'!$G$2:$G$501,"USD")&amp;"; MXN: "&amp;COUNTIFS('Invoice Register'!$L$2:$L$501,"&lt;&gt;",'Invoice Register'!$L$2:$L$501,"&lt;&gt;VALID",'Invoice Register'!$L$2:$L$501,"&lt;&gt;CANCELLED",'Invoice Register'!$L$2:$L$501,"&lt;&gt;FX HOLD",'Invoice Register'!$M$2:$M$501,H$2,'Invoice Register'!$G$2:$G$501,"MXN")&amp;"; SIN MONEDA: "&amp;(COUNTIFS('Invoice Register'!$L$2:$L$501,"&lt;&gt;",'Invoice Register'!$L$2:$L$501,"&lt;&gt;VALID",'Invoice Register'!$L$2:$L$501,"&lt;&gt;CANCELLED",'Invoice Register'!$L$2:$L$501,"&lt;&gt;FX HOLD",'Invoice Register'!$M$2:$M$501,H$2)-COUNTIFS('Invoice Register'!$L$2:$L$501,"&lt;&gt;",'Invoice Register'!$L$2:$L$501,"&lt;&gt;VALID",'Invoice Register'!$L$2:$L$501,"&lt;&gt;CANCELLED",'Invoice Register'!$L$2:$L$501,"&lt;&gt;FX HOLD",'Invoice Register'!$M$2:$M$501,H$2,'Invoice Register'!$G$2:$G$501,"USD")-COUNTIFS('Invoice Register'!$L$2:$L$501,"&lt;&gt;",'Invoice Register'!$L$2:$L$501,"&lt;&gt;VALID",'Invoice Register'!$L$2:$L$501,"&lt;&gt;CANCELLED",'Invoice Register'!$L$2:$L$501,"&lt;&gt;FX HOLD",'Invoice Register'!$M$2:$M$501,H$2,'Invoice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I34" s="25" t="str">
        <x:f>IF(I$2="","",IF(5=VALUE(RIGHT($B$2,2))+1,IF(COUNTIFS('Invoice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Register'!$M$2:$M$501,I$2)&gt;0,"NO CONSIDERADAS USD: "&amp;COUNTIFS('Invoice Register'!$L$2:$L$501,"&lt;&gt;",'Invoice Register'!$L$2:$L$501,"&lt;&gt;VALID",'Invoice Register'!$L$2:$L$501,"&lt;&gt;CANCELLED",'Invoice Register'!$L$2:$L$501,"&lt;&gt;FX HOLD",'Invoice Register'!$M$2:$M$501,I$2,'Invoice Register'!$G$2:$G$501,"USD")&amp;"; MXN: "&amp;COUNTIFS('Invoice Register'!$L$2:$L$501,"&lt;&gt;",'Invoice Register'!$L$2:$L$501,"&lt;&gt;VALID",'Invoice Register'!$L$2:$L$501,"&lt;&gt;CANCELLED",'Invoice Register'!$L$2:$L$501,"&lt;&gt;FX HOLD",'Invoice Register'!$M$2:$M$501,I$2,'Invoice Register'!$G$2:$G$501,"MXN")&amp;"; SIN MONEDA: "&amp;(COUNTIFS('Invoice Register'!$L$2:$L$501,"&lt;&gt;",'Invoice Register'!$L$2:$L$501,"&lt;&gt;VALID",'Invoice Register'!$L$2:$L$501,"&lt;&gt;CANCELLED",'Invoice Register'!$L$2:$L$501,"&lt;&gt;FX HOLD",'Invoice Register'!$M$2:$M$501,I$2)-COUNTIFS('Invoice Register'!$L$2:$L$501,"&lt;&gt;",'Invoice Register'!$L$2:$L$501,"&lt;&gt;VALID",'Invoice Register'!$L$2:$L$501,"&lt;&gt;CANCELLED",'Invoice Register'!$L$2:$L$501,"&lt;&gt;FX HOLD",'Invoice Register'!$M$2:$M$501,I$2,'Invoice Register'!$G$2:$G$501,"USD")-COUNTIFS('Invoice Register'!$L$2:$L$501,"&lt;&gt;",'Invoice Register'!$L$2:$L$501,"&lt;&gt;VALID",'Invoice Register'!$L$2:$L$501,"&lt;&gt;CANCELLED",'Invoice Register'!$L$2:$L$501,"&lt;&gt;FX HOLD",'Invoice Register'!$M$2:$M$501,I$2,'Invoice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J34" s="25" t="str">
        <x:f>IF(J$2="","",IF(6=VALUE(RIGHT($B$2,2))+1,IF(COUNTIFS('Invoice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Register'!$M$2:$M$501,J$2)&gt;0,"NO CONSIDERADAS USD: "&amp;COUNTIFS('Invoice Register'!$L$2:$L$501,"&lt;&gt;",'Invoice Register'!$L$2:$L$501,"&lt;&gt;VALID",'Invoice Register'!$L$2:$L$501,"&lt;&gt;CANCELLED",'Invoice Register'!$L$2:$L$501,"&lt;&gt;FX HOLD",'Invoice Register'!$M$2:$M$501,J$2,'Invoice Register'!$G$2:$G$501,"USD")&amp;"; MXN: "&amp;COUNTIFS('Invoice Register'!$L$2:$L$501,"&lt;&gt;",'Invoice Register'!$L$2:$L$501,"&lt;&gt;VALID",'Invoice Register'!$L$2:$L$501,"&lt;&gt;CANCELLED",'Invoice Register'!$L$2:$L$501,"&lt;&gt;FX HOLD",'Invoice Register'!$M$2:$M$501,J$2,'Invoice Register'!$G$2:$G$501,"MXN")&amp;"; SIN MONEDA: "&amp;(COUNTIFS('Invoice Register'!$L$2:$L$501,"&lt;&gt;",'Invoice Register'!$L$2:$L$501,"&lt;&gt;VALID",'Invoice Register'!$L$2:$L$501,"&lt;&gt;CANCELLED",'Invoice Register'!$L$2:$L$501,"&lt;&gt;FX HOLD",'Invoice Register'!$M$2:$M$501,J$2)-COUNTIFS('Invoice Register'!$L$2:$L$501,"&lt;&gt;",'Invoice Register'!$L$2:$L$501,"&lt;&gt;VALID",'Invoice Register'!$L$2:$L$501,"&lt;&gt;CANCELLED",'Invoice Register'!$L$2:$L$501,"&lt;&gt;FX HOLD",'Invoice Register'!$M$2:$M$501,J$2,'Invoice Register'!$G$2:$G$501,"USD")-COUNTIFS('Invoice Register'!$L$2:$L$501,"&lt;&gt;",'Invoice Register'!$L$2:$L$501,"&lt;&gt;VALID",'Invoice Register'!$L$2:$L$501,"&lt;&gt;CANCELLED",'Invoice Register'!$L$2:$L$501,"&lt;&gt;FX HOLD",'Invoice Register'!$M$2:$M$501,J$2,'Invoice Register'!$G$2:$G$501,"MXN")),"SIN EXCLUSIONES DETECTADAS")&amp;IF(SUMPRODUCT(--('Invoice Register'!$M$2:$M$501=""),--('Invoice Register'!$L$2:$L$501&lt;&gt;""),--('Invoice Register'!$L$2:$L$501&lt;&gt;"VALID"),--('Invoice Register'!$L$2:$L$501&lt;&gt;"CANCELLED"),--('Invoice Register'!$L$2:$L$501&lt;&gt;"FX HOLD"))&gt;0,"; HAY REGISTROS SIN FECHA VALIDA","")))</x:f>
        <x:v>SIN EXCLUSIONES DETECTADAS</x:v>
      </x:c>
      <x:c r="K34" s="25" t="str">
        <x:f>IF(K$2="","",IF(7=VALUE(RIGHT($B$2,2))+1,IF(COUNTIFS('Invoice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Register'!$M$2:$M$501,K$2)&gt;0,"NO CONSIDERADAS USD: "&amp;COUNTIFS('Invoice Register'!$L$2:$L$501,"&lt;&gt;",'Invoice Register'!$L$2:$L$501,"&lt;&gt;VALID",'Invoice Register'!$L$2:$L$501,"&lt;&gt;CANCELLED",'Invoice Register'!$L$2:$L$501,"&lt;&gt;FX HOLD",'Invoice Register'!$M$2:$M$501,K$2,'Invoice Register'!$G$2:$G$501,"USD")&amp;"; MXN: "&amp;COUNTIFS('Invoice Register'!$L$2:$L$501,"&lt;&gt;",'Invoice Register'!$L$2:$L$501,"&lt;&gt;VALID",'Invoice Register'!$L$2:$L$501,"&lt;&gt;CANCELLED",'Invoice Register'!$L$2:$L$501,"&lt;&gt;FX HOLD",'Invoice Register'!$M$2:$M$501,K$2,'Invoice Register'!$G$2:$G$501,"MXN")&amp;"; SIN MONEDA: "&amp;(COUNTIFS('Invoice Register'!$L$2:$L$501,"&lt;&gt;",'Invoice Register'!$L$2:$L$501,"&lt;&gt;VALID",'Invoice Register'!$L$2:$L$501,"&lt;&gt;CANCELLED",'Invoice Register'!$L$2:$L$501,"&lt;&gt;FX HOLD",'Invoice Register'!$M$2:$M$501,K$2)-COUNTIFS('Invoice Register'!$L$2:$L$501,"&lt;&gt;",'Invoice Register'!$L$2:$L$501,"&lt;&gt;VALID",'Invoice Register'!$L$2:$L$501,"&lt;&gt;CANCELLED",'Invoice Register'!$L$2:$L$501,"&lt;&gt;FX HOLD",'Invoice Register'!$M$2:$M$501,K$2,'Invoice Register'!$G$2:$G$501,"USD")-COUNTIFS('Invoice Register'!$L$2:$L$501,"&lt;&gt;",'Invoice Register'!$L$2:$L$501,"&lt;&gt;VALID",'Invoice Register'!$L$2:$L$501,"&lt;&gt;CANCELLED",'Invoice Register'!$L$2:$L$501,"&lt;&gt;FX HOLD",'Invoice Register'!$M$2:$M$501,K$2,'Invoice Register'!$G$2:$G$501,"MXN")),"SIN EXCLUSIONES DETECTADAS")&amp;IF(SUMPRODUCT(--('Invoice Register'!$M$2:$M$501=""),--('Invoice Register'!$L$2:$L$501&lt;&gt;""),--('Invoice Register'!$L$2:$L$501&lt;&gt;"VALID"),--('Invoice Register'!$L$2:$L$501&lt;&gt;"CANCELLED"),--('Invoice Register'!$L$2:$L$501&lt;&gt;"FX HOLD"))&gt;0,"; HAY REGISTROS SIN FECHA VALIDA","")))</x:f>
      </x:c>
      <x:c r="L34" s="25" t="str">
        <x:f>IF(L$2="","",IF(8=VALUE(RIGHT($B$2,2))+1,IF(COUNTIFS('Invoice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Register'!$M$2:$M$501,L$2)&gt;0,"NO CONSIDERADAS USD: "&amp;COUNTIFS('Invoice Register'!$L$2:$L$501,"&lt;&gt;",'Invoice Register'!$L$2:$L$501,"&lt;&gt;VALID",'Invoice Register'!$L$2:$L$501,"&lt;&gt;CANCELLED",'Invoice Register'!$L$2:$L$501,"&lt;&gt;FX HOLD",'Invoice Register'!$M$2:$M$501,L$2,'Invoice Register'!$G$2:$G$501,"USD")&amp;"; MXN: "&amp;COUNTIFS('Invoice Register'!$L$2:$L$501,"&lt;&gt;",'Invoice Register'!$L$2:$L$501,"&lt;&gt;VALID",'Invoice Register'!$L$2:$L$501,"&lt;&gt;CANCELLED",'Invoice Register'!$L$2:$L$501,"&lt;&gt;FX HOLD",'Invoice Register'!$M$2:$M$501,L$2,'Invoice Register'!$G$2:$G$501,"MXN")&amp;"; SIN MONEDA: "&amp;(COUNTIFS('Invoice Register'!$L$2:$L$501,"&lt;&gt;",'Invoice Register'!$L$2:$L$501,"&lt;&gt;VALID",'Invoice Register'!$L$2:$L$501,"&lt;&gt;CANCELLED",'Invoice Register'!$L$2:$L$501,"&lt;&gt;FX HOLD",'Invoice Register'!$M$2:$M$501,L$2)-COUNTIFS('Invoice Register'!$L$2:$L$501,"&lt;&gt;",'Invoice Register'!$L$2:$L$501,"&lt;&gt;VALID",'Invoice Register'!$L$2:$L$501,"&lt;&gt;CANCELLED",'Invoice Register'!$L$2:$L$501,"&lt;&gt;FX HOLD",'Invoice Register'!$M$2:$M$501,L$2,'Invoice Register'!$G$2:$G$501,"USD")-COUNTIFS('Invoice Register'!$L$2:$L$501,"&lt;&gt;",'Invoice Register'!$L$2:$L$501,"&lt;&gt;VALID",'Invoice Register'!$L$2:$L$501,"&lt;&gt;CANCELLED",'Invoice Register'!$L$2:$L$501,"&lt;&gt;FX HOLD",'Invoice Register'!$M$2:$M$501,L$2,'Invoice Register'!$G$2:$G$501,"MXN")),"SIN EXCLUSIONES DETECTADAS")&amp;IF(SUMPRODUCT(--('Invoice Register'!$M$2:$M$501=""),--('Invoice Register'!$L$2:$L$501&lt;&gt;""),--('Invoice Register'!$L$2:$L$501&lt;&gt;"VALID"),--('Invoice Register'!$L$2:$L$501&lt;&gt;"CANCELLED"),--('Invoice Register'!$L$2:$L$501&lt;&gt;"FX HOLD"))&gt;0,"; HAY REGISTROS SIN FECHA VALIDA","")))</x:f>
      </x:c>
      <x:c r="M34" s="25" t="str">
        <x:f>IF(M$2="","",IF(9=VALUE(RIGHT($B$2,2))+1,IF(COUNTIFS('Invoice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Register'!$M$2:$M$501,M$2)&gt;0,"NO CONSIDERADAS USD: "&amp;COUNTIFS('Invoice Register'!$L$2:$L$501,"&lt;&gt;",'Invoice Register'!$L$2:$L$501,"&lt;&gt;VALID",'Invoice Register'!$L$2:$L$501,"&lt;&gt;CANCELLED",'Invoice Register'!$L$2:$L$501,"&lt;&gt;FX HOLD",'Invoice Register'!$M$2:$M$501,M$2,'Invoice Register'!$G$2:$G$501,"USD")&amp;"; MXN: "&amp;COUNTIFS('Invoice Register'!$L$2:$L$501,"&lt;&gt;",'Invoice Register'!$L$2:$L$501,"&lt;&gt;VALID",'Invoice Register'!$L$2:$L$501,"&lt;&gt;CANCELLED",'Invoice Register'!$L$2:$L$501,"&lt;&gt;FX HOLD",'Invoice Register'!$M$2:$M$501,M$2,'Invoice Register'!$G$2:$G$501,"MXN")&amp;"; SIN MONEDA: "&amp;(COUNTIFS('Invoice Register'!$L$2:$L$501,"&lt;&gt;",'Invoice Register'!$L$2:$L$501,"&lt;&gt;VALID",'Invoice Register'!$L$2:$L$501,"&lt;&gt;CANCELLED",'Invoice Register'!$L$2:$L$501,"&lt;&gt;FX HOLD",'Invoice Register'!$M$2:$M$501,M$2)-COUNTIFS('Invoice Register'!$L$2:$L$501,"&lt;&gt;",'Invoice Register'!$L$2:$L$501,"&lt;&gt;VALID",'Invoice Register'!$L$2:$L$501,"&lt;&gt;CANCELLED",'Invoice Register'!$L$2:$L$501,"&lt;&gt;FX HOLD",'Invoice Register'!$M$2:$M$501,M$2,'Invoice Register'!$G$2:$G$501,"USD")-COUNTIFS('Invoice Register'!$L$2:$L$501,"&lt;&gt;",'Invoice Register'!$L$2:$L$501,"&lt;&gt;VALID",'Invoice Register'!$L$2:$L$501,"&lt;&gt;CANCELLED",'Invoice Register'!$L$2:$L$501,"&lt;&gt;FX HOLD",'Invoice Register'!$M$2:$M$501,M$2,'Invoice Register'!$G$2:$G$501,"MXN")),"SIN EXCLUSIONES DETECTADAS")&amp;IF(SUMPRODUCT(--('Invoice Register'!$M$2:$M$501=""),--('Invoice Register'!$L$2:$L$501&lt;&gt;""),--('Invoice Register'!$L$2:$L$501&lt;&gt;"VALID"),--('Invoice Register'!$L$2:$L$501&lt;&gt;"CANCELLED"),--('Invoice Register'!$L$2:$L$501&lt;&gt;"FX HOLD"))&gt;0,"; HAY REGISTROS SIN FECHA VALIDA","")))</x:f>
      </x:c>
      <x:c r="N34" s="25" t="str">
        <x:f>IF(N$2="","",IF(10=VALUE(RIGHT($B$2,2))+1,IF(COUNTIFS('Invoice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Register'!$M$2:$M$501,N$2)&gt;0,"NO CONSIDERADAS USD: "&amp;COUNTIFS('Invoice Register'!$L$2:$L$501,"&lt;&gt;",'Invoice Register'!$L$2:$L$501,"&lt;&gt;VALID",'Invoice Register'!$L$2:$L$501,"&lt;&gt;CANCELLED",'Invoice Register'!$L$2:$L$501,"&lt;&gt;FX HOLD",'Invoice Register'!$M$2:$M$501,N$2,'Invoice Register'!$G$2:$G$501,"USD")&amp;"; MXN: "&amp;COUNTIFS('Invoice Register'!$L$2:$L$501,"&lt;&gt;",'Invoice Register'!$L$2:$L$501,"&lt;&gt;VALID",'Invoice Register'!$L$2:$L$501,"&lt;&gt;CANCELLED",'Invoice Register'!$L$2:$L$501,"&lt;&gt;FX HOLD",'Invoice Register'!$M$2:$M$501,N$2,'Invoice Register'!$G$2:$G$501,"MXN")&amp;"; SIN MONEDA: "&amp;(COUNTIFS('Invoice Register'!$L$2:$L$501,"&lt;&gt;",'Invoice Register'!$L$2:$L$501,"&lt;&gt;VALID",'Invoice Register'!$L$2:$L$501,"&lt;&gt;CANCELLED",'Invoice Register'!$L$2:$L$501,"&lt;&gt;FX HOLD",'Invoice Register'!$M$2:$M$501,N$2)-COUNTIFS('Invoice Register'!$L$2:$L$501,"&lt;&gt;",'Invoice Register'!$L$2:$L$501,"&lt;&gt;VALID",'Invoice Register'!$L$2:$L$501,"&lt;&gt;CANCELLED",'Invoice Register'!$L$2:$L$501,"&lt;&gt;FX HOLD",'Invoice Register'!$M$2:$M$501,N$2,'Invoice Register'!$G$2:$G$501,"USD")-COUNTIFS('Invoice Register'!$L$2:$L$501,"&lt;&gt;",'Invoice Register'!$L$2:$L$501,"&lt;&gt;VALID",'Invoice Register'!$L$2:$L$501,"&lt;&gt;CANCELLED",'Invoice Register'!$L$2:$L$501,"&lt;&gt;FX HOLD",'Invoice Register'!$M$2:$M$501,N$2,'Invoice Register'!$G$2:$G$501,"MXN")),"SIN EXCLUSIONES DETECTADAS")&amp;IF(SUMPRODUCT(--('Invoice Register'!$M$2:$M$501=""),--('Invoice Register'!$L$2:$L$501&lt;&gt;""),--('Invoice Register'!$L$2:$L$501&lt;&gt;"VALID"),--('Invoice Register'!$L$2:$L$501&lt;&gt;"CANCELLED"),--('Invoice Register'!$L$2:$L$501&lt;&gt;"FX HOLD"))&gt;0,"; HAY REGISTROS SIN FECHA VALIDA","")))</x:f>
      </x:c>
      <x:c r="O34" s="25" t="str">
        <x:f>IF(O$2="","",IF(11=VALUE(RIGHT($B$2,2))+1,IF(COUNTIFS('Invoice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Register'!$M$2:$M$501,O$2)&gt;0,"NO CONSIDERADAS USD: "&amp;COUNTIFS('Invoice Register'!$L$2:$L$501,"&lt;&gt;",'Invoice Register'!$L$2:$L$501,"&lt;&gt;VALID",'Invoice Register'!$L$2:$L$501,"&lt;&gt;CANCELLED",'Invoice Register'!$L$2:$L$501,"&lt;&gt;FX HOLD",'Invoice Register'!$M$2:$M$501,O$2,'Invoice Register'!$G$2:$G$501,"USD")&amp;"; MXN: "&amp;COUNTIFS('Invoice Register'!$L$2:$L$501,"&lt;&gt;",'Invoice Register'!$L$2:$L$501,"&lt;&gt;VALID",'Invoice Register'!$L$2:$L$501,"&lt;&gt;CANCELLED",'Invoice Register'!$L$2:$L$501,"&lt;&gt;FX HOLD",'Invoice Register'!$M$2:$M$501,O$2,'Invoice Register'!$G$2:$G$501,"MXN")&amp;"; SIN MONEDA: "&amp;(COUNTIFS('Invoice Register'!$L$2:$L$501,"&lt;&gt;",'Invoice Register'!$L$2:$L$501,"&lt;&gt;VALID",'Invoice Register'!$L$2:$L$501,"&lt;&gt;CANCELLED",'Invoice Register'!$L$2:$L$501,"&lt;&gt;FX HOLD",'Invoice Register'!$M$2:$M$501,O$2)-COUNTIFS('Invoice Register'!$L$2:$L$501,"&lt;&gt;",'Invoice Register'!$L$2:$L$501,"&lt;&gt;VALID",'Invoice Register'!$L$2:$L$501,"&lt;&gt;CANCELLED",'Invoice Register'!$L$2:$L$501,"&lt;&gt;FX HOLD",'Invoice Register'!$M$2:$M$501,O$2,'Invoice Register'!$G$2:$G$501,"USD")-COUNTIFS('Invoice Register'!$L$2:$L$501,"&lt;&gt;",'Invoice Register'!$L$2:$L$501,"&lt;&gt;VALID",'Invoice Register'!$L$2:$L$501,"&lt;&gt;CANCELLED",'Invoice Register'!$L$2:$L$501,"&lt;&gt;FX HOLD",'Invoice Register'!$M$2:$M$501,O$2,'Invoice Register'!$G$2:$G$501,"MXN")),"SIN EXCLUSIONES DETECTADAS")&amp;IF(SUMPRODUCT(--('Invoice Register'!$M$2:$M$501=""),--('Invoice Register'!$L$2:$L$501&lt;&gt;""),--('Invoice Register'!$L$2:$L$501&lt;&gt;"VALID"),--('Invoice Register'!$L$2:$L$501&lt;&gt;"CANCELLED"),--('Invoice Register'!$L$2:$L$501&lt;&gt;"FX HOLD"))&gt;0,"; HAY REGISTROS SIN FECHA VALIDA","")))</x:f>
      </x:c>
      <x:c r="P34" s="25" t="str">
        <x:f>IF(P$2="","",IF(12=VALUE(RIGHT($B$2,2))+1,IF(COUNTIFS('Invoice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Register'!$M$2:$M$501,P$2)&gt;0,"NO CONSIDERADAS USD: "&amp;COUNTIFS('Invoice Register'!$L$2:$L$501,"&lt;&gt;",'Invoice Register'!$L$2:$L$501,"&lt;&gt;VALID",'Invoice Register'!$L$2:$L$501,"&lt;&gt;CANCELLED",'Invoice Register'!$L$2:$L$501,"&lt;&gt;FX HOLD",'Invoice Register'!$M$2:$M$501,P$2,'Invoice Register'!$G$2:$G$501,"USD")&amp;"; MXN: "&amp;COUNTIFS('Invoice Register'!$L$2:$L$501,"&lt;&gt;",'Invoice Register'!$L$2:$L$501,"&lt;&gt;VALID",'Invoice Register'!$L$2:$L$501,"&lt;&gt;CANCELLED",'Invoice Register'!$L$2:$L$501,"&lt;&gt;FX HOLD",'Invoice Register'!$M$2:$M$501,P$2,'Invoice Register'!$G$2:$G$501,"MXN")&amp;"; SIN MONEDA: "&amp;(COUNTIFS('Invoice Register'!$L$2:$L$501,"&lt;&gt;",'Invoice Register'!$L$2:$L$501,"&lt;&gt;VALID",'Invoice Register'!$L$2:$L$501,"&lt;&gt;CANCELLED",'Invoice Register'!$L$2:$L$501,"&lt;&gt;FX HOLD",'Invoice Register'!$M$2:$M$501,P$2)-COUNTIFS('Invoice Register'!$L$2:$L$501,"&lt;&gt;",'Invoice Register'!$L$2:$L$501,"&lt;&gt;VALID",'Invoice Register'!$L$2:$L$501,"&lt;&gt;CANCELLED",'Invoice Register'!$L$2:$L$501,"&lt;&gt;FX HOLD",'Invoice Register'!$M$2:$M$501,P$2,'Invoice Register'!$G$2:$G$501,"USD")-COUNTIFS('Invoice Register'!$L$2:$L$501,"&lt;&gt;",'Invoice Register'!$L$2:$L$501,"&lt;&gt;VALID",'Invoice Register'!$L$2:$L$501,"&lt;&gt;CANCELLED",'Invoice Register'!$L$2:$L$501,"&lt;&gt;FX HOLD",'Invoice Register'!$M$2:$M$501,P$2,'Invoice Register'!$G$2:$G$501,"MXN")),"SIN EXCLUSIONES DETECTADAS")&amp;IF(SUMPRODUCT(--('Invoice Register'!$M$2:$M$501=""),--('Invoice Register'!$L$2:$L$501&lt;&gt;""),--('Invoice Register'!$L$2:$L$501&lt;&gt;"VALID"),--('Invoice Register'!$L$2:$L$501&lt;&gt;"CANCELLED"),--('Invoice Register'!$L$2:$L$501&lt;&gt;"FX HOLD"))&gt;0,"; HAY REGISTROS SIN FECHA VALIDA","")))</x:f>
      </x:c>
      <x:c r="Q34" s="25" t="str">
        <x:f>IF(Q$2="","",IF(13=VALUE(RIGHT($B$2,2))+1,IF(COUNTIFS('Invoice Register'!$L$2:$L$501,"&lt;&gt;",'Invoice Register'!$L$2:$L$501,"&lt;&gt;VALID",'Invoice Register'!$L$2:$L$501,"&lt;&gt;CANCELLED",'Invoice Register'!$L$2:$L$501,"&lt;&gt;FX HOLD",'Invoice Register'!$M$2:$M$501,"&gt;="&amp;LEFT($B$2,4)&amp;"-01",'Invoice Register'!$M$2:$M$501,"&lt;="&amp;$B$2)&gt;0,"NO CONSIDERADAS USD: "&amp;COUNTIFS('Invoice Register'!$L$2:$L$501,"&lt;&gt;",'Invoice Register'!$L$2:$L$501,"&lt;&gt;VALID",'Invoice Register'!$L$2:$L$501,"&lt;&gt;CANCELLED",'Invoice Register'!$L$2:$L$501,"&lt;&gt;FX HOLD",'Invoice Register'!$M$2:$M$501,"&gt;="&amp;LEFT($B$2,4)&amp;"-01",'Invoice Register'!$M$2:$M$501,"&lt;="&amp;$B$2,'Invoice Register'!$G$2:$G$501,"USD")&amp;"; MXN: "&amp;COUNTIFS('Invoice Register'!$L$2:$L$501,"&lt;&gt;",'Invoice Register'!$L$2:$L$501,"&lt;&gt;VALID",'Invoice Register'!$L$2:$L$501,"&lt;&gt;CANCELLED",'Invoice Register'!$L$2:$L$501,"&lt;&gt;FX HOLD",'Invoice Register'!$M$2:$M$501,"&gt;="&amp;LEFT($B$2,4)&amp;"-01",'Invoice Register'!$M$2:$M$501,"&lt;="&amp;$B$2,'Invoice Register'!$G$2:$G$501,"MXN")&amp;"; SIN MONEDA: "&amp;(COUNTIFS('Invoice Register'!$L$2:$L$501,"&lt;&gt;",'Invoice Register'!$L$2:$L$501,"&lt;&gt;VALID",'Invoice Register'!$L$2:$L$501,"&lt;&gt;CANCELLED",'Invoice Register'!$L$2:$L$501,"&lt;&gt;FX HOLD",'Invoice Register'!$M$2:$M$501,"&gt;="&amp;LEFT($B$2,4)&amp;"-01",'Invoice Register'!$M$2:$M$501,"&lt;="&amp;$B$2)-COUNTIFS('Invoice Register'!$L$2:$L$501,"&lt;&gt;",'Invoice Register'!$L$2:$L$501,"&lt;&gt;VALID",'Invoice Register'!$L$2:$L$501,"&lt;&gt;CANCELLED",'Invoice Register'!$L$2:$L$501,"&lt;&gt;FX HOLD",'Invoice Register'!$M$2:$M$501,"&gt;="&amp;LEFT($B$2,4)&amp;"-01",'Invoice Register'!$M$2:$M$501,"&lt;="&amp;$B$2,'Invoice Register'!$G$2:$G$501,"USD")-COUNTIFS('Invoice Register'!$L$2:$L$501,"&lt;&gt;",'Invoice Register'!$L$2:$L$501,"&lt;&gt;VALID",'Invoice Register'!$L$2:$L$501,"&lt;&gt;CANCELLED",'Invoice Register'!$L$2:$L$501,"&lt;&gt;FX HOLD",'Invoice Register'!$M$2:$M$501,"&gt;="&amp;LEFT($B$2,4)&amp;"-01",'Invoice Register'!$M$2:$M$501,"&lt;="&amp;$B$2,'Invoice Register'!$G$2:$G$501,"MXN")),"SIN EXCLUSIONES DETECTADAS")&amp;IF(SUMPRODUCT(--('Invoice Register'!$M$2:$M$501=""),--('Invoice Register'!$L$2:$L$501&lt;&gt;""),--('Invoice Register'!$L$2:$L$501&lt;&gt;"VALID"),--('Invoice Register'!$L$2:$L$501&lt;&gt;"CANCELLED"),--('Invoice Register'!$L$2:$L$501&lt;&gt;"FX HOLD"))&gt;0,"; HAY REGISTROS SIN FECHA VALIDA",""),IF(COUNTIFS('Invoice Register'!$L$2:$L$501,"&lt;&gt;",'Invoice Register'!$L$2:$L$501,"&lt;&gt;VALID",'Invoice Register'!$L$2:$L$501,"&lt;&gt;CANCELLED",'Invoice Register'!$L$2:$L$501,"&lt;&gt;FX HOLD",'Invoice Register'!$M$2:$M$501,Q$2)&gt;0,"NO CONSIDERADAS USD: "&amp;COUNTIFS('Invoice Register'!$L$2:$L$501,"&lt;&gt;",'Invoice Register'!$L$2:$L$501,"&lt;&gt;VALID",'Invoice Register'!$L$2:$L$501,"&lt;&gt;CANCELLED",'Invoice Register'!$L$2:$L$501,"&lt;&gt;FX HOLD",'Invoice Register'!$M$2:$M$501,Q$2,'Invoice Register'!$G$2:$G$501,"USD")&amp;"; MXN: "&amp;COUNTIFS('Invoice Register'!$L$2:$L$501,"&lt;&gt;",'Invoice Register'!$L$2:$L$501,"&lt;&gt;VALID",'Invoice Register'!$L$2:$L$501,"&lt;&gt;CANCELLED",'Invoice Register'!$L$2:$L$501,"&lt;&gt;FX HOLD",'Invoice Register'!$M$2:$M$501,Q$2,'Invoice Register'!$G$2:$G$501,"MXN")&amp;"; SIN MONEDA: "&amp;(COUNTIFS('Invoice Register'!$L$2:$L$501,"&lt;&gt;",'Invoice Register'!$L$2:$L$501,"&lt;&gt;VALID",'Invoice Register'!$L$2:$L$501,"&lt;&gt;CANCELLED",'Invoice Register'!$L$2:$L$501,"&lt;&gt;FX HOLD",'Invoice Register'!$M$2:$M$501,Q$2)-COUNTIFS('Invoice Register'!$L$2:$L$501,"&lt;&gt;",'Invoice Register'!$L$2:$L$501,"&lt;&gt;VALID",'Invoice Register'!$L$2:$L$501,"&lt;&gt;CANCELLED",'Invoice Register'!$L$2:$L$501,"&lt;&gt;FX HOLD",'Invoice Register'!$M$2:$M$501,Q$2,'Invoice Register'!$G$2:$G$501,"USD")-COUNTIFS('Invoice Register'!$L$2:$L$501,"&lt;&gt;",'Invoice Register'!$L$2:$L$501,"&lt;&gt;VALID",'Invoice Register'!$L$2:$L$501,"&lt;&gt;CANCELLED",'Invoice Register'!$L$2:$L$501,"&lt;&gt;FX HOLD",'Invoice Register'!$M$2:$M$501,Q$2,'Invoice Register'!$G$2:$G$501,"MXN")),"SIN EXCLUSIONES DETECTADAS")&amp;IF(SUMPRODUCT(--('Invoice Register'!$M$2:$M$501=""),--('Invoice Register'!$L$2:$L$501&lt;&gt;""),--('Invoice Register'!$L$2:$L$501&lt;&gt;"VALID"),--('Invoice Register'!$L$2:$L$501&lt;&gt;"CANCELLED"),--('Invoice Register'!$L$2:$L$501&lt;&gt;"FX HOLD"))&gt;0,"; HAY REGISTROS SIN FECHA VALIDA","")))</x:f>
      </x:c>
    </x:row>
  </x:sheetData>
  <x:mergeCells>
    <x:mergeCell ref="E25:Q25"/>
    <x:mergeCell ref="E26:Q26"/>
    <x:mergeCell ref="E27:Q27"/>
  </x:mergeCells>
  <x:dataValidations count="1">
    <x:dataValidation type="list" sqref="B2">
      <x:formula1>"2026-09,2026-10"</x:formula1>
    </x:dataValidation>
  </x:dataValidations>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35" hidden="0" customWidth="1"/>
    <x:col min="12" max="12" width="25" hidden="0" customWidth="1"/>
    <x:col min="13" max="13" width="25" hidden="0" customWidth="1"/>
  </x:cols>
  <x:sheetData>
    <x:row r="1" ht="44" customHeight="1">
      <x:c r="A1" s="16" t="str">
        <x:v>Month YYYY-MM</x:v>
      </x:c>
      <x:c r="B1" s="16" t="str">
        <x:v>PO intake USD</x:v>
      </x:c>
      <x:c r="C1" s="16" t="str">
        <x:v>Invoiced USD - valid subtotal</x:v>
      </x:c>
      <x:c r="D1" s="66" t="str">
        <x:v>REMOVED - payment metric</x:v>
      </x:c>
      <x:c r="E1" s="66" t="str">
        <x:v>REMOVED - payment metric</x:v>
      </x:c>
      <x:c r="F1" s="16" t="str">
        <x:v>ERP recognized cost USD</x:v>
      </x:c>
      <x:c r="G1" s="66" t="str">
        <x:v>REMOVED - payment metric</x:v>
      </x:c>
      <x:c r="H1" s="16" t="str">
        <x:v>MX USD - valid subtotal</x:v>
      </x:c>
      <x:c r="I1" s="16" t="str">
        <x:v>US USD - valid subtotal</x:v>
      </x:c>
      <x:c r="J1" s="16" t="str">
        <x:v>Reconciliation USD</x:v>
      </x:c>
      <x:c r="K1" s="29" t="str">
        <x:v>FX reporting status</x:v>
      </x:c>
      <x:c r="L1" s="64" t="str">
        <x:v>Original USD - valid subtotal</x:v>
      </x:c>
      <x:c r="M1" s="64" t="str">
        <x:v>Original MXN - valid subtotal</x:v>
      </x:c>
    </x:row>
    <x:row r="2">
      <x:c r="A2" t="str">
        <x:v>2026-09</x:v>
      </x:c>
      <x:c r="B2" s="18" t="n">
        <x:f>SUMIF('Monthly Project Activity'!$A$2:$A$101,$A2,'Monthly Project Activity'!$G$2:$G$101)</x:f>
        <x:v>125000</x:v>
      </x:c>
      <x:c r="C2" s="18" t="str">
        <x:f>IF(COUNTIF('Invoice Register'!$M$2:$M$501,$A2)=0,"INVOICE DATA REQUIRED",SUMIFS('Invoice Register'!$N$2:$N$501,'Invoice Register'!$M$2:$M$501,$A2))</x:f>
        <x:v>INVOICE DATA REQUIRED</x:v>
      </x:c>
      <x:c r="D2" s="53"/>
      <x:c r="E2" s="53"/>
      <x:c r="F2" s="18" t="n">
        <x:f>SUMIF('Monthly Project Activity'!$A$2:$A$101,$A2,'Monthly Project Activity'!$K$2:$K$101)</x:f>
        <x:v>43000</x:v>
      </x:c>
      <x:c r="G2" s="53"/>
      <x:c r="H2" s="18" t="str">
        <x:f>IF(COUNTIF('Invoice Register'!$M$2:$M$501,$A2)=0,"INVOICE DATA REQUIRED",SUMIFS('Invoice Register'!$N$2:$N$501,'Invoice Register'!$M$2:$M$501,$A2,'Invoice Register'!$D$2:$D$501,"MX"))</x:f>
        <x:v>INVOICE DATA REQUIRED</x:v>
      </x:c>
      <x:c r="I2" s="18" t="str">
        <x:f>IF(COUNTIF('Invoice Register'!$M$2:$M$501,$A2)=0,"INVOICE DATA REQUIRED",SUMIFS('Invoice Register'!$N$2:$N$501,'Invoice Register'!$M$2:$M$501,$A2,'Invoice Register'!$D$2:$D$501,"US"))</x:f>
        <x:v>INVOICE DATA REQUIRED</x:v>
      </x:c>
      <x:c r="J2" s="18" t="str">
        <x:f>IF(AND(ISNUMBER(C2),ISNUMBER(H2),ISNUMBER(I2)),C2-H2-I2,"INVOICE REVIEW")</x:f>
        <x:v>INVOICE REVIEW</x:v>
      </x:c>
      <x:c r="K2" s="25" t="str">
        <x:f>IF(A2="","",IF(COUNTIFS('Monthly Project Activity'!$A$2:$A$101,A2,'Monthly Project Activity'!$O$2:$O$101,"FX HOLD")&gt;0,"FX HOLD - PROVISIONAL USD",IF(COUNTIFS('Monthly Project Activity'!$A$2:$A$101,A2,'Monthly Project Activity'!$O$2:$O$101,"SOURCE REVIEW")&gt;0,"SOURCE REVIEW",IF(COUNTIFS('Monthly Project Activity'!$A$2:$A$101,A2,'Monthly Project Activity'!$O$2:$O$101,"APPROVED")&gt;0,"FX APPROVED (METADATA)","NO FX EXCEPTION"))))</x:f>
        <x:v>FX APPROVED (METADATA)</x:v>
      </x:c>
      <x:c r="L2" s="49" t="str">
        <x:f>IF(COUNTIF('Invoice Register'!$M$2:$M$501,$A2)=0,"INVOICE DATA REQUIRED",SUMIFS('Invoice Register'!$H$2:$H$501,'Invoice Register'!$M$2:$M$501,$A2,'Invoice Register'!$G$2:$G$501,"USD",'Invoice Register'!$L$2:$L$501,"VALID")+SUMIFS('Invoice Register'!$H$2:$H$501,'Invoice Register'!$M$2:$M$501,$A2,'Invoice Register'!$G$2:$G$501,"USD",'Invoice Register'!$L$2:$L$501,"FX HOLD"))</x:f>
        <x:v>INVOICE DATA REQUIRED</x:v>
      </x:c>
      <x:c r="M2" s="49" t="str">
        <x:f>IF(COUNTIF('Invoice Register'!$M$2:$M$501,$A2)=0,"INVOICE DATA REQUIRED",SUMIFS('Invoice Register'!$H$2:$H$501,'Invoice Register'!$M$2:$M$501,$A2,'Invoice Register'!$G$2:$G$501,"MXN",'Invoice Register'!$L$2:$L$501,"VALID")+SUMIFS('Invoice Register'!$H$2:$H$501,'Invoice Register'!$M$2:$M$501,$A2,'Invoice Register'!$G$2:$G$501,"MXN",'Invoice Register'!$L$2:$L$501,"FX HOLD"))</x:f>
        <x:v>INVOICE DATA REQUIRED</x:v>
      </x:c>
    </x:row>
    <x:row r="3">
      <x:c r="A3" t="str">
        <x:v>2026-10</x:v>
      </x:c>
      <x:c r="B3" s="18" t="n">
        <x:f>SUMIF('Monthly Project Activity'!$A$2:$A$101,$A3,'Monthly Project Activity'!$G$2:$G$101)</x:f>
        <x:v>24000</x:v>
      </x:c>
      <x:c r="C3" s="18" t="str">
        <x:f>IF(COUNTIF('Invoice Register'!$M$2:$M$501,$A3)=0,"INVOICE DATA REQUIRED",SUMIFS('Invoice Register'!$N$2:$N$501,'Invoice Register'!$M$2:$M$501,$A3))</x:f>
        <x:v>INVOICE DATA REQUIRED</x:v>
      </x:c>
      <x:c r="D3" s="53"/>
      <x:c r="E3" s="53"/>
      <x:c r="F3" s="18" t="n">
        <x:f>SUMIF('Monthly Project Activity'!$A$2:$A$101,$A3,'Monthly Project Activity'!$K$2:$K$101)</x:f>
        <x:v>43000</x:v>
      </x:c>
      <x:c r="G3" s="53"/>
      <x:c r="H3" s="18" t="str">
        <x:f>IF(COUNTIF('Invoice Register'!$M$2:$M$501,$A3)=0,"INVOICE DATA REQUIRED",SUMIFS('Invoice Register'!$N$2:$N$501,'Invoice Register'!$M$2:$M$501,$A3,'Invoice Register'!$D$2:$D$501,"MX"))</x:f>
        <x:v>INVOICE DATA REQUIRED</x:v>
      </x:c>
      <x:c r="I3" s="18" t="str">
        <x:f>IF(COUNTIF('Invoice Register'!$M$2:$M$501,$A3)=0,"INVOICE DATA REQUIRED",SUMIFS('Invoice Register'!$N$2:$N$501,'Invoice Register'!$M$2:$M$501,$A3,'Invoice Register'!$D$2:$D$501,"US"))</x:f>
        <x:v>INVOICE DATA REQUIRED</x:v>
      </x:c>
      <x:c r="J3" s="18" t="str">
        <x:f>IF(AND(ISNUMBER(C3),ISNUMBER(H3),ISNUMBER(I3)),C3-H3-I3,"INVOICE REVIEW")</x:f>
        <x:v>INVOICE REVIEW</x:v>
      </x:c>
      <x:c r="K3" s="25" t="str">
        <x:f>IF(A3="","",IF(COUNTIFS('Monthly Project Activity'!$A$2:$A$101,A3,'Monthly Project Activity'!$O$2:$O$101,"FX HOLD")&gt;0,"FX HOLD - PROVISIONAL USD",IF(COUNTIFS('Monthly Project Activity'!$A$2:$A$101,A3,'Monthly Project Activity'!$O$2:$O$101,"SOURCE REVIEW")&gt;0,"SOURCE REVIEW",IF(COUNTIFS('Monthly Project Activity'!$A$2:$A$101,A3,'Monthly Project Activity'!$O$2:$O$101,"APPROVED")&gt;0,"FX APPROVED (METADATA)","NO FX EXCEPTION"))))</x:f>
        <x:v>FX APPROVED (METADATA)</x:v>
      </x:c>
      <x:c r="L3" s="49" t="str">
        <x:f>IF(COUNTIF('Invoice Register'!$M$2:$M$501,$A3)=0,"INVOICE DATA REQUIRED",SUMIFS('Invoice Register'!$H$2:$H$501,'Invoice Register'!$M$2:$M$501,$A3,'Invoice Register'!$G$2:$G$501,"USD",'Invoice Register'!$L$2:$L$501,"VALID")+SUMIFS('Invoice Register'!$H$2:$H$501,'Invoice Register'!$M$2:$M$501,$A3,'Invoice Register'!$G$2:$G$501,"USD",'Invoice Register'!$L$2:$L$501,"FX HOLD"))</x:f>
        <x:v>INVOICE DATA REQUIRED</x:v>
      </x:c>
      <x:c r="M3" s="49" t="str">
        <x:f>IF(COUNTIF('Invoice Register'!$M$2:$M$501,$A3)=0,"INVOICE DATA REQUIRED",SUMIFS('Invoice Register'!$H$2:$H$501,'Invoice Register'!$M$2:$M$501,$A3,'Invoice Register'!$G$2:$G$501,"MXN",'Invoice Register'!$L$2:$L$501,"VALID")+SUMIFS('Invoice Register'!$H$2:$H$501,'Invoice Register'!$M$2:$M$501,$A3,'Invoice Register'!$G$2:$G$501,"MXN",'Invoice Register'!$L$2:$L$501,"FX HOLD"))</x:f>
        <x:v>INVOICE DATA REQUIRED</x:v>
      </x:c>
    </x:row>
    <x:row r="4">
      <x:c r="K4" s="25" t="str">
        <x:f>IF(A4="","",IF(COUNTIFS('Monthly Project Activity'!$A$2:$A$101,A4,'Monthly Project Activity'!$O$2:$O$101,"FX HOLD")&gt;0,"FX HOLD - PROVISIONAL USD",IF(COUNTIFS('Monthly Project Activity'!$A$2:$A$101,A4,'Monthly Project Activity'!$O$2:$O$101,"SOURCE REVIEW")&gt;0,"SOURCE REVIEW",IF(COUNTIFS('Monthly Project Activity'!$A$2:$A$101,A4,'Monthly Project Activity'!$O$2:$O$101,"APPROVED")&gt;0,"FX APPROVED (METADATA)","NO FX EXCEPTION"))))</x:f>
      </x:c>
      <x:c r="L4" s="49"/>
      <x:c r="M4" s="49"/>
    </x:row>
    <x:row r="5">
      <x:c r="K5" s="25" t="str">
        <x:f>IF(A5="","",IF(COUNTIFS('Monthly Project Activity'!$A$2:$A$101,A5,'Monthly Project Activity'!$O$2:$O$101,"FX HOLD")&gt;0,"FX HOLD - PROVISIONAL USD",IF(COUNTIFS('Monthly Project Activity'!$A$2:$A$101,A5,'Monthly Project Activity'!$O$2:$O$101,"SOURCE REVIEW")&gt;0,"SOURCE REVIEW",IF(COUNTIFS('Monthly Project Activity'!$A$2:$A$101,A5,'Monthly Project Activity'!$O$2:$O$101,"APPROVED")&gt;0,"FX APPROVED (METADATA)","NO FX EXCEPTION"))))</x:f>
      </x:c>
      <x:c r="L5" s="49"/>
      <x:c r="M5" s="49"/>
    </x:row>
    <x:row r="6">
      <x:c r="K6" s="25" t="str">
        <x:f>IF(A6="","",IF(COUNTIFS('Monthly Project Activity'!$A$2:$A$101,A6,'Monthly Project Activity'!$O$2:$O$101,"FX HOLD")&gt;0,"FX HOLD - PROVISIONAL USD",IF(COUNTIFS('Monthly Project Activity'!$A$2:$A$101,A6,'Monthly Project Activity'!$O$2:$O$101,"SOURCE REVIEW")&gt;0,"SOURCE REVIEW",IF(COUNTIFS('Monthly Project Activity'!$A$2:$A$101,A6,'Monthly Project Activity'!$O$2:$O$101,"APPROVED")&gt;0,"FX APPROVED (METADATA)","NO FX EXCEPTION"))))</x:f>
      </x:c>
      <x:c r="L6" s="49"/>
      <x:c r="M6" s="49"/>
    </x:row>
    <x:row r="7">
      <x:c r="K7" s="25" t="str">
        <x:f>IF(A7="","",IF(COUNTIFS('Monthly Project Activity'!$A$2:$A$101,A7,'Monthly Project Activity'!$O$2:$O$101,"FX HOLD")&gt;0,"FX HOLD - PROVISIONAL USD",IF(COUNTIFS('Monthly Project Activity'!$A$2:$A$101,A7,'Monthly Project Activity'!$O$2:$O$101,"SOURCE REVIEW")&gt;0,"SOURCE REVIEW",IF(COUNTIFS('Monthly Project Activity'!$A$2:$A$101,A7,'Monthly Project Activity'!$O$2:$O$101,"APPROVED")&gt;0,"FX APPROVED (METADATA)","NO FX EXCEPTION"))))</x:f>
      </x:c>
      <x:c r="L7" s="49"/>
      <x:c r="M7" s="49"/>
    </x:row>
    <x:row r="8">
      <x:c r="K8" s="25" t="str">
        <x:f>IF(A8="","",IF(COUNTIFS('Monthly Project Activity'!$A$2:$A$101,A8,'Monthly Project Activity'!$O$2:$O$101,"FX HOLD")&gt;0,"FX HOLD - PROVISIONAL USD",IF(COUNTIFS('Monthly Project Activity'!$A$2:$A$101,A8,'Monthly Project Activity'!$O$2:$O$101,"SOURCE REVIEW")&gt;0,"SOURCE REVIEW",IF(COUNTIFS('Monthly Project Activity'!$A$2:$A$101,A8,'Monthly Project Activity'!$O$2:$O$101,"APPROVED")&gt;0,"FX APPROVED (METADATA)","NO FX EXCEPTION"))))</x:f>
      </x:c>
      <x:c r="L8" s="49"/>
      <x:c r="M8" s="49"/>
    </x:row>
    <x:row r="9">
      <x:c r="K9" s="25" t="str">
        <x:f>IF(A9="","",IF(COUNTIFS('Monthly Project Activity'!$A$2:$A$101,A9,'Monthly Project Activity'!$O$2:$O$101,"FX HOLD")&gt;0,"FX HOLD - PROVISIONAL USD",IF(COUNTIFS('Monthly Project Activity'!$A$2:$A$101,A9,'Monthly Project Activity'!$O$2:$O$101,"SOURCE REVIEW")&gt;0,"SOURCE REVIEW",IF(COUNTIFS('Monthly Project Activity'!$A$2:$A$101,A9,'Monthly Project Activity'!$O$2:$O$101,"APPROVED")&gt;0,"FX APPROVED (METADATA)","NO FX EXCEPTION"))))</x:f>
      </x:c>
      <x:c r="L9" s="49"/>
      <x:c r="M9" s="49"/>
    </x:row>
    <x:row r="10">
      <x:c r="K10" s="25" t="str">
        <x:f>IF(A10="","",IF(COUNTIFS('Monthly Project Activity'!$A$2:$A$101,A10,'Monthly Project Activity'!$O$2:$O$101,"FX HOLD")&gt;0,"FX HOLD - PROVISIONAL USD",IF(COUNTIFS('Monthly Project Activity'!$A$2:$A$101,A10,'Monthly Project Activity'!$O$2:$O$101,"SOURCE REVIEW")&gt;0,"SOURCE REVIEW",IF(COUNTIFS('Monthly Project Activity'!$A$2:$A$101,A10,'Monthly Project Activity'!$O$2:$O$101,"APPROVED")&gt;0,"FX APPROVED (METADATA)","NO FX EXCEPTION"))))</x:f>
      </x:c>
      <x:c r="L10" s="49"/>
      <x:c r="M10" s="49"/>
    </x:row>
    <x:row r="11">
      <x:c r="K11" s="25" t="str">
        <x:f>IF(A11="","",IF(COUNTIFS('Monthly Project Activity'!$A$2:$A$101,A11,'Monthly Project Activity'!$O$2:$O$101,"FX HOLD")&gt;0,"FX HOLD - PROVISIONAL USD",IF(COUNTIFS('Monthly Project Activity'!$A$2:$A$101,A11,'Monthly Project Activity'!$O$2:$O$101,"SOURCE REVIEW")&gt;0,"SOURCE REVIEW",IF(COUNTIFS('Monthly Project Activity'!$A$2:$A$101,A11,'Monthly Project Activity'!$O$2:$O$101,"APPROVED")&gt;0,"FX APPROVED (METADATA)","NO FX EXCEPTION"))))</x:f>
      </x:c>
      <x:c r="L11" s="49"/>
      <x:c r="M11" s="49"/>
    </x:row>
    <x:row r="12">
      <x:c r="K12" s="25" t="str">
        <x:f>IF(A12="","",IF(COUNTIFS('Monthly Project Activity'!$A$2:$A$101,A12,'Monthly Project Activity'!$O$2:$O$101,"FX HOLD")&gt;0,"FX HOLD - PROVISIONAL USD",IF(COUNTIFS('Monthly Project Activity'!$A$2:$A$101,A12,'Monthly Project Activity'!$O$2:$O$101,"SOURCE REVIEW")&gt;0,"SOURCE REVIEW",IF(COUNTIFS('Monthly Project Activity'!$A$2:$A$101,A12,'Monthly Project Activity'!$O$2:$O$101,"APPROVED")&gt;0,"FX APPROVED (METADATA)","NO FX EXCEPTION"))))</x:f>
      </x:c>
      <x:c r="L12" s="49"/>
      <x:c r="M12" s="49"/>
    </x:row>
    <x:row r="13">
      <x:c r="K13" s="25" t="str">
        <x:f>IF(A13="","",IF(COUNTIFS('Monthly Project Activity'!$A$2:$A$101,A13,'Monthly Project Activity'!$O$2:$O$101,"FX HOLD")&gt;0,"FX HOLD - PROVISIONAL USD",IF(COUNTIFS('Monthly Project Activity'!$A$2:$A$101,A13,'Monthly Project Activity'!$O$2:$O$101,"SOURCE REVIEW")&gt;0,"SOURCE REVIEW",IF(COUNTIFS('Monthly Project Activity'!$A$2:$A$101,A13,'Monthly Project Activity'!$O$2:$O$101,"APPROVED")&gt;0,"FX APPROVED (METADATA)","NO FX EXCEPTION"))))</x:f>
      </x:c>
      <x:c r="L13" s="49"/>
      <x:c r="M13" s="49"/>
    </x:row>
    <x:row r="14">
      <x:c r="K14" s="25" t="str">
        <x:f>IF(A14="","",IF(COUNTIFS('Monthly Project Activity'!$A$2:$A$101,A14,'Monthly Project Activity'!$O$2:$O$101,"FX HOLD")&gt;0,"FX HOLD - PROVISIONAL USD",IF(COUNTIFS('Monthly Project Activity'!$A$2:$A$101,A14,'Monthly Project Activity'!$O$2:$O$101,"SOURCE REVIEW")&gt;0,"SOURCE REVIEW",IF(COUNTIFS('Monthly Project Activity'!$A$2:$A$101,A14,'Monthly Project Activity'!$O$2:$O$101,"APPROVED")&gt;0,"FX APPROVED (METADATA)","NO FX EXCEPTION"))))</x:f>
      </x:c>
      <x:c r="L14" s="49"/>
      <x:c r="M14" s="49"/>
    </x:row>
    <x:row r="15">
      <x:c r="K15" s="25" t="str">
        <x:f>IF(A15="","",IF(COUNTIFS('Monthly Project Activity'!$A$2:$A$101,A15,'Monthly Project Activity'!$O$2:$O$101,"FX HOLD")&gt;0,"FX HOLD - PROVISIONAL USD",IF(COUNTIFS('Monthly Project Activity'!$A$2:$A$101,A15,'Monthly Project Activity'!$O$2:$O$101,"SOURCE REVIEW")&gt;0,"SOURCE REVIEW",IF(COUNTIFS('Monthly Project Activity'!$A$2:$A$101,A15,'Monthly Project Activity'!$O$2:$O$101,"APPROVED")&gt;0,"FX APPROVED (METADATA)","NO FX EXCEPTION"))))</x:f>
      </x:c>
      <x:c r="L15" s="49"/>
      <x:c r="M15" s="49"/>
    </x:row>
    <x:row r="16">
      <x:c r="K16" s="25" t="str">
        <x:f>IF(A16="","",IF(COUNTIFS('Monthly Project Activity'!$A$2:$A$101,A16,'Monthly Project Activity'!$O$2:$O$101,"FX HOLD")&gt;0,"FX HOLD - PROVISIONAL USD",IF(COUNTIFS('Monthly Project Activity'!$A$2:$A$101,A16,'Monthly Project Activity'!$O$2:$O$101,"SOURCE REVIEW")&gt;0,"SOURCE REVIEW",IF(COUNTIFS('Monthly Project Activity'!$A$2:$A$101,A16,'Monthly Project Activity'!$O$2:$O$101,"APPROVED")&gt;0,"FX APPROVED (METADATA)","NO FX EXCEPTION"))))</x:f>
      </x:c>
      <x:c r="L16" s="49"/>
      <x:c r="M16" s="49"/>
    </x:row>
    <x:row r="17">
      <x:c r="K17" s="25" t="str">
        <x:f>IF(A17="","",IF(COUNTIFS('Monthly Project Activity'!$A$2:$A$101,A17,'Monthly Project Activity'!$O$2:$O$101,"FX HOLD")&gt;0,"FX HOLD - PROVISIONAL USD",IF(COUNTIFS('Monthly Project Activity'!$A$2:$A$101,A17,'Monthly Project Activity'!$O$2:$O$101,"SOURCE REVIEW")&gt;0,"SOURCE REVIEW",IF(COUNTIFS('Monthly Project Activity'!$A$2:$A$101,A17,'Monthly Project Activity'!$O$2:$O$101,"APPROVED")&gt;0,"FX APPROVED (METADATA)","NO FX EXCEPTION"))))</x:f>
      </x:c>
      <x:c r="L17" s="49"/>
      <x:c r="M17" s="49"/>
    </x:row>
    <x:row r="18">
      <x:c r="K18" s="25" t="str">
        <x:f>IF(A18="","",IF(COUNTIFS('Monthly Project Activity'!$A$2:$A$101,A18,'Monthly Project Activity'!$O$2:$O$101,"FX HOLD")&gt;0,"FX HOLD - PROVISIONAL USD",IF(COUNTIFS('Monthly Project Activity'!$A$2:$A$101,A18,'Monthly Project Activity'!$O$2:$O$101,"SOURCE REVIEW")&gt;0,"SOURCE REVIEW",IF(COUNTIFS('Monthly Project Activity'!$A$2:$A$101,A18,'Monthly Project Activity'!$O$2:$O$101,"APPROVED")&gt;0,"FX APPROVED (METADATA)","NO FX EXCEPTION"))))</x:f>
      </x:c>
      <x:c r="L18" s="49"/>
      <x:c r="M18" s="49"/>
    </x:row>
    <x:row r="19">
      <x:c r="K19" s="25" t="str">
        <x:f>IF(A19="","",IF(COUNTIFS('Monthly Project Activity'!$A$2:$A$101,A19,'Monthly Project Activity'!$O$2:$O$101,"FX HOLD")&gt;0,"FX HOLD - PROVISIONAL USD",IF(COUNTIFS('Monthly Project Activity'!$A$2:$A$101,A19,'Monthly Project Activity'!$O$2:$O$101,"SOURCE REVIEW")&gt;0,"SOURCE REVIEW",IF(COUNTIFS('Monthly Project Activity'!$A$2:$A$101,A19,'Monthly Project Activity'!$O$2:$O$101,"APPROVED")&gt;0,"FX APPROVED (METADATA)","NO FX EXCEPTION"))))</x:f>
      </x:c>
      <x:c r="L19" s="49"/>
      <x:c r="M19" s="49"/>
    </x:row>
    <x:row r="20">
      <x:c r="K20" s="25" t="str">
        <x:f>IF(A20="","",IF(COUNTIFS('Monthly Project Activity'!$A$2:$A$101,A20,'Monthly Project Activity'!$O$2:$O$101,"FX HOLD")&gt;0,"FX HOLD - PROVISIONAL USD",IF(COUNTIFS('Monthly Project Activity'!$A$2:$A$101,A20,'Monthly Project Activity'!$O$2:$O$101,"SOURCE REVIEW")&gt;0,"SOURCE REVIEW",IF(COUNTIFS('Monthly Project Activity'!$A$2:$A$101,A20,'Monthly Project Activity'!$O$2:$O$101,"APPROVED")&gt;0,"FX APPROVED (METADATA)","NO FX EXCEPTION"))))</x:f>
      </x:c>
      <x:c r="L20" s="49"/>
      <x:c r="M20" s="49"/>
    </x:row>
    <x:row r="21">
      <x:c r="K21" s="25" t="str">
        <x:f>IF(A21="","",IF(COUNTIFS('Monthly Project Activity'!$A$2:$A$101,A21,'Monthly Project Activity'!$O$2:$O$101,"FX HOLD")&gt;0,"FX HOLD - PROVISIONAL USD",IF(COUNTIFS('Monthly Project Activity'!$A$2:$A$101,A21,'Monthly Project Activity'!$O$2:$O$101,"SOURCE REVIEW")&gt;0,"SOURCE REVIEW",IF(COUNTIFS('Monthly Project Activity'!$A$2:$A$101,A21,'Monthly Project Activity'!$O$2:$O$101,"APPROVED")&gt;0,"FX APPROVED (METADATA)","NO FX EXCEPTION"))))</x:f>
      </x:c>
      <x:c r="L21" s="49"/>
      <x:c r="M21" s="49"/>
    </x:row>
    <x:row r="22">
      <x:c r="K22" s="25" t="str">
        <x:f>IF(A22="","",IF(COUNTIFS('Monthly Project Activity'!$A$2:$A$101,A22,'Monthly Project Activity'!$O$2:$O$101,"FX HOLD")&gt;0,"FX HOLD - PROVISIONAL USD",IF(COUNTIFS('Monthly Project Activity'!$A$2:$A$101,A22,'Monthly Project Activity'!$O$2:$O$101,"SOURCE REVIEW")&gt;0,"SOURCE REVIEW",IF(COUNTIFS('Monthly Project Activity'!$A$2:$A$101,A22,'Monthly Project Activity'!$O$2:$O$101,"APPROVED")&gt;0,"FX APPROVED (METADATA)","NO FX EXCEPTION"))))</x:f>
      </x:c>
      <x:c r="L22" s="49"/>
      <x:c r="M22" s="49"/>
    </x:row>
    <x:row r="23">
      <x:c r="K23" s="25" t="str">
        <x:f>IF(A23="","",IF(COUNTIFS('Monthly Project Activity'!$A$2:$A$101,A23,'Monthly Project Activity'!$O$2:$O$101,"FX HOLD")&gt;0,"FX HOLD - PROVISIONAL USD",IF(COUNTIFS('Monthly Project Activity'!$A$2:$A$101,A23,'Monthly Project Activity'!$O$2:$O$101,"SOURCE REVIEW")&gt;0,"SOURCE REVIEW",IF(COUNTIFS('Monthly Project Activity'!$A$2:$A$101,A23,'Monthly Project Activity'!$O$2:$O$101,"APPROVED")&gt;0,"FX APPROVED (METADATA)","NO FX EXCEPTION"))))</x:f>
      </x:c>
      <x:c r="L23" s="49"/>
      <x:c r="M23" s="49"/>
    </x:row>
    <x:row r="24">
      <x:c r="K24" s="25" t="str">
        <x:f>IF(A24="","",IF(COUNTIFS('Monthly Project Activity'!$A$2:$A$101,A24,'Monthly Project Activity'!$O$2:$O$101,"FX HOLD")&gt;0,"FX HOLD - PROVISIONAL USD",IF(COUNTIFS('Monthly Project Activity'!$A$2:$A$101,A24,'Monthly Project Activity'!$O$2:$O$101,"SOURCE REVIEW")&gt;0,"SOURCE REVIEW",IF(COUNTIFS('Monthly Project Activity'!$A$2:$A$101,A24,'Monthly Project Activity'!$O$2:$O$101,"APPROVED")&gt;0,"FX APPROVED (METADATA)","NO FX EXCEPTION"))))</x:f>
      </x:c>
      <x:c r="L24" s="49"/>
      <x:c r="M24" s="49"/>
    </x:row>
    <x:row r="25">
      <x:c r="K25" s="25" t="str">
        <x:f>IF(A25="","",IF(COUNTIFS('Monthly Project Activity'!$A$2:$A$101,A25,'Monthly Project Activity'!$O$2:$O$101,"FX HOLD")&gt;0,"FX HOLD - PROVISIONAL USD",IF(COUNTIFS('Monthly Project Activity'!$A$2:$A$101,A25,'Monthly Project Activity'!$O$2:$O$101,"SOURCE REVIEW")&gt;0,"SOURCE REVIEW",IF(COUNTIFS('Monthly Project Activity'!$A$2:$A$101,A25,'Monthly Project Activity'!$O$2:$O$101,"APPROVED")&gt;0,"FX APPROVED (METADATA)","NO FX EXCEPTION"))))</x:f>
      </x:c>
      <x:c r="L25" s="49"/>
      <x:c r="M25" s="49"/>
    </x:row>
    <x:row r="26">
      <x:c r="K26" s="25" t="str">
        <x:f>IF(A26="","",IF(COUNTIFS('Monthly Project Activity'!$A$2:$A$101,A26,'Monthly Project Activity'!$O$2:$O$101,"FX HOLD")&gt;0,"FX HOLD - PROVISIONAL USD",IF(COUNTIFS('Monthly Project Activity'!$A$2:$A$101,A26,'Monthly Project Activity'!$O$2:$O$101,"SOURCE REVIEW")&gt;0,"SOURCE REVIEW",IF(COUNTIFS('Monthly Project Activity'!$A$2:$A$101,A26,'Monthly Project Activity'!$O$2:$O$101,"APPROVED")&gt;0,"FX APPROVED (METADATA)","NO FX EXCEPTION"))))</x:f>
      </x:c>
      <x:c r="L26" s="49"/>
      <x:c r="M26" s="49"/>
    </x:row>
    <x:row r="27">
      <x:c r="K27" s="25" t="str">
        <x:f>IF(A27="","",IF(COUNTIFS('Monthly Project Activity'!$A$2:$A$101,A27,'Monthly Project Activity'!$O$2:$O$101,"FX HOLD")&gt;0,"FX HOLD - PROVISIONAL USD",IF(COUNTIFS('Monthly Project Activity'!$A$2:$A$101,A27,'Monthly Project Activity'!$O$2:$O$101,"SOURCE REVIEW")&gt;0,"SOURCE REVIEW",IF(COUNTIFS('Monthly Project Activity'!$A$2:$A$101,A27,'Monthly Project Activity'!$O$2:$O$101,"APPROVED")&gt;0,"FX APPROVED (METADATA)","NO FX EXCEPTION"))))</x:f>
      </x:c>
      <x:c r="L27" s="49"/>
      <x:c r="M27" s="49"/>
    </x:row>
    <x:row r="28">
      <x:c r="K28" s="25" t="str">
        <x:f>IF(A28="","",IF(COUNTIFS('Monthly Project Activity'!$A$2:$A$101,A28,'Monthly Project Activity'!$O$2:$O$101,"FX HOLD")&gt;0,"FX HOLD - PROVISIONAL USD",IF(COUNTIFS('Monthly Project Activity'!$A$2:$A$101,A28,'Monthly Project Activity'!$O$2:$O$101,"SOURCE REVIEW")&gt;0,"SOURCE REVIEW",IF(COUNTIFS('Monthly Project Activity'!$A$2:$A$101,A28,'Monthly Project Activity'!$O$2:$O$101,"APPROVED")&gt;0,"FX APPROVED (METADATA)","NO FX EXCEPTION"))))</x:f>
      </x:c>
      <x:c r="L28" s="49"/>
      <x:c r="M28" s="49"/>
    </x:row>
    <x:row r="29">
      <x:c r="K29" s="25" t="str">
        <x:f>IF(A29="","",IF(COUNTIFS('Monthly Project Activity'!$A$2:$A$101,A29,'Monthly Project Activity'!$O$2:$O$101,"FX HOLD")&gt;0,"FX HOLD - PROVISIONAL USD",IF(COUNTIFS('Monthly Project Activity'!$A$2:$A$101,A29,'Monthly Project Activity'!$O$2:$O$101,"SOURCE REVIEW")&gt;0,"SOURCE REVIEW",IF(COUNTIFS('Monthly Project Activity'!$A$2:$A$101,A29,'Monthly Project Activity'!$O$2:$O$101,"APPROVED")&gt;0,"FX APPROVED (METADATA)","NO FX EXCEPTION"))))</x:f>
      </x:c>
      <x:c r="L29" s="49"/>
      <x:c r="M29" s="49"/>
    </x:row>
    <x:row r="30">
      <x:c r="K30" s="25" t="str">
        <x:f>IF(A30="","",IF(COUNTIFS('Monthly Project Activity'!$A$2:$A$101,A30,'Monthly Project Activity'!$O$2:$O$101,"FX HOLD")&gt;0,"FX HOLD - PROVISIONAL USD",IF(COUNTIFS('Monthly Project Activity'!$A$2:$A$101,A30,'Monthly Project Activity'!$O$2:$O$101,"SOURCE REVIEW")&gt;0,"SOURCE REVIEW",IF(COUNTIFS('Monthly Project Activity'!$A$2:$A$101,A30,'Monthly Project Activity'!$O$2:$O$101,"APPROVED")&gt;0,"FX APPROVED (METADATA)","NO FX EXCEPTION"))))</x:f>
      </x:c>
      <x:c r="L30" s="49"/>
      <x:c r="M30" s="49"/>
    </x:row>
  </x:sheetData>
  <x:pageMargins left="0.7" right="0.7" top="0.75" bottom="0.75" header="0.3" footer="0.3"/>
  <x:drawing xmlns:r="http://schemas.openxmlformats.org/officeDocument/2006/relationships" r:id="R825f5acc3b264aff"/>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35" hidden="0" customWidth="1"/>
  </x:cols>
  <x:sheetData>
    <x:row r="1" ht="38" customHeight="1">
      <x:c r="A1" s="16" t="str">
        <x:v>Month YYYY-MM</x:v>
      </x:c>
      <x:c r="B1" s="16" t="str">
        <x:v>Business Unit</x:v>
      </x:c>
      <x:c r="C1" s="16" t="str">
        <x:v>MX USD - valid subtotal</x:v>
      </x:c>
      <x:c r="D1" s="16" t="str">
        <x:v>US USD - valid subtotal</x:v>
      </x:c>
      <x:c r="E1" s="16" t="str">
        <x:v>Total USD - valid subtotal</x:v>
      </x:c>
      <x:c r="F1" s="16" t="str">
        <x:v>MX PO intake USD</x:v>
      </x:c>
      <x:c r="G1" s="16" t="str">
        <x:v>US PO intake USD</x:v>
      </x:c>
      <x:c r="H1" s="16" t="str">
        <x:v>Total PO intake USD</x:v>
      </x:c>
      <x:c r="I1" s="66" t="str">
        <x:v>REMOVED - payment metric</x:v>
      </x:c>
      <x:c r="J1" s="66" t="str">
        <x:v>REMOVED - payment metric</x:v>
      </x:c>
      <x:c r="K1" s="66" t="str">
        <x:v>REMOVED - payment metric</x:v>
      </x:c>
      <x:c r="L1" s="66" t="str">
        <x:v>REMOVED - payment metric</x:v>
      </x:c>
      <x:c r="M1" s="66" t="str">
        <x:v>REMOVED - payment metric</x:v>
      </x:c>
      <x:c r="N1" s="66" t="str">
        <x:v>REMOVED - payment metric</x:v>
      </x:c>
      <x:c r="O1" s="29" t="str">
        <x:v>FX reporting status</x:v>
      </x:c>
    </x:row>
    <x:row r="2">
      <x:c r="A2" t="str">
        <x:v>2026-09</x:v>
      </x:c>
      <x:c r="B2" t="str">
        <x:v>Strategic Services</x:v>
      </x:c>
      <x:c r="C2" t="str">
        <x:f>IF(COUNTIF('Invoice Register'!$M$2:$M$501,$A2)=0,"INVOICE DATA REQUIRED",SUMIFS('Invoice Register'!$N$2:$N$501,'Invoice Register'!$M$2:$M$501,$A2,'Invoice Register'!$D$2:$D$501,"MX",'Invoice Register'!$E$2:$E$501,$B2))</x:f>
        <x:v>INVOICE DATA REQUIRED</x:v>
      </x:c>
      <x:c r="D2" t="str">
        <x:f>IF(COUNTIF('Invoice Register'!$M$2:$M$501,$A2)=0,"INVOICE DATA REQUIRED",SUMIFS('Invoice Register'!$N$2:$N$501,'Invoice Register'!$M$2:$M$501,$A2,'Invoice Register'!$D$2:$D$501,"US",'Invoice Register'!$E$2:$E$501,$B2))</x:f>
        <x:v>INVOICE DATA REQUIRED</x:v>
      </x:c>
      <x:c r="E2" t="str">
        <x:f>IF(AND(ISNUMBER(C2),ISNUMBER(D2)),C2+D2,"INVOICE REVIEW")</x:f>
        <x:v>INVOICE REVIEW</x:v>
      </x:c>
      <x:c r="F2" t="n">
        <x:f>SUMIFS('Monthly Project Activity'!$G$2:$G$101,'Monthly Project Activity'!$A$2:$A$101,$A2,'Monthly Project Activity'!$D$2:$D$101,$B2,'Monthly Project Activity'!$F$2:$F$101,"MX")</x:f>
        <x:v>50000</x:v>
      </x:c>
      <x:c r="G2" t="n">
        <x:f>SUMIFS('Monthly Project Activity'!$G$2:$G$101,'Monthly Project Activity'!$A$2:$A$101,$A2,'Monthly Project Activity'!$D$2:$D$101,$B2,'Monthly Project Activity'!$F$2:$F$101,"US")</x:f>
        <x:v>0</x:v>
      </x:c>
      <x:c r="H2" t="n">
        <x:f>F2+G2</x:f>
        <x:v>50000</x:v>
      </x:c>
      <x:c r="I2" s="52"/>
      <x:c r="J2" s="52"/>
      <x:c r="K2" s="52"/>
      <x:c r="L2" s="52"/>
      <x:c r="M2" s="52"/>
      <x:c r="N2" s="52"/>
      <x:c r="O2" s="25" t="str">
        <x:f>IF(A2="","",IF(COUNTIFS('Monthly Project Activity'!$A$2:$A$101,A2,'Monthly Project Activity'!$D$2:$D$101,B2,'Monthly Project Activity'!$O$2:$O$101,"FX HOLD")&gt;0,"FX HOLD - PROVISIONAL USD",IF(COUNTIFS('Monthly Project Activity'!$A$2:$A$101,A2,'Monthly Project Activity'!$D$2:$D$101,B2,'Monthly Project Activity'!$O$2:$O$101,"SOURCE REVIEW")&gt;0,"SOURCE REVIEW",IF(COUNTIFS('Monthly Project Activity'!$A$2:$A$101,A2,'Monthly Project Activity'!$D$2:$D$101,B2,'Monthly Project Activity'!$O$2:$O$101,"APPROVED")&gt;0,"FX APPROVED (METADATA)","NO FX EXCEPTION"))))</x:f>
        <x:v>NO FX EXCEPTION</x:v>
      </x:c>
    </x:row>
    <x:row r="3">
      <x:c r="A3" t="str">
        <x:v>2026-09</x:v>
      </x:c>
      <x:c r="B3" t="str">
        <x:v>Brands</x:v>
      </x:c>
      <x:c r="C3" t="str">
        <x:f>IF(COUNTIF('Invoice Register'!$M$2:$M$501,$A3)=0,"INVOICE DATA REQUIRED",SUMIFS('Invoice Register'!$N$2:$N$501,'Invoice Register'!$M$2:$M$501,$A3,'Invoice Register'!$D$2:$D$501,"MX",'Invoice Register'!$E$2:$E$501,$B3))</x:f>
        <x:v>INVOICE DATA REQUIRED</x:v>
      </x:c>
      <x:c r="D3" t="str">
        <x:f>IF(COUNTIF('Invoice Register'!$M$2:$M$501,$A3)=0,"INVOICE DATA REQUIRED",SUMIFS('Invoice Register'!$N$2:$N$501,'Invoice Register'!$M$2:$M$501,$A3,'Invoice Register'!$D$2:$D$501,"US",'Invoice Register'!$E$2:$E$501,$B3))</x:f>
        <x:v>INVOICE DATA REQUIRED</x:v>
      </x:c>
      <x:c r="E3" t="str">
        <x:f>IF(AND(ISNUMBER(C3),ISNUMBER(D3)),C3+D3,"INVOICE REVIEW")</x:f>
        <x:v>INVOICE REVIEW</x:v>
      </x:c>
      <x:c r="F3" t="n">
        <x:f>SUMIFS('Monthly Project Activity'!$G$2:$G$101,'Monthly Project Activity'!$A$2:$A$101,$A3,'Monthly Project Activity'!$D$2:$D$101,$B3,'Monthly Project Activity'!$F$2:$F$101,"MX")</x:f>
        <x:v>41000</x:v>
      </x:c>
      <x:c r="G3" t="n">
        <x:f>SUMIFS('Monthly Project Activity'!$G$2:$G$101,'Monthly Project Activity'!$A$2:$A$101,$A3,'Monthly Project Activity'!$D$2:$D$101,$B3,'Monthly Project Activity'!$F$2:$F$101,"US")</x:f>
        <x:v>34000</x:v>
      </x:c>
      <x:c r="H3" t="n">
        <x:f>F3+G3</x:f>
        <x:v>75000</x:v>
      </x:c>
      <x:c r="I3" s="52"/>
      <x:c r="J3" s="52"/>
      <x:c r="K3" s="52"/>
      <x:c r="L3" s="52"/>
      <x:c r="M3" s="52"/>
      <x:c r="N3" s="52"/>
      <x:c r="O3" s="25" t="str">
        <x:f>IF(A3="","",IF(COUNTIFS('Monthly Project Activity'!$A$2:$A$101,A3,'Monthly Project Activity'!$D$2:$D$101,B3,'Monthly Project Activity'!$O$2:$O$101,"FX HOLD")&gt;0,"FX HOLD - PROVISIONAL USD",IF(COUNTIFS('Monthly Project Activity'!$A$2:$A$101,A3,'Monthly Project Activity'!$D$2:$D$101,B3,'Monthly Project Activity'!$O$2:$O$101,"SOURCE REVIEW")&gt;0,"SOURCE REVIEW",IF(COUNTIFS('Monthly Project Activity'!$A$2:$A$101,A3,'Monthly Project Activity'!$D$2:$D$101,B3,'Monthly Project Activity'!$O$2:$O$101,"APPROVED")&gt;0,"FX APPROVED (METADATA)","NO FX EXCEPTION"))))</x:f>
        <x:v>FX APPROVED (METADATA)</x:v>
      </x:c>
    </x:row>
    <x:row r="4">
      <x:c r="A4" t="str">
        <x:v>2026-10</x:v>
      </x:c>
      <x:c r="B4" t="str">
        <x:v>Strategic Services</x:v>
      </x:c>
      <x:c r="C4" t="str">
        <x:f>IF(COUNTIF('Invoice Register'!$M$2:$M$501,$A4)=0,"INVOICE DATA REQUIRED",SUMIFS('Invoice Register'!$N$2:$N$501,'Invoice Register'!$M$2:$M$501,$A4,'Invoice Register'!$D$2:$D$501,"MX",'Invoice Register'!$E$2:$E$501,$B4))</x:f>
        <x:v>INVOICE DATA REQUIRED</x:v>
      </x:c>
      <x:c r="D4" t="str">
        <x:f>IF(COUNTIF('Invoice Register'!$M$2:$M$501,$A4)=0,"INVOICE DATA REQUIRED",SUMIFS('Invoice Register'!$N$2:$N$501,'Invoice Register'!$M$2:$M$501,$A4,'Invoice Register'!$D$2:$D$501,"US",'Invoice Register'!$E$2:$E$501,$B4))</x:f>
        <x:v>INVOICE DATA REQUIRED</x:v>
      </x:c>
      <x:c r="E4" t="str">
        <x:f>IF(AND(ISNUMBER(C4),ISNUMBER(D4)),C4+D4,"INVOICE REVIEW")</x:f>
        <x:v>INVOICE REVIEW</x:v>
      </x:c>
      <x:c r="F4" t="n">
        <x:f>SUMIFS('Monthly Project Activity'!$G$2:$G$101,'Monthly Project Activity'!$A$2:$A$101,$A4,'Monthly Project Activity'!$D$2:$D$101,$B4,'Monthly Project Activity'!$F$2:$F$101,"MX")</x:f>
        <x:v>24000</x:v>
      </x:c>
      <x:c r="G4" t="n">
        <x:f>SUMIFS('Monthly Project Activity'!$G$2:$G$101,'Monthly Project Activity'!$A$2:$A$101,$A4,'Monthly Project Activity'!$D$2:$D$101,$B4,'Monthly Project Activity'!$F$2:$F$101,"US")</x:f>
        <x:v>0</x:v>
      </x:c>
      <x:c r="H4" t="n">
        <x:f>F4+G4</x:f>
        <x:v>24000</x:v>
      </x:c>
      <x:c r="I4" s="52"/>
      <x:c r="J4" s="52"/>
      <x:c r="K4" s="52"/>
      <x:c r="L4" s="52"/>
      <x:c r="M4" s="52"/>
      <x:c r="N4" s="52"/>
      <x:c r="O4" s="25" t="str">
        <x:f>IF(A4="","",IF(COUNTIFS('Monthly Project Activity'!$A$2:$A$101,A4,'Monthly Project Activity'!$D$2:$D$101,B4,'Monthly Project Activity'!$O$2:$O$101,"FX HOLD")&gt;0,"FX HOLD - PROVISIONAL USD",IF(COUNTIFS('Monthly Project Activity'!$A$2:$A$101,A4,'Monthly Project Activity'!$D$2:$D$101,B4,'Monthly Project Activity'!$O$2:$O$101,"SOURCE REVIEW")&gt;0,"SOURCE REVIEW",IF(COUNTIFS('Monthly Project Activity'!$A$2:$A$101,A4,'Monthly Project Activity'!$D$2:$D$101,B4,'Monthly Project Activity'!$O$2:$O$101,"APPROVED")&gt;0,"FX APPROVED (METADATA)","NO FX EXCEPTION"))))</x:f>
        <x:v>NO FX EXCEPTION</x:v>
      </x:c>
    </x:row>
    <x:row r="5">
      <x:c r="A5" t="str">
        <x:v>2026-10</x:v>
      </x:c>
      <x:c r="B5" t="str">
        <x:v>Brands</x:v>
      </x:c>
      <x:c r="C5" t="str">
        <x:f>IF(COUNTIF('Invoice Register'!$M$2:$M$501,$A5)=0,"INVOICE DATA REQUIRED",SUMIFS('Invoice Register'!$N$2:$N$501,'Invoice Register'!$M$2:$M$501,$A5,'Invoice Register'!$D$2:$D$501,"MX",'Invoice Register'!$E$2:$E$501,$B5))</x:f>
        <x:v>INVOICE DATA REQUIRED</x:v>
      </x:c>
      <x:c r="D5" t="str">
        <x:f>IF(COUNTIF('Invoice Register'!$M$2:$M$501,$A5)=0,"INVOICE DATA REQUIRED",SUMIFS('Invoice Register'!$N$2:$N$501,'Invoice Register'!$M$2:$M$501,$A5,'Invoice Register'!$D$2:$D$501,"US",'Invoice Register'!$E$2:$E$501,$B5))</x:f>
        <x:v>INVOICE DATA REQUIRED</x:v>
      </x:c>
      <x:c r="E5" t="str">
        <x:f>IF(AND(ISNUMBER(C5),ISNUMBER(D5)),C5+D5,"INVOICE REVIEW")</x:f>
        <x:v>INVOICE REVIEW</x:v>
      </x:c>
      <x:c r="F5" t="n">
        <x:f>SUMIFS('Monthly Project Activity'!$G$2:$G$101,'Monthly Project Activity'!$A$2:$A$101,$A5,'Monthly Project Activity'!$D$2:$D$101,$B5,'Monthly Project Activity'!$F$2:$F$101,"MX")</x:f>
        <x:v>0</x:v>
      </x:c>
      <x:c r="G5" t="n">
        <x:f>SUMIFS('Monthly Project Activity'!$G$2:$G$101,'Monthly Project Activity'!$A$2:$A$101,$A5,'Monthly Project Activity'!$D$2:$D$101,$B5,'Monthly Project Activity'!$F$2:$F$101,"US")</x:f>
        <x:v>0</x:v>
      </x:c>
      <x:c r="H5" t="n">
        <x:f>F5+G5</x:f>
        <x:v>0</x:v>
      </x:c>
      <x:c r="I5" s="52"/>
      <x:c r="J5" s="52"/>
      <x:c r="K5" s="52"/>
      <x:c r="L5" s="52"/>
      <x:c r="M5" s="52"/>
      <x:c r="N5" s="52"/>
      <x:c r="O5" s="25" t="str">
        <x:f>IF(A5="","",IF(COUNTIFS('Monthly Project Activity'!$A$2:$A$101,A5,'Monthly Project Activity'!$D$2:$D$101,B5,'Monthly Project Activity'!$O$2:$O$101,"FX HOLD")&gt;0,"FX HOLD - PROVISIONAL USD",IF(COUNTIFS('Monthly Project Activity'!$A$2:$A$101,A5,'Monthly Project Activity'!$D$2:$D$101,B5,'Monthly Project Activity'!$O$2:$O$101,"SOURCE REVIEW")&gt;0,"SOURCE REVIEW",IF(COUNTIFS('Monthly Project Activity'!$A$2:$A$101,A5,'Monthly Project Activity'!$D$2:$D$101,B5,'Monthly Project Activity'!$O$2:$O$101,"APPROVED")&gt;0,"FX APPROVED (METADATA)","NO FX EXCEPTION"))))</x:f>
        <x:v>FX APPROVED (METADATA)</x:v>
      </x:c>
    </x:row>
    <x:row r="6">
      <x:c r="O6" s="25" t="str">
        <x:f>IF(A6="","",IF(COUNTIFS('Monthly Project Activity'!$A$2:$A$101,A6,'Monthly Project Activity'!$D$2:$D$101,B6,'Monthly Project Activity'!$O$2:$O$101,"FX HOLD")&gt;0,"FX HOLD - PROVISIONAL USD",IF(COUNTIFS('Monthly Project Activity'!$A$2:$A$101,A6,'Monthly Project Activity'!$D$2:$D$101,B6,'Monthly Project Activity'!$O$2:$O$101,"SOURCE REVIEW")&gt;0,"SOURCE REVIEW",IF(COUNTIFS('Monthly Project Activity'!$A$2:$A$101,A6,'Monthly Project Activity'!$D$2:$D$101,B6,'Monthly Project Activity'!$O$2:$O$101,"APPROVED")&gt;0,"FX APPROVED (METADATA)","NO FX EXCEPTION"))))</x:f>
      </x:c>
    </x:row>
    <x:row r="7">
      <x:c r="O7" s="25" t="str">
        <x:f>IF(A7="","",IF(COUNTIFS('Monthly Project Activity'!$A$2:$A$101,A7,'Monthly Project Activity'!$D$2:$D$101,B7,'Monthly Project Activity'!$O$2:$O$101,"FX HOLD")&gt;0,"FX HOLD - PROVISIONAL USD",IF(COUNTIFS('Monthly Project Activity'!$A$2:$A$101,A7,'Monthly Project Activity'!$D$2:$D$101,B7,'Monthly Project Activity'!$O$2:$O$101,"SOURCE REVIEW")&gt;0,"SOURCE REVIEW",IF(COUNTIFS('Monthly Project Activity'!$A$2:$A$101,A7,'Monthly Project Activity'!$D$2:$D$101,B7,'Monthly Project Activity'!$O$2:$O$101,"APPROVED")&gt;0,"FX APPROVED (METADATA)","NO FX EXCEPTION"))))</x:f>
      </x:c>
    </x:row>
    <x:row r="8">
      <x:c r="O8" s="25" t="str">
        <x:f>IF(A8="","",IF(COUNTIFS('Monthly Project Activity'!$A$2:$A$101,A8,'Monthly Project Activity'!$D$2:$D$101,B8,'Monthly Project Activity'!$O$2:$O$101,"FX HOLD")&gt;0,"FX HOLD - PROVISIONAL USD",IF(COUNTIFS('Monthly Project Activity'!$A$2:$A$101,A8,'Monthly Project Activity'!$D$2:$D$101,B8,'Monthly Project Activity'!$O$2:$O$101,"SOURCE REVIEW")&gt;0,"SOURCE REVIEW",IF(COUNTIFS('Monthly Project Activity'!$A$2:$A$101,A8,'Monthly Project Activity'!$D$2:$D$101,B8,'Monthly Project Activity'!$O$2:$O$101,"APPROVED")&gt;0,"FX APPROVED (METADATA)","NO FX EXCEPTION"))))</x:f>
      </x:c>
    </x:row>
    <x:row r="9">
      <x:c r="O9" s="25" t="str">
        <x:f>IF(A9="","",IF(COUNTIFS('Monthly Project Activity'!$A$2:$A$101,A9,'Monthly Project Activity'!$D$2:$D$101,B9,'Monthly Project Activity'!$O$2:$O$101,"FX HOLD")&gt;0,"FX HOLD - PROVISIONAL USD",IF(COUNTIFS('Monthly Project Activity'!$A$2:$A$101,A9,'Monthly Project Activity'!$D$2:$D$101,B9,'Monthly Project Activity'!$O$2:$O$101,"SOURCE REVIEW")&gt;0,"SOURCE REVIEW",IF(COUNTIFS('Monthly Project Activity'!$A$2:$A$101,A9,'Monthly Project Activity'!$D$2:$D$101,B9,'Monthly Project Activity'!$O$2:$O$101,"APPROVED")&gt;0,"FX APPROVED (METADATA)","NO FX EXCEPTION"))))</x:f>
      </x:c>
    </x:row>
    <x:row r="10">
      <x:c r="O10" s="25" t="str">
        <x:f>IF(A10="","",IF(COUNTIFS('Monthly Project Activity'!$A$2:$A$101,A10,'Monthly Project Activity'!$D$2:$D$101,B10,'Monthly Project Activity'!$O$2:$O$101,"FX HOLD")&gt;0,"FX HOLD - PROVISIONAL USD",IF(COUNTIFS('Monthly Project Activity'!$A$2:$A$101,A10,'Monthly Project Activity'!$D$2:$D$101,B10,'Monthly Project Activity'!$O$2:$O$101,"SOURCE REVIEW")&gt;0,"SOURCE REVIEW",IF(COUNTIFS('Monthly Project Activity'!$A$2:$A$101,A10,'Monthly Project Activity'!$D$2:$D$101,B10,'Monthly Project Activity'!$O$2:$O$101,"APPROVED")&gt;0,"FX APPROVED (METADATA)","NO FX EXCEPTION"))))</x:f>
      </x:c>
    </x:row>
    <x:row r="11">
      <x:c r="O11" s="25" t="str">
        <x:f>IF(A11="","",IF(COUNTIFS('Monthly Project Activity'!$A$2:$A$101,A11,'Monthly Project Activity'!$D$2:$D$101,B11,'Monthly Project Activity'!$O$2:$O$101,"FX HOLD")&gt;0,"FX HOLD - PROVISIONAL USD",IF(COUNTIFS('Monthly Project Activity'!$A$2:$A$101,A11,'Monthly Project Activity'!$D$2:$D$101,B11,'Monthly Project Activity'!$O$2:$O$101,"SOURCE REVIEW")&gt;0,"SOURCE REVIEW",IF(COUNTIFS('Monthly Project Activity'!$A$2:$A$101,A11,'Monthly Project Activity'!$D$2:$D$101,B11,'Monthly Project Activity'!$O$2:$O$101,"APPROVED")&gt;0,"FX APPROVED (METADATA)","NO FX EXCEPTION"))))</x:f>
      </x:c>
    </x:row>
    <x:row r="12">
      <x:c r="O12" s="25" t="str">
        <x:f>IF(A12="","",IF(COUNTIFS('Monthly Project Activity'!$A$2:$A$101,A12,'Monthly Project Activity'!$D$2:$D$101,B12,'Monthly Project Activity'!$O$2:$O$101,"FX HOLD")&gt;0,"FX HOLD - PROVISIONAL USD",IF(COUNTIFS('Monthly Project Activity'!$A$2:$A$101,A12,'Monthly Project Activity'!$D$2:$D$101,B12,'Monthly Project Activity'!$O$2:$O$101,"SOURCE REVIEW")&gt;0,"SOURCE REVIEW",IF(COUNTIFS('Monthly Project Activity'!$A$2:$A$101,A12,'Monthly Project Activity'!$D$2:$D$101,B12,'Monthly Project Activity'!$O$2:$O$101,"APPROVED")&gt;0,"FX APPROVED (METADATA)","NO FX EXCEPTION"))))</x:f>
      </x:c>
    </x:row>
    <x:row r="13">
      <x:c r="O13" s="25" t="str">
        <x:f>IF(A13="","",IF(COUNTIFS('Monthly Project Activity'!$A$2:$A$101,A13,'Monthly Project Activity'!$D$2:$D$101,B13,'Monthly Project Activity'!$O$2:$O$101,"FX HOLD")&gt;0,"FX HOLD - PROVISIONAL USD",IF(COUNTIFS('Monthly Project Activity'!$A$2:$A$101,A13,'Monthly Project Activity'!$D$2:$D$101,B13,'Monthly Project Activity'!$O$2:$O$101,"SOURCE REVIEW")&gt;0,"SOURCE REVIEW",IF(COUNTIFS('Monthly Project Activity'!$A$2:$A$101,A13,'Monthly Project Activity'!$D$2:$D$101,B13,'Monthly Project Activity'!$O$2:$O$101,"APPROVED")&gt;0,"FX APPROVED (METADATA)","NO FX EXCEPTION"))))</x:f>
      </x:c>
    </x:row>
    <x:row r="14">
      <x:c r="O14" s="25" t="str">
        <x:f>IF(A14="","",IF(COUNTIFS('Monthly Project Activity'!$A$2:$A$101,A14,'Monthly Project Activity'!$D$2:$D$101,B14,'Monthly Project Activity'!$O$2:$O$101,"FX HOLD")&gt;0,"FX HOLD - PROVISIONAL USD",IF(COUNTIFS('Monthly Project Activity'!$A$2:$A$101,A14,'Monthly Project Activity'!$D$2:$D$101,B14,'Monthly Project Activity'!$O$2:$O$101,"SOURCE REVIEW")&gt;0,"SOURCE REVIEW",IF(COUNTIFS('Monthly Project Activity'!$A$2:$A$101,A14,'Monthly Project Activity'!$D$2:$D$101,B14,'Monthly Project Activity'!$O$2:$O$101,"APPROVED")&gt;0,"FX APPROVED (METADATA)","NO FX EXCEPTION"))))</x:f>
      </x:c>
    </x:row>
    <x:row r="15">
      <x:c r="O15" s="25" t="str">
        <x:f>IF(A15="","",IF(COUNTIFS('Monthly Project Activity'!$A$2:$A$101,A15,'Monthly Project Activity'!$D$2:$D$101,B15,'Monthly Project Activity'!$O$2:$O$101,"FX HOLD")&gt;0,"FX HOLD - PROVISIONAL USD",IF(COUNTIFS('Monthly Project Activity'!$A$2:$A$101,A15,'Monthly Project Activity'!$D$2:$D$101,B15,'Monthly Project Activity'!$O$2:$O$101,"SOURCE REVIEW")&gt;0,"SOURCE REVIEW",IF(COUNTIFS('Monthly Project Activity'!$A$2:$A$101,A15,'Monthly Project Activity'!$D$2:$D$101,B15,'Monthly Project Activity'!$O$2:$O$101,"APPROVED")&gt;0,"FX APPROVED (METADATA)","NO FX EXCEPTION"))))</x:f>
      </x:c>
    </x:row>
    <x:row r="16">
      <x:c r="O16" s="25" t="str">
        <x:f>IF(A16="","",IF(COUNTIFS('Monthly Project Activity'!$A$2:$A$101,A16,'Monthly Project Activity'!$D$2:$D$101,B16,'Monthly Project Activity'!$O$2:$O$101,"FX HOLD")&gt;0,"FX HOLD - PROVISIONAL USD",IF(COUNTIFS('Monthly Project Activity'!$A$2:$A$101,A16,'Monthly Project Activity'!$D$2:$D$101,B16,'Monthly Project Activity'!$O$2:$O$101,"SOURCE REVIEW")&gt;0,"SOURCE REVIEW",IF(COUNTIFS('Monthly Project Activity'!$A$2:$A$101,A16,'Monthly Project Activity'!$D$2:$D$101,B16,'Monthly Project Activity'!$O$2:$O$101,"APPROVED")&gt;0,"FX APPROVED (METADATA)","NO FX EXCEPTION"))))</x:f>
      </x:c>
    </x:row>
    <x:row r="17">
      <x:c r="O17" s="25" t="str">
        <x:f>IF(A17="","",IF(COUNTIFS('Monthly Project Activity'!$A$2:$A$101,A17,'Monthly Project Activity'!$D$2:$D$101,B17,'Monthly Project Activity'!$O$2:$O$101,"FX HOLD")&gt;0,"FX HOLD - PROVISIONAL USD",IF(COUNTIFS('Monthly Project Activity'!$A$2:$A$101,A17,'Monthly Project Activity'!$D$2:$D$101,B17,'Monthly Project Activity'!$O$2:$O$101,"SOURCE REVIEW")&gt;0,"SOURCE REVIEW",IF(COUNTIFS('Monthly Project Activity'!$A$2:$A$101,A17,'Monthly Project Activity'!$D$2:$D$101,B17,'Monthly Project Activity'!$O$2:$O$101,"APPROVED")&gt;0,"FX APPROVED (METADATA)","NO FX EXCEPTION"))))</x:f>
      </x:c>
    </x:row>
    <x:row r="18">
      <x:c r="O18" s="25" t="str">
        <x:f>IF(A18="","",IF(COUNTIFS('Monthly Project Activity'!$A$2:$A$101,A18,'Monthly Project Activity'!$D$2:$D$101,B18,'Monthly Project Activity'!$O$2:$O$101,"FX HOLD")&gt;0,"FX HOLD - PROVISIONAL USD",IF(COUNTIFS('Monthly Project Activity'!$A$2:$A$101,A18,'Monthly Project Activity'!$D$2:$D$101,B18,'Monthly Project Activity'!$O$2:$O$101,"SOURCE REVIEW")&gt;0,"SOURCE REVIEW",IF(COUNTIFS('Monthly Project Activity'!$A$2:$A$101,A18,'Monthly Project Activity'!$D$2:$D$101,B18,'Monthly Project Activity'!$O$2:$O$101,"APPROVED")&gt;0,"FX APPROVED (METADATA)","NO FX EXCEPTION"))))</x:f>
      </x:c>
    </x:row>
    <x:row r="19">
      <x:c r="O19" s="25" t="str">
        <x:f>IF(A19="","",IF(COUNTIFS('Monthly Project Activity'!$A$2:$A$101,A19,'Monthly Project Activity'!$D$2:$D$101,B19,'Monthly Project Activity'!$O$2:$O$101,"FX HOLD")&gt;0,"FX HOLD - PROVISIONAL USD",IF(COUNTIFS('Monthly Project Activity'!$A$2:$A$101,A19,'Monthly Project Activity'!$D$2:$D$101,B19,'Monthly Project Activity'!$O$2:$O$101,"SOURCE REVIEW")&gt;0,"SOURCE REVIEW",IF(COUNTIFS('Monthly Project Activity'!$A$2:$A$101,A19,'Monthly Project Activity'!$D$2:$D$101,B19,'Monthly Project Activity'!$O$2:$O$101,"APPROVED")&gt;0,"FX APPROVED (METADATA)","NO FX EXCEPTION"))))</x:f>
      </x:c>
    </x:row>
    <x:row r="20">
      <x:c r="O20" s="25" t="str">
        <x:f>IF(A20="","",IF(COUNTIFS('Monthly Project Activity'!$A$2:$A$101,A20,'Monthly Project Activity'!$D$2:$D$101,B20,'Monthly Project Activity'!$O$2:$O$101,"FX HOLD")&gt;0,"FX HOLD - PROVISIONAL USD",IF(COUNTIFS('Monthly Project Activity'!$A$2:$A$101,A20,'Monthly Project Activity'!$D$2:$D$101,B20,'Monthly Project Activity'!$O$2:$O$101,"SOURCE REVIEW")&gt;0,"SOURCE REVIEW",IF(COUNTIFS('Monthly Project Activity'!$A$2:$A$101,A20,'Monthly Project Activity'!$D$2:$D$101,B20,'Monthly Project Activity'!$O$2:$O$101,"APPROVED")&gt;0,"FX APPROVED (METADATA)","NO FX EXCEPTION"))))</x:f>
      </x:c>
    </x:row>
    <x:row r="21">
      <x:c r="O21" s="25" t="str">
        <x:f>IF(A21="","",IF(COUNTIFS('Monthly Project Activity'!$A$2:$A$101,A21,'Monthly Project Activity'!$D$2:$D$101,B21,'Monthly Project Activity'!$O$2:$O$101,"FX HOLD")&gt;0,"FX HOLD - PROVISIONAL USD",IF(COUNTIFS('Monthly Project Activity'!$A$2:$A$101,A21,'Monthly Project Activity'!$D$2:$D$101,B21,'Monthly Project Activity'!$O$2:$O$101,"SOURCE REVIEW")&gt;0,"SOURCE REVIEW",IF(COUNTIFS('Monthly Project Activity'!$A$2:$A$101,A21,'Monthly Project Activity'!$D$2:$D$101,B21,'Monthly Project Activity'!$O$2:$O$101,"APPROVED")&gt;0,"FX APPROVED (METADATA)","NO FX EXCEPTION"))))</x:f>
      </x:c>
    </x:row>
    <x:row r="22">
      <x:c r="O22" s="25" t="str">
        <x:f>IF(A22="","",IF(COUNTIFS('Monthly Project Activity'!$A$2:$A$101,A22,'Monthly Project Activity'!$D$2:$D$101,B22,'Monthly Project Activity'!$O$2:$O$101,"FX HOLD")&gt;0,"FX HOLD - PROVISIONAL USD",IF(COUNTIFS('Monthly Project Activity'!$A$2:$A$101,A22,'Monthly Project Activity'!$D$2:$D$101,B22,'Monthly Project Activity'!$O$2:$O$101,"SOURCE REVIEW")&gt;0,"SOURCE REVIEW",IF(COUNTIFS('Monthly Project Activity'!$A$2:$A$101,A22,'Monthly Project Activity'!$D$2:$D$101,B22,'Monthly Project Activity'!$O$2:$O$101,"APPROVED")&gt;0,"FX APPROVED (METADATA)","NO FX EXCEPTION"))))</x:f>
      </x:c>
    </x:row>
    <x:row r="23">
      <x:c r="O23" s="25" t="str">
        <x:f>IF(A23="","",IF(COUNTIFS('Monthly Project Activity'!$A$2:$A$101,A23,'Monthly Project Activity'!$D$2:$D$101,B23,'Monthly Project Activity'!$O$2:$O$101,"FX HOLD")&gt;0,"FX HOLD - PROVISIONAL USD",IF(COUNTIFS('Monthly Project Activity'!$A$2:$A$101,A23,'Monthly Project Activity'!$D$2:$D$101,B23,'Monthly Project Activity'!$O$2:$O$101,"SOURCE REVIEW")&gt;0,"SOURCE REVIEW",IF(COUNTIFS('Monthly Project Activity'!$A$2:$A$101,A23,'Monthly Project Activity'!$D$2:$D$101,B23,'Monthly Project Activity'!$O$2:$O$101,"APPROVED")&gt;0,"FX APPROVED (METADATA)","NO FX EXCEPTION"))))</x:f>
      </x:c>
    </x:row>
    <x:row r="24">
      <x:c r="O24" s="25" t="str">
        <x:f>IF(A24="","",IF(COUNTIFS('Monthly Project Activity'!$A$2:$A$101,A24,'Monthly Project Activity'!$D$2:$D$101,B24,'Monthly Project Activity'!$O$2:$O$101,"FX HOLD")&gt;0,"FX HOLD - PROVISIONAL USD",IF(COUNTIFS('Monthly Project Activity'!$A$2:$A$101,A24,'Monthly Project Activity'!$D$2:$D$101,B24,'Monthly Project Activity'!$O$2:$O$101,"SOURCE REVIEW")&gt;0,"SOURCE REVIEW",IF(COUNTIFS('Monthly Project Activity'!$A$2:$A$101,A24,'Monthly Project Activity'!$D$2:$D$101,B24,'Monthly Project Activity'!$O$2:$O$101,"APPROVED")&gt;0,"FX APPROVED (METADATA)","NO FX EXCEPTION"))))</x:f>
      </x:c>
    </x:row>
    <x:row r="25">
      <x:c r="O25" s="25" t="str">
        <x:f>IF(A25="","",IF(COUNTIFS('Monthly Project Activity'!$A$2:$A$101,A25,'Monthly Project Activity'!$D$2:$D$101,B25,'Monthly Project Activity'!$O$2:$O$101,"FX HOLD")&gt;0,"FX HOLD - PROVISIONAL USD",IF(COUNTIFS('Monthly Project Activity'!$A$2:$A$101,A25,'Monthly Project Activity'!$D$2:$D$101,B25,'Monthly Project Activity'!$O$2:$O$101,"SOURCE REVIEW")&gt;0,"SOURCE REVIEW",IF(COUNTIFS('Monthly Project Activity'!$A$2:$A$101,A25,'Monthly Project Activity'!$D$2:$D$101,B25,'Monthly Project Activity'!$O$2:$O$101,"APPROVED")&gt;0,"FX APPROVED (METADATA)","NO FX EXCEPTION"))))</x:f>
      </x:c>
    </x:row>
    <x:row r="26">
      <x:c r="O26" s="25" t="str">
        <x:f>IF(A26="","",IF(COUNTIFS('Monthly Project Activity'!$A$2:$A$101,A26,'Monthly Project Activity'!$D$2:$D$101,B26,'Monthly Project Activity'!$O$2:$O$101,"FX HOLD")&gt;0,"FX HOLD - PROVISIONAL USD",IF(COUNTIFS('Monthly Project Activity'!$A$2:$A$101,A26,'Monthly Project Activity'!$D$2:$D$101,B26,'Monthly Project Activity'!$O$2:$O$101,"SOURCE REVIEW")&gt;0,"SOURCE REVIEW",IF(COUNTIFS('Monthly Project Activity'!$A$2:$A$101,A26,'Monthly Project Activity'!$D$2:$D$101,B26,'Monthly Project Activity'!$O$2:$O$101,"APPROVED")&gt;0,"FX APPROVED (METADATA)","NO FX EXCEPTION"))))</x:f>
      </x:c>
    </x:row>
    <x:row r="27">
      <x:c r="O27" s="25" t="str">
        <x:f>IF(A27="","",IF(COUNTIFS('Monthly Project Activity'!$A$2:$A$101,A27,'Monthly Project Activity'!$D$2:$D$101,B27,'Monthly Project Activity'!$O$2:$O$101,"FX HOLD")&gt;0,"FX HOLD - PROVISIONAL USD",IF(COUNTIFS('Monthly Project Activity'!$A$2:$A$101,A27,'Monthly Project Activity'!$D$2:$D$101,B27,'Monthly Project Activity'!$O$2:$O$101,"SOURCE REVIEW")&gt;0,"SOURCE REVIEW",IF(COUNTIFS('Monthly Project Activity'!$A$2:$A$101,A27,'Monthly Project Activity'!$D$2:$D$101,B27,'Monthly Project Activity'!$O$2:$O$101,"APPROVED")&gt;0,"FX APPROVED (METADATA)","NO FX EXCEPTION"))))</x:f>
      </x:c>
    </x:row>
    <x:row r="28">
      <x:c r="O28" s="25" t="str">
        <x:f>IF(A28="","",IF(COUNTIFS('Monthly Project Activity'!$A$2:$A$101,A28,'Monthly Project Activity'!$D$2:$D$101,B28,'Monthly Project Activity'!$O$2:$O$101,"FX HOLD")&gt;0,"FX HOLD - PROVISIONAL USD",IF(COUNTIFS('Monthly Project Activity'!$A$2:$A$101,A28,'Monthly Project Activity'!$D$2:$D$101,B28,'Monthly Project Activity'!$O$2:$O$101,"SOURCE REVIEW")&gt;0,"SOURCE REVIEW",IF(COUNTIFS('Monthly Project Activity'!$A$2:$A$101,A28,'Monthly Project Activity'!$D$2:$D$101,B28,'Monthly Project Activity'!$O$2:$O$101,"APPROVED")&gt;0,"FX APPROVED (METADATA)","NO FX EXCEPTION"))))</x:f>
      </x:c>
    </x:row>
    <x:row r="29">
      <x:c r="O29" s="25" t="str">
        <x:f>IF(A29="","",IF(COUNTIFS('Monthly Project Activity'!$A$2:$A$101,A29,'Monthly Project Activity'!$D$2:$D$101,B29,'Monthly Project Activity'!$O$2:$O$101,"FX HOLD")&gt;0,"FX HOLD - PROVISIONAL USD",IF(COUNTIFS('Monthly Project Activity'!$A$2:$A$101,A29,'Monthly Project Activity'!$D$2:$D$101,B29,'Monthly Project Activity'!$O$2:$O$101,"SOURCE REVIEW")&gt;0,"SOURCE REVIEW",IF(COUNTIFS('Monthly Project Activity'!$A$2:$A$101,A29,'Monthly Project Activity'!$D$2:$D$101,B29,'Monthly Project Activity'!$O$2:$O$101,"APPROVED")&gt;0,"FX APPROVED (METADATA)","NO FX EXCEPTION"))))</x:f>
      </x:c>
    </x:row>
    <x:row r="30">
      <x:c r="O30" s="25" t="str">
        <x:f>IF(A30="","",IF(COUNTIFS('Monthly Project Activity'!$A$2:$A$101,A30,'Monthly Project Activity'!$D$2:$D$101,B30,'Monthly Project Activity'!$O$2:$O$101,"FX HOLD")&gt;0,"FX HOLD - PROVISIONAL USD",IF(COUNTIFS('Monthly Project Activity'!$A$2:$A$101,A30,'Monthly Project Activity'!$D$2:$D$101,B30,'Monthly Project Activity'!$O$2:$O$101,"SOURCE REVIEW")&gt;0,"SOURCE REVIEW",IF(COUNTIFS('Monthly Project Activity'!$A$2:$A$101,A30,'Monthly Project Activity'!$D$2:$D$101,B30,'Monthly Project Activity'!$O$2:$O$101,"APPROVED")&gt;0,"FX APPROVED (METADATA)","NO FX EXCEPTION"))))</x:f>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78" hidden="0" customWidth="1"/>
    <x:col min="3" max="3" width="83" hidden="0" customWidth="1"/>
  </x:cols>
  <x:sheetData>
    <x:row r="1" ht="15" hidden="0" customHeight="1">
      <x:c r="A1" s="4" t="str">
        <x:v>Area</x:v>
      </x:c>
      <x:c r="B1" s="4" t="str">
        <x:v>Definition</x:v>
      </x:c>
      <x:c r="C1" s="4" t="str">
        <x:v>Control / caveat</x:v>
      </x:c>
    </x:row>
    <x:row r="2" ht="15" hidden="0" customHeight="1">
      <x:c r="A2" s="25" t="str">
        <x:v>Management Report</x:v>
      </x:c>
      <x:c r="B2" s="25" t="str">
        <x:v>Selected-month operational/commercial performance from ERP data.</x:v>
      </x:c>
      <x:c r="C2" s="25" t="str">
        <x:v>All figures simulated; USD normalization assumed</x:v>
      </x:c>
    </x:row>
    <x:row r="3" ht="15" hidden="0" customHeight="1">
      <x:c r="A3" s="25" t="str">
        <x:v>Monthly Trend</x:v>
      </x:c>
      <x:c r="B3" s="25" t="str">
        <x:v>Calendar-year monthly history; invoice period derives from Invoice date.</x:v>
      </x:c>
      <x:c r="C3" s="25" t="str">
        <x:v>Do not infer invoice dates from manually assigned legacy months.</x:v>
      </x:c>
    </x:row>
    <x:row r="4" ht="15" hidden="0" customHeight="1">
      <x:c r="A4" s="25" t="str">
        <x:v>BU Entity Matrix</x:v>
      </x:c>
      <x:c r="B4" s="25" t="str">
        <x:v>Business unit/entity grouping of authorized sale and dated invoices.</x:v>
      </x:c>
      <x:c r="C4" s="25" t="str">
        <x:v>MX + US equals each business-unit total</x:v>
      </x:c>
    </x:row>
    <x:row r="5" ht="15" hidden="0" customHeight="1">
      <x:c r="A5" s="25" t="str">
        <x:v>Monthly Project Activity</x:v>
      </x:c>
      <x:c r="B5" s="25" t="str">
        <x:v>One row per ERP Project ID per month</x:v>
      </x:c>
      <x:c r="C5" s="25" t="str">
        <x:v>Do not duplicate records or count project IDs twice</x:v>
      </x:c>
    </x:row>
    <x:row r="6" ht="15" hidden="0" customHeight="1">
      <x:c r="A6" s="25" t="str">
        <x:v>Customer PO intake</x:v>
      </x:c>
      <x:c r="B6" s="25" t="str">
        <x:v>New authorized customer PO amounts + approved net revisions in month</x:v>
      </x:c>
      <x:c r="C6" s="25" t="str">
        <x:v>Consolidated customer PO must not duplicate order intake across quotes</x:v>
      </x:c>
    </x:row>
    <x:row r="7" ht="15" hidden="0" customHeight="1">
      <x:c r="A7" s="25" t="str">
        <x:v>Invoiced amount</x:v>
      </x:c>
      <x:c r="B7" s="25" t="str">
        <x:v>Issued invoices assigned to selling entity</x:v>
      </x:c>
      <x:c r="C7" s="25" t="str">
        <x:v>Not equivalent to recognized accounting revenue</x:v>
      </x:c>
    </x:row>
    <x:row r="8" ht="15" hidden="0" customHeight="1">
      <x:c r="A8" s="25" t="str">
        <x:v>Supplier PO authorized value</x:v>
      </x:c>
      <x:c r="B8" s="25" t="str">
        <x:v>Current authorized supplier PO totals issued in ERP; net approved amendments/cancellations.</x:v>
      </x:c>
      <x:c r="C8" s="25" t="str">
        <x:v>Includes completed PO values. No receipt, liability or payment inference.</x:v>
      </x:c>
    </x:row>
    <x:row r="9" ht="15" hidden="0" customHeight="1">
      <x:c r="A9" s="25" t="str">
        <x:v>Payments removed</x:v>
      </x:c>
      <x:c r="B9" s="25" t="str">
        <x:v>Legacy paid/open investment inputs retained only as archived data.</x:v>
      </x:c>
      <x:c r="C9" s="25" t="str">
        <x:v>Excluded from current operational reports.</x:v>
      </x:c>
    </x:row>
    <x:row r="10" ht="15" hidden="0" customHeight="1">
      <x:c r="A10" s="25" t="str">
        <x:v>ERP recognized cost</x:v>
      </x:c>
      <x:c r="B10" s="25" t="str">
        <x:v>Costs ERP has recognized in reporting period</x:v>
      </x:c>
      <x:c r="C10" s="25" t="str">
        <x:v>ERP-sourced information kept separate from authorized PO totals.</x:v>
      </x:c>
    </x:row>
    <x:row r="11" ht="15" hidden="0" customHeight="1">
      <x:c r="A11" s="25" t="str">
        <x:v>Intercompany</x:v>
      </x:c>
      <x:c r="B11" s="25" t="str">
        <x:v>For MX sales, US supplier entity invoices MX; MX project uses MX-side ERP purchase/cost</x:v>
      </x:c>
      <x:c r="C11" s="25" t="str">
        <x:v>Do not double count US original third-party acquisition</x:v>
      </x:c>
    </x:row>
    <x:row r="12" ht="15" hidden="0" customHeight="1">
      <x:c r="A12" s="25" t="str">
        <x:v>Brand control</x:v>
      </x:c>
      <x:c r="B12" s="25" t="str">
        <x:v>One brand per quotation; map brand to awarded ERP project</x:v>
      </x:c>
      <x:c r="C12" s="25" t="str">
        <x:v>Customer can issue consolidated PO: use cross-reference without duplication</x:v>
      </x:c>
    </x:row>
    <x:row r="13" ht="26.399999618530273" hidden="0" customHeight="1">
      <x:c r="A13" s="25" t="str">
        <x:v>Budget control</x:v>
      </x:c>
      <x:c r="B13" s="25" t="str">
        <x:v>Total authorized operating budget versus supplier PO authorized value.</x:v>
      </x:c>
      <x:c r="C13" s="25" t="str">
        <x:v>Same eligible cost perimeter required. The PO-only residual must not be represented as complete available budget where other project costs are outside that coverage.</x:v>
      </x:c>
    </x:row>
    <x:row r="14" ht="15" hidden="0" customHeight="1">
      <x:c r="A14" s="25" t="str">
        <x:v>FX conversion</x:v>
      </x:c>
      <x:c r="B14" s="25" t="str">
        <x:v>ERP/Finance-approved FX mapping to USD</x:v>
      </x:c>
      <x:c r="C14" s="25" t="str">
        <x:v>Not yet specified; simulated USD values only</x:v>
      </x:c>
    </x:row>
    <x:row r="15" ht="15" hidden="0" customHeight="1">
      <x:c r="A15" s="25" t="str">
        <x:v>Close approval</x:v>
      </x:c>
      <x:c r="B15" s="25" t="str">
        <x:v>Internal management review, not accounting signoff</x:v>
      </x:c>
      <x:c r="C15" s="25" t="str">
        <x:v>No actual ERP validation or close-lock workflow implemented</x:v>
      </x:c>
    </x:row>
    <x:row r="16" ht="15" hidden="0" customHeight="1">
      <x:c r="A16" s="25" t="str">
        <x:v>Scope</x:v>
      </x:c>
      <x:c r="B16" s="25" t="str">
        <x:v>Only Strategic Services and Brands managed by portfolio owner</x:v>
      </x:c>
      <x:c r="C16" s="25" t="str">
        <x:v>Automation and Machining excluded from attributable results</x:v>
      </x:c>
    </x:row>
    <x:row r="17" ht="15" hidden="0" customHeight="1">
      <x:c r="A17" s="25"/>
      <x:c r="B17" s="25"/>
      <x:c r="C17" s="25"/>
    </x:row>
    <x:row r="18" ht="15" hidden="0" customHeight="1">
      <x:c r="A18" s="25"/>
      <x:c r="B18" s="25"/>
      <x:c r="C18" s="25"/>
    </x:row>
    <x:row r="19" ht="15" hidden="0" customHeight="1">
      <x:c r="A19" s="25"/>
      <x:c r="B19" s="25"/>
      <x:c r="C19" s="25"/>
    </x:row>
    <x:row r="20" ht="15" hidden="0" customHeight="1">
      <x:c r="A20" s="25"/>
      <x:c r="B20" s="25"/>
      <x:c r="C20" s="25"/>
    </x:row>
    <x:row r="21" ht="15" hidden="0" customHeight="1">
      <x:c r="A21" s="25"/>
      <x:c r="B21" s="25"/>
      <x:c r="C21" s="25"/>
    </x:row>
    <x:row r="22" ht="15" hidden="0" customHeight="1">
      <x:c r="A22" s="25"/>
      <x:c r="B22" s="25"/>
      <x:c r="C22" s="25"/>
    </x:row>
    <x:row r="23" ht="15" hidden="0" customHeight="1">
      <x:c r="A23" s="25"/>
      <x:c r="B23" s="25"/>
      <x:c r="C23" s="25"/>
    </x:row>
    <x:row r="24" ht="26.399999618530273" hidden="0" customHeight="1">
      <x:c r="A24" s="25" t="str">
        <x:v>Scope boundary</x:v>
      </x:c>
      <x:c r="B24" s="25" t="str">
        <x:v>Pre-award quotation, markup, negotiated pricing and quotation margins belong to Sales; exclude from BUD KPI model.</x:v>
      </x:c>
      <x:c r="C24" s="25"/>
    </x:row>
    <x:row r="25" ht="15" hidden="0" customHeight="1">
      <x:c r="A25" s="25" t="str">
        <x:v>Authorized commercial value</x:v>
      </x:c>
      <x:c r="B25" s="25" t="str">
        <x:v>Customer PO plus approved revisions; track separately from invoicing.</x:v>
      </x:c>
      <x:c r="C25" s="25"/>
    </x:row>
    <x:row r="26" ht="15" hidden="0" customHeight="1">
      <x:c r="A26" s="25" t="str">
        <x:v>Operational scope</x:v>
      </x:c>
      <x:c r="B26" s="25" t="str">
        <x:v>No summation of recognized costs and PO totals; no paid/open investment reporting.</x:v>
      </x:c>
      <x:c r="C26" s="25"/>
    </x:row>
    <x:row r="27" ht="52.79999923706055" hidden="0" customHeight="1">
      <x:c r="A27" s="25" t="str">
        <x:v>Conditional scope acceptance</x:v>
      </x:c>
      <x:c r="B27"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c r="C27" s="25" t="str">
        <x:v>No expansion to receipts, accounts payable, cash flow, engineering-hours services, real ERP reconciliation or completed profitability analysis.</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7" hidden="0" customWidth="1"/>
    <x:col min="3" max="3" width="25" hidden="0" customWidth="1"/>
    <x:col min="4" max="4" width="21" hidden="0" customWidth="1"/>
    <x:col min="5" max="5" width="25" hidden="0" customWidth="1"/>
    <x:col min="6" max="6" width="27" hidden="0" customWidth="1"/>
    <x:col min="7" max="7" width="24" hidden="0" customWidth="1"/>
    <x:col min="8" max="8" width="33" hidden="0" customWidth="1"/>
    <x:col min="9" max="9" width="14" hidden="0" customWidth="1"/>
    <x:col min="10" max="10" width="56" hidden="0" customWidth="1"/>
  </x:cols>
  <x:sheetData>
    <x:row r="1" ht="32" customHeight="1">
      <x:c r="A1" s="24" t="str">
        <x:v>Project ID</x:v>
      </x:c>
      <x:c r="B1" s="24" t="str">
        <x:v>Baseline PO amount original currency</x:v>
      </x:c>
      <x:c r="C1" s="24" t="str">
        <x:v>Proposed amendment delta</x:v>
      </x:c>
      <x:c r="D1" s="24" t="str">
        <x:v>Approval status</x:v>
      </x:c>
      <x:c r="E1" s="24" t="str">
        <x:v>Approval reference</x:v>
      </x:c>
      <x:c r="F1" s="24" t="str">
        <x:v>Authorized total original currency</x:v>
      </x:c>
      <x:c r="G1" s="24" t="str">
        <x:v>Source snapshot PO</x:v>
      </x:c>
      <x:c r="H1" s="24" t="str">
        <x:v>Change control</x:v>
      </x:c>
      <x:c r="I1" s="24" t="str">
        <x:v>Currency</x:v>
      </x:c>
      <x:c r="J1" s="24" t="str">
        <x:v>Notes</x:v>
      </x:c>
    </x:row>
    <x:row r="2" ht="38" customHeight="1">
      <x:c r="A2" s="25" t="str">
        <x:v>100245</x:v>
      </x:c>
      <x:c r="B2" s="25" t="n">
        <x:v>50000</x:v>
      </x:c>
      <x:c r="C2" s="25" t="n">
        <x:v>0</x:v>
      </x:c>
      <x:c r="D2" s="25" t="str">
        <x:v>BASELINE</x:v>
      </x:c>
      <x:c r="E2" s="25" t="str"/>
      <x:c r="F2" s="25" t="n">
        <x:f>IF(AND(D2="APPROVED",E2&lt;&gt;"",ISNUMBER(C2)),B2+C2,B2)</x:f>
        <x:v>50000</x:v>
      </x:c>
      <x:c r="G2" s="25" t="n">
        <x:f>'ERP Snapshot'!E2</x:f>
        <x:v>50000</x:v>
      </x:c>
      <x:c r="H2" s="25" t="str">
        <x:f>IF(G2&lt;&gt;B2,"REVIEW: SNAPSHOT DIFFERS",IF(AND(C2&lt;&gt;0,OR(D2&lt;&gt;"APPROVED",E2="")),"PENDING APPROVAL","BASELINE / CONTROLLED"))</x:f>
        <x:v>BASELINE / CONTROLLED</x:v>
      </x:c>
      <x:c r="I2" s="25" t="str">
        <x:f>'ERP Snapshot'!D2</x:f>
        <x:v>USD</x:v>
      </x:c>
      <x:c r="J2" s="25" t="str">
        <x:v>SIMULATED; approval reference entered by user, not independently authenticated</x:v>
      </x:c>
    </x:row>
    <x:row r="3" ht="38" customHeight="1">
      <x:c r="A3" s="25" t="str">
        <x:v>100246</x:v>
      </x:c>
      <x:c r="B3" s="25" t="n">
        <x:v>820000</x:v>
      </x:c>
      <x:c r="C3" s="25" t="n">
        <x:v>0</x:v>
      </x:c>
      <x:c r="D3" s="25" t="str">
        <x:v>BASELINE</x:v>
      </x:c>
      <x:c r="E3" s="25" t="str"/>
      <x:c r="F3" s="25" t="n">
        <x:f>IF(AND(D3="APPROVED",E3&lt;&gt;"",ISNUMBER(C3)),B3+C3,B3)</x:f>
        <x:v>820000</x:v>
      </x:c>
      <x:c r="G3" s="25" t="n">
        <x:f>'ERP Snapshot'!E3</x:f>
        <x:v>820000</x:v>
      </x:c>
      <x:c r="H3" s="25" t="str">
        <x:f>IF(G3&lt;&gt;B3,"REVIEW: SNAPSHOT DIFFERS",IF(AND(C3&lt;&gt;0,OR(D3&lt;&gt;"APPROVED",E3="")),"PENDING APPROVAL","BASELINE / CONTROLLED"))</x:f>
        <x:v>BASELINE / CONTROLLED</x:v>
      </x:c>
      <x:c r="I3" s="25" t="str">
        <x:f>'ERP Snapshot'!D3</x:f>
        <x:v>MXN</x:v>
      </x:c>
      <x:c r="J3" s="25" t="str">
        <x:v>SIMULATED; approval reference entered by user, not independently authenticated</x:v>
      </x:c>
    </x:row>
    <x:row r="4" ht="38" customHeight="1">
      <x:c r="A4" s="25" t="str">
        <x:v>100247</x:v>
      </x:c>
      <x:c r="B4" s="25" t="n">
        <x:v>34000</x:v>
      </x:c>
      <x:c r="C4" s="25" t="n">
        <x:v>0</x:v>
      </x:c>
      <x:c r="D4" s="25" t="str">
        <x:v>BASELINE</x:v>
      </x:c>
      <x:c r="E4" s="25" t="str"/>
      <x:c r="F4" s="25" t="n">
        <x:f>IF(AND(D4="APPROVED",E4&lt;&gt;"",ISNUMBER(C4)),B4+C4,B4)</x:f>
        <x:v>34000</x:v>
      </x:c>
      <x:c r="G4" s="25" t="n">
        <x:f>'ERP Snapshot'!E4</x:f>
        <x:v>34000</x:v>
      </x:c>
      <x:c r="H4" s="25" t="str">
        <x:f>IF(G4&lt;&gt;B4,"REVIEW: SNAPSHOT DIFFERS",IF(AND(C4&lt;&gt;0,OR(D4&lt;&gt;"APPROVED",E4="")),"PENDING APPROVAL","BASELINE / CONTROLLED"))</x:f>
        <x:v>BASELINE / CONTROLLED</x:v>
      </x:c>
      <x:c r="I4" s="25" t="str">
        <x:f>'ERP Snapshot'!D4</x:f>
        <x:v>USD</x:v>
      </x:c>
      <x:c r="J4" s="25" t="str">
        <x:v>SIMULATED; approval reference entered by user, not independently authenticated</x:v>
      </x:c>
    </x:row>
    <x:row r="5" ht="38" customHeight="1">
      <x:c r="A5" s="25" t="str">
        <x:v>100248</x:v>
      </x:c>
      <x:c r="B5" s="25" t="n">
        <x:v>24000</x:v>
      </x:c>
      <x:c r="C5" s="25" t="n">
        <x:v>0</x:v>
      </x:c>
      <x:c r="D5" s="25" t="str">
        <x:v>BASELINE</x:v>
      </x:c>
      <x:c r="E5" s="25" t="str"/>
      <x:c r="F5" s="25" t="n">
        <x:f>IF(AND(D5="APPROVED",E5&lt;&gt;"",ISNUMBER(C5)),B5+C5,B5)</x:f>
        <x:v>24000</x:v>
      </x:c>
      <x:c r="G5" s="25" t="n">
        <x:f>'ERP Snapshot'!E5</x:f>
        <x:v>24000</x:v>
      </x:c>
      <x:c r="H5" s="25" t="str">
        <x:f>IF(G5&lt;&gt;B5,"REVIEW: SNAPSHOT DIFFERS",IF(AND(C5&lt;&gt;0,OR(D5&lt;&gt;"APPROVED",E5="")),"PENDING APPROVAL","BASELINE / CONTROLLED"))</x:f>
        <x:v>BASELINE / CONTROLLED</x:v>
      </x:c>
      <x:c r="I5" s="25" t="str">
        <x:f>'ERP Snapshot'!D5</x:f>
        <x:v>USD</x:v>
      </x:c>
      <x:c r="J5" s="25" t="str">
        <x:v>SIMULATED; approval reference entered by user, not independently authenticated</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62" hidden="0" customWidth="1"/>
    <x:col min="3" max="3" width="61" hidden="0" customWidth="1"/>
    <x:col min="4" max="4" width="42" hidden="0" customWidth="1"/>
  </x:cols>
  <x:sheetData>
    <x:row r="1">
      <x:c r="A1" s="24" t="str">
        <x:v>ID</x:v>
      </x:c>
      <x:c r="B1" s="24" t="str">
        <x:v>Change</x:v>
      </x:c>
      <x:c r="C1" s="24" t="str">
        <x:v>Reason</x:v>
      </x:c>
      <x:c r="D1" s="24" t="str">
        <x:v>Status</x:v>
      </x:c>
    </x:row>
    <x:row r="2">
      <x:c r="A2" s="25" t="str">
        <x:v>FIX-01</x:v>
      </x:c>
      <x:c r="B2" s="25" t="str">
        <x:v>Authorization baseline isolated; approved delta requires reference</x:v>
      </x:c>
      <x:c r="C2" s="25" t="str">
        <x:v>PO-04 unauthorized edit changed PO amount</x:v>
      </x:c>
      <x:c r="D2" s="25" t="str">
        <x:v>Implemented; testing required</x:v>
      </x:c>
    </x:row>
    <x:row r="3">
      <x:c r="A3" s="25" t="str">
        <x:v>FIX-02</x:v>
      </x:c>
      <x:c r="B3" s="25" t="str">
        <x:v>FX approval gate and hold state</x:v>
      </x:c>
      <x:c r="C3" s="25" t="str">
        <x:v>FIN-05 unapproved illustrative FX was used</x:v>
      </x:c>
      <x:c r="D3" s="25" t="str">
        <x:v>Implemented; testing required</x:v>
      </x:c>
    </x:row>
    <x:row r="4">
      <x:c r="A4" s="25" t="str">
        <x:v>FIX-03</x:v>
      </x:c>
      <x:c r="B4" s="25" t="str">
        <x:v>Dependent financial displays suppress invalid USD amounts</x:v>
      </x:c>
      <x:c r="C4" s="25" t="str">
        <x:v>Prevent misleading zero/negative totals</x:v>
      </x:c>
      <x:c r="D4" s="25" t="str">
        <x:v>Implemented; testing required</x:v>
      </x:c>
    </x:row>
    <x:row r="5">
      <x:c r="A5" s="25" t="str">
        <x:v>LIMIT-01</x:v>
      </x:c>
      <x:c r="B5" s="25" t="str">
        <x:v>No receipt-line, invoice-line or intercompany transaction data</x:v>
      </x:c>
      <x:c r="C5" s="25" t="str">
        <x:v>Six blocked tests remain outside current aggregate model</x:v>
      </x:c>
      <x:c r="D5" s="25" t="str">
        <x:v>Open</x:v>
      </x:c>
    </x:row>
    <x:row r="6">
      <x:c r="A6" t="str">
        <x:v>LIMIT-02</x:v>
      </x:c>
      <x:c r="B6" t="str">
        <x:v>Approval reference is a manually entered claim</x:v>
      </x:c>
      <x:c r="C6" t="str">
        <x:v>No ERP/API verification or permission controls</x:v>
      </x:c>
      <x:c r="D6" t="str">
        <x:v>Open</x:v>
      </x:c>
    </x:row>
    <x:row r="7">
      <x:c r="A7" t="str">
        <x:v>TEST-01</x:v>
      </x:c>
      <x:c r="B7" t="str">
        <x:v>13 scenarios rerun with artifact_tool</x:v>
      </x:c>
      <x:c r="C7" t="str">
        <x:v>9 PASS, 4 BLOCKED; no desktop Excel/ERP validation</x:v>
      </x:c>
      <x:c r="D7" t="str">
        <x:v>Completed 2026-10-20</x:v>
      </x:c>
    </x:row>
    <x:row r="8">
      <x:c r="A8" t="str">
        <x:v>FIX-04</x:v>
      </x:c>
      <x:c r="B8" t="str">
        <x:v>FX status at project-month grain and consolidated reporting</x:v>
      </x:c>
      <x:c r="C8" t="str">
        <x:v>BUD-071-FX-01: monthly USD totals lacked exception status</x:v>
      </x:c>
      <x:c r="D8" t="str">
        <x:v>Implemented; simulated regression PASS</x:v>
      </x:c>
    </x:row>
    <x:row r="9">
      <x:c r="A9" t="str">
        <x:v>LIMIT-03</x:v>
      </x:c>
      <x:c r="B9" t="str">
        <x:v>Approval metadata not independent evidence of Finance authorization</x:v>
      </x:c>
      <x:c r="C9" t="str">
        <x:v>FX policy/rate provenance and ERP mapping still require real validation</x:v>
      </x:c>
      <x:c r="D9" t="str">
        <x:v>Open</x:v>
      </x:c>
    </x:row>
    <x:row r="12">
      <x:c r="A12" s="25" t="str">
        <x:v>OP-01</x:v>
      </x:c>
      <x:c r="B12" s="25" t="str">
        <x:v>Budget versus authorized supplier PO value</x:v>
      </x:c>
      <x:c r="C12" s="25" t="str">
        <x:v>Operational scope; no inference of receipts or payables</x:v>
      </x:c>
      <x:c r="D12" s="25" t="str">
        <x:v>Implemented; focused tests only</x:v>
      </x:c>
    </x:row>
    <x:row r="13">
      <x:c r="A13" s="25" t="str">
        <x:v>OP-02</x:v>
      </x:c>
      <x:c r="B13" s="25" t="str">
        <x:v>Payment metrics retired; legacy inputs preserved</x:v>
      </x:c>
      <x:c r="C13" s="25" t="str">
        <x:v>Treasury/accounts payable outside operational scope</x:v>
      </x:c>
      <x:c r="D13" s="25" t="str">
        <x:v>Implemented</x:v>
      </x:c>
    </x:row>
    <x:row r="14">
      <x:c r="A14" s="25" t="str">
        <x:v>INV-01</x:v>
      </x:c>
      <x:c r="B14" s="25" t="str">
        <x:v>Invoice date drives monthly billed amounts</x:v>
      </x:c>
      <x:c r="C14" s="25" t="str">
        <x:v>ERP invoice/project source with date validation</x:v>
      </x:c>
      <x:c r="D14" s="25" t="str">
        <x:v>Implemented; historical dates required</x:v>
      </x:c>
    </x:row>
    <x:row r="15">
      <x:c r="A15" s="25" t="str">
        <x:v>LIMIT-03</x:v>
      </x:c>
      <x:c r="B15" s="25" t="str">
        <x:v>New source fields remain blank until ERP input</x:v>
      </x:c>
      <x:c r="C15" s="25" t="str">
        <x:v>No invented supplier PO values or invoice dates</x:v>
      </x:c>
      <x:c r="D15" s="25" t="str">
        <x:v>Open: load source data; native Excel regression pending</x:v>
      </x:c>
    </x:row>
    <x:row r="16" ht="60" customHeight="1">
      <x:c r="A16" s="25" t="str">
        <x:v>OP-03</x:v>
      </x:c>
      <x:c r="B16" s="25" t="str">
        <x:v>Authorized budget covers all operating expenses</x:v>
      </x:c>
      <x:c r="C16" s="25" t="str">
        <x:v>User definition 2026-10-23; remaining budget is scoped to POs until non-PO coverage is defined</x:v>
      </x:c>
      <x:c r="D16" s="25" t="str">
        <x:v>Labels/documentation updated; calculations unchanged</x:v>
      </x:c>
    </x:row>
    <x:row r="17" ht="74" customHeight="1">
      <x:c r="A17" s="25" t="str">
        <x:v>DOC-04</x:v>
      </x:c>
      <x:c r="B17" s="25" t="str">
        <x:v>Conditional acceptance of the budget / supplier PO comparison</x:v>
      </x:c>
      <x:c r="C17" s="25" t="str">
        <x:v>Goods-sale scenario and internal PO policy; identical cost perimeter required; no universal-accounting claim</x:v>
      </x:c>
      <x:c r="D17" s="25" t="str">
        <x:v>Documented 2026-10-23; no new feature</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56" hidden="0" customWidth="1"/>
    <x:col min="3" max="3" width="30" hidden="0" customWidth="1"/>
    <x:col min="4" max="4" width="34" hidden="0" customWidth="1"/>
    <x:col min="5" max="5" width="16" hidden="0" customWidth="1"/>
    <x:col min="6" max="6" width="67" hidden="0" customWidth="1"/>
  </x:cols>
  <x:sheetData>
    <x:row r="1">
      <x:c r="A1" s="24" t="str">
        <x:v>Historical test ID (prior model)</x:v>
      </x:c>
      <x:c r="B1" s="24" t="str">
        <x:v>Expected behavior</x:v>
      </x:c>
      <x:c r="C1" s="24" t="str">
        <x:v>Expected result</x:v>
      </x:c>
      <x:c r="D1" s="24" t="str">
        <x:v>Observed result</x:v>
      </x:c>
      <x:c r="E1" s="24" t="str">
        <x:v>Status</x:v>
      </x:c>
      <x:c r="F1" s="24" t="str">
        <x:v>Evidence / boundary</x:v>
      </x:c>
      <x:c r="H1" s="25" t="str">
        <x:v>Historical tests predate operational/Invoice date update; not a current regression result.</x:v>
      </x:c>
      <x:c r="I1" s="25"/>
      <x:c r="J1" s="25"/>
      <x:c r="K1" s="25"/>
      <x:c r="L1" s="25"/>
    </x:row>
    <x:row r="2" ht="44" customHeight="1">
      <x:c r="A2" s="25" t="str">
        <x:v>PO-01</x:v>
      </x:c>
      <x:c r="B2" s="25" t="str">
        <x:v>Baseline PO amount remains authorized</x:v>
      </x:c>
      <x:c r="C2" s="25" t="str">
        <x:v>50000</x:v>
      </x:c>
      <x:c r="D2" s="25" t="str">
        <x:v>50000</x:v>
      </x:c>
      <x:c r="E2" s="26" t="str">
        <x:v>PASS</x:v>
      </x:c>
      <x:c r="F2" s="25" t="str">
        <x:v>Project Control D2; baseline simulated</x:v>
      </x:c>
      <x:c r="H2" s="25"/>
      <x:c r="I2" s="25"/>
      <x:c r="J2" s="25"/>
      <x:c r="K2" s="25"/>
      <x:c r="L2" s="25"/>
    </x:row>
    <x:row r="3" ht="44" customHeight="1">
      <x:c r="A3" s="25" t="str">
        <x:v>PO-02</x:v>
      </x:c>
      <x:c r="B3" s="25" t="str">
        <x:v>Approved +200 with reference</x:v>
      </x:c>
      <x:c r="C3" s="25" t="str">
        <x:v>50200</x:v>
      </x:c>
      <x:c r="D3" s="25" t="str">
        <x:v>50200</x:v>
      </x:c>
      <x:c r="E3" s="26" t="str">
        <x:v>PASS</x:v>
      </x:c>
      <x:c r="F3" s="25" t="str">
        <x:v>PO Authorization C2:E2; D2</x:v>
      </x:c>
      <x:c r="H3" s="25"/>
      <x:c r="I3" s="25"/>
      <x:c r="J3" s="25"/>
      <x:c r="K3" s="25"/>
      <x:c r="L3" s="25"/>
    </x:row>
    <x:row r="4" ht="44" customHeight="1">
      <x:c r="A4" s="25" t="str">
        <x:v>PO-03</x:v>
      </x:c>
      <x:c r="B4" s="25" t="str">
        <x:v>Approved -300 with reference</x:v>
      </x:c>
      <x:c r="C4" s="25" t="str">
        <x:v>49700</x:v>
      </x:c>
      <x:c r="D4" s="25" t="str">
        <x:v>49700</x:v>
      </x:c>
      <x:c r="E4" s="26" t="str">
        <x:v>PASS</x:v>
      </x:c>
      <x:c r="F4" s="25" t="str">
        <x:v>PO Authorization C2:E2; D2</x:v>
      </x:c>
    </x:row>
    <x:row r="5" ht="44" customHeight="1">
      <x:c r="A5" s="25" t="str">
        <x:v>PO-04</x:v>
      </x:c>
      <x:c r="B5" s="25" t="str">
        <x:v>Unapproved +500 must not change authorized</x:v>
      </x:c>
      <x:c r="C5" s="25" t="str">
        <x:v>50000</x:v>
      </x:c>
      <x:c r="D5" s="25" t="str">
        <x:v>50000</x:v>
      </x:c>
      <x:c r="E5" s="26" t="str">
        <x:v>PASS</x:v>
      </x:c>
      <x:c r="F5" s="25" t="str">
        <x:v>PO Authorization status PENDING; D2</x:v>
      </x:c>
    </x:row>
    <x:row r="6" ht="44" customHeight="1">
      <x:c r="A6" s="25" t="str">
        <x:v>PO-05</x:v>
      </x:c>
      <x:c r="B6" s="25" t="str">
        <x:v>20 ordered, 12 received; outstanding 8</x:v>
      </x:c>
      <x:c r="C6" s="25" t="str">
        <x:v>8</x:v>
      </x:c>
      <x:c r="D6" s="25" t="str">
        <x:v>Not available</x:v>
      </x:c>
      <x:c r="E6" s="27" t="str">
        <x:v>BLOCKED</x:v>
      </x:c>
      <x:c r="F6" s="25" t="str">
        <x:v>No supplier PO receipt-line facts</x:v>
      </x:c>
    </x:row>
    <x:row r="7" ht="44" customHeight="1">
      <x:c r="A7" s="25" t="str">
        <x:v>PO-06</x:v>
      </x:c>
      <x:c r="B7" s="25" t="str">
        <x:v>12 delivered, 10 invoiced; balance 2</x:v>
      </x:c>
      <x:c r="C7" s="25" t="str">
        <x:v>2</x:v>
      </x:c>
      <x:c r="D7" s="25" t="str">
        <x:v>Not available</x:v>
      </x:c>
      <x:c r="E7" s="27" t="str">
        <x:v>BLOCKED</x:v>
      </x:c>
      <x:c r="F7" s="25" t="str">
        <x:v>No line-level delivery/invoice facts</x:v>
      </x:c>
    </x:row>
    <x:row r="8" ht="44" customHeight="1">
      <x:c r="A8" s="25" t="str">
        <x:v>PO-07</x:v>
      </x:c>
      <x:c r="B8" s="25" t="str">
        <x:v>Duplicate receipt/invoice ID rejected</x:v>
      </x:c>
      <x:c r="C8" s="25" t="str">
        <x:v>Duplicate flagged</x:v>
      </x:c>
      <x:c r="D8" s="25" t="str">
        <x:v>Not available</x:v>
      </x:c>
      <x:c r="E8" s="27" t="str">
        <x:v>BLOCKED</x:v>
      </x:c>
      <x:c r="F8" s="25" t="str">
        <x:v>No unique transaction IDs</x:v>
      </x:c>
    </x:row>
    <x:row r="9" ht="44" customHeight="1">
      <x:c r="A9" s="25" t="str">
        <x:v>FIN-01</x:v>
      </x:c>
      <x:c r="B9" s="25" t="str">
        <x:v>Paid/open/recognized not additive</x:v>
      </x:c>
      <x:c r="C9" s="25" t="str">
        <x:v>Separate measures</x:v>
      </x:c>
      <x:c r="D9" s="25" t="str">
        <x:v>Separate columns I/J/K</x:v>
      </x:c>
      <x:c r="E9" s="26" t="str">
        <x:v>PASS</x:v>
      </x:c>
      <x:c r="F9" s="25" t="str">
        <x:v>Structural semantic check; not ERP reconciliation</x:v>
      </x:c>
    </x:row>
    <x:row r="10" ht="44" customHeight="1">
      <x:c r="A10" s="25" t="str">
        <x:v>FIN-02</x:v>
      </x:c>
      <x:c r="B10" s="25" t="str">
        <x:v>Paid 650, open 0, recognized 520</x:v>
      </x:c>
      <x:c r="C10" s="25" t="str">
        <x:v>[650,0,520]</x:v>
      </x:c>
      <x:c r="D10" s="25" t="str">
        <x:v>[650,0,520]</x:v>
      </x:c>
      <x:c r="E10" s="26" t="str">
        <x:v>PASS</x:v>
      </x:c>
      <x:c r="F10" s="25" t="str">
        <x:v>Manual mutation Monthly Project Activity I2:K2</x:v>
      </x:c>
    </x:row>
    <x:row r="11" ht="44" customHeight="1">
      <x:c r="A11" s="25" t="str">
        <x:v>FIN-03</x:v>
      </x:c>
      <x:c r="B11" s="25" t="str">
        <x:v>Timing mismatch not final profit</x:v>
      </x:c>
      <x:c r="C11" s="25" t="str">
        <x:v>Caveat present</x:v>
      </x:c>
      <x:c r="D11" s="25" t="str">
        <x:v>Caveat present</x:v>
      </x:c>
      <x:c r="E11" s="26" t="str">
        <x:v>PASS</x:v>
      </x:c>
      <x:c r="F11" s="25" t="str">
        <x:v>Documentary review only</x:v>
      </x:c>
    </x:row>
    <x:row r="12" ht="44" customHeight="1">
      <x:c r="A12" s="25" t="str">
        <x:v>FIN-04</x:v>
      </x:c>
      <x:c r="B12" s="25" t="str">
        <x:v>MX/US intercompany cost no double count</x:v>
      </x:c>
      <x:c r="C12" s="25" t="str">
        <x:v>Traceable unique cost</x:v>
      </x:c>
      <x:c r="D12" s="25" t="str">
        <x:v>Not available</x:v>
      </x:c>
      <x:c r="E12" s="27" t="str">
        <x:v>BLOCKED</x:v>
      </x:c>
      <x:c r="F12" s="25" t="str">
        <x:v>No intercompany transaction IDs</x:v>
      </x:c>
    </x:row>
    <x:row r="13" ht="44" customHeight="1">
      <x:c r="A13" s="25" t="str">
        <x:v>FIN-05</x:v>
      </x:c>
      <x:c r="B13" s="25" t="str">
        <x:v>Unapproved FX blocked; approved FX allowed</x:v>
      </x:c>
      <x:c r="C13" s="25" t="str">
        <x:v>FX HOLD then 41000 USD</x:v>
      </x:c>
      <x:c r="D13" s="25" t="str">
        <x:v>FX HOLD then 41000 USD</x:v>
      </x:c>
      <x:c r="E13" s="26" t="str">
        <x:v>PASS</x:v>
      </x:c>
      <x:c r="F13" s="25" t="str">
        <x:v>Settings B8:B10; Project Control D3/O3</x:v>
      </x:c>
    </x:row>
    <x:row r="14" ht="44" customHeight="1">
      <x:c r="A14" s="25" t="str">
        <x:v>FIN-06</x:v>
      </x:c>
      <x:c r="B14" s="25" t="str">
        <x:v>Invoice above authorized PO raises alert</x:v>
      </x:c>
      <x:c r="C14" s="25" t="str">
        <x:v>REVIEW: ABOVE CUSTOMER PO</x:v>
      </x:c>
      <x:c r="D14" s="25" t="str">
        <x:v>REVIEW: ABOVE CUSTOMER PO</x:v>
      </x:c>
      <x:c r="E14" s="26" t="str">
        <x:v>PASS</x:v>
      </x:c>
      <x:c r="F14" s="25" t="str">
        <x:v>ERP Snapshot I2=60000, Project Control O2</x:v>
      </x:c>
    </x:row>
    <x:row r="15" ht="46" customHeight="1">
      <x:c r="A15" s="25" t="str">
        <x:v>CONS-03A</x:v>
      </x:c>
      <x:c r="B15" s="25" t="str">
        <x:v>Pending FX flags affected BU, month and BU/entity</x:v>
      </x:c>
      <x:c r="C15" s="25" t="str">
        <x:v>FX HOLD</x:v>
      </x:c>
      <x:c r="D15" s="25" t="str">
        <x:v>FX HOLD</x:v>
      </x:c>
      <x:c r="E15" s="30" t="str">
        <x:v>PASS</x:v>
      </x:c>
      <x:c r="F15" s="25" t="str">
        <x:v>Monthly Project Activity O3; Monthly BU Close K4; Monthly Trend K2; BU Entity Matrix O3</x:v>
      </x:c>
    </x:row>
    <x:row r="16" ht="46" customHeight="1">
      <x:c r="A16" s="25" t="str">
        <x:v>CONS-03B</x:v>
      </x:c>
      <x:c r="B16" s="25" t="str">
        <x:v>Approved metadata clears hold</x:v>
      </x:c>
      <x:c r="C16" s="25" t="str">
        <x:v>FX APPROVED (METADATA)</x:v>
      </x:c>
      <x:c r="D16" s="25" t="str">
        <x:v>FX APPROVED (METADATA)</x:v>
      </x:c>
      <x:c r="E16" s="30" t="str">
        <x:v>PASS</x:v>
      </x:c>
      <x:c r="F16" s="25" t="str">
        <x:v>Settings B8:B10; approval simulated, not independently authenticated</x:v>
      </x:c>
    </x:row>
    <x:row r="17" ht="46" customHeight="1">
      <x:c r="A17" s="25" t="str">
        <x:v>CONS-03C</x:v>
      </x:c>
      <x:c r="B17" s="25" t="str">
        <x:v>Original numeric monthly totals unchanged</x:v>
      </x:c>
      <x:c r="C17" s="25" t="str">
        <x:v>No change</x:v>
      </x:c>
      <x:c r="D17" s="25" t="str">
        <x:v>No change</x:v>
      </x:c>
      <x:c r="E17" s="30" t="str">
        <x:v>PASS</x:v>
      </x:c>
      <x:c r="F17" s="25" t="str">
        <x:v>Monthly Trend B2:J2 unchanged on approval toggle</x:v>
      </x:c>
    </x:row>
    <x:row r="18" ht="46" customHeight="1">
      <x:c r="A18" s="25" t="str">
        <x:v>CONS-03D</x:v>
      </x:c>
      <x:c r="B18" s="25" t="str">
        <x:v>Unaffected USD-only BU remains available</x:v>
      </x:c>
      <x:c r="C18" s="25" t="str">
        <x:v>NO FX EXCEPTION</x:v>
      </x:c>
      <x:c r="D18" s="25" t="str">
        <x:v>NO FX EXCEPTION</x:v>
      </x:c>
      <x:c r="E18" s="30" t="str">
        <x:v>PASS</x:v>
      </x:c>
      <x:c r="F18" s="25" t="str">
        <x:v>Monthly BU Close K2 and BU Entity Matrix O2</x:v>
      </x:c>
    </x:row>
    <x:row r="19" ht="46" customHeight="1">
      <x:c r="A19" s="25" t="str">
        <x:v>CONS-03E</x:v>
      </x:c>
      <x:c r="B19" s="25" t="str">
        <x:v>MX/US monthly reconciliation maintained</x:v>
      </x:c>
      <x:c r="C19" s="25" t="str">
        <x:v>Monthly Trend J2=0</x:v>
      </x:c>
      <x:c r="D19" s="25" t="str">
        <x:v>0</x:v>
      </x:c>
      <x:c r="E19" s="30" t="str">
        <x:v>PASS</x:v>
      </x:c>
      <x:c r="F19" s="25" t="str">
        <x:v>Approval metadata toggle; arithmetic only</x:v>
      </x:c>
    </x:row>
  </x:sheetData>
  <x:mergeCells>
    <x:mergeCell ref="H1:L3"/>
  </x:mergeCells>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8" hidden="0" customWidth="1"/>
    <x:col min="11" max="11" width="21" hidden="0" customWidth="1"/>
    <x:col min="12" max="12" width="48" hidden="0" customWidth="1"/>
    <x:col min="13" max="13" width="21" hidden="0" customWidth="1"/>
    <x:col min="14" max="14" width="21" hidden="0" customWidth="1"/>
    <x:col min="15" max="15" width="24" hidden="0" customWidth="1"/>
  </x:cols>
  <x:sheetData>
    <x:row r="1" ht="56" customHeight="1">
      <x:c r="A1" s="56" t="str">
        <x:v>ERP Invoice ID</x:v>
      </x:c>
      <x:c r="B1" s="56" t="str">
        <x:v>Project ID (ERP)</x:v>
      </x:c>
      <x:c r="C1" s="56" t="str">
        <x:v>Invoice date</x:v>
      </x:c>
      <x:c r="D1" s="56" t="str">
        <x:v>Selling entity</x:v>
      </x:c>
      <x:c r="E1" s="56" t="str">
        <x:v>Business Unit</x:v>
      </x:c>
      <x:c r="F1" s="56" t="str">
        <x:v>Brand / Line</x:v>
      </x:c>
      <x:c r="G1" s="56" t="str">
        <x:v>Original currency</x:v>
      </x:c>
      <x:c r="H1" s="56" t="str">
        <x:v>Invoice amount original</x:v>
      </x:c>
      <x:c r="I1" s="56" t="str">
        <x:v>Invoice USD from ERP</x:v>
      </x:c>
      <x:c r="J1" s="56" t="str">
        <x:v>ERP export reference</x:v>
      </x:c>
      <x:c r="K1" s="56" t="str">
        <x:v>ERP invoice status</x:v>
      </x:c>
      <x:c r="L1" s="56" t="str">
        <x:v>Input validation</x:v>
      </x:c>
      <x:c r="M1" s="56" t="str">
        <x:v>Invoice month</x:v>
      </x:c>
      <x:c r="N1" s="56" t="str">
        <x:v>Reportable invoiced USD</x:v>
      </x:c>
      <x:c r="O1" s="56" t="str">
        <x:v>First project/month flag</x:v>
      </x:c>
      <x:c r="P1" t="str">
        <x:v>HOW TO LOAD / OPERATIONAL BILLING SOURCE</x:v>
      </x:c>
    </x:row>
    <x:row r="2" ht="42" customHeight="1">
      <x:c r="A2" s="47" t="str">
        <x:v>TEST-JAN</x:v>
      </x:c>
      <x:c r="B2" s="47" t="str">
        <x:v>100245</x:v>
      </x:c>
      <x:c r="C2" s="69" t="d">
        <x:v>2026-01-15T00:00:00.000Z</x:v>
      </x:c>
      <x:c r="D2" s="47" t="str">
        <x:v>MX</x:v>
      </x:c>
      <x:c r="E2" s="47" t="str">
        <x:v>Strategic Services</x:v>
      </x:c>
      <x:c r="F2" s="47" t="str">
        <x:v>N/A</x:v>
      </x:c>
      <x:c r="G2" s="47" t="str">
        <x:v>USD</x:v>
      </x:c>
      <x:c r="H2" s="48" t="n">
        <x:v>1000</x:v>
      </x:c>
      <x:c r="I2" s="48"/>
      <x:c r="J2" s="47" t="str">
        <x:v>TEST-SYNTHETIC-20261026</x:v>
      </x:c>
      <x:c r="K2" s="47" t="str">
        <x:v>ISSUED</x:v>
      </x:c>
      <x:c r="L2" s="57" t="str">
        <x:f>IF(COUNTA(A2:K2)=0,"",IF(K2="CANCELLED","CANCELLED",IF(A2="","INVOICE ID REQUIRED",IF(B2="","PROJECT ID REQUIRED",IF(NOT(ISNUMBER(C2)),"INVALID INVOICE DATE",IF(NOT(AND(ISNUMBER(C2),C2&gt;=2,C2&lt;=2958465,C2=INT(C2))),"INVALID INVOICE DATE",IF(NOT(OR(D2="MX",D2="US")),"ENTITY REQUIRED",IF(NOT(OR(E2="Strategic Services",E2="Brands")),"UNIT REQUIRED",IF(F2="","BRAND / N/A REQUIRED",IF(NOT(OR(G2="USD",G2="MXN")),"CURRENCY REQUIRED",IF(NOT(ISNUMBER(H2)),"AMOUNT REQUIRED",IF(J2="","ERP SOURCE REQUIRED",IF(NOT(OR(K2="ISSUED",K2="CANCELLED")),"INVOICE STATUS REQUIRED",IF(COUNTIFS($A$2:$A$501,A2,$B$2:$B$501,B2,$D$2:$D$501,D2)&gt;1,"DUPLICATE INVOICE / PROJECT",IF(SUMPRODUCT(--(('ERP Snapshot'!$A$2:$A$101&amp;"")=(B2&amp;"")))=0,"PROJECT NOT FOUND",IF(SUMPRODUCT(--(('ERP Snapshot'!$A$2:$A$101&amp;"")=(B2&amp;"")))&gt;1,"DUPLICATE PROJECT ID",IF(OR(SUMPRODUCT(--(('ERP Snapshot'!$A$2:$A$101&amp;"")=(B2&amp;"")),--('ERP Snapshot'!$Q$2:$Q$101=E2),--('ERP Snapshot'!$R$2:$R$101=F2))&lt;&gt;1,SUMPRODUCT(--('Commercial Catalogs'!$A$2:$A$10=E2),--('Commercial Catalogs'!$B$2:$B$10=F2),--('Commercial Catalogs'!$C$2:$C$10="YES"),--('Commercial Catalogs'!$D$2:$D$10="IN SCOPE"))=0,AND(E2="Strategic Services",F2&lt;&gt;"N/A"),AND(E2="Brands",F2="N/A")),"PROJECT CLASSIFICATION MISMATCH",IF(AND(G2="MXN",NOT(AND(ISNUMBER(I2),Settings!$B$8="APPROVED",Settings!$B$9&lt;&gt;"",Settings!$B$10&lt;&gt;""))),"FX HOLD","VALID"))))))))))))))))))</x:f>
        <x:v>VALID</x:v>
      </x:c>
      <x:c r="M2" s="57" t="str">
        <x:f>IF(ISNUMBER(C2),IF(AND(ISNUMBER(C2),C2&gt;=2,C2&lt;=2958465,C2=INT(C2)),YEAR(C2)&amp;"-"&amp;IF(MONTH(C2)&lt;10,"0","")&amp;MONTH(C2),""),"")</x:f>
        <x:v>2026-01</x:v>
      </x:c>
      <x:c r="N2" s="59" t="n">
        <x:f>IF(L2="VALID",IF(G2="USD",H2,I2),"")</x:f>
        <x:v>1000</x:v>
      </x:c>
      <x:c r="O2" s="57" t="n">
        <x:f>IF(L2="VALID",IF(COUNTIFS($B$2:B2,B2,$M$2:M2,M2,$L$2:L2,"VALID")=1,1,0),0)</x:f>
        <x:v>1</x:v>
      </x:c>
      <x:c r="P2" s="61" t="str">
        <x:v>Fill A:K with ERP data. L:N are formulas. Capacity: 500 invoice/project records.</x:v>
      </x:c>
      <x:c r="Q2" s="61"/>
      <x:c r="R2" s="61"/>
      <x:c r="S2" s="61"/>
      <x:c r="T2" s="61"/>
      <x:c r="U2" s="61"/>
    </x:row>
    <x:row r="3" ht="42" customHeight="1">
      <x:c r="A3" s="47" t="str">
        <x:v>TEST-FEB</x:v>
      </x:c>
      <x:c r="B3" s="47" t="str">
        <x:v>100245</x:v>
      </x:c>
      <x:c r="C3" s="69" t="d">
        <x:v>2026-02-28T00:00:00.000Z</x:v>
      </x:c>
      <x:c r="D3" s="47" t="str">
        <x:v>MX</x:v>
      </x:c>
      <x:c r="E3" s="47" t="str">
        <x:v>Strategic Services</x:v>
      </x:c>
      <x:c r="F3" s="47" t="str">
        <x:v>N/A</x:v>
      </x:c>
      <x:c r="G3" s="47" t="str">
        <x:v>USD</x:v>
      </x:c>
      <x:c r="H3" s="48" t="n">
        <x:v>2000</x:v>
      </x:c>
      <x:c r="I3" s="48"/>
      <x:c r="J3" s="47" t="str">
        <x:v>TEST-SYNTHETIC-20261026</x:v>
      </x:c>
      <x:c r="K3" s="47" t="str">
        <x:v>ISSUED</x:v>
      </x:c>
      <x:c r="L3" s="57" t="str">
        <x:f>IF(COUNTA(A3:K3)=0,"",IF(K3="CANCELLED","CANCELLED",IF(A3="","INVOICE ID REQUIRED",IF(B3="","PROJECT ID REQUIRED",IF(NOT(ISNUMBER(C3)),"INVALID INVOICE DATE",IF(NOT(AND(ISNUMBER(C3),C3&gt;=2,C3&lt;=2958465,C3=INT(C3))),"INVALID INVOICE DATE",IF(NOT(OR(D3="MX",D3="US")),"ENTITY REQUIRED",IF(NOT(OR(E3="Strategic Services",E3="Brands")),"UNIT REQUIRED",IF(F3="","BRAND / N/A REQUIRED",IF(NOT(OR(G3="USD",G3="MXN")),"CURRENCY REQUIRED",IF(NOT(ISNUMBER(H3)),"AMOUNT REQUIRED",IF(J3="","ERP SOURCE REQUIRED",IF(NOT(OR(K3="ISSUED",K3="CANCELLED")),"INVOICE STATUS REQUIRED",IF(COUNTIFS($A$2:$A$501,A3,$B$2:$B$501,B3,$D$2:$D$501,D3)&gt;1,"DUPLICATE INVOICE / PROJECT",IF(SUMPRODUCT(--(('ERP Snapshot'!$A$2:$A$101&amp;"")=(B3&amp;"")))=0,"PROJECT NOT FOUND",IF(SUMPRODUCT(--(('ERP Snapshot'!$A$2:$A$101&amp;"")=(B3&amp;"")))&gt;1,"DUPLICATE PROJECT ID",IF(OR(SUMPRODUCT(--(('ERP Snapshot'!$A$2:$A$101&amp;"")=(B3&amp;"")),--('ERP Snapshot'!$Q$2:$Q$101=E3),--('ERP Snapshot'!$R$2:$R$101=F3))&lt;&gt;1,SUMPRODUCT(--('Commercial Catalogs'!$A$2:$A$10=E3),--('Commercial Catalogs'!$B$2:$B$10=F3),--('Commercial Catalogs'!$C$2:$C$10="YES"),--('Commercial Catalogs'!$D$2:$D$10="IN SCOPE"))=0,AND(E3="Strategic Services",F3&lt;&gt;"N/A"),AND(E3="Brands",F3="N/A")),"PROJECT CLASSIFICATION MISMATCH",IF(AND(G3="MXN",NOT(AND(ISNUMBER(I3),Settings!$B$8="APPROVED",Settings!$B$9&lt;&gt;"",Settings!$B$10&lt;&gt;""))),"FX HOLD","VALID"))))))))))))))))))</x:f>
        <x:v>VALID</x:v>
      </x:c>
      <x:c r="M3" s="57" t="str">
        <x:f>IF(ISNUMBER(C3),IF(AND(ISNUMBER(C3),C3&gt;=2,C3&lt;=2958465,C3=INT(C3)),YEAR(C3)&amp;"-"&amp;IF(MONTH(C3)&lt;10,"0","")&amp;MONTH(C3),""),"")</x:f>
        <x:v>2026-02</x:v>
      </x:c>
      <x:c r="N3" s="59" t="n">
        <x:f>IF(L3="VALID",IF(G3="USD",H3,I3),"")</x:f>
        <x:v>2000</x:v>
      </x:c>
      <x:c r="O3" s="57" t="n">
        <x:f>IF(L3="VALID",IF(COUNTIFS($B$2:B3,B3,$M$2:M3,M3,$L$2:L3,"VALID")=1,1,0),0)</x:f>
        <x:v>1</x:v>
      </x:c>
      <x:c r="P3" s="61" t="str">
        <x:v>Invoice date must be a real Excel date, not typed date text. Month is derived from Invoice date.</x:v>
      </x:c>
      <x:c r="Q3" s="61"/>
      <x:c r="R3" s="61"/>
      <x:c r="S3" s="61"/>
      <x:c r="T3" s="61"/>
      <x:c r="U3" s="61"/>
    </x:row>
    <x:row r="4" ht="42" customHeight="1">
      <x:c r="A4" s="47" t="str">
        <x:v>TEST-MAR</x:v>
      </x:c>
      <x:c r="B4" s="47" t="str">
        <x:v>100246</x:v>
      </x:c>
      <x:c r="C4" s="69" t="d">
        <x:v>2026-03-31T00:00:00.000Z</x:v>
      </x:c>
      <x:c r="D4" s="47" t="str">
        <x:v>MX</x:v>
      </x:c>
      <x:c r="E4" s="47" t="str">
        <x:v>Brands</x:v>
      </x:c>
      <x:c r="F4" s="47" t="str">
        <x:v>Desoutter</x:v>
      </x:c>
      <x:c r="G4" s="47" t="str">
        <x:v>MXN</x:v>
      </x:c>
      <x:c r="H4" s="48" t="n">
        <x:v>60000</x:v>
      </x:c>
      <x:c r="I4" s="48" t="n">
        <x:v>3000</x:v>
      </x:c>
      <x:c r="J4" s="47" t="str">
        <x:v>TEST-SYNTHETIC-20261026</x:v>
      </x:c>
      <x:c r="K4" s="47" t="str">
        <x:v>ISSUED</x:v>
      </x:c>
      <x:c r="L4" s="57" t="str">
        <x:f>IF(COUNTA(A4:K4)=0,"",IF(K4="CANCELLED","CANCELLED",IF(A4="","INVOICE ID REQUIRED",IF(B4="","PROJECT ID REQUIRED",IF(NOT(ISNUMBER(C4)),"INVALID INVOICE DATE",IF(NOT(AND(ISNUMBER(C4),C4&gt;=2,C4&lt;=2958465,C4=INT(C4))),"INVALID INVOICE DATE",IF(NOT(OR(D4="MX",D4="US")),"ENTITY REQUIRED",IF(NOT(OR(E4="Strategic Services",E4="Brands")),"UNIT REQUIRED",IF(F4="","BRAND / N/A REQUIRED",IF(NOT(OR(G4="USD",G4="MXN")),"CURRENCY REQUIRED",IF(NOT(ISNUMBER(H4)),"AMOUNT REQUIRED",IF(J4="","ERP SOURCE REQUIRED",IF(NOT(OR(K4="ISSUED",K4="CANCELLED")),"INVOICE STATUS REQUIRED",IF(COUNTIFS($A$2:$A$501,A4,$B$2:$B$501,B4,$D$2:$D$501,D4)&gt;1,"DUPLICATE INVOICE / PROJECT",IF(SUMPRODUCT(--(('ERP Snapshot'!$A$2:$A$101&amp;"")=(B4&amp;"")))=0,"PROJECT NOT FOUND",IF(SUMPRODUCT(--(('ERP Snapshot'!$A$2:$A$101&amp;"")=(B4&amp;"")))&gt;1,"DUPLICATE PROJECT ID",IF(OR(SUMPRODUCT(--(('ERP Snapshot'!$A$2:$A$101&amp;"")=(B4&amp;"")),--('ERP Snapshot'!$Q$2:$Q$101=E4),--('ERP Snapshot'!$R$2:$R$101=F4))&lt;&gt;1,SUMPRODUCT(--('Commercial Catalogs'!$A$2:$A$10=E4),--('Commercial Catalogs'!$B$2:$B$10=F4),--('Commercial Catalogs'!$C$2:$C$10="YES"),--('Commercial Catalogs'!$D$2:$D$10="IN SCOPE"))=0,AND(E4="Strategic Services",F4&lt;&gt;"N/A"),AND(E4="Brands",F4="N/A")),"PROJECT CLASSIFICATION MISMATCH",IF(AND(G4="MXN",NOT(AND(ISNUMBER(I4),Settings!$B$8="APPROVED",Settings!$B$9&lt;&gt;"",Settings!$B$10&lt;&gt;""))),"FX HOLD","VALID"))))))))))))))))))</x:f>
        <x:v>VALID</x:v>
      </x:c>
      <x:c r="M4" s="57" t="str">
        <x:f>IF(ISNUMBER(C4),IF(AND(ISNUMBER(C4),C4&gt;=2,C4&lt;=2958465,C4=INT(C4)),YEAR(C4)&amp;"-"&amp;IF(MONTH(C4)&lt;10,"0","")&amp;MONTH(C4),""),"")</x:f>
        <x:v>2026-03</x:v>
      </x:c>
      <x:c r="N4" s="59" t="n">
        <x:f>IF(L4="VALID",IF(G4="USD",H4,I4),"")</x:f>
        <x:v>3000</x:v>
      </x:c>
      <x:c r="O4" s="57" t="n">
        <x:f>IF(L4="VALID",IF(COUNTIFS($B$2:B4,B4,$M$2:M4,M4,$L$2:L4,"VALID")=1,1,0),0)</x:f>
        <x:v>1</x:v>
      </x:c>
      <x:c r="P4" s="61" t="str">
        <x:v>ISSUED enters reporting; CANCELLED is excluded. Preserve the ERP current status.</x:v>
      </x:c>
      <x:c r="Q4" s="61"/>
      <x:c r="R4" s="61"/>
      <x:c r="S4" s="61"/>
      <x:c r="T4" s="61"/>
      <x:c r="U4" s="61"/>
    </x:row>
    <x:row r="5" ht="42" customHeight="1">
      <x:c r="A5" s="47" t="str">
        <x:v>TEST-APR</x:v>
      </x:c>
      <x:c r="B5" s="47" t="str">
        <x:v>100245</x:v>
      </x:c>
      <x:c r="C5" s="69" t="d">
        <x:v>2026-04-30T00:00:00.000Z</x:v>
      </x:c>
      <x:c r="D5" s="47" t="str">
        <x:v>MX</x:v>
      </x:c>
      <x:c r="E5" s="47" t="str">
        <x:v>Strategic Services</x:v>
      </x:c>
      <x:c r="F5" s="47" t="str">
        <x:v>N/A</x:v>
      </x:c>
      <x:c r="G5" s="47" t="str">
        <x:v>USD</x:v>
      </x:c>
      <x:c r="H5" s="48" t="n">
        <x:v>1500</x:v>
      </x:c>
      <x:c r="I5" s="48"/>
      <x:c r="J5" s="47" t="str">
        <x:v>TEST-SYNTHETIC-20261026</x:v>
      </x:c>
      <x:c r="K5" s="47" t="str">
        <x:v>ISSUED</x:v>
      </x:c>
      <x:c r="L5" s="57" t="str">
        <x:f>IF(COUNTA(A5:K5)=0,"",IF(K5="CANCELLED","CANCELLED",IF(A5="","INVOICE ID REQUIRED",IF(B5="","PROJECT ID REQUIRED",IF(NOT(ISNUMBER(C5)),"INVALID INVOICE DATE",IF(NOT(AND(ISNUMBER(C5),C5&gt;=2,C5&lt;=2958465,C5=INT(C5))),"INVALID INVOICE DATE",IF(NOT(OR(D5="MX",D5="US")),"ENTITY REQUIRED",IF(NOT(OR(E5="Strategic Services",E5="Brands")),"UNIT REQUIRED",IF(F5="","BRAND / N/A REQUIRED",IF(NOT(OR(G5="USD",G5="MXN")),"CURRENCY REQUIRED",IF(NOT(ISNUMBER(H5)),"AMOUNT REQUIRED",IF(J5="","ERP SOURCE REQUIRED",IF(NOT(OR(K5="ISSUED",K5="CANCELLED")),"INVOICE STATUS REQUIRED",IF(COUNTIFS($A$2:$A$501,A5,$B$2:$B$501,B5,$D$2:$D$501,D5)&gt;1,"DUPLICATE INVOICE / PROJECT",IF(SUMPRODUCT(--(('ERP Snapshot'!$A$2:$A$101&amp;"")=(B5&amp;"")))=0,"PROJECT NOT FOUND",IF(SUMPRODUCT(--(('ERP Snapshot'!$A$2:$A$101&amp;"")=(B5&amp;"")))&gt;1,"DUPLICATE PROJECT ID",IF(OR(SUMPRODUCT(--(('ERP Snapshot'!$A$2:$A$101&amp;"")=(B5&amp;"")),--('ERP Snapshot'!$Q$2:$Q$101=E5),--('ERP Snapshot'!$R$2:$R$101=F5))&lt;&gt;1,SUMPRODUCT(--('Commercial Catalogs'!$A$2:$A$10=E5),--('Commercial Catalogs'!$B$2:$B$10=F5),--('Commercial Catalogs'!$C$2:$C$10="YES"),--('Commercial Catalogs'!$D$2:$D$10="IN SCOPE"))=0,AND(E5="Strategic Services",F5&lt;&gt;"N/A"),AND(E5="Brands",F5="N/A")),"PROJECT CLASSIFICATION MISMATCH",IF(AND(G5="MXN",NOT(AND(ISNUMBER(I5),Settings!$B$8="APPROVED",Settings!$B$9&lt;&gt;"",Settings!$B$10&lt;&gt;""))),"FX HOLD","VALID"))))))))))))))))))</x:f>
        <x:v>VALID</x:v>
      </x:c>
      <x:c r="M5" s="57" t="str">
        <x:f>IF(ISNUMBER(C5),IF(AND(ISNUMBER(C5),C5&gt;=2,C5&lt;=2958465,C5=INT(C5)),YEAR(C5)&amp;"-"&amp;IF(MONTH(C5)&lt;10,"0","")&amp;MONTH(C5),""),"")</x:f>
        <x:v>2026-04</x:v>
      </x:c>
      <x:c r="N5" s="59" t="n">
        <x:f>IF(L5="VALID",IF(G5="USD",H5,I5),"")</x:f>
        <x:v>1500</x:v>
      </x:c>
      <x:c r="O5" s="57" t="n">
        <x:f>IF(L5="VALID",IF(COUNTIFS($B$2:B5,B5,$M$2:M5,M5,$L$2:L5,"VALID")=1,1,0),0)</x:f>
        <x:v>1</x:v>
      </x:c>
      <x:c r="P5" s="61" t="str">
        <x:v>A customer invoice covering several projects requires ERP allocations; do not repeat its full amount in each project.</x:v>
      </x:c>
      <x:c r="Q5" s="61"/>
      <x:c r="R5" s="61"/>
      <x:c r="S5" s="61"/>
      <x:c r="T5" s="61"/>
      <x:c r="U5" s="61"/>
    </x:row>
    <x:row r="6" ht="42" customHeight="1">
      <x:c r="A6" s="47" t="str">
        <x:v>TEST-MAY-A</x:v>
      </x:c>
      <x:c r="B6" s="47" t="str">
        <x:v>100245</x:v>
      </x:c>
      <x:c r="C6" s="69" t="d">
        <x:v>2026-05-01T00:00:00.000Z</x:v>
      </x:c>
      <x:c r="D6" s="47" t="str">
        <x:v>MX</x:v>
      </x:c>
      <x:c r="E6" s="47" t="str">
        <x:v>Strategic Services</x:v>
      </x:c>
      <x:c r="F6" s="47" t="str">
        <x:v>N/A</x:v>
      </x:c>
      <x:c r="G6" s="47" t="str">
        <x:v>USD</x:v>
      </x:c>
      <x:c r="H6" s="48" t="n">
        <x:v>4000</x:v>
      </x:c>
      <x:c r="I6" s="48"/>
      <x:c r="J6" s="47" t="str">
        <x:v>TEST-SYNTHETIC-20261026</x:v>
      </x:c>
      <x:c r="K6" s="47" t="str">
        <x:v>ISSUED</x:v>
      </x:c>
      <x:c r="L6" s="57" t="str">
        <x:f>IF(COUNTA(A6:K6)=0,"",IF(K6="CANCELLED","CANCELLED",IF(A6="","INVOICE ID REQUIRED",IF(B6="","PROJECT ID REQUIRED",IF(NOT(ISNUMBER(C6)),"INVALID INVOICE DATE",IF(NOT(AND(ISNUMBER(C6),C6&gt;=2,C6&lt;=2958465,C6=INT(C6))),"INVALID INVOICE DATE",IF(NOT(OR(D6="MX",D6="US")),"ENTITY REQUIRED",IF(NOT(OR(E6="Strategic Services",E6="Brands")),"UNIT REQUIRED",IF(F6="","BRAND / N/A REQUIRED",IF(NOT(OR(G6="USD",G6="MXN")),"CURRENCY REQUIRED",IF(NOT(ISNUMBER(H6)),"AMOUNT REQUIRED",IF(J6="","ERP SOURCE REQUIRED",IF(NOT(OR(K6="ISSUED",K6="CANCELLED")),"INVOICE STATUS REQUIRED",IF(COUNTIFS($A$2:$A$501,A6,$B$2:$B$501,B6,$D$2:$D$501,D6)&gt;1,"DUPLICATE INVOICE / PROJECT",IF(SUMPRODUCT(--(('ERP Snapshot'!$A$2:$A$101&amp;"")=(B6&amp;"")))=0,"PROJECT NOT FOUND",IF(SUMPRODUCT(--(('ERP Snapshot'!$A$2:$A$101&amp;"")=(B6&amp;"")))&gt;1,"DUPLICATE PROJECT ID",IF(OR(SUMPRODUCT(--(('ERP Snapshot'!$A$2:$A$101&amp;"")=(B6&amp;"")),--('ERP Snapshot'!$Q$2:$Q$101=E6),--('ERP Snapshot'!$R$2:$R$101=F6))&lt;&gt;1,SUMPRODUCT(--('Commercial Catalogs'!$A$2:$A$10=E6),--('Commercial Catalogs'!$B$2:$B$10=F6),--('Commercial Catalogs'!$C$2:$C$10="YES"),--('Commercial Catalogs'!$D$2:$D$10="IN SCOPE"))=0,AND(E6="Strategic Services",F6&lt;&gt;"N/A"),AND(E6="Brands",F6="N/A")),"PROJECT CLASSIFICATION MISMATCH",IF(AND(G6="MXN",NOT(AND(ISNUMBER(I6),Settings!$B$8="APPROVED",Settings!$B$9&lt;&gt;"",Settings!$B$10&lt;&gt;""))),"FX HOLD","VALID"))))))))))))))))))</x:f>
        <x:v>VALID</x:v>
      </x:c>
      <x:c r="M6" s="57" t="str">
        <x:f>IF(ISNUMBER(C6),IF(AND(ISNUMBER(C6),C6&gt;=2,C6&lt;=2958465,C6=INT(C6)),YEAR(C6)&amp;"-"&amp;IF(MONTH(C6)&lt;10,"0","")&amp;MONTH(C6),""),"")</x:f>
        <x:v>2026-05</x:v>
      </x:c>
      <x:c r="N6" s="59" t="n">
        <x:f>IF(L6="VALID",IF(G6="USD",H6,I6),"")</x:f>
        <x:v>4000</x:v>
      </x:c>
      <x:c r="O6" s="57" t="n">
        <x:f>IF(L6="VALID",IF(COUNTIFS($B$2:B6,B6,$M$2:M6,M6,$L$2:L6,"VALID")=1,1,0),0)</x:f>
        <x:v>1</x:v>
      </x:c>
      <x:c r="P6" s="61" t="str">
        <x:v>Original USD uses H. Original MXN requires I supplied by ERP/Finance in USD and approved FX metadata. No current-rate conversion of historical amounts.</x:v>
      </x:c>
      <x:c r="Q6" s="61"/>
      <x:c r="R6" s="61"/>
      <x:c r="S6" s="61"/>
      <x:c r="T6" s="61"/>
      <x:c r="U6" s="61"/>
    </x:row>
    <x:row r="7" ht="42" customHeight="1">
      <x:c r="A7" s="47" t="str">
        <x:v>TEST-MAY-B</x:v>
      </x:c>
      <x:c r="B7" s="47" t="str">
        <x:v>100247</x:v>
      </x:c>
      <x:c r="C7" s="69" t="d">
        <x:v>2026-05-31T00:00:00.000Z</x:v>
      </x:c>
      <x:c r="D7" s="47" t="str">
        <x:v>US</x:v>
      </x:c>
      <x:c r="E7" s="47" t="str">
        <x:v>Brands</x:v>
      </x:c>
      <x:c r="F7" s="47" t="str">
        <x:v>Datalogic</x:v>
      </x:c>
      <x:c r="G7" s="47" t="str">
        <x:v>USD</x:v>
      </x:c>
      <x:c r="H7" s="48" t="n">
        <x:v>2500</x:v>
      </x:c>
      <x:c r="I7" s="48"/>
      <x:c r="J7" s="47" t="str">
        <x:v>TEST-SYNTHETIC-20261026</x:v>
      </x:c>
      <x:c r="K7" s="47" t="str">
        <x:v>ISSUED</x:v>
      </x:c>
      <x:c r="L7" s="57" t="str">
        <x:f>IF(COUNTA(A7:K7)=0,"",IF(K7="CANCELLED","CANCELLED",IF(A7="","INVOICE ID REQUIRED",IF(B7="","PROJECT ID REQUIRED",IF(NOT(ISNUMBER(C7)),"INVALID INVOICE DATE",IF(NOT(AND(ISNUMBER(C7),C7&gt;=2,C7&lt;=2958465,C7=INT(C7))),"INVALID INVOICE DATE",IF(NOT(OR(D7="MX",D7="US")),"ENTITY REQUIRED",IF(NOT(OR(E7="Strategic Services",E7="Brands")),"UNIT REQUIRED",IF(F7="","BRAND / N/A REQUIRED",IF(NOT(OR(G7="USD",G7="MXN")),"CURRENCY REQUIRED",IF(NOT(ISNUMBER(H7)),"AMOUNT REQUIRED",IF(J7="","ERP SOURCE REQUIRED",IF(NOT(OR(K7="ISSUED",K7="CANCELLED")),"INVOICE STATUS REQUIRED",IF(COUNTIFS($A$2:$A$501,A7,$B$2:$B$501,B7,$D$2:$D$501,D7)&gt;1,"DUPLICATE INVOICE / PROJECT",IF(SUMPRODUCT(--(('ERP Snapshot'!$A$2:$A$101&amp;"")=(B7&amp;"")))=0,"PROJECT NOT FOUND",IF(SUMPRODUCT(--(('ERP Snapshot'!$A$2:$A$101&amp;"")=(B7&amp;"")))&gt;1,"DUPLICATE PROJECT ID",IF(OR(SUMPRODUCT(--(('ERP Snapshot'!$A$2:$A$101&amp;"")=(B7&amp;"")),--('ERP Snapshot'!$Q$2:$Q$101=E7),--('ERP Snapshot'!$R$2:$R$101=F7))&lt;&gt;1,SUMPRODUCT(--('Commercial Catalogs'!$A$2:$A$10=E7),--('Commercial Catalogs'!$B$2:$B$10=F7),--('Commercial Catalogs'!$C$2:$C$10="YES"),--('Commercial Catalogs'!$D$2:$D$10="IN SCOPE"))=0,AND(E7="Strategic Services",F7&lt;&gt;"N/A"),AND(E7="Brands",F7="N/A")),"PROJECT CLASSIFICATION MISMATCH",IF(AND(G7="MXN",NOT(AND(ISNUMBER(I7),Settings!$B$8="APPROVED",Settings!$B$9&lt;&gt;"",Settings!$B$10&lt;&gt;""))),"FX HOLD","VALID"))))))))))))))))))</x:f>
        <x:v>VALID</x:v>
      </x:c>
      <x:c r="M7" s="57" t="str">
        <x:f>IF(ISNUMBER(C7),IF(AND(ISNUMBER(C7),C7&gt;=2,C7&lt;=2958465,C7=INT(C7)),YEAR(C7)&amp;"-"&amp;IF(MONTH(C7)&lt;10,"0","")&amp;MONTH(C7),""),"")</x:f>
        <x:v>2026-05</x:v>
      </x:c>
      <x:c r="N7" s="59" t="n">
        <x:f>IF(L7="VALID",IF(G7="USD",H7,I7),"")</x:f>
        <x:v>2500</x:v>
      </x:c>
      <x:c r="O7" s="57" t="n">
        <x:f>IF(L7="VALID",IF(COUNTIFS($B$2:B7,B7,$M$2:M7,M7,$L$2:L7,"VALID")=1,1,0),0)</x:f>
        <x:v>1</x:v>
      </x:c>
      <x:c r="P7" s="61" t="str">
        <x:v>Missing/invalid dates and duplicate invoice/project keys block reporting totals visibly. No date is inferred from the former monthly amount.</x:v>
      </x:c>
      <x:c r="Q7" s="61"/>
      <x:c r="R7" s="61"/>
      <x:c r="S7" s="61"/>
      <x:c r="T7" s="61"/>
      <x:c r="U7" s="61"/>
    </x:row>
    <x:row r="8" ht="42" customHeight="1">
      <x:c r="A8" s="47" t="str">
        <x:v>TEST-MAY-MXN</x:v>
      </x:c>
      <x:c r="B8" s="47" t="str">
        <x:v>100246</x:v>
      </x:c>
      <x:c r="C8" s="69" t="d">
        <x:v>2026-05-15T00:00:00.000Z</x:v>
      </x:c>
      <x:c r="D8" s="47" t="str">
        <x:v>MX</x:v>
      </x:c>
      <x:c r="E8" s="47" t="str">
        <x:v>Brands</x:v>
      </x:c>
      <x:c r="F8" s="47" t="str">
        <x:v>Desoutter</x:v>
      </x:c>
      <x:c r="G8" s="47" t="str">
        <x:v>MXN</x:v>
      </x:c>
      <x:c r="H8" s="48" t="n">
        <x:v>80000</x:v>
      </x:c>
      <x:c r="I8" s="48" t="n">
        <x:v>4000</x:v>
      </x:c>
      <x:c r="J8" s="47" t="str">
        <x:v>TEST-SYNTHETIC-20261026</x:v>
      </x:c>
      <x:c r="K8" s="47" t="str">
        <x:v>ISSUED</x:v>
      </x:c>
      <x:c r="L8" s="57" t="str">
        <x:f>IF(COUNTA(A8:K8)=0,"",IF(K8="CANCELLED","CANCELLED",IF(A8="","INVOICE ID REQUIRED",IF(B8="","PROJECT ID REQUIRED",IF(NOT(ISNUMBER(C8)),"INVALID INVOICE DATE",IF(NOT(AND(ISNUMBER(C8),C8&gt;=2,C8&lt;=2958465,C8=INT(C8))),"INVALID INVOICE DATE",IF(NOT(OR(D8="MX",D8="US")),"ENTITY REQUIRED",IF(NOT(OR(E8="Strategic Services",E8="Brands")),"UNIT REQUIRED",IF(F8="","BRAND / N/A REQUIRED",IF(NOT(OR(G8="USD",G8="MXN")),"CURRENCY REQUIRED",IF(NOT(ISNUMBER(H8)),"AMOUNT REQUIRED",IF(J8="","ERP SOURCE REQUIRED",IF(NOT(OR(K8="ISSUED",K8="CANCELLED")),"INVOICE STATUS REQUIRED",IF(COUNTIFS($A$2:$A$501,A8,$B$2:$B$501,B8,$D$2:$D$501,D8)&gt;1,"DUPLICATE INVOICE / PROJECT",IF(SUMPRODUCT(--(('ERP Snapshot'!$A$2:$A$101&amp;"")=(B8&amp;"")))=0,"PROJECT NOT FOUND",IF(SUMPRODUCT(--(('ERP Snapshot'!$A$2:$A$101&amp;"")=(B8&amp;"")))&gt;1,"DUPLICATE PROJECT ID",IF(OR(SUMPRODUCT(--(('ERP Snapshot'!$A$2:$A$101&amp;"")=(B8&amp;"")),--('ERP Snapshot'!$Q$2:$Q$101=E8),--('ERP Snapshot'!$R$2:$R$101=F8))&lt;&gt;1,SUMPRODUCT(--('Commercial Catalogs'!$A$2:$A$10=E8),--('Commercial Catalogs'!$B$2:$B$10=F8),--('Commercial Catalogs'!$C$2:$C$10="YES"),--('Commercial Catalogs'!$D$2:$D$10="IN SCOPE"))=0,AND(E8="Strategic Services",F8&lt;&gt;"N/A"),AND(E8="Brands",F8="N/A")),"PROJECT CLASSIFICATION MISMATCH",IF(AND(G8="MXN",NOT(AND(ISNUMBER(I8),Settings!$B$8="APPROVED",Settings!$B$9&lt;&gt;"",Settings!$B$10&lt;&gt;""))),"FX HOLD","VALID"))))))))))))))))))</x:f>
        <x:v>VALID</x:v>
      </x:c>
      <x:c r="M8" s="57" t="str">
        <x:f>IF(ISNUMBER(C8),IF(AND(ISNUMBER(C8),C8&gt;=2,C8&lt;=2958465,C8=INT(C8)),YEAR(C8)&amp;"-"&amp;IF(MONTH(C8)&lt;10,"0","")&amp;MONTH(C8),""),"")</x:f>
        <x:v>2026-05</x:v>
      </x:c>
      <x:c r="N8" s="59" t="n">
        <x:f>IF(L8="VALID",IF(G8="USD",H8,I8),"")</x:f>
        <x:v>4000</x:v>
      </x:c>
      <x:c r="O8" s="57" t="n">
        <x:f>IF(L8="VALID",IF(COUNTIFS($B$2:B8,B8,$M$2:M8,M8,$L$2:L8,"VALID")=1,1,0),0)</x:f>
        <x:v>1</x:v>
      </x:c>
      <x:c r="P8" s="61" t="str">
        <x:v>This is imported operational invoice information, not accounts receivable, collections or payment management.</x:v>
      </x:c>
      <x:c r="Q8" s="61"/>
      <x:c r="R8" s="61"/>
      <x:c r="S8" s="61"/>
      <x:c r="T8" s="61"/>
      <x:c r="U8" s="61"/>
    </x:row>
    <x:row r="9">
      <x:c r="A9" s="47" t="str">
        <x:v>TEST-CANCEL</x:v>
      </x:c>
      <x:c r="B9" s="47" t="str">
        <x:v>100245</x:v>
      </x:c>
      <x:c r="C9" s="69" t="d">
        <x:v>2026-05-20T00:00:00.000Z</x:v>
      </x:c>
      <x:c r="D9" s="47" t="str">
        <x:v>MX</x:v>
      </x:c>
      <x:c r="E9" s="47" t="str">
        <x:v>Strategic Services</x:v>
      </x:c>
      <x:c r="F9" s="47" t="str">
        <x:v>N/A</x:v>
      </x:c>
      <x:c r="G9" s="47" t="str">
        <x:v>USD</x:v>
      </x:c>
      <x:c r="H9" s="48" t="n">
        <x:v>9999</x:v>
      </x:c>
      <x:c r="I9" s="48"/>
      <x:c r="J9" s="47" t="str">
        <x:v>TEST-SYNTHETIC-20261026</x:v>
      </x:c>
      <x:c r="K9" s="47" t="str">
        <x:v>CANCELLED</x:v>
      </x:c>
      <x:c r="L9" s="57" t="str">
        <x:f>IF(COUNTA(A9:K9)=0,"",IF(K9="CANCELLED","CANCELLED",IF(A9="","INVOICE ID REQUIRED",IF(B9="","PROJECT ID REQUIRED",IF(NOT(ISNUMBER(C9)),"INVALID INVOICE DATE",IF(NOT(AND(ISNUMBER(C9),C9&gt;=2,C9&lt;=2958465,C9=INT(C9))),"INVALID INVOICE DATE",IF(NOT(OR(D9="MX",D9="US")),"ENTITY REQUIRED",IF(NOT(OR(E9="Strategic Services",E9="Brands")),"UNIT REQUIRED",IF(F9="","BRAND / N/A REQUIRED",IF(NOT(OR(G9="USD",G9="MXN")),"CURRENCY REQUIRED",IF(NOT(ISNUMBER(H9)),"AMOUNT REQUIRED",IF(J9="","ERP SOURCE REQUIRED",IF(NOT(OR(K9="ISSUED",K9="CANCELLED")),"INVOICE STATUS REQUIRED",IF(COUNTIFS($A$2:$A$501,A9,$B$2:$B$501,B9,$D$2:$D$501,D9)&gt;1,"DUPLICATE INVOICE / PROJECT",IF(SUMPRODUCT(--(('ERP Snapshot'!$A$2:$A$101&amp;"")=(B9&amp;"")))=0,"PROJECT NOT FOUND",IF(SUMPRODUCT(--(('ERP Snapshot'!$A$2:$A$101&amp;"")=(B9&amp;"")))&gt;1,"DUPLICATE PROJECT ID",IF(OR(SUMPRODUCT(--(('ERP Snapshot'!$A$2:$A$101&amp;"")=(B9&amp;"")),--('ERP Snapshot'!$Q$2:$Q$101=E9),--('ERP Snapshot'!$R$2:$R$101=F9))&lt;&gt;1,SUMPRODUCT(--('Commercial Catalogs'!$A$2:$A$10=E9),--('Commercial Catalogs'!$B$2:$B$10=F9),--('Commercial Catalogs'!$C$2:$C$10="YES"),--('Commercial Catalogs'!$D$2:$D$10="IN SCOPE"))=0,AND(E9="Strategic Services",F9&lt;&gt;"N/A"),AND(E9="Brands",F9="N/A")),"PROJECT CLASSIFICATION MISMATCH",IF(AND(G9="MXN",NOT(AND(ISNUMBER(I9),Settings!$B$8="APPROVED",Settings!$B$9&lt;&gt;"",Settings!$B$10&lt;&gt;""))),"FX HOLD","VALID"))))))))))))))))))</x:f>
        <x:v>CANCELLED</x:v>
      </x:c>
      <x:c r="M9" s="57" t="str">
        <x:f>IF(ISNUMBER(C9),IF(AND(ISNUMBER(C9),C9&gt;=2,C9&lt;=2958465,C9=INT(C9)),YEAR(C9)&amp;"-"&amp;IF(MONTH(C9)&lt;10,"0","")&amp;MONTH(C9),""),"")</x:f>
        <x:v>2026-05</x:v>
      </x:c>
      <x:c r="N9" s="59" t="str">
        <x:f>IF(L9="VALID",IF(G9="USD",H9,I9),"")</x:f>
      </x:c>
      <x:c r="O9" s="57" t="n">
        <x:f>IF(L9="VALID",IF(COUNTIFS($B$2:B9,B9,$M$2:M9,M9,$L$2:L9,"VALID")=1,1,0),0)</x:f>
        <x:v>0</x:v>
      </x:c>
    </x:row>
    <x:row r="10">
      <x:c r="A10" s="47" t="str">
        <x:v>TEST-DEC</x:v>
      </x:c>
      <x:c r="B10" s="47" t="str">
        <x:v>100245</x:v>
      </x:c>
      <x:c r="C10" s="69" t="d">
        <x:v>2026-12-31T00:00:00.000Z</x:v>
      </x:c>
      <x:c r="D10" s="47" t="str">
        <x:v>MX</x:v>
      </x:c>
      <x:c r="E10" s="47" t="str">
        <x:v>Strategic Services</x:v>
      </x:c>
      <x:c r="F10" s="47" t="str">
        <x:v>N/A</x:v>
      </x:c>
      <x:c r="G10" s="47" t="str">
        <x:v>USD</x:v>
      </x:c>
      <x:c r="H10" s="48" t="n">
        <x:v>7000</x:v>
      </x:c>
      <x:c r="I10" s="48"/>
      <x:c r="J10" s="47" t="str">
        <x:v>TEST-SYNTHETIC-20261026</x:v>
      </x:c>
      <x:c r="K10" s="47" t="str">
        <x:v>ISSUED</x:v>
      </x:c>
      <x:c r="L10" s="57" t="str">
        <x:f>IF(COUNTA(A10:K10)=0,"",IF(K10="CANCELLED","CANCELLED",IF(A10="","INVOICE ID REQUIRED",IF(B10="","PROJECT ID REQUIRED",IF(NOT(ISNUMBER(C10)),"INVALID INVOICE DATE",IF(NOT(AND(ISNUMBER(C10),C10&gt;=2,C10&lt;=2958465,C10=INT(C10))),"INVALID INVOICE DATE",IF(NOT(OR(D10="MX",D10="US")),"ENTITY REQUIRED",IF(NOT(OR(E10="Strategic Services",E10="Brands")),"UNIT REQUIRED",IF(F10="","BRAND / N/A REQUIRED",IF(NOT(OR(G10="USD",G10="MXN")),"CURRENCY REQUIRED",IF(NOT(ISNUMBER(H10)),"AMOUNT REQUIRED",IF(J10="","ERP SOURCE REQUIRED",IF(NOT(OR(K10="ISSUED",K10="CANCELLED")),"INVOICE STATUS REQUIRED",IF(COUNTIFS($A$2:$A$501,A10,$B$2:$B$501,B10,$D$2:$D$501,D10)&gt;1,"DUPLICATE INVOICE / PROJECT",IF(SUMPRODUCT(--(('ERP Snapshot'!$A$2:$A$101&amp;"")=(B10&amp;"")))=0,"PROJECT NOT FOUND",IF(SUMPRODUCT(--(('ERP Snapshot'!$A$2:$A$101&amp;"")=(B10&amp;"")))&gt;1,"DUPLICATE PROJECT ID",IF(OR(SUMPRODUCT(--(('ERP Snapshot'!$A$2:$A$101&amp;"")=(B10&amp;"")),--('ERP Snapshot'!$Q$2:$Q$101=E10),--('ERP Snapshot'!$R$2:$R$101=F10))&lt;&gt;1,SUMPRODUCT(--('Commercial Catalogs'!$A$2:$A$10=E10),--('Commercial Catalogs'!$B$2:$B$10=F10),--('Commercial Catalogs'!$C$2:$C$10="YES"),--('Commercial Catalogs'!$D$2:$D$10="IN SCOPE"))=0,AND(E10="Strategic Services",F10&lt;&gt;"N/A"),AND(E10="Brands",F10="N/A")),"PROJECT CLASSIFICATION MISMATCH",IF(AND(G10="MXN",NOT(AND(ISNUMBER(I10),Settings!$B$8="APPROVED",Settings!$B$9&lt;&gt;"",Settings!$B$10&lt;&gt;""))),"FX HOLD","VALID"))))))))))))))))))</x:f>
        <x:v>VALID</x:v>
      </x:c>
      <x:c r="M10" s="57" t="str">
        <x:f>IF(ISNUMBER(C10),IF(AND(ISNUMBER(C10),C10&gt;=2,C10&lt;=2958465,C10=INT(C10)),YEAR(C10)&amp;"-"&amp;IF(MONTH(C10)&lt;10,"0","")&amp;MONTH(C10),""),"")</x:f>
        <x:v>2026-12</x:v>
      </x:c>
      <x:c r="N10" s="59" t="n">
        <x:f>IF(L10="VALID",IF(G10="USD",H10,I10),"")</x:f>
        <x:v>7000</x:v>
      </x:c>
      <x:c r="O10" s="57" t="n">
        <x:f>IF(L10="VALID",IF(COUNTIFS($B$2:B10,B10,$M$2:M10,M10,$L$2:L10,"VALID")=1,1,0),0)</x:f>
        <x:v>1</x:v>
      </x:c>
    </x:row>
    <x:row r="11">
      <x:c r="A11" s="47" t="str">
        <x:v>TEST-NEXT-USD</x:v>
      </x:c>
      <x:c r="B11" s="47" t="str">
        <x:v>100245</x:v>
      </x:c>
      <x:c r="C11" s="69" t="d">
        <x:v>2027-01-01T00:00:00.000Z</x:v>
      </x:c>
      <x:c r="D11" s="47" t="str">
        <x:v>MX</x:v>
      </x:c>
      <x:c r="E11" s="47" t="str">
        <x:v>Strategic Services</x:v>
      </x:c>
      <x:c r="F11" s="47" t="str">
        <x:v>N/A</x:v>
      </x:c>
      <x:c r="G11" s="47" t="str">
        <x:v>USD</x:v>
      </x:c>
      <x:c r="H11" s="48" t="n">
        <x:v>8000</x:v>
      </x:c>
      <x:c r="I11" s="48"/>
      <x:c r="J11" s="47" t="str">
        <x:v>TEST-SYNTHETIC-20261026</x:v>
      </x:c>
      <x:c r="K11" s="47" t="str">
        <x:v>ISSUED</x:v>
      </x:c>
      <x:c r="L11" s="57" t="str">
        <x:f>IF(COUNTA(A11:K11)=0,"",IF(K11="CANCELLED","CANCELLED",IF(A11="","INVOICE ID REQUIRED",IF(B11="","PROJECT ID REQUIRED",IF(NOT(ISNUMBER(C11)),"INVALID INVOICE DATE",IF(NOT(AND(ISNUMBER(C11),C11&gt;=2,C11&lt;=2958465,C11=INT(C11))),"INVALID INVOICE DATE",IF(NOT(OR(D11="MX",D11="US")),"ENTITY REQUIRED",IF(NOT(OR(E11="Strategic Services",E11="Brands")),"UNIT REQUIRED",IF(F11="","BRAND / N/A REQUIRED",IF(NOT(OR(G11="USD",G11="MXN")),"CURRENCY REQUIRED",IF(NOT(ISNUMBER(H11)),"AMOUNT REQUIRED",IF(J11="","ERP SOURCE REQUIRED",IF(NOT(OR(K11="ISSUED",K11="CANCELLED")),"INVOICE STATUS REQUIRED",IF(COUNTIFS($A$2:$A$501,A11,$B$2:$B$501,B11,$D$2:$D$501,D11)&gt;1,"DUPLICATE INVOICE / PROJECT",IF(SUMPRODUCT(--(('ERP Snapshot'!$A$2:$A$101&amp;"")=(B11&amp;"")))=0,"PROJECT NOT FOUND",IF(SUMPRODUCT(--(('ERP Snapshot'!$A$2:$A$101&amp;"")=(B11&amp;"")))&gt;1,"DUPLICATE PROJECT ID",IF(OR(SUMPRODUCT(--(('ERP Snapshot'!$A$2:$A$101&amp;"")=(B11&amp;"")),--('ERP Snapshot'!$Q$2:$Q$101=E11),--('ERP Snapshot'!$R$2:$R$101=F11))&lt;&gt;1,SUMPRODUCT(--('Commercial Catalogs'!$A$2:$A$10=E11),--('Commercial Catalogs'!$B$2:$B$10=F11),--('Commercial Catalogs'!$C$2:$C$10="YES"),--('Commercial Catalogs'!$D$2:$D$10="IN SCOPE"))=0,AND(E11="Strategic Services",F11&lt;&gt;"N/A"),AND(E11="Brands",F11="N/A")),"PROJECT CLASSIFICATION MISMATCH",IF(AND(G11="MXN",NOT(AND(ISNUMBER(I11),Settings!$B$8="APPROVED",Settings!$B$9&lt;&gt;"",Settings!$B$10&lt;&gt;""))),"FX HOLD","VALID"))))))))))))))))))</x:f>
        <x:v>VALID</x:v>
      </x:c>
      <x:c r="M11" s="57" t="str">
        <x:f>IF(ISNUMBER(C11),IF(AND(ISNUMBER(C11),C11&gt;=2,C11&lt;=2958465,C11=INT(C11)),YEAR(C11)&amp;"-"&amp;IF(MONTH(C11)&lt;10,"0","")&amp;MONTH(C11),""),"")</x:f>
        <x:v>2027-01</x:v>
      </x:c>
      <x:c r="N11" s="59" t="n">
        <x:f>IF(L11="VALID",IF(G11="USD",H11,I11),"")</x:f>
        <x:v>8000</x:v>
      </x:c>
      <x:c r="O11" s="57" t="n">
        <x:f>IF(L11="VALID",IF(COUNTIFS($B$2:B11,B11,$M$2:M11,M11,$L$2:L11,"VALID")=1,1,0),0)</x:f>
        <x:v>1</x:v>
      </x:c>
    </x:row>
    <x:row r="12">
      <x:c r="A12" s="47" t="str">
        <x:v>TEST-NEXT-MXN</x:v>
      </x:c>
      <x:c r="B12" s="47" t="str">
        <x:v>100246</x:v>
      </x:c>
      <x:c r="C12" s="69" t="d">
        <x:v>2027-01-31T00:00:00.000Z</x:v>
      </x:c>
      <x:c r="D12" s="47" t="str">
        <x:v>MX</x:v>
      </x:c>
      <x:c r="E12" s="47" t="str">
        <x:v>Brands</x:v>
      </x:c>
      <x:c r="F12" s="47" t="str">
        <x:v>Desoutter</x:v>
      </x:c>
      <x:c r="G12" s="47" t="str">
        <x:v>MXN</x:v>
      </x:c>
      <x:c r="H12" s="48" t="n">
        <x:v>20000</x:v>
      </x:c>
      <x:c r="I12" s="48" t="n">
        <x:v>1000</x:v>
      </x:c>
      <x:c r="J12" s="47" t="str">
        <x:v>TEST-SYNTHETIC-20261026</x:v>
      </x:c>
      <x:c r="K12" s="47" t="str">
        <x:v>ISSUED</x:v>
      </x:c>
      <x:c r="L12" s="57" t="str">
        <x:f>IF(COUNTA(A12:K12)=0,"",IF(K12="CANCELLED","CANCELLED",IF(A12="","INVOICE ID REQUIRED",IF(B12="","PROJECT ID REQUIRED",IF(NOT(ISNUMBER(C12)),"INVALID INVOICE DATE",IF(NOT(AND(ISNUMBER(C12),C12&gt;=2,C12&lt;=2958465,C12=INT(C12))),"INVALID INVOICE DATE",IF(NOT(OR(D12="MX",D12="US")),"ENTITY REQUIRED",IF(NOT(OR(E12="Strategic Services",E12="Brands")),"UNIT REQUIRED",IF(F12="","BRAND / N/A REQUIRED",IF(NOT(OR(G12="USD",G12="MXN")),"CURRENCY REQUIRED",IF(NOT(ISNUMBER(H12)),"AMOUNT REQUIRED",IF(J12="","ERP SOURCE REQUIRED",IF(NOT(OR(K12="ISSUED",K12="CANCELLED")),"INVOICE STATUS REQUIRED",IF(COUNTIFS($A$2:$A$501,A12,$B$2:$B$501,B12,$D$2:$D$501,D12)&gt;1,"DUPLICATE INVOICE / PROJECT",IF(SUMPRODUCT(--(('ERP Snapshot'!$A$2:$A$101&amp;"")=(B12&amp;"")))=0,"PROJECT NOT FOUND",IF(SUMPRODUCT(--(('ERP Snapshot'!$A$2:$A$101&amp;"")=(B12&amp;"")))&gt;1,"DUPLICATE PROJECT ID",IF(OR(SUMPRODUCT(--(('ERP Snapshot'!$A$2:$A$101&amp;"")=(B12&amp;"")),--('ERP Snapshot'!$Q$2:$Q$101=E12),--('ERP Snapshot'!$R$2:$R$101=F12))&lt;&gt;1,SUMPRODUCT(--('Commercial Catalogs'!$A$2:$A$10=E12),--('Commercial Catalogs'!$B$2:$B$10=F12),--('Commercial Catalogs'!$C$2:$C$10="YES"),--('Commercial Catalogs'!$D$2:$D$10="IN SCOPE"))=0,AND(E12="Strategic Services",F12&lt;&gt;"N/A"),AND(E12="Brands",F12="N/A")),"PROJECT CLASSIFICATION MISMATCH",IF(AND(G12="MXN",NOT(AND(ISNUMBER(I12),Settings!$B$8="APPROVED",Settings!$B$9&lt;&gt;"",Settings!$B$10&lt;&gt;""))),"FX HOLD","VALID"))))))))))))))))))</x:f>
        <x:v>VALID</x:v>
      </x:c>
      <x:c r="M12" s="57" t="str">
        <x:f>IF(ISNUMBER(C12),IF(AND(ISNUMBER(C12),C12&gt;=2,C12&lt;=2958465,C12=INT(C12)),YEAR(C12)&amp;"-"&amp;IF(MONTH(C12)&lt;10,"0","")&amp;MONTH(C12),""),"")</x:f>
        <x:v>2027-01</x:v>
      </x:c>
      <x:c r="N12" s="59" t="n">
        <x:f>IF(L12="VALID",IF(G12="USD",H12,I12),"")</x:f>
        <x:v>1000</x:v>
      </x:c>
      <x:c r="O12" s="57" t="n">
        <x:f>IF(L12="VALID",IF(COUNTIFS($B$2:B12,B12,$M$2:M12,M12,$L$2:L12,"VALID")=1,1,0),0)</x:f>
        <x:v>1</x:v>
      </x:c>
    </x:row>
    <x:row r="13">
      <x:c r="A13" s="47"/>
      <x:c r="B13" s="47"/>
      <x:c r="C13" s="69"/>
      <x:c r="D13" s="47"/>
      <x:c r="E13" s="47"/>
      <x:c r="F13" s="47"/>
      <x:c r="G13" s="47"/>
      <x:c r="H13" s="48"/>
      <x:c r="I13" s="48"/>
      <x:c r="J13" s="47"/>
      <x:c r="K13" s="47"/>
      <x:c r="L13" s="57" t="str">
        <x:f>IF(COUNTA(A13:K13)=0,"",IF(K13="CANCELLED","CANCELLED",IF(A13="","INVOICE ID REQUIRED",IF(B13="","PROJECT ID REQUIRED",IF(NOT(ISNUMBER(C13)),"INVALID INVOICE DATE",IF(NOT(AND(ISNUMBER(C13),C13&gt;=2,C13&lt;=2958465,C13=INT(C13))),"INVALID INVOICE DATE",IF(NOT(OR(D13="MX",D13="US")),"ENTITY REQUIRED",IF(NOT(OR(E13="Strategic Services",E13="Brands")),"UNIT REQUIRED",IF(F13="","BRAND / N/A REQUIRED",IF(NOT(OR(G13="USD",G13="MXN")),"CURRENCY REQUIRED",IF(NOT(ISNUMBER(H13)),"AMOUNT REQUIRED",IF(J13="","ERP SOURCE REQUIRED",IF(NOT(OR(K13="ISSUED",K13="CANCELLED")),"INVOICE STATUS REQUIRED",IF(COUNTIFS($A$2:$A$501,A13,$B$2:$B$501,B13,$D$2:$D$501,D13)&gt;1,"DUPLICATE INVOICE / PROJECT",IF(SUMPRODUCT(--(('ERP Snapshot'!$A$2:$A$101&amp;"")=(B13&amp;"")))=0,"PROJECT NOT FOUND",IF(SUMPRODUCT(--(('ERP Snapshot'!$A$2:$A$101&amp;"")=(B13&amp;"")))&gt;1,"DUPLICATE PROJECT ID",IF(OR(SUMPRODUCT(--(('ERP Snapshot'!$A$2:$A$101&amp;"")=(B13&amp;"")),--('ERP Snapshot'!$Q$2:$Q$101=E13),--('ERP Snapshot'!$R$2:$R$101=F13))&lt;&gt;1,SUMPRODUCT(--('Commercial Catalogs'!$A$2:$A$10=E13),--('Commercial Catalogs'!$B$2:$B$10=F13),--('Commercial Catalogs'!$C$2:$C$10="YES"),--('Commercial Catalogs'!$D$2:$D$10="IN SCOPE"))=0,AND(E13="Strategic Services",F13&lt;&gt;"N/A"),AND(E13="Brands",F13="N/A")),"PROJECT CLASSIFICATION MISMATCH",IF(AND(G13="MXN",NOT(AND(ISNUMBER(I13),Settings!$B$8="APPROVED",Settings!$B$9&lt;&gt;"",Settings!$B$10&lt;&gt;""))),"FX HOLD","VALID"))))))))))))))))))</x:f>
      </x:c>
      <x:c r="M13" s="57" t="str">
        <x:f>IF(ISNUMBER(C13),IF(AND(ISNUMBER(C13),C13&gt;=2,C13&lt;=2958465,C13=INT(C13)),YEAR(C13)&amp;"-"&amp;IF(MONTH(C13)&lt;10,"0","")&amp;MONTH(C13),""),"")</x:f>
      </x:c>
      <x:c r="N13" s="59" t="str">
        <x:f>IF(L13="VALID",IF(G13="USD",H13,I13),"")</x:f>
      </x:c>
      <x:c r="O13" s="57" t="n">
        <x:f>IF(L13="VALID",IF(COUNTIFS($B$2:B13,B13,$M$2:M13,M13,$L$2:L13,"VALID")=1,1,0),0)</x:f>
        <x:v>0</x:v>
      </x:c>
    </x:row>
    <x:row r="14">
      <x:c r="A14" s="47"/>
      <x:c r="B14" s="47"/>
      <x:c r="C14" s="69"/>
      <x:c r="D14" s="47"/>
      <x:c r="E14" s="47"/>
      <x:c r="F14" s="47"/>
      <x:c r="G14" s="47"/>
      <x:c r="H14" s="48"/>
      <x:c r="I14" s="48"/>
      <x:c r="J14" s="47"/>
      <x:c r="K14" s="47"/>
      <x:c r="L14" s="57" t="str">
        <x:f>IF(COUNTA(A14:K14)=0,"",IF(K14="CANCELLED","CANCELLED",IF(A14="","INVOICE ID REQUIRED",IF(B14="","PROJECT ID REQUIRED",IF(NOT(ISNUMBER(C14)),"INVALID INVOICE DATE",IF(NOT(AND(ISNUMBER(C14),C14&gt;=2,C14&lt;=2958465,C14=INT(C14))),"INVALID INVOICE DATE",IF(NOT(OR(D14="MX",D14="US")),"ENTITY REQUIRED",IF(NOT(OR(E14="Strategic Services",E14="Brands")),"UNIT REQUIRED",IF(F14="","BRAND / N/A REQUIRED",IF(NOT(OR(G14="USD",G14="MXN")),"CURRENCY REQUIRED",IF(NOT(ISNUMBER(H14)),"AMOUNT REQUIRED",IF(J14="","ERP SOURCE REQUIRED",IF(NOT(OR(K14="ISSUED",K14="CANCELLED")),"INVOICE STATUS REQUIRED",IF(COUNTIFS($A$2:$A$501,A14,$B$2:$B$501,B14,$D$2:$D$501,D14)&gt;1,"DUPLICATE INVOICE / PROJECT",IF(SUMPRODUCT(--(('ERP Snapshot'!$A$2:$A$101&amp;"")=(B14&amp;"")))=0,"PROJECT NOT FOUND",IF(SUMPRODUCT(--(('ERP Snapshot'!$A$2:$A$101&amp;"")=(B14&amp;"")))&gt;1,"DUPLICATE PROJECT ID",IF(OR(SUMPRODUCT(--(('ERP Snapshot'!$A$2:$A$101&amp;"")=(B14&amp;"")),--('ERP Snapshot'!$Q$2:$Q$101=E14),--('ERP Snapshot'!$R$2:$R$101=F14))&lt;&gt;1,SUMPRODUCT(--('Commercial Catalogs'!$A$2:$A$10=E14),--('Commercial Catalogs'!$B$2:$B$10=F14),--('Commercial Catalogs'!$C$2:$C$10="YES"),--('Commercial Catalogs'!$D$2:$D$10="IN SCOPE"))=0,AND(E14="Strategic Services",F14&lt;&gt;"N/A"),AND(E14="Brands",F14="N/A")),"PROJECT CLASSIFICATION MISMATCH",IF(AND(G14="MXN",NOT(AND(ISNUMBER(I14),Settings!$B$8="APPROVED",Settings!$B$9&lt;&gt;"",Settings!$B$10&lt;&gt;""))),"FX HOLD","VALID"))))))))))))))))))</x:f>
      </x:c>
      <x:c r="M14" s="57" t="str">
        <x:f>IF(ISNUMBER(C14),IF(AND(ISNUMBER(C14),C14&gt;=2,C14&lt;=2958465,C14=INT(C14)),YEAR(C14)&amp;"-"&amp;IF(MONTH(C14)&lt;10,"0","")&amp;MONTH(C14),""),"")</x:f>
      </x:c>
      <x:c r="N14" s="59" t="str">
        <x:f>IF(L14="VALID",IF(G14="USD",H14,I14),"")</x:f>
      </x:c>
      <x:c r="O14" s="57" t="n">
        <x:f>IF(L14="VALID",IF(COUNTIFS($B$2:B14,B14,$M$2:M14,M14,$L$2:L14,"VALID")=1,1,0),0)</x:f>
        <x:v>0</x:v>
      </x:c>
    </x:row>
    <x:row r="15">
      <x:c r="A15" s="47"/>
      <x:c r="B15" s="47"/>
      <x:c r="C15" s="69"/>
      <x:c r="D15" s="47"/>
      <x:c r="E15" s="47"/>
      <x:c r="F15" s="47"/>
      <x:c r="G15" s="47"/>
      <x:c r="H15" s="48"/>
      <x:c r="I15" s="48"/>
      <x:c r="J15" s="47"/>
      <x:c r="K15" s="47"/>
      <x:c r="L15" s="57" t="str">
        <x:f>IF(COUNTA(A15:K15)=0,"",IF(K15="CANCELLED","CANCELLED",IF(A15="","INVOICE ID REQUIRED",IF(B15="","PROJECT ID REQUIRED",IF(NOT(ISNUMBER(C15)),"INVALID INVOICE DATE",IF(NOT(AND(ISNUMBER(C15),C15&gt;=2,C15&lt;=2958465,C15=INT(C15))),"INVALID INVOICE DATE",IF(NOT(OR(D15="MX",D15="US")),"ENTITY REQUIRED",IF(NOT(OR(E15="Strategic Services",E15="Brands")),"UNIT REQUIRED",IF(F15="","BRAND / N/A REQUIRED",IF(NOT(OR(G15="USD",G15="MXN")),"CURRENCY REQUIRED",IF(NOT(ISNUMBER(H15)),"AMOUNT REQUIRED",IF(J15="","ERP SOURCE REQUIRED",IF(NOT(OR(K15="ISSUED",K15="CANCELLED")),"INVOICE STATUS REQUIRED",IF(COUNTIFS($A$2:$A$501,A15,$B$2:$B$501,B15,$D$2:$D$501,D15)&gt;1,"DUPLICATE INVOICE / PROJECT",IF(SUMPRODUCT(--(('ERP Snapshot'!$A$2:$A$101&amp;"")=(B15&amp;"")))=0,"PROJECT NOT FOUND",IF(SUMPRODUCT(--(('ERP Snapshot'!$A$2:$A$101&amp;"")=(B15&amp;"")))&gt;1,"DUPLICATE PROJECT ID",IF(OR(SUMPRODUCT(--(('ERP Snapshot'!$A$2:$A$101&amp;"")=(B15&amp;"")),--('ERP Snapshot'!$Q$2:$Q$101=E15),--('ERP Snapshot'!$R$2:$R$101=F15))&lt;&gt;1,SUMPRODUCT(--('Commercial Catalogs'!$A$2:$A$10=E15),--('Commercial Catalogs'!$B$2:$B$10=F15),--('Commercial Catalogs'!$C$2:$C$10="YES"),--('Commercial Catalogs'!$D$2:$D$10="IN SCOPE"))=0,AND(E15="Strategic Services",F15&lt;&gt;"N/A"),AND(E15="Brands",F15="N/A")),"PROJECT CLASSIFICATION MISMATCH",IF(AND(G15="MXN",NOT(AND(ISNUMBER(I15),Settings!$B$8="APPROVED",Settings!$B$9&lt;&gt;"",Settings!$B$10&lt;&gt;""))),"FX HOLD","VALID"))))))))))))))))))</x:f>
      </x:c>
      <x:c r="M15" s="57" t="str">
        <x:f>IF(ISNUMBER(C15),IF(AND(ISNUMBER(C15),C15&gt;=2,C15&lt;=2958465,C15=INT(C15)),YEAR(C15)&amp;"-"&amp;IF(MONTH(C15)&lt;10,"0","")&amp;MONTH(C15),""),"")</x:f>
      </x:c>
      <x:c r="N15" s="59" t="str">
        <x:f>IF(L15="VALID",IF(G15="USD",H15,I15),"")</x:f>
      </x:c>
      <x:c r="O15" s="57" t="n">
        <x:f>IF(L15="VALID",IF(COUNTIFS($B$2:B15,B15,$M$2:M15,M15,$L$2:L15,"VALID")=1,1,0),0)</x:f>
        <x:v>0</x:v>
      </x:c>
    </x:row>
    <x:row r="16">
      <x:c r="A16" s="47"/>
      <x:c r="B16" s="47"/>
      <x:c r="C16" s="69"/>
      <x:c r="D16" s="47"/>
      <x:c r="E16" s="47"/>
      <x:c r="F16" s="47"/>
      <x:c r="G16" s="47"/>
      <x:c r="H16" s="48"/>
      <x:c r="I16" s="48"/>
      <x:c r="J16" s="47"/>
      <x:c r="K16" s="47"/>
      <x:c r="L16" s="57" t="str">
        <x:f>IF(COUNTA(A16:K16)=0,"",IF(K16="CANCELLED","CANCELLED",IF(A16="","INVOICE ID REQUIRED",IF(B16="","PROJECT ID REQUIRED",IF(NOT(ISNUMBER(C16)),"INVALID INVOICE DATE",IF(NOT(AND(ISNUMBER(C16),C16&gt;=2,C16&lt;=2958465,C16=INT(C16))),"INVALID INVOICE DATE",IF(NOT(OR(D16="MX",D16="US")),"ENTITY REQUIRED",IF(NOT(OR(E16="Strategic Services",E16="Brands")),"UNIT REQUIRED",IF(F16="","BRAND / N/A REQUIRED",IF(NOT(OR(G16="USD",G16="MXN")),"CURRENCY REQUIRED",IF(NOT(ISNUMBER(H16)),"AMOUNT REQUIRED",IF(J16="","ERP SOURCE REQUIRED",IF(NOT(OR(K16="ISSUED",K16="CANCELLED")),"INVOICE STATUS REQUIRED",IF(COUNTIFS($A$2:$A$501,A16,$B$2:$B$501,B16,$D$2:$D$501,D16)&gt;1,"DUPLICATE INVOICE / PROJECT",IF(SUMPRODUCT(--(('ERP Snapshot'!$A$2:$A$101&amp;"")=(B16&amp;"")))=0,"PROJECT NOT FOUND",IF(SUMPRODUCT(--(('ERP Snapshot'!$A$2:$A$101&amp;"")=(B16&amp;"")))&gt;1,"DUPLICATE PROJECT ID",IF(OR(SUMPRODUCT(--(('ERP Snapshot'!$A$2:$A$101&amp;"")=(B16&amp;"")),--('ERP Snapshot'!$Q$2:$Q$101=E16),--('ERP Snapshot'!$R$2:$R$101=F16))&lt;&gt;1,SUMPRODUCT(--('Commercial Catalogs'!$A$2:$A$10=E16),--('Commercial Catalogs'!$B$2:$B$10=F16),--('Commercial Catalogs'!$C$2:$C$10="YES"),--('Commercial Catalogs'!$D$2:$D$10="IN SCOPE"))=0,AND(E16="Strategic Services",F16&lt;&gt;"N/A"),AND(E16="Brands",F16="N/A")),"PROJECT CLASSIFICATION MISMATCH",IF(AND(G16="MXN",NOT(AND(ISNUMBER(I16),Settings!$B$8="APPROVED",Settings!$B$9&lt;&gt;"",Settings!$B$10&lt;&gt;""))),"FX HOLD","VALID"))))))))))))))))))</x:f>
      </x:c>
      <x:c r="M16" s="57" t="str">
        <x:f>IF(ISNUMBER(C16),IF(AND(ISNUMBER(C16),C16&gt;=2,C16&lt;=2958465,C16=INT(C16)),YEAR(C16)&amp;"-"&amp;IF(MONTH(C16)&lt;10,"0","")&amp;MONTH(C16),""),"")</x:f>
      </x:c>
      <x:c r="N16" s="59" t="str">
        <x:f>IF(L16="VALID",IF(G16="USD",H16,I16),"")</x:f>
      </x:c>
      <x:c r="O16" s="57" t="n">
        <x:f>IF(L16="VALID",IF(COUNTIFS($B$2:B16,B16,$M$2:M16,M16,$L$2:L16,"VALID")=1,1,0),0)</x:f>
        <x:v>0</x:v>
      </x:c>
    </x:row>
    <x:row r="17">
      <x:c r="A17" s="47"/>
      <x:c r="B17" s="47"/>
      <x:c r="C17" s="69"/>
      <x:c r="D17" s="47"/>
      <x:c r="E17" s="47"/>
      <x:c r="F17" s="47"/>
      <x:c r="G17" s="47"/>
      <x:c r="H17" s="48"/>
      <x:c r="I17" s="48"/>
      <x:c r="J17" s="47"/>
      <x:c r="K17" s="47"/>
      <x:c r="L17" s="57" t="str">
        <x:f>IF(COUNTA(A17:K17)=0,"",IF(K17="CANCELLED","CANCELLED",IF(A17="","INVOICE ID REQUIRED",IF(B17="","PROJECT ID REQUIRED",IF(NOT(ISNUMBER(C17)),"INVALID INVOICE DATE",IF(NOT(AND(ISNUMBER(C17),C17&gt;=2,C17&lt;=2958465,C17=INT(C17))),"INVALID INVOICE DATE",IF(NOT(OR(D17="MX",D17="US")),"ENTITY REQUIRED",IF(NOT(OR(E17="Strategic Services",E17="Brands")),"UNIT REQUIRED",IF(F17="","BRAND / N/A REQUIRED",IF(NOT(OR(G17="USD",G17="MXN")),"CURRENCY REQUIRED",IF(NOT(ISNUMBER(H17)),"AMOUNT REQUIRED",IF(J17="","ERP SOURCE REQUIRED",IF(NOT(OR(K17="ISSUED",K17="CANCELLED")),"INVOICE STATUS REQUIRED",IF(COUNTIFS($A$2:$A$501,A17,$B$2:$B$501,B17,$D$2:$D$501,D17)&gt;1,"DUPLICATE INVOICE / PROJECT",IF(SUMPRODUCT(--(('ERP Snapshot'!$A$2:$A$101&amp;"")=(B17&amp;"")))=0,"PROJECT NOT FOUND",IF(SUMPRODUCT(--(('ERP Snapshot'!$A$2:$A$101&amp;"")=(B17&amp;"")))&gt;1,"DUPLICATE PROJECT ID",IF(OR(SUMPRODUCT(--(('ERP Snapshot'!$A$2:$A$101&amp;"")=(B17&amp;"")),--('ERP Snapshot'!$Q$2:$Q$101=E17),--('ERP Snapshot'!$R$2:$R$101=F17))&lt;&gt;1,SUMPRODUCT(--('Commercial Catalogs'!$A$2:$A$10=E17),--('Commercial Catalogs'!$B$2:$B$10=F17),--('Commercial Catalogs'!$C$2:$C$10="YES"),--('Commercial Catalogs'!$D$2:$D$10="IN SCOPE"))=0,AND(E17="Strategic Services",F17&lt;&gt;"N/A"),AND(E17="Brands",F17="N/A")),"PROJECT CLASSIFICATION MISMATCH",IF(AND(G17="MXN",NOT(AND(ISNUMBER(I17),Settings!$B$8="APPROVED",Settings!$B$9&lt;&gt;"",Settings!$B$10&lt;&gt;""))),"FX HOLD","VALID"))))))))))))))))))</x:f>
      </x:c>
      <x:c r="M17" s="57" t="str">
        <x:f>IF(ISNUMBER(C17),IF(AND(ISNUMBER(C17),C17&gt;=2,C17&lt;=2958465,C17=INT(C17)),YEAR(C17)&amp;"-"&amp;IF(MONTH(C17)&lt;10,"0","")&amp;MONTH(C17),""),"")</x:f>
      </x:c>
      <x:c r="N17" s="59" t="str">
        <x:f>IF(L17="VALID",IF(G17="USD",H17,I17),"")</x:f>
      </x:c>
      <x:c r="O17" s="57" t="n">
        <x:f>IF(L17="VALID",IF(COUNTIFS($B$2:B17,B17,$M$2:M17,M17,$L$2:L17,"VALID")=1,1,0),0)</x:f>
        <x:v>0</x:v>
      </x:c>
    </x:row>
    <x:row r="18">
      <x:c r="A18" s="47"/>
      <x:c r="B18" s="47"/>
      <x:c r="C18" s="69"/>
      <x:c r="D18" s="47"/>
      <x:c r="E18" s="47"/>
      <x:c r="F18" s="47"/>
      <x:c r="G18" s="47"/>
      <x:c r="H18" s="48"/>
      <x:c r="I18" s="48"/>
      <x:c r="J18" s="47"/>
      <x:c r="K18" s="47"/>
      <x:c r="L18" s="57" t="str">
        <x:f>IF(COUNTA(A18:K18)=0,"",IF(K18="CANCELLED","CANCELLED",IF(A18="","INVOICE ID REQUIRED",IF(B18="","PROJECT ID REQUIRED",IF(NOT(ISNUMBER(C18)),"INVALID INVOICE DATE",IF(NOT(AND(ISNUMBER(C18),C18&gt;=2,C18&lt;=2958465,C18=INT(C18))),"INVALID INVOICE DATE",IF(NOT(OR(D18="MX",D18="US")),"ENTITY REQUIRED",IF(NOT(OR(E18="Strategic Services",E18="Brands")),"UNIT REQUIRED",IF(F18="","BRAND / N/A REQUIRED",IF(NOT(OR(G18="USD",G18="MXN")),"CURRENCY REQUIRED",IF(NOT(ISNUMBER(H18)),"AMOUNT REQUIRED",IF(J18="","ERP SOURCE REQUIRED",IF(NOT(OR(K18="ISSUED",K18="CANCELLED")),"INVOICE STATUS REQUIRED",IF(COUNTIFS($A$2:$A$501,A18,$B$2:$B$501,B18,$D$2:$D$501,D18)&gt;1,"DUPLICATE INVOICE / PROJECT",IF(SUMPRODUCT(--(('ERP Snapshot'!$A$2:$A$101&amp;"")=(B18&amp;"")))=0,"PROJECT NOT FOUND",IF(SUMPRODUCT(--(('ERP Snapshot'!$A$2:$A$101&amp;"")=(B18&amp;"")))&gt;1,"DUPLICATE PROJECT ID",IF(OR(SUMPRODUCT(--(('ERP Snapshot'!$A$2:$A$101&amp;"")=(B18&amp;"")),--('ERP Snapshot'!$Q$2:$Q$101=E18),--('ERP Snapshot'!$R$2:$R$101=F18))&lt;&gt;1,SUMPRODUCT(--('Commercial Catalogs'!$A$2:$A$10=E18),--('Commercial Catalogs'!$B$2:$B$10=F18),--('Commercial Catalogs'!$C$2:$C$10="YES"),--('Commercial Catalogs'!$D$2:$D$10="IN SCOPE"))=0,AND(E18="Strategic Services",F18&lt;&gt;"N/A"),AND(E18="Brands",F18="N/A")),"PROJECT CLASSIFICATION MISMATCH",IF(AND(G18="MXN",NOT(AND(ISNUMBER(I18),Settings!$B$8="APPROVED",Settings!$B$9&lt;&gt;"",Settings!$B$10&lt;&gt;""))),"FX HOLD","VALID"))))))))))))))))))</x:f>
      </x:c>
      <x:c r="M18" s="57" t="str">
        <x:f>IF(ISNUMBER(C18),IF(AND(ISNUMBER(C18),C18&gt;=2,C18&lt;=2958465,C18=INT(C18)),YEAR(C18)&amp;"-"&amp;IF(MONTH(C18)&lt;10,"0","")&amp;MONTH(C18),""),"")</x:f>
      </x:c>
      <x:c r="N18" s="59" t="str">
        <x:f>IF(L18="VALID",IF(G18="USD",H18,I18),"")</x:f>
      </x:c>
      <x:c r="O18" s="57" t="n">
        <x:f>IF(L18="VALID",IF(COUNTIFS($B$2:B18,B18,$M$2:M18,M18,$L$2:L18,"VALID")=1,1,0),0)</x:f>
        <x:v>0</x:v>
      </x:c>
    </x:row>
    <x:row r="19">
      <x:c r="A19" s="47"/>
      <x:c r="B19" s="47"/>
      <x:c r="C19" s="69"/>
      <x:c r="D19" s="47"/>
      <x:c r="E19" s="47"/>
      <x:c r="F19" s="47"/>
      <x:c r="G19" s="47"/>
      <x:c r="H19" s="48"/>
      <x:c r="I19" s="48"/>
      <x:c r="J19" s="47"/>
      <x:c r="K19" s="47"/>
      <x:c r="L19" s="57" t="str">
        <x:f>IF(COUNTA(A19:K19)=0,"",IF(K19="CANCELLED","CANCELLED",IF(A19="","INVOICE ID REQUIRED",IF(B19="","PROJECT ID REQUIRED",IF(NOT(ISNUMBER(C19)),"INVALID INVOICE DATE",IF(NOT(AND(ISNUMBER(C19),C19&gt;=2,C19&lt;=2958465,C19=INT(C19))),"INVALID INVOICE DATE",IF(NOT(OR(D19="MX",D19="US")),"ENTITY REQUIRED",IF(NOT(OR(E19="Strategic Services",E19="Brands")),"UNIT REQUIRED",IF(F19="","BRAND / N/A REQUIRED",IF(NOT(OR(G19="USD",G19="MXN")),"CURRENCY REQUIRED",IF(NOT(ISNUMBER(H19)),"AMOUNT REQUIRED",IF(J19="","ERP SOURCE REQUIRED",IF(NOT(OR(K19="ISSUED",K19="CANCELLED")),"INVOICE STATUS REQUIRED",IF(COUNTIFS($A$2:$A$501,A19,$B$2:$B$501,B19,$D$2:$D$501,D19)&gt;1,"DUPLICATE INVOICE / PROJECT",IF(SUMPRODUCT(--(('ERP Snapshot'!$A$2:$A$101&amp;"")=(B19&amp;"")))=0,"PROJECT NOT FOUND",IF(SUMPRODUCT(--(('ERP Snapshot'!$A$2:$A$101&amp;"")=(B19&amp;"")))&gt;1,"DUPLICATE PROJECT ID",IF(OR(SUMPRODUCT(--(('ERP Snapshot'!$A$2:$A$101&amp;"")=(B19&amp;"")),--('ERP Snapshot'!$Q$2:$Q$101=E19),--('ERP Snapshot'!$R$2:$R$101=F19))&lt;&gt;1,SUMPRODUCT(--('Commercial Catalogs'!$A$2:$A$10=E19),--('Commercial Catalogs'!$B$2:$B$10=F19),--('Commercial Catalogs'!$C$2:$C$10="YES"),--('Commercial Catalogs'!$D$2:$D$10="IN SCOPE"))=0,AND(E19="Strategic Services",F19&lt;&gt;"N/A"),AND(E19="Brands",F19="N/A")),"PROJECT CLASSIFICATION MISMATCH",IF(AND(G19="MXN",NOT(AND(ISNUMBER(I19),Settings!$B$8="APPROVED",Settings!$B$9&lt;&gt;"",Settings!$B$10&lt;&gt;""))),"FX HOLD","VALID"))))))))))))))))))</x:f>
      </x:c>
      <x:c r="M19" s="57" t="str">
        <x:f>IF(ISNUMBER(C19),IF(AND(ISNUMBER(C19),C19&gt;=2,C19&lt;=2958465,C19=INT(C19)),YEAR(C19)&amp;"-"&amp;IF(MONTH(C19)&lt;10,"0","")&amp;MONTH(C19),""),"")</x:f>
      </x:c>
      <x:c r="N19" s="59" t="str">
        <x:f>IF(L19="VALID",IF(G19="USD",H19,I19),"")</x:f>
      </x:c>
      <x:c r="O19" s="57" t="n">
        <x:f>IF(L19="VALID",IF(COUNTIFS($B$2:B19,B19,$M$2:M19,M19,$L$2:L19,"VALID")=1,1,0),0)</x:f>
        <x:v>0</x:v>
      </x:c>
    </x:row>
    <x:row r="20">
      <x:c r="A20" s="47"/>
      <x:c r="B20" s="47"/>
      <x:c r="C20" s="69"/>
      <x:c r="D20" s="47"/>
      <x:c r="E20" s="47"/>
      <x:c r="F20" s="47"/>
      <x:c r="G20" s="47"/>
      <x:c r="H20" s="48"/>
      <x:c r="I20" s="48"/>
      <x:c r="J20" s="47"/>
      <x:c r="K20" s="47"/>
      <x:c r="L20" s="57" t="str">
        <x:f>IF(COUNTA(A20:K20)=0,"",IF(K20="CANCELLED","CANCELLED",IF(A20="","INVOICE ID REQUIRED",IF(B20="","PROJECT ID REQUIRED",IF(NOT(ISNUMBER(C20)),"INVALID INVOICE DATE",IF(NOT(AND(ISNUMBER(C20),C20&gt;=2,C20&lt;=2958465,C20=INT(C20))),"INVALID INVOICE DATE",IF(NOT(OR(D20="MX",D20="US")),"ENTITY REQUIRED",IF(NOT(OR(E20="Strategic Services",E20="Brands")),"UNIT REQUIRED",IF(F20="","BRAND / N/A REQUIRED",IF(NOT(OR(G20="USD",G20="MXN")),"CURRENCY REQUIRED",IF(NOT(ISNUMBER(H20)),"AMOUNT REQUIRED",IF(J20="","ERP SOURCE REQUIRED",IF(NOT(OR(K20="ISSUED",K20="CANCELLED")),"INVOICE STATUS REQUIRED",IF(COUNTIFS($A$2:$A$501,A20,$B$2:$B$501,B20,$D$2:$D$501,D20)&gt;1,"DUPLICATE INVOICE / PROJECT",IF(SUMPRODUCT(--(('ERP Snapshot'!$A$2:$A$101&amp;"")=(B20&amp;"")))=0,"PROJECT NOT FOUND",IF(SUMPRODUCT(--(('ERP Snapshot'!$A$2:$A$101&amp;"")=(B20&amp;"")))&gt;1,"DUPLICATE PROJECT ID",IF(OR(SUMPRODUCT(--(('ERP Snapshot'!$A$2:$A$101&amp;"")=(B20&amp;"")),--('ERP Snapshot'!$Q$2:$Q$101=E20),--('ERP Snapshot'!$R$2:$R$101=F20))&lt;&gt;1,SUMPRODUCT(--('Commercial Catalogs'!$A$2:$A$10=E20),--('Commercial Catalogs'!$B$2:$B$10=F20),--('Commercial Catalogs'!$C$2:$C$10="YES"),--('Commercial Catalogs'!$D$2:$D$10="IN SCOPE"))=0,AND(E20="Strategic Services",F20&lt;&gt;"N/A"),AND(E20="Brands",F20="N/A")),"PROJECT CLASSIFICATION MISMATCH",IF(AND(G20="MXN",NOT(AND(ISNUMBER(I20),Settings!$B$8="APPROVED",Settings!$B$9&lt;&gt;"",Settings!$B$10&lt;&gt;""))),"FX HOLD","VALID"))))))))))))))))))</x:f>
      </x:c>
      <x:c r="M20" s="57" t="str">
        <x:f>IF(ISNUMBER(C20),IF(AND(ISNUMBER(C20),C20&gt;=2,C20&lt;=2958465,C20=INT(C20)),YEAR(C20)&amp;"-"&amp;IF(MONTH(C20)&lt;10,"0","")&amp;MONTH(C20),""),"")</x:f>
      </x:c>
      <x:c r="N20" s="59" t="str">
        <x:f>IF(L20="VALID",IF(G20="USD",H20,I20),"")</x:f>
      </x:c>
      <x:c r="O20" s="57" t="n">
        <x:f>IF(L20="VALID",IF(COUNTIFS($B$2:B20,B20,$M$2:M20,M20,$L$2:L20,"VALID")=1,1,0),0)</x:f>
        <x:v>0</x:v>
      </x:c>
    </x:row>
    <x:row r="21">
      <x:c r="A21" s="47"/>
      <x:c r="B21" s="47"/>
      <x:c r="C21" s="69"/>
      <x:c r="D21" s="47"/>
      <x:c r="E21" s="47"/>
      <x:c r="F21" s="47"/>
      <x:c r="G21" s="47"/>
      <x:c r="H21" s="48"/>
      <x:c r="I21" s="48"/>
      <x:c r="J21" s="47"/>
      <x:c r="K21" s="47"/>
      <x:c r="L21" s="57" t="str">
        <x:f>IF(COUNTA(A21:K21)=0,"",IF(K21="CANCELLED","CANCELLED",IF(A21="","INVOICE ID REQUIRED",IF(B21="","PROJECT ID REQUIRED",IF(NOT(ISNUMBER(C21)),"INVALID INVOICE DATE",IF(NOT(AND(ISNUMBER(C21),C21&gt;=2,C21&lt;=2958465,C21=INT(C21))),"INVALID INVOICE DATE",IF(NOT(OR(D21="MX",D21="US")),"ENTITY REQUIRED",IF(NOT(OR(E21="Strategic Services",E21="Brands")),"UNIT REQUIRED",IF(F21="","BRAND / N/A REQUIRED",IF(NOT(OR(G21="USD",G21="MXN")),"CURRENCY REQUIRED",IF(NOT(ISNUMBER(H21)),"AMOUNT REQUIRED",IF(J21="","ERP SOURCE REQUIRED",IF(NOT(OR(K21="ISSUED",K21="CANCELLED")),"INVOICE STATUS REQUIRED",IF(COUNTIFS($A$2:$A$501,A21,$B$2:$B$501,B21,$D$2:$D$501,D21)&gt;1,"DUPLICATE INVOICE / PROJECT",IF(SUMPRODUCT(--(('ERP Snapshot'!$A$2:$A$101&amp;"")=(B21&amp;"")))=0,"PROJECT NOT FOUND",IF(SUMPRODUCT(--(('ERP Snapshot'!$A$2:$A$101&amp;"")=(B21&amp;"")))&gt;1,"DUPLICATE PROJECT ID",IF(OR(SUMPRODUCT(--(('ERP Snapshot'!$A$2:$A$101&amp;"")=(B21&amp;"")),--('ERP Snapshot'!$Q$2:$Q$101=E21),--('ERP Snapshot'!$R$2:$R$101=F21))&lt;&gt;1,SUMPRODUCT(--('Commercial Catalogs'!$A$2:$A$10=E21),--('Commercial Catalogs'!$B$2:$B$10=F21),--('Commercial Catalogs'!$C$2:$C$10="YES"),--('Commercial Catalogs'!$D$2:$D$10="IN SCOPE"))=0,AND(E21="Strategic Services",F21&lt;&gt;"N/A"),AND(E21="Brands",F21="N/A")),"PROJECT CLASSIFICATION MISMATCH",IF(AND(G21="MXN",NOT(AND(ISNUMBER(I21),Settings!$B$8="APPROVED",Settings!$B$9&lt;&gt;"",Settings!$B$10&lt;&gt;""))),"FX HOLD","VALID"))))))))))))))))))</x:f>
      </x:c>
      <x:c r="M21" s="57" t="str">
        <x:f>IF(ISNUMBER(C21),IF(AND(ISNUMBER(C21),C21&gt;=2,C21&lt;=2958465,C21=INT(C21)),YEAR(C21)&amp;"-"&amp;IF(MONTH(C21)&lt;10,"0","")&amp;MONTH(C21),""),"")</x:f>
      </x:c>
      <x:c r="N21" s="59" t="str">
        <x:f>IF(L21="VALID",IF(G21="USD",H21,I21),"")</x:f>
      </x:c>
      <x:c r="O21" s="57" t="n">
        <x:f>IF(L21="VALID",IF(COUNTIFS($B$2:B21,B21,$M$2:M21,M21,$L$2:L21,"VALID")=1,1,0),0)</x:f>
        <x:v>0</x:v>
      </x:c>
    </x:row>
    <x:row r="22">
      <x:c r="A22" s="47"/>
      <x:c r="B22" s="47"/>
      <x:c r="C22" s="69"/>
      <x:c r="D22" s="47"/>
      <x:c r="E22" s="47"/>
      <x:c r="F22" s="47"/>
      <x:c r="G22" s="47"/>
      <x:c r="H22" s="48"/>
      <x:c r="I22" s="48"/>
      <x:c r="J22" s="47"/>
      <x:c r="K22" s="47"/>
      <x:c r="L22" s="57" t="str">
        <x:f>IF(COUNTA(A22:K22)=0,"",IF(K22="CANCELLED","CANCELLED",IF(A22="","INVOICE ID REQUIRED",IF(B22="","PROJECT ID REQUIRED",IF(NOT(ISNUMBER(C22)),"INVALID INVOICE DATE",IF(NOT(AND(ISNUMBER(C22),C22&gt;=2,C22&lt;=2958465,C22=INT(C22))),"INVALID INVOICE DATE",IF(NOT(OR(D22="MX",D22="US")),"ENTITY REQUIRED",IF(NOT(OR(E22="Strategic Services",E22="Brands")),"UNIT REQUIRED",IF(F22="","BRAND / N/A REQUIRED",IF(NOT(OR(G22="USD",G22="MXN")),"CURRENCY REQUIRED",IF(NOT(ISNUMBER(H22)),"AMOUNT REQUIRED",IF(J22="","ERP SOURCE REQUIRED",IF(NOT(OR(K22="ISSUED",K22="CANCELLED")),"INVOICE STATUS REQUIRED",IF(COUNTIFS($A$2:$A$501,A22,$B$2:$B$501,B22,$D$2:$D$501,D22)&gt;1,"DUPLICATE INVOICE / PROJECT",IF(SUMPRODUCT(--(('ERP Snapshot'!$A$2:$A$101&amp;"")=(B22&amp;"")))=0,"PROJECT NOT FOUND",IF(SUMPRODUCT(--(('ERP Snapshot'!$A$2:$A$101&amp;"")=(B22&amp;"")))&gt;1,"DUPLICATE PROJECT ID",IF(OR(SUMPRODUCT(--(('ERP Snapshot'!$A$2:$A$101&amp;"")=(B22&amp;"")),--('ERP Snapshot'!$Q$2:$Q$101=E22),--('ERP Snapshot'!$R$2:$R$101=F22))&lt;&gt;1,SUMPRODUCT(--('Commercial Catalogs'!$A$2:$A$10=E22),--('Commercial Catalogs'!$B$2:$B$10=F22),--('Commercial Catalogs'!$C$2:$C$10="YES"),--('Commercial Catalogs'!$D$2:$D$10="IN SCOPE"))=0,AND(E22="Strategic Services",F22&lt;&gt;"N/A"),AND(E22="Brands",F22="N/A")),"PROJECT CLASSIFICATION MISMATCH",IF(AND(G22="MXN",NOT(AND(ISNUMBER(I22),Settings!$B$8="APPROVED",Settings!$B$9&lt;&gt;"",Settings!$B$10&lt;&gt;""))),"FX HOLD","VALID"))))))))))))))))))</x:f>
      </x:c>
      <x:c r="M22" s="57" t="str">
        <x:f>IF(ISNUMBER(C22),IF(AND(ISNUMBER(C22),C22&gt;=2,C22&lt;=2958465,C22=INT(C22)),YEAR(C22)&amp;"-"&amp;IF(MONTH(C22)&lt;10,"0","")&amp;MONTH(C22),""),"")</x:f>
      </x:c>
      <x:c r="N22" s="59" t="str">
        <x:f>IF(L22="VALID",IF(G22="USD",H22,I22),"")</x:f>
      </x:c>
      <x:c r="O22" s="57" t="n">
        <x:f>IF(L22="VALID",IF(COUNTIFS($B$2:B22,B22,$M$2:M22,M22,$L$2:L22,"VALID")=1,1,0),0)</x:f>
        <x:v>0</x:v>
      </x:c>
    </x:row>
    <x:row r="23">
      <x:c r="A23" s="47"/>
      <x:c r="B23" s="47"/>
      <x:c r="C23" s="69"/>
      <x:c r="D23" s="47"/>
      <x:c r="E23" s="47"/>
      <x:c r="F23" s="47"/>
      <x:c r="G23" s="47"/>
      <x:c r="H23" s="48"/>
      <x:c r="I23" s="48"/>
      <x:c r="J23" s="47"/>
      <x:c r="K23" s="47"/>
      <x:c r="L23" s="57" t="str">
        <x:f>IF(COUNTA(A23:K23)=0,"",IF(K23="CANCELLED","CANCELLED",IF(A23="","INVOICE ID REQUIRED",IF(B23="","PROJECT ID REQUIRED",IF(NOT(ISNUMBER(C23)),"INVALID INVOICE DATE",IF(NOT(AND(ISNUMBER(C23),C23&gt;=2,C23&lt;=2958465,C23=INT(C23))),"INVALID INVOICE DATE",IF(NOT(OR(D23="MX",D23="US")),"ENTITY REQUIRED",IF(NOT(OR(E23="Strategic Services",E23="Brands")),"UNIT REQUIRED",IF(F23="","BRAND / N/A REQUIRED",IF(NOT(OR(G23="USD",G23="MXN")),"CURRENCY REQUIRED",IF(NOT(ISNUMBER(H23)),"AMOUNT REQUIRED",IF(J23="","ERP SOURCE REQUIRED",IF(NOT(OR(K23="ISSUED",K23="CANCELLED")),"INVOICE STATUS REQUIRED",IF(COUNTIFS($A$2:$A$501,A23,$B$2:$B$501,B23,$D$2:$D$501,D23)&gt;1,"DUPLICATE INVOICE / PROJECT",IF(SUMPRODUCT(--(('ERP Snapshot'!$A$2:$A$101&amp;"")=(B23&amp;"")))=0,"PROJECT NOT FOUND",IF(SUMPRODUCT(--(('ERP Snapshot'!$A$2:$A$101&amp;"")=(B23&amp;"")))&gt;1,"DUPLICATE PROJECT ID",IF(OR(SUMPRODUCT(--(('ERP Snapshot'!$A$2:$A$101&amp;"")=(B23&amp;"")),--('ERP Snapshot'!$Q$2:$Q$101=E23),--('ERP Snapshot'!$R$2:$R$101=F23))&lt;&gt;1,SUMPRODUCT(--('Commercial Catalogs'!$A$2:$A$10=E23),--('Commercial Catalogs'!$B$2:$B$10=F23),--('Commercial Catalogs'!$C$2:$C$10="YES"),--('Commercial Catalogs'!$D$2:$D$10="IN SCOPE"))=0,AND(E23="Strategic Services",F23&lt;&gt;"N/A"),AND(E23="Brands",F23="N/A")),"PROJECT CLASSIFICATION MISMATCH",IF(AND(G23="MXN",NOT(AND(ISNUMBER(I23),Settings!$B$8="APPROVED",Settings!$B$9&lt;&gt;"",Settings!$B$10&lt;&gt;""))),"FX HOLD","VALID"))))))))))))))))))</x:f>
      </x:c>
      <x:c r="M23" s="57" t="str">
        <x:f>IF(ISNUMBER(C23),IF(AND(ISNUMBER(C23),C23&gt;=2,C23&lt;=2958465,C23=INT(C23)),YEAR(C23)&amp;"-"&amp;IF(MONTH(C23)&lt;10,"0","")&amp;MONTH(C23),""),"")</x:f>
      </x:c>
      <x:c r="N23" s="59" t="str">
        <x:f>IF(L23="VALID",IF(G23="USD",H23,I23),"")</x:f>
      </x:c>
      <x:c r="O23" s="57" t="n">
        <x:f>IF(L23="VALID",IF(COUNTIFS($B$2:B23,B23,$M$2:M23,M23,$L$2:L23,"VALID")=1,1,0),0)</x:f>
        <x:v>0</x:v>
      </x:c>
    </x:row>
    <x:row r="24">
      <x:c r="A24" s="47"/>
      <x:c r="B24" s="47"/>
      <x:c r="C24" s="69"/>
      <x:c r="D24" s="47"/>
      <x:c r="E24" s="47"/>
      <x:c r="F24" s="47"/>
      <x:c r="G24" s="47"/>
      <x:c r="H24" s="48"/>
      <x:c r="I24" s="48"/>
      <x:c r="J24" s="47"/>
      <x:c r="K24" s="47"/>
      <x:c r="L24" s="57" t="str">
        <x:f>IF(COUNTA(A24:K24)=0,"",IF(K24="CANCELLED","CANCELLED",IF(A24="","INVOICE ID REQUIRED",IF(B24="","PROJECT ID REQUIRED",IF(NOT(ISNUMBER(C24)),"INVALID INVOICE DATE",IF(NOT(AND(ISNUMBER(C24),C24&gt;=2,C24&lt;=2958465,C24=INT(C24))),"INVALID INVOICE DATE",IF(NOT(OR(D24="MX",D24="US")),"ENTITY REQUIRED",IF(NOT(OR(E24="Strategic Services",E24="Brands")),"UNIT REQUIRED",IF(F24="","BRAND / N/A REQUIRED",IF(NOT(OR(G24="USD",G24="MXN")),"CURRENCY REQUIRED",IF(NOT(ISNUMBER(H24)),"AMOUNT REQUIRED",IF(J24="","ERP SOURCE REQUIRED",IF(NOT(OR(K24="ISSUED",K24="CANCELLED")),"INVOICE STATUS REQUIRED",IF(COUNTIFS($A$2:$A$501,A24,$B$2:$B$501,B24,$D$2:$D$501,D24)&gt;1,"DUPLICATE INVOICE / PROJECT",IF(SUMPRODUCT(--(('ERP Snapshot'!$A$2:$A$101&amp;"")=(B24&amp;"")))=0,"PROJECT NOT FOUND",IF(SUMPRODUCT(--(('ERP Snapshot'!$A$2:$A$101&amp;"")=(B24&amp;"")))&gt;1,"DUPLICATE PROJECT ID",IF(OR(SUMPRODUCT(--(('ERP Snapshot'!$A$2:$A$101&amp;"")=(B24&amp;"")),--('ERP Snapshot'!$Q$2:$Q$101=E24),--('ERP Snapshot'!$R$2:$R$101=F24))&lt;&gt;1,SUMPRODUCT(--('Commercial Catalogs'!$A$2:$A$10=E24),--('Commercial Catalogs'!$B$2:$B$10=F24),--('Commercial Catalogs'!$C$2:$C$10="YES"),--('Commercial Catalogs'!$D$2:$D$10="IN SCOPE"))=0,AND(E24="Strategic Services",F24&lt;&gt;"N/A"),AND(E24="Brands",F24="N/A")),"PROJECT CLASSIFICATION MISMATCH",IF(AND(G24="MXN",NOT(AND(ISNUMBER(I24),Settings!$B$8="APPROVED",Settings!$B$9&lt;&gt;"",Settings!$B$10&lt;&gt;""))),"FX HOLD","VALID"))))))))))))))))))</x:f>
      </x:c>
      <x:c r="M24" s="57" t="str">
        <x:f>IF(ISNUMBER(C24),IF(AND(ISNUMBER(C24),C24&gt;=2,C24&lt;=2958465,C24=INT(C24)),YEAR(C24)&amp;"-"&amp;IF(MONTH(C24)&lt;10,"0","")&amp;MONTH(C24),""),"")</x:f>
      </x:c>
      <x:c r="N24" s="59" t="str">
        <x:f>IF(L24="VALID",IF(G24="USD",H24,I24),"")</x:f>
      </x:c>
      <x:c r="O24" s="57" t="n">
        <x:f>IF(L24="VALID",IF(COUNTIFS($B$2:B24,B24,$M$2:M24,M24,$L$2:L24,"VALID")=1,1,0),0)</x:f>
        <x:v>0</x:v>
      </x:c>
    </x:row>
    <x:row r="25">
      <x:c r="A25" s="47"/>
      <x:c r="B25" s="47"/>
      <x:c r="C25" s="69"/>
      <x:c r="D25" s="47"/>
      <x:c r="E25" s="47"/>
      <x:c r="F25" s="47"/>
      <x:c r="G25" s="47"/>
      <x:c r="H25" s="48"/>
      <x:c r="I25" s="48"/>
      <x:c r="J25" s="47"/>
      <x:c r="K25" s="47"/>
      <x:c r="L25" s="57" t="str">
        <x:f>IF(COUNTA(A25:K25)=0,"",IF(K25="CANCELLED","CANCELLED",IF(A25="","INVOICE ID REQUIRED",IF(B25="","PROJECT ID REQUIRED",IF(NOT(ISNUMBER(C25)),"INVALID INVOICE DATE",IF(NOT(AND(ISNUMBER(C25),C25&gt;=2,C25&lt;=2958465,C25=INT(C25))),"INVALID INVOICE DATE",IF(NOT(OR(D25="MX",D25="US")),"ENTITY REQUIRED",IF(NOT(OR(E25="Strategic Services",E25="Brands")),"UNIT REQUIRED",IF(F25="","BRAND / N/A REQUIRED",IF(NOT(OR(G25="USD",G25="MXN")),"CURRENCY REQUIRED",IF(NOT(ISNUMBER(H25)),"AMOUNT REQUIRED",IF(J25="","ERP SOURCE REQUIRED",IF(NOT(OR(K25="ISSUED",K25="CANCELLED")),"INVOICE STATUS REQUIRED",IF(COUNTIFS($A$2:$A$501,A25,$B$2:$B$501,B25,$D$2:$D$501,D25)&gt;1,"DUPLICATE INVOICE / PROJECT",IF(SUMPRODUCT(--(('ERP Snapshot'!$A$2:$A$101&amp;"")=(B25&amp;"")))=0,"PROJECT NOT FOUND",IF(SUMPRODUCT(--(('ERP Snapshot'!$A$2:$A$101&amp;"")=(B25&amp;"")))&gt;1,"DUPLICATE PROJECT ID",IF(OR(SUMPRODUCT(--(('ERP Snapshot'!$A$2:$A$101&amp;"")=(B25&amp;"")),--('ERP Snapshot'!$Q$2:$Q$101=E25),--('ERP Snapshot'!$R$2:$R$101=F25))&lt;&gt;1,SUMPRODUCT(--('Commercial Catalogs'!$A$2:$A$10=E25),--('Commercial Catalogs'!$B$2:$B$10=F25),--('Commercial Catalogs'!$C$2:$C$10="YES"),--('Commercial Catalogs'!$D$2:$D$10="IN SCOPE"))=0,AND(E25="Strategic Services",F25&lt;&gt;"N/A"),AND(E25="Brands",F25="N/A")),"PROJECT CLASSIFICATION MISMATCH",IF(AND(G25="MXN",NOT(AND(ISNUMBER(I25),Settings!$B$8="APPROVED",Settings!$B$9&lt;&gt;"",Settings!$B$10&lt;&gt;""))),"FX HOLD","VALID"))))))))))))))))))</x:f>
      </x:c>
      <x:c r="M25" s="57" t="str">
        <x:f>IF(ISNUMBER(C25),IF(AND(ISNUMBER(C25),C25&gt;=2,C25&lt;=2958465,C25=INT(C25)),YEAR(C25)&amp;"-"&amp;IF(MONTH(C25)&lt;10,"0","")&amp;MONTH(C25),""),"")</x:f>
      </x:c>
      <x:c r="N25" s="59" t="str">
        <x:f>IF(L25="VALID",IF(G25="USD",H25,I25),"")</x:f>
      </x:c>
      <x:c r="O25" s="57" t="n">
        <x:f>IF(L25="VALID",IF(COUNTIFS($B$2:B25,B25,$M$2:M25,M25,$L$2:L25,"VALID")=1,1,0),0)</x:f>
        <x:v>0</x:v>
      </x:c>
    </x:row>
    <x:row r="26">
      <x:c r="A26" s="47"/>
      <x:c r="B26" s="47"/>
      <x:c r="C26" s="69"/>
      <x:c r="D26" s="47"/>
      <x:c r="E26" s="47"/>
      <x:c r="F26" s="47"/>
      <x:c r="G26" s="47"/>
      <x:c r="H26" s="48"/>
      <x:c r="I26" s="48"/>
      <x:c r="J26" s="47"/>
      <x:c r="K26" s="47"/>
      <x:c r="L26" s="57" t="str">
        <x:f>IF(COUNTA(A26:K26)=0,"",IF(K26="CANCELLED","CANCELLED",IF(A26="","INVOICE ID REQUIRED",IF(B26="","PROJECT ID REQUIRED",IF(NOT(ISNUMBER(C26)),"INVALID INVOICE DATE",IF(NOT(AND(ISNUMBER(C26),C26&gt;=2,C26&lt;=2958465,C26=INT(C26))),"INVALID INVOICE DATE",IF(NOT(OR(D26="MX",D26="US")),"ENTITY REQUIRED",IF(NOT(OR(E26="Strategic Services",E26="Brands")),"UNIT REQUIRED",IF(F26="","BRAND / N/A REQUIRED",IF(NOT(OR(G26="USD",G26="MXN")),"CURRENCY REQUIRED",IF(NOT(ISNUMBER(H26)),"AMOUNT REQUIRED",IF(J26="","ERP SOURCE REQUIRED",IF(NOT(OR(K26="ISSUED",K26="CANCELLED")),"INVOICE STATUS REQUIRED",IF(COUNTIFS($A$2:$A$501,A26,$B$2:$B$501,B26,$D$2:$D$501,D26)&gt;1,"DUPLICATE INVOICE / PROJECT",IF(SUMPRODUCT(--(('ERP Snapshot'!$A$2:$A$101&amp;"")=(B26&amp;"")))=0,"PROJECT NOT FOUND",IF(SUMPRODUCT(--(('ERP Snapshot'!$A$2:$A$101&amp;"")=(B26&amp;"")))&gt;1,"DUPLICATE PROJECT ID",IF(OR(SUMPRODUCT(--(('ERP Snapshot'!$A$2:$A$101&amp;"")=(B26&amp;"")),--('ERP Snapshot'!$Q$2:$Q$101=E26),--('ERP Snapshot'!$R$2:$R$101=F26))&lt;&gt;1,SUMPRODUCT(--('Commercial Catalogs'!$A$2:$A$10=E26),--('Commercial Catalogs'!$B$2:$B$10=F26),--('Commercial Catalogs'!$C$2:$C$10="YES"),--('Commercial Catalogs'!$D$2:$D$10="IN SCOPE"))=0,AND(E26="Strategic Services",F26&lt;&gt;"N/A"),AND(E26="Brands",F26="N/A")),"PROJECT CLASSIFICATION MISMATCH",IF(AND(G26="MXN",NOT(AND(ISNUMBER(I26),Settings!$B$8="APPROVED",Settings!$B$9&lt;&gt;"",Settings!$B$10&lt;&gt;""))),"FX HOLD","VALID"))))))))))))))))))</x:f>
      </x:c>
      <x:c r="M26" s="57" t="str">
        <x:f>IF(ISNUMBER(C26),IF(AND(ISNUMBER(C26),C26&gt;=2,C26&lt;=2958465,C26=INT(C26)),YEAR(C26)&amp;"-"&amp;IF(MONTH(C26)&lt;10,"0","")&amp;MONTH(C26),""),"")</x:f>
      </x:c>
      <x:c r="N26" s="59" t="str">
        <x:f>IF(L26="VALID",IF(G26="USD",H26,I26),"")</x:f>
      </x:c>
      <x:c r="O26" s="57" t="n">
        <x:f>IF(L26="VALID",IF(COUNTIFS($B$2:B26,B26,$M$2:M26,M26,$L$2:L26,"VALID")=1,1,0),0)</x:f>
        <x:v>0</x:v>
      </x:c>
    </x:row>
    <x:row r="27">
      <x:c r="A27" s="47"/>
      <x:c r="B27" s="47"/>
      <x:c r="C27" s="69"/>
      <x:c r="D27" s="47"/>
      <x:c r="E27" s="47"/>
      <x:c r="F27" s="47"/>
      <x:c r="G27" s="47"/>
      <x:c r="H27" s="48"/>
      <x:c r="I27" s="48"/>
      <x:c r="J27" s="47"/>
      <x:c r="K27" s="47"/>
      <x:c r="L27" s="57" t="str">
        <x:f>IF(COUNTA(A27:K27)=0,"",IF(K27="CANCELLED","CANCELLED",IF(A27="","INVOICE ID REQUIRED",IF(B27="","PROJECT ID REQUIRED",IF(NOT(ISNUMBER(C27)),"INVALID INVOICE DATE",IF(NOT(AND(ISNUMBER(C27),C27&gt;=2,C27&lt;=2958465,C27=INT(C27))),"INVALID INVOICE DATE",IF(NOT(OR(D27="MX",D27="US")),"ENTITY REQUIRED",IF(NOT(OR(E27="Strategic Services",E27="Brands")),"UNIT REQUIRED",IF(F27="","BRAND / N/A REQUIRED",IF(NOT(OR(G27="USD",G27="MXN")),"CURRENCY REQUIRED",IF(NOT(ISNUMBER(H27)),"AMOUNT REQUIRED",IF(J27="","ERP SOURCE REQUIRED",IF(NOT(OR(K27="ISSUED",K27="CANCELLED")),"INVOICE STATUS REQUIRED",IF(COUNTIFS($A$2:$A$501,A27,$B$2:$B$501,B27,$D$2:$D$501,D27)&gt;1,"DUPLICATE INVOICE / PROJECT",IF(SUMPRODUCT(--(('ERP Snapshot'!$A$2:$A$101&amp;"")=(B27&amp;"")))=0,"PROJECT NOT FOUND",IF(SUMPRODUCT(--(('ERP Snapshot'!$A$2:$A$101&amp;"")=(B27&amp;"")))&gt;1,"DUPLICATE PROJECT ID",IF(OR(SUMPRODUCT(--(('ERP Snapshot'!$A$2:$A$101&amp;"")=(B27&amp;"")),--('ERP Snapshot'!$Q$2:$Q$101=E27),--('ERP Snapshot'!$R$2:$R$101=F27))&lt;&gt;1,SUMPRODUCT(--('Commercial Catalogs'!$A$2:$A$10=E27),--('Commercial Catalogs'!$B$2:$B$10=F27),--('Commercial Catalogs'!$C$2:$C$10="YES"),--('Commercial Catalogs'!$D$2:$D$10="IN SCOPE"))=0,AND(E27="Strategic Services",F27&lt;&gt;"N/A"),AND(E27="Brands",F27="N/A")),"PROJECT CLASSIFICATION MISMATCH",IF(AND(G27="MXN",NOT(AND(ISNUMBER(I27),Settings!$B$8="APPROVED",Settings!$B$9&lt;&gt;"",Settings!$B$10&lt;&gt;""))),"FX HOLD","VALID"))))))))))))))))))</x:f>
      </x:c>
      <x:c r="M27" s="57" t="str">
        <x:f>IF(ISNUMBER(C27),IF(AND(ISNUMBER(C27),C27&gt;=2,C27&lt;=2958465,C27=INT(C27)),YEAR(C27)&amp;"-"&amp;IF(MONTH(C27)&lt;10,"0","")&amp;MONTH(C27),""),"")</x:f>
      </x:c>
      <x:c r="N27" s="59" t="str">
        <x:f>IF(L27="VALID",IF(G27="USD",H27,I27),"")</x:f>
      </x:c>
      <x:c r="O27" s="57" t="n">
        <x:f>IF(L27="VALID",IF(COUNTIFS($B$2:B27,B27,$M$2:M27,M27,$L$2:L27,"VALID")=1,1,0),0)</x:f>
        <x:v>0</x:v>
      </x:c>
    </x:row>
    <x:row r="28">
      <x:c r="A28" s="47"/>
      <x:c r="B28" s="47"/>
      <x:c r="C28" s="69"/>
      <x:c r="D28" s="47"/>
      <x:c r="E28" s="47"/>
      <x:c r="F28" s="47"/>
      <x:c r="G28" s="47"/>
      <x:c r="H28" s="48"/>
      <x:c r="I28" s="48"/>
      <x:c r="J28" s="47"/>
      <x:c r="K28" s="47"/>
      <x:c r="L28" s="57" t="str">
        <x:f>IF(COUNTA(A28:K28)=0,"",IF(K28="CANCELLED","CANCELLED",IF(A28="","INVOICE ID REQUIRED",IF(B28="","PROJECT ID REQUIRED",IF(NOT(ISNUMBER(C28)),"INVALID INVOICE DATE",IF(NOT(AND(ISNUMBER(C28),C28&gt;=2,C28&lt;=2958465,C28=INT(C28))),"INVALID INVOICE DATE",IF(NOT(OR(D28="MX",D28="US")),"ENTITY REQUIRED",IF(NOT(OR(E28="Strategic Services",E28="Brands")),"UNIT REQUIRED",IF(F28="","BRAND / N/A REQUIRED",IF(NOT(OR(G28="USD",G28="MXN")),"CURRENCY REQUIRED",IF(NOT(ISNUMBER(H28)),"AMOUNT REQUIRED",IF(J28="","ERP SOURCE REQUIRED",IF(NOT(OR(K28="ISSUED",K28="CANCELLED")),"INVOICE STATUS REQUIRED",IF(COUNTIFS($A$2:$A$501,A28,$B$2:$B$501,B28,$D$2:$D$501,D28)&gt;1,"DUPLICATE INVOICE / PROJECT",IF(SUMPRODUCT(--(('ERP Snapshot'!$A$2:$A$101&amp;"")=(B28&amp;"")))=0,"PROJECT NOT FOUND",IF(SUMPRODUCT(--(('ERP Snapshot'!$A$2:$A$101&amp;"")=(B28&amp;"")))&gt;1,"DUPLICATE PROJECT ID",IF(OR(SUMPRODUCT(--(('ERP Snapshot'!$A$2:$A$101&amp;"")=(B28&amp;"")),--('ERP Snapshot'!$Q$2:$Q$101=E28),--('ERP Snapshot'!$R$2:$R$101=F28))&lt;&gt;1,SUMPRODUCT(--('Commercial Catalogs'!$A$2:$A$10=E28),--('Commercial Catalogs'!$B$2:$B$10=F28),--('Commercial Catalogs'!$C$2:$C$10="YES"),--('Commercial Catalogs'!$D$2:$D$10="IN SCOPE"))=0,AND(E28="Strategic Services",F28&lt;&gt;"N/A"),AND(E28="Brands",F28="N/A")),"PROJECT CLASSIFICATION MISMATCH",IF(AND(G28="MXN",NOT(AND(ISNUMBER(I28),Settings!$B$8="APPROVED",Settings!$B$9&lt;&gt;"",Settings!$B$10&lt;&gt;""))),"FX HOLD","VALID"))))))))))))))))))</x:f>
      </x:c>
      <x:c r="M28" s="57" t="str">
        <x:f>IF(ISNUMBER(C28),IF(AND(ISNUMBER(C28),C28&gt;=2,C28&lt;=2958465,C28=INT(C28)),YEAR(C28)&amp;"-"&amp;IF(MONTH(C28)&lt;10,"0","")&amp;MONTH(C28),""),"")</x:f>
      </x:c>
      <x:c r="N28" s="59" t="str">
        <x:f>IF(L28="VALID",IF(G28="USD",H28,I28),"")</x:f>
      </x:c>
      <x:c r="O28" s="57" t="n">
        <x:f>IF(L28="VALID",IF(COUNTIFS($B$2:B28,B28,$M$2:M28,M28,$L$2:L28,"VALID")=1,1,0),0)</x:f>
        <x:v>0</x:v>
      </x:c>
    </x:row>
    <x:row r="29">
      <x:c r="A29" s="47"/>
      <x:c r="B29" s="47"/>
      <x:c r="C29" s="69"/>
      <x:c r="D29" s="47"/>
      <x:c r="E29" s="47"/>
      <x:c r="F29" s="47"/>
      <x:c r="G29" s="47"/>
      <x:c r="H29" s="48"/>
      <x:c r="I29" s="48"/>
      <x:c r="J29" s="47"/>
      <x:c r="K29" s="47"/>
      <x:c r="L29" s="57" t="str">
        <x:f>IF(COUNTA(A29:K29)=0,"",IF(K29="CANCELLED","CANCELLED",IF(A29="","INVOICE ID REQUIRED",IF(B29="","PROJECT ID REQUIRED",IF(NOT(ISNUMBER(C29)),"INVALID INVOICE DATE",IF(NOT(AND(ISNUMBER(C29),C29&gt;=2,C29&lt;=2958465,C29=INT(C29))),"INVALID INVOICE DATE",IF(NOT(OR(D29="MX",D29="US")),"ENTITY REQUIRED",IF(NOT(OR(E29="Strategic Services",E29="Brands")),"UNIT REQUIRED",IF(F29="","BRAND / N/A REQUIRED",IF(NOT(OR(G29="USD",G29="MXN")),"CURRENCY REQUIRED",IF(NOT(ISNUMBER(H29)),"AMOUNT REQUIRED",IF(J29="","ERP SOURCE REQUIRED",IF(NOT(OR(K29="ISSUED",K29="CANCELLED")),"INVOICE STATUS REQUIRED",IF(COUNTIFS($A$2:$A$501,A29,$B$2:$B$501,B29,$D$2:$D$501,D29)&gt;1,"DUPLICATE INVOICE / PROJECT",IF(SUMPRODUCT(--(('ERP Snapshot'!$A$2:$A$101&amp;"")=(B29&amp;"")))=0,"PROJECT NOT FOUND",IF(SUMPRODUCT(--(('ERP Snapshot'!$A$2:$A$101&amp;"")=(B29&amp;"")))&gt;1,"DUPLICATE PROJECT ID",IF(OR(SUMPRODUCT(--(('ERP Snapshot'!$A$2:$A$101&amp;"")=(B29&amp;"")),--('ERP Snapshot'!$Q$2:$Q$101=E29),--('ERP Snapshot'!$R$2:$R$101=F29))&lt;&gt;1,SUMPRODUCT(--('Commercial Catalogs'!$A$2:$A$10=E29),--('Commercial Catalogs'!$B$2:$B$10=F29),--('Commercial Catalogs'!$C$2:$C$10="YES"),--('Commercial Catalogs'!$D$2:$D$10="IN SCOPE"))=0,AND(E29="Strategic Services",F29&lt;&gt;"N/A"),AND(E29="Brands",F29="N/A")),"PROJECT CLASSIFICATION MISMATCH",IF(AND(G29="MXN",NOT(AND(ISNUMBER(I29),Settings!$B$8="APPROVED",Settings!$B$9&lt;&gt;"",Settings!$B$10&lt;&gt;""))),"FX HOLD","VALID"))))))))))))))))))</x:f>
      </x:c>
      <x:c r="M29" s="57" t="str">
        <x:f>IF(ISNUMBER(C29),IF(AND(ISNUMBER(C29),C29&gt;=2,C29&lt;=2958465,C29=INT(C29)),YEAR(C29)&amp;"-"&amp;IF(MONTH(C29)&lt;10,"0","")&amp;MONTH(C29),""),"")</x:f>
      </x:c>
      <x:c r="N29" s="59" t="str">
        <x:f>IF(L29="VALID",IF(G29="USD",H29,I29),"")</x:f>
      </x:c>
      <x:c r="O29" s="57" t="n">
        <x:f>IF(L29="VALID",IF(COUNTIFS($B$2:B29,B29,$M$2:M29,M29,$L$2:L29,"VALID")=1,1,0),0)</x:f>
        <x:v>0</x:v>
      </x:c>
    </x:row>
    <x:row r="30">
      <x:c r="A30" s="47"/>
      <x:c r="B30" s="47"/>
      <x:c r="C30" s="69"/>
      <x:c r="D30" s="47"/>
      <x:c r="E30" s="47"/>
      <x:c r="F30" s="47"/>
      <x:c r="G30" s="47"/>
      <x:c r="H30" s="48"/>
      <x:c r="I30" s="48"/>
      <x:c r="J30" s="47"/>
      <x:c r="K30" s="47"/>
      <x:c r="L30" s="57" t="str">
        <x:f>IF(COUNTA(A30:K30)=0,"",IF(K30="CANCELLED","CANCELLED",IF(A30="","INVOICE ID REQUIRED",IF(B30="","PROJECT ID REQUIRED",IF(NOT(ISNUMBER(C30)),"INVALID INVOICE DATE",IF(NOT(AND(ISNUMBER(C30),C30&gt;=2,C30&lt;=2958465,C30=INT(C30))),"INVALID INVOICE DATE",IF(NOT(OR(D30="MX",D30="US")),"ENTITY REQUIRED",IF(NOT(OR(E30="Strategic Services",E30="Brands")),"UNIT REQUIRED",IF(F30="","BRAND / N/A REQUIRED",IF(NOT(OR(G30="USD",G30="MXN")),"CURRENCY REQUIRED",IF(NOT(ISNUMBER(H30)),"AMOUNT REQUIRED",IF(J30="","ERP SOURCE REQUIRED",IF(NOT(OR(K30="ISSUED",K30="CANCELLED")),"INVOICE STATUS REQUIRED",IF(COUNTIFS($A$2:$A$501,A30,$B$2:$B$501,B30,$D$2:$D$501,D30)&gt;1,"DUPLICATE INVOICE / PROJECT",IF(SUMPRODUCT(--(('ERP Snapshot'!$A$2:$A$101&amp;"")=(B30&amp;"")))=0,"PROJECT NOT FOUND",IF(SUMPRODUCT(--(('ERP Snapshot'!$A$2:$A$101&amp;"")=(B30&amp;"")))&gt;1,"DUPLICATE PROJECT ID",IF(OR(SUMPRODUCT(--(('ERP Snapshot'!$A$2:$A$101&amp;"")=(B30&amp;"")),--('ERP Snapshot'!$Q$2:$Q$101=E30),--('ERP Snapshot'!$R$2:$R$101=F30))&lt;&gt;1,SUMPRODUCT(--('Commercial Catalogs'!$A$2:$A$10=E30),--('Commercial Catalogs'!$B$2:$B$10=F30),--('Commercial Catalogs'!$C$2:$C$10="YES"),--('Commercial Catalogs'!$D$2:$D$10="IN SCOPE"))=0,AND(E30="Strategic Services",F30&lt;&gt;"N/A"),AND(E30="Brands",F30="N/A")),"PROJECT CLASSIFICATION MISMATCH",IF(AND(G30="MXN",NOT(AND(ISNUMBER(I30),Settings!$B$8="APPROVED",Settings!$B$9&lt;&gt;"",Settings!$B$10&lt;&gt;""))),"FX HOLD","VALID"))))))))))))))))))</x:f>
      </x:c>
      <x:c r="M30" s="57" t="str">
        <x:f>IF(ISNUMBER(C30),IF(AND(ISNUMBER(C30),C30&gt;=2,C30&lt;=2958465,C30=INT(C30)),YEAR(C30)&amp;"-"&amp;IF(MONTH(C30)&lt;10,"0","")&amp;MONTH(C30),""),"")</x:f>
      </x:c>
      <x:c r="N30" s="59" t="str">
        <x:f>IF(L30="VALID",IF(G30="USD",H30,I30),"")</x:f>
      </x:c>
      <x:c r="O30" s="57" t="n">
        <x:f>IF(L30="VALID",IF(COUNTIFS($B$2:B30,B30,$M$2:M30,M30,$L$2:L30,"VALID")=1,1,0),0)</x:f>
        <x:v>0</x:v>
      </x:c>
    </x:row>
    <x:row r="31">
      <x:c r="A31" s="47"/>
      <x:c r="B31" s="47"/>
      <x:c r="C31" s="69"/>
      <x:c r="D31" s="47"/>
      <x:c r="E31" s="47"/>
      <x:c r="F31" s="47"/>
      <x:c r="G31" s="47"/>
      <x:c r="H31" s="48"/>
      <x:c r="I31" s="48"/>
      <x:c r="J31" s="47"/>
      <x:c r="K31" s="47"/>
      <x:c r="L31" s="57" t="str">
        <x:f>IF(COUNTA(A31:K31)=0,"",IF(K31="CANCELLED","CANCELLED",IF(A31="","INVOICE ID REQUIRED",IF(B31="","PROJECT ID REQUIRED",IF(NOT(ISNUMBER(C31)),"INVALID INVOICE DATE",IF(NOT(AND(ISNUMBER(C31),C31&gt;=2,C31&lt;=2958465,C31=INT(C31))),"INVALID INVOICE DATE",IF(NOT(OR(D31="MX",D31="US")),"ENTITY REQUIRED",IF(NOT(OR(E31="Strategic Services",E31="Brands")),"UNIT REQUIRED",IF(F31="","BRAND / N/A REQUIRED",IF(NOT(OR(G31="USD",G31="MXN")),"CURRENCY REQUIRED",IF(NOT(ISNUMBER(H31)),"AMOUNT REQUIRED",IF(J31="","ERP SOURCE REQUIRED",IF(NOT(OR(K31="ISSUED",K31="CANCELLED")),"INVOICE STATUS REQUIRED",IF(COUNTIFS($A$2:$A$501,A31,$B$2:$B$501,B31,$D$2:$D$501,D31)&gt;1,"DUPLICATE INVOICE / PROJECT",IF(SUMPRODUCT(--(('ERP Snapshot'!$A$2:$A$101&amp;"")=(B31&amp;"")))=0,"PROJECT NOT FOUND",IF(SUMPRODUCT(--(('ERP Snapshot'!$A$2:$A$101&amp;"")=(B31&amp;"")))&gt;1,"DUPLICATE PROJECT ID",IF(OR(SUMPRODUCT(--(('ERP Snapshot'!$A$2:$A$101&amp;"")=(B31&amp;"")),--('ERP Snapshot'!$Q$2:$Q$101=E31),--('ERP Snapshot'!$R$2:$R$101=F31))&lt;&gt;1,SUMPRODUCT(--('Commercial Catalogs'!$A$2:$A$10=E31),--('Commercial Catalogs'!$B$2:$B$10=F31),--('Commercial Catalogs'!$C$2:$C$10="YES"),--('Commercial Catalogs'!$D$2:$D$10="IN SCOPE"))=0,AND(E31="Strategic Services",F31&lt;&gt;"N/A"),AND(E31="Brands",F31="N/A")),"PROJECT CLASSIFICATION MISMATCH",IF(AND(G31="MXN",NOT(AND(ISNUMBER(I31),Settings!$B$8="APPROVED",Settings!$B$9&lt;&gt;"",Settings!$B$10&lt;&gt;""))),"FX HOLD","VALID"))))))))))))))))))</x:f>
      </x:c>
      <x:c r="M31" s="57" t="str">
        <x:f>IF(ISNUMBER(C31),IF(AND(ISNUMBER(C31),C31&gt;=2,C31&lt;=2958465,C31=INT(C31)),YEAR(C31)&amp;"-"&amp;IF(MONTH(C31)&lt;10,"0","")&amp;MONTH(C31),""),"")</x:f>
      </x:c>
      <x:c r="N31" s="59" t="str">
        <x:f>IF(L31="VALID",IF(G31="USD",H31,I31),"")</x:f>
      </x:c>
      <x:c r="O31" s="57" t="n">
        <x:f>IF(L31="VALID",IF(COUNTIFS($B$2:B31,B31,$M$2:M31,M31,$L$2:L31,"VALID")=1,1,0),0)</x:f>
        <x:v>0</x:v>
      </x:c>
    </x:row>
    <x:row r="32">
      <x:c r="A32" s="47"/>
      <x:c r="B32" s="47"/>
      <x:c r="C32" s="69"/>
      <x:c r="D32" s="47"/>
      <x:c r="E32" s="47"/>
      <x:c r="F32" s="47"/>
      <x:c r="G32" s="47"/>
      <x:c r="H32" s="48"/>
      <x:c r="I32" s="48"/>
      <x:c r="J32" s="47"/>
      <x:c r="K32" s="47"/>
      <x:c r="L32" s="57" t="str">
        <x:f>IF(COUNTA(A32:K32)=0,"",IF(K32="CANCELLED","CANCELLED",IF(A32="","INVOICE ID REQUIRED",IF(B32="","PROJECT ID REQUIRED",IF(NOT(ISNUMBER(C32)),"INVALID INVOICE DATE",IF(NOT(AND(ISNUMBER(C32),C32&gt;=2,C32&lt;=2958465,C32=INT(C32))),"INVALID INVOICE DATE",IF(NOT(OR(D32="MX",D32="US")),"ENTITY REQUIRED",IF(NOT(OR(E32="Strategic Services",E32="Brands")),"UNIT REQUIRED",IF(F32="","BRAND / N/A REQUIRED",IF(NOT(OR(G32="USD",G32="MXN")),"CURRENCY REQUIRED",IF(NOT(ISNUMBER(H32)),"AMOUNT REQUIRED",IF(J32="","ERP SOURCE REQUIRED",IF(NOT(OR(K32="ISSUED",K32="CANCELLED")),"INVOICE STATUS REQUIRED",IF(COUNTIFS($A$2:$A$501,A32,$B$2:$B$501,B32,$D$2:$D$501,D32)&gt;1,"DUPLICATE INVOICE / PROJECT",IF(SUMPRODUCT(--(('ERP Snapshot'!$A$2:$A$101&amp;"")=(B32&amp;"")))=0,"PROJECT NOT FOUND",IF(SUMPRODUCT(--(('ERP Snapshot'!$A$2:$A$101&amp;"")=(B32&amp;"")))&gt;1,"DUPLICATE PROJECT ID",IF(OR(SUMPRODUCT(--(('ERP Snapshot'!$A$2:$A$101&amp;"")=(B32&amp;"")),--('ERP Snapshot'!$Q$2:$Q$101=E32),--('ERP Snapshot'!$R$2:$R$101=F32))&lt;&gt;1,SUMPRODUCT(--('Commercial Catalogs'!$A$2:$A$10=E32),--('Commercial Catalogs'!$B$2:$B$10=F32),--('Commercial Catalogs'!$C$2:$C$10="YES"),--('Commercial Catalogs'!$D$2:$D$10="IN SCOPE"))=0,AND(E32="Strategic Services",F32&lt;&gt;"N/A"),AND(E32="Brands",F32="N/A")),"PROJECT CLASSIFICATION MISMATCH",IF(AND(G32="MXN",NOT(AND(ISNUMBER(I32),Settings!$B$8="APPROVED",Settings!$B$9&lt;&gt;"",Settings!$B$10&lt;&gt;""))),"FX HOLD","VALID"))))))))))))))))))</x:f>
      </x:c>
      <x:c r="M32" s="57" t="str">
        <x:f>IF(ISNUMBER(C32),IF(AND(ISNUMBER(C32),C32&gt;=2,C32&lt;=2958465,C32=INT(C32)),YEAR(C32)&amp;"-"&amp;IF(MONTH(C32)&lt;10,"0","")&amp;MONTH(C32),""),"")</x:f>
      </x:c>
      <x:c r="N32" s="59" t="str">
        <x:f>IF(L32="VALID",IF(G32="USD",H32,I32),"")</x:f>
      </x:c>
      <x:c r="O32" s="57" t="n">
        <x:f>IF(L32="VALID",IF(COUNTIFS($B$2:B32,B32,$M$2:M32,M32,$L$2:L32,"VALID")=1,1,0),0)</x:f>
        <x:v>0</x:v>
      </x:c>
    </x:row>
    <x:row r="33">
      <x:c r="A33" s="47"/>
      <x:c r="B33" s="47"/>
      <x:c r="C33" s="69"/>
      <x:c r="D33" s="47"/>
      <x:c r="E33" s="47"/>
      <x:c r="F33" s="47"/>
      <x:c r="G33" s="47"/>
      <x:c r="H33" s="48"/>
      <x:c r="I33" s="48"/>
      <x:c r="J33" s="47"/>
      <x:c r="K33" s="47"/>
      <x:c r="L33" s="57" t="str">
        <x:f>IF(COUNTA(A33:K33)=0,"",IF(K33="CANCELLED","CANCELLED",IF(A33="","INVOICE ID REQUIRED",IF(B33="","PROJECT ID REQUIRED",IF(NOT(ISNUMBER(C33)),"INVALID INVOICE DATE",IF(NOT(AND(ISNUMBER(C33),C33&gt;=2,C33&lt;=2958465,C33=INT(C33))),"INVALID INVOICE DATE",IF(NOT(OR(D33="MX",D33="US")),"ENTITY REQUIRED",IF(NOT(OR(E33="Strategic Services",E33="Brands")),"UNIT REQUIRED",IF(F33="","BRAND / N/A REQUIRED",IF(NOT(OR(G33="USD",G33="MXN")),"CURRENCY REQUIRED",IF(NOT(ISNUMBER(H33)),"AMOUNT REQUIRED",IF(J33="","ERP SOURCE REQUIRED",IF(NOT(OR(K33="ISSUED",K33="CANCELLED")),"INVOICE STATUS REQUIRED",IF(COUNTIFS($A$2:$A$501,A33,$B$2:$B$501,B33,$D$2:$D$501,D33)&gt;1,"DUPLICATE INVOICE / PROJECT",IF(SUMPRODUCT(--(('ERP Snapshot'!$A$2:$A$101&amp;"")=(B33&amp;"")))=0,"PROJECT NOT FOUND",IF(SUMPRODUCT(--(('ERP Snapshot'!$A$2:$A$101&amp;"")=(B33&amp;"")))&gt;1,"DUPLICATE PROJECT ID",IF(OR(SUMPRODUCT(--(('ERP Snapshot'!$A$2:$A$101&amp;"")=(B33&amp;"")),--('ERP Snapshot'!$Q$2:$Q$101=E33),--('ERP Snapshot'!$R$2:$R$101=F33))&lt;&gt;1,SUMPRODUCT(--('Commercial Catalogs'!$A$2:$A$10=E33),--('Commercial Catalogs'!$B$2:$B$10=F33),--('Commercial Catalogs'!$C$2:$C$10="YES"),--('Commercial Catalogs'!$D$2:$D$10="IN SCOPE"))=0,AND(E33="Strategic Services",F33&lt;&gt;"N/A"),AND(E33="Brands",F33="N/A")),"PROJECT CLASSIFICATION MISMATCH",IF(AND(G33="MXN",NOT(AND(ISNUMBER(I33),Settings!$B$8="APPROVED",Settings!$B$9&lt;&gt;"",Settings!$B$10&lt;&gt;""))),"FX HOLD","VALID"))))))))))))))))))</x:f>
      </x:c>
      <x:c r="M33" s="57" t="str">
        <x:f>IF(ISNUMBER(C33),IF(AND(ISNUMBER(C33),C33&gt;=2,C33&lt;=2958465,C33=INT(C33)),YEAR(C33)&amp;"-"&amp;IF(MONTH(C33)&lt;10,"0","")&amp;MONTH(C33),""),"")</x:f>
      </x:c>
      <x:c r="N33" s="59" t="str">
        <x:f>IF(L33="VALID",IF(G33="USD",H33,I33),"")</x:f>
      </x:c>
      <x:c r="O33" s="57" t="n">
        <x:f>IF(L33="VALID",IF(COUNTIFS($B$2:B33,B33,$M$2:M33,M33,$L$2:L33,"VALID")=1,1,0),0)</x:f>
        <x:v>0</x:v>
      </x:c>
    </x:row>
    <x:row r="34">
      <x:c r="A34" s="47"/>
      <x:c r="B34" s="47"/>
      <x:c r="C34" s="69"/>
      <x:c r="D34" s="47"/>
      <x:c r="E34" s="47"/>
      <x:c r="F34" s="47"/>
      <x:c r="G34" s="47"/>
      <x:c r="H34" s="48"/>
      <x:c r="I34" s="48"/>
      <x:c r="J34" s="47"/>
      <x:c r="K34" s="47"/>
      <x:c r="L34" s="57" t="str">
        <x:f>IF(COUNTA(A34:K34)=0,"",IF(K34="CANCELLED","CANCELLED",IF(A34="","INVOICE ID REQUIRED",IF(B34="","PROJECT ID REQUIRED",IF(NOT(ISNUMBER(C34)),"INVALID INVOICE DATE",IF(NOT(AND(ISNUMBER(C34),C34&gt;=2,C34&lt;=2958465,C34=INT(C34))),"INVALID INVOICE DATE",IF(NOT(OR(D34="MX",D34="US")),"ENTITY REQUIRED",IF(NOT(OR(E34="Strategic Services",E34="Brands")),"UNIT REQUIRED",IF(F34="","BRAND / N/A REQUIRED",IF(NOT(OR(G34="USD",G34="MXN")),"CURRENCY REQUIRED",IF(NOT(ISNUMBER(H34)),"AMOUNT REQUIRED",IF(J34="","ERP SOURCE REQUIRED",IF(NOT(OR(K34="ISSUED",K34="CANCELLED")),"INVOICE STATUS REQUIRED",IF(COUNTIFS($A$2:$A$501,A34,$B$2:$B$501,B34,$D$2:$D$501,D34)&gt;1,"DUPLICATE INVOICE / PROJECT",IF(SUMPRODUCT(--(('ERP Snapshot'!$A$2:$A$101&amp;"")=(B34&amp;"")))=0,"PROJECT NOT FOUND",IF(SUMPRODUCT(--(('ERP Snapshot'!$A$2:$A$101&amp;"")=(B34&amp;"")))&gt;1,"DUPLICATE PROJECT ID",IF(OR(SUMPRODUCT(--(('ERP Snapshot'!$A$2:$A$101&amp;"")=(B34&amp;"")),--('ERP Snapshot'!$Q$2:$Q$101=E34),--('ERP Snapshot'!$R$2:$R$101=F34))&lt;&gt;1,SUMPRODUCT(--('Commercial Catalogs'!$A$2:$A$10=E34),--('Commercial Catalogs'!$B$2:$B$10=F34),--('Commercial Catalogs'!$C$2:$C$10="YES"),--('Commercial Catalogs'!$D$2:$D$10="IN SCOPE"))=0,AND(E34="Strategic Services",F34&lt;&gt;"N/A"),AND(E34="Brands",F34="N/A")),"PROJECT CLASSIFICATION MISMATCH",IF(AND(G34="MXN",NOT(AND(ISNUMBER(I34),Settings!$B$8="APPROVED",Settings!$B$9&lt;&gt;"",Settings!$B$10&lt;&gt;""))),"FX HOLD","VALID"))))))))))))))))))</x:f>
      </x:c>
      <x:c r="M34" s="57" t="str">
        <x:f>IF(ISNUMBER(C34),IF(AND(ISNUMBER(C34),C34&gt;=2,C34&lt;=2958465,C34=INT(C34)),YEAR(C34)&amp;"-"&amp;IF(MONTH(C34)&lt;10,"0","")&amp;MONTH(C34),""),"")</x:f>
      </x:c>
      <x:c r="N34" s="59" t="str">
        <x:f>IF(L34="VALID",IF(G34="USD",H34,I34),"")</x:f>
      </x:c>
      <x:c r="O34" s="57" t="n">
        <x:f>IF(L34="VALID",IF(COUNTIFS($B$2:B34,B34,$M$2:M34,M34,$L$2:L34,"VALID")=1,1,0),0)</x:f>
        <x:v>0</x:v>
      </x:c>
    </x:row>
    <x:row r="35">
      <x:c r="A35" s="47"/>
      <x:c r="B35" s="47"/>
      <x:c r="C35" s="69"/>
      <x:c r="D35" s="47"/>
      <x:c r="E35" s="47"/>
      <x:c r="F35" s="47"/>
      <x:c r="G35" s="47"/>
      <x:c r="H35" s="48"/>
      <x:c r="I35" s="48"/>
      <x:c r="J35" s="47"/>
      <x:c r="K35" s="47"/>
      <x:c r="L35" s="57" t="str">
        <x:f>IF(COUNTA(A35:K35)=0,"",IF(K35="CANCELLED","CANCELLED",IF(A35="","INVOICE ID REQUIRED",IF(B35="","PROJECT ID REQUIRED",IF(NOT(ISNUMBER(C35)),"INVALID INVOICE DATE",IF(NOT(AND(ISNUMBER(C35),C35&gt;=2,C35&lt;=2958465,C35=INT(C35))),"INVALID INVOICE DATE",IF(NOT(OR(D35="MX",D35="US")),"ENTITY REQUIRED",IF(NOT(OR(E35="Strategic Services",E35="Brands")),"UNIT REQUIRED",IF(F35="","BRAND / N/A REQUIRED",IF(NOT(OR(G35="USD",G35="MXN")),"CURRENCY REQUIRED",IF(NOT(ISNUMBER(H35)),"AMOUNT REQUIRED",IF(J35="","ERP SOURCE REQUIRED",IF(NOT(OR(K35="ISSUED",K35="CANCELLED")),"INVOICE STATUS REQUIRED",IF(COUNTIFS($A$2:$A$501,A35,$B$2:$B$501,B35,$D$2:$D$501,D35)&gt;1,"DUPLICATE INVOICE / PROJECT",IF(SUMPRODUCT(--(('ERP Snapshot'!$A$2:$A$101&amp;"")=(B35&amp;"")))=0,"PROJECT NOT FOUND",IF(SUMPRODUCT(--(('ERP Snapshot'!$A$2:$A$101&amp;"")=(B35&amp;"")))&gt;1,"DUPLICATE PROJECT ID",IF(OR(SUMPRODUCT(--(('ERP Snapshot'!$A$2:$A$101&amp;"")=(B35&amp;"")),--('ERP Snapshot'!$Q$2:$Q$101=E35),--('ERP Snapshot'!$R$2:$R$101=F35))&lt;&gt;1,SUMPRODUCT(--('Commercial Catalogs'!$A$2:$A$10=E35),--('Commercial Catalogs'!$B$2:$B$10=F35),--('Commercial Catalogs'!$C$2:$C$10="YES"),--('Commercial Catalogs'!$D$2:$D$10="IN SCOPE"))=0,AND(E35="Strategic Services",F35&lt;&gt;"N/A"),AND(E35="Brands",F35="N/A")),"PROJECT CLASSIFICATION MISMATCH",IF(AND(G35="MXN",NOT(AND(ISNUMBER(I35),Settings!$B$8="APPROVED",Settings!$B$9&lt;&gt;"",Settings!$B$10&lt;&gt;""))),"FX HOLD","VALID"))))))))))))))))))</x:f>
      </x:c>
      <x:c r="M35" s="57" t="str">
        <x:f>IF(ISNUMBER(C35),IF(AND(ISNUMBER(C35),C35&gt;=2,C35&lt;=2958465,C35=INT(C35)),YEAR(C35)&amp;"-"&amp;IF(MONTH(C35)&lt;10,"0","")&amp;MONTH(C35),""),"")</x:f>
      </x:c>
      <x:c r="N35" s="59" t="str">
        <x:f>IF(L35="VALID",IF(G35="USD",H35,I35),"")</x:f>
      </x:c>
      <x:c r="O35" s="57" t="n">
        <x:f>IF(L35="VALID",IF(COUNTIFS($B$2:B35,B35,$M$2:M35,M35,$L$2:L35,"VALID")=1,1,0),0)</x:f>
        <x:v>0</x:v>
      </x:c>
    </x:row>
    <x:row r="36">
      <x:c r="A36" s="47"/>
      <x:c r="B36" s="47"/>
      <x:c r="C36" s="69"/>
      <x:c r="D36" s="47"/>
      <x:c r="E36" s="47"/>
      <x:c r="F36" s="47"/>
      <x:c r="G36" s="47"/>
      <x:c r="H36" s="48"/>
      <x:c r="I36" s="48"/>
      <x:c r="J36" s="47"/>
      <x:c r="K36" s="47"/>
      <x:c r="L36" s="57" t="str">
        <x:f>IF(COUNTA(A36:K36)=0,"",IF(K36="CANCELLED","CANCELLED",IF(A36="","INVOICE ID REQUIRED",IF(B36="","PROJECT ID REQUIRED",IF(NOT(ISNUMBER(C36)),"INVALID INVOICE DATE",IF(NOT(AND(ISNUMBER(C36),C36&gt;=2,C36&lt;=2958465,C36=INT(C36))),"INVALID INVOICE DATE",IF(NOT(OR(D36="MX",D36="US")),"ENTITY REQUIRED",IF(NOT(OR(E36="Strategic Services",E36="Brands")),"UNIT REQUIRED",IF(F36="","BRAND / N/A REQUIRED",IF(NOT(OR(G36="USD",G36="MXN")),"CURRENCY REQUIRED",IF(NOT(ISNUMBER(H36)),"AMOUNT REQUIRED",IF(J36="","ERP SOURCE REQUIRED",IF(NOT(OR(K36="ISSUED",K36="CANCELLED")),"INVOICE STATUS REQUIRED",IF(COUNTIFS($A$2:$A$501,A36,$B$2:$B$501,B36,$D$2:$D$501,D36)&gt;1,"DUPLICATE INVOICE / PROJECT",IF(SUMPRODUCT(--(('ERP Snapshot'!$A$2:$A$101&amp;"")=(B36&amp;"")))=0,"PROJECT NOT FOUND",IF(SUMPRODUCT(--(('ERP Snapshot'!$A$2:$A$101&amp;"")=(B36&amp;"")))&gt;1,"DUPLICATE PROJECT ID",IF(OR(SUMPRODUCT(--(('ERP Snapshot'!$A$2:$A$101&amp;"")=(B36&amp;"")),--('ERP Snapshot'!$Q$2:$Q$101=E36),--('ERP Snapshot'!$R$2:$R$101=F36))&lt;&gt;1,SUMPRODUCT(--('Commercial Catalogs'!$A$2:$A$10=E36),--('Commercial Catalogs'!$B$2:$B$10=F36),--('Commercial Catalogs'!$C$2:$C$10="YES"),--('Commercial Catalogs'!$D$2:$D$10="IN SCOPE"))=0,AND(E36="Strategic Services",F36&lt;&gt;"N/A"),AND(E36="Brands",F36="N/A")),"PROJECT CLASSIFICATION MISMATCH",IF(AND(G36="MXN",NOT(AND(ISNUMBER(I36),Settings!$B$8="APPROVED",Settings!$B$9&lt;&gt;"",Settings!$B$10&lt;&gt;""))),"FX HOLD","VALID"))))))))))))))))))</x:f>
      </x:c>
      <x:c r="M36" s="57" t="str">
        <x:f>IF(ISNUMBER(C36),IF(AND(ISNUMBER(C36),C36&gt;=2,C36&lt;=2958465,C36=INT(C36)),YEAR(C36)&amp;"-"&amp;IF(MONTH(C36)&lt;10,"0","")&amp;MONTH(C36),""),"")</x:f>
      </x:c>
      <x:c r="N36" s="59" t="str">
        <x:f>IF(L36="VALID",IF(G36="USD",H36,I36),"")</x:f>
      </x:c>
      <x:c r="O36" s="57" t="n">
        <x:f>IF(L36="VALID",IF(COUNTIFS($B$2:B36,B36,$M$2:M36,M36,$L$2:L36,"VALID")=1,1,0),0)</x:f>
        <x:v>0</x:v>
      </x:c>
    </x:row>
    <x:row r="37">
      <x:c r="A37" s="47"/>
      <x:c r="B37" s="47"/>
      <x:c r="C37" s="69"/>
      <x:c r="D37" s="47"/>
      <x:c r="E37" s="47"/>
      <x:c r="F37" s="47"/>
      <x:c r="G37" s="47"/>
      <x:c r="H37" s="48"/>
      <x:c r="I37" s="48"/>
      <x:c r="J37" s="47"/>
      <x:c r="K37" s="47"/>
      <x:c r="L37" s="57" t="str">
        <x:f>IF(COUNTA(A37:K37)=0,"",IF(K37="CANCELLED","CANCELLED",IF(A37="","INVOICE ID REQUIRED",IF(B37="","PROJECT ID REQUIRED",IF(NOT(ISNUMBER(C37)),"INVALID INVOICE DATE",IF(NOT(AND(ISNUMBER(C37),C37&gt;=2,C37&lt;=2958465,C37=INT(C37))),"INVALID INVOICE DATE",IF(NOT(OR(D37="MX",D37="US")),"ENTITY REQUIRED",IF(NOT(OR(E37="Strategic Services",E37="Brands")),"UNIT REQUIRED",IF(F37="","BRAND / N/A REQUIRED",IF(NOT(OR(G37="USD",G37="MXN")),"CURRENCY REQUIRED",IF(NOT(ISNUMBER(H37)),"AMOUNT REQUIRED",IF(J37="","ERP SOURCE REQUIRED",IF(NOT(OR(K37="ISSUED",K37="CANCELLED")),"INVOICE STATUS REQUIRED",IF(COUNTIFS($A$2:$A$501,A37,$B$2:$B$501,B37,$D$2:$D$501,D37)&gt;1,"DUPLICATE INVOICE / PROJECT",IF(SUMPRODUCT(--(('ERP Snapshot'!$A$2:$A$101&amp;"")=(B37&amp;"")))=0,"PROJECT NOT FOUND",IF(SUMPRODUCT(--(('ERP Snapshot'!$A$2:$A$101&amp;"")=(B37&amp;"")))&gt;1,"DUPLICATE PROJECT ID",IF(OR(SUMPRODUCT(--(('ERP Snapshot'!$A$2:$A$101&amp;"")=(B37&amp;"")),--('ERP Snapshot'!$Q$2:$Q$101=E37),--('ERP Snapshot'!$R$2:$R$101=F37))&lt;&gt;1,SUMPRODUCT(--('Commercial Catalogs'!$A$2:$A$10=E37),--('Commercial Catalogs'!$B$2:$B$10=F37),--('Commercial Catalogs'!$C$2:$C$10="YES"),--('Commercial Catalogs'!$D$2:$D$10="IN SCOPE"))=0,AND(E37="Strategic Services",F37&lt;&gt;"N/A"),AND(E37="Brands",F37="N/A")),"PROJECT CLASSIFICATION MISMATCH",IF(AND(G37="MXN",NOT(AND(ISNUMBER(I37),Settings!$B$8="APPROVED",Settings!$B$9&lt;&gt;"",Settings!$B$10&lt;&gt;""))),"FX HOLD","VALID"))))))))))))))))))</x:f>
      </x:c>
      <x:c r="M37" s="57" t="str">
        <x:f>IF(ISNUMBER(C37),IF(AND(ISNUMBER(C37),C37&gt;=2,C37&lt;=2958465,C37=INT(C37)),YEAR(C37)&amp;"-"&amp;IF(MONTH(C37)&lt;10,"0","")&amp;MONTH(C37),""),"")</x:f>
      </x:c>
      <x:c r="N37" s="59" t="str">
        <x:f>IF(L37="VALID",IF(G37="USD",H37,I37),"")</x:f>
      </x:c>
      <x:c r="O37" s="57" t="n">
        <x:f>IF(L37="VALID",IF(COUNTIFS($B$2:B37,B37,$M$2:M37,M37,$L$2:L37,"VALID")=1,1,0),0)</x:f>
        <x:v>0</x:v>
      </x:c>
    </x:row>
    <x:row r="38">
      <x:c r="A38" s="47"/>
      <x:c r="B38" s="47"/>
      <x:c r="C38" s="69"/>
      <x:c r="D38" s="47"/>
      <x:c r="E38" s="47"/>
      <x:c r="F38" s="47"/>
      <x:c r="G38" s="47"/>
      <x:c r="H38" s="48"/>
      <x:c r="I38" s="48"/>
      <x:c r="J38" s="47"/>
      <x:c r="K38" s="47"/>
      <x:c r="L38" s="57" t="str">
        <x:f>IF(COUNTA(A38:K38)=0,"",IF(K38="CANCELLED","CANCELLED",IF(A38="","INVOICE ID REQUIRED",IF(B38="","PROJECT ID REQUIRED",IF(NOT(ISNUMBER(C38)),"INVALID INVOICE DATE",IF(NOT(AND(ISNUMBER(C38),C38&gt;=2,C38&lt;=2958465,C38=INT(C38))),"INVALID INVOICE DATE",IF(NOT(OR(D38="MX",D38="US")),"ENTITY REQUIRED",IF(NOT(OR(E38="Strategic Services",E38="Brands")),"UNIT REQUIRED",IF(F38="","BRAND / N/A REQUIRED",IF(NOT(OR(G38="USD",G38="MXN")),"CURRENCY REQUIRED",IF(NOT(ISNUMBER(H38)),"AMOUNT REQUIRED",IF(J38="","ERP SOURCE REQUIRED",IF(NOT(OR(K38="ISSUED",K38="CANCELLED")),"INVOICE STATUS REQUIRED",IF(COUNTIFS($A$2:$A$501,A38,$B$2:$B$501,B38,$D$2:$D$501,D38)&gt;1,"DUPLICATE INVOICE / PROJECT",IF(SUMPRODUCT(--(('ERP Snapshot'!$A$2:$A$101&amp;"")=(B38&amp;"")))=0,"PROJECT NOT FOUND",IF(SUMPRODUCT(--(('ERP Snapshot'!$A$2:$A$101&amp;"")=(B38&amp;"")))&gt;1,"DUPLICATE PROJECT ID",IF(OR(SUMPRODUCT(--(('ERP Snapshot'!$A$2:$A$101&amp;"")=(B38&amp;"")),--('ERP Snapshot'!$Q$2:$Q$101=E38),--('ERP Snapshot'!$R$2:$R$101=F38))&lt;&gt;1,SUMPRODUCT(--('Commercial Catalogs'!$A$2:$A$10=E38),--('Commercial Catalogs'!$B$2:$B$10=F38),--('Commercial Catalogs'!$C$2:$C$10="YES"),--('Commercial Catalogs'!$D$2:$D$10="IN SCOPE"))=0,AND(E38="Strategic Services",F38&lt;&gt;"N/A"),AND(E38="Brands",F38="N/A")),"PROJECT CLASSIFICATION MISMATCH",IF(AND(G38="MXN",NOT(AND(ISNUMBER(I38),Settings!$B$8="APPROVED",Settings!$B$9&lt;&gt;"",Settings!$B$10&lt;&gt;""))),"FX HOLD","VALID"))))))))))))))))))</x:f>
      </x:c>
      <x:c r="M38" s="57" t="str">
        <x:f>IF(ISNUMBER(C38),IF(AND(ISNUMBER(C38),C38&gt;=2,C38&lt;=2958465,C38=INT(C38)),YEAR(C38)&amp;"-"&amp;IF(MONTH(C38)&lt;10,"0","")&amp;MONTH(C38),""),"")</x:f>
      </x:c>
      <x:c r="N38" s="59" t="str">
        <x:f>IF(L38="VALID",IF(G38="USD",H38,I38),"")</x:f>
      </x:c>
      <x:c r="O38" s="57" t="n">
        <x:f>IF(L38="VALID",IF(COUNTIFS($B$2:B38,B38,$M$2:M38,M38,$L$2:L38,"VALID")=1,1,0),0)</x:f>
        <x:v>0</x:v>
      </x:c>
    </x:row>
    <x:row r="39">
      <x:c r="A39" s="47"/>
      <x:c r="B39" s="47"/>
      <x:c r="C39" s="69"/>
      <x:c r="D39" s="47"/>
      <x:c r="E39" s="47"/>
      <x:c r="F39" s="47"/>
      <x:c r="G39" s="47"/>
      <x:c r="H39" s="48"/>
      <x:c r="I39" s="48"/>
      <x:c r="J39" s="47"/>
      <x:c r="K39" s="47"/>
      <x:c r="L39" s="57" t="str">
        <x:f>IF(COUNTA(A39:K39)=0,"",IF(K39="CANCELLED","CANCELLED",IF(A39="","INVOICE ID REQUIRED",IF(B39="","PROJECT ID REQUIRED",IF(NOT(ISNUMBER(C39)),"INVALID INVOICE DATE",IF(NOT(AND(ISNUMBER(C39),C39&gt;=2,C39&lt;=2958465,C39=INT(C39))),"INVALID INVOICE DATE",IF(NOT(OR(D39="MX",D39="US")),"ENTITY REQUIRED",IF(NOT(OR(E39="Strategic Services",E39="Brands")),"UNIT REQUIRED",IF(F39="","BRAND / N/A REQUIRED",IF(NOT(OR(G39="USD",G39="MXN")),"CURRENCY REQUIRED",IF(NOT(ISNUMBER(H39)),"AMOUNT REQUIRED",IF(J39="","ERP SOURCE REQUIRED",IF(NOT(OR(K39="ISSUED",K39="CANCELLED")),"INVOICE STATUS REQUIRED",IF(COUNTIFS($A$2:$A$501,A39,$B$2:$B$501,B39,$D$2:$D$501,D39)&gt;1,"DUPLICATE INVOICE / PROJECT",IF(SUMPRODUCT(--(('ERP Snapshot'!$A$2:$A$101&amp;"")=(B39&amp;"")))=0,"PROJECT NOT FOUND",IF(SUMPRODUCT(--(('ERP Snapshot'!$A$2:$A$101&amp;"")=(B39&amp;"")))&gt;1,"DUPLICATE PROJECT ID",IF(OR(SUMPRODUCT(--(('ERP Snapshot'!$A$2:$A$101&amp;"")=(B39&amp;"")),--('ERP Snapshot'!$Q$2:$Q$101=E39),--('ERP Snapshot'!$R$2:$R$101=F39))&lt;&gt;1,SUMPRODUCT(--('Commercial Catalogs'!$A$2:$A$10=E39),--('Commercial Catalogs'!$B$2:$B$10=F39),--('Commercial Catalogs'!$C$2:$C$10="YES"),--('Commercial Catalogs'!$D$2:$D$10="IN SCOPE"))=0,AND(E39="Strategic Services",F39&lt;&gt;"N/A"),AND(E39="Brands",F39="N/A")),"PROJECT CLASSIFICATION MISMATCH",IF(AND(G39="MXN",NOT(AND(ISNUMBER(I39),Settings!$B$8="APPROVED",Settings!$B$9&lt;&gt;"",Settings!$B$10&lt;&gt;""))),"FX HOLD","VALID"))))))))))))))))))</x:f>
      </x:c>
      <x:c r="M39" s="57" t="str">
        <x:f>IF(ISNUMBER(C39),IF(AND(ISNUMBER(C39),C39&gt;=2,C39&lt;=2958465,C39=INT(C39)),YEAR(C39)&amp;"-"&amp;IF(MONTH(C39)&lt;10,"0","")&amp;MONTH(C39),""),"")</x:f>
      </x:c>
      <x:c r="N39" s="59" t="str">
        <x:f>IF(L39="VALID",IF(G39="USD",H39,I39),"")</x:f>
      </x:c>
      <x:c r="O39" s="57" t="n">
        <x:f>IF(L39="VALID",IF(COUNTIFS($B$2:B39,B39,$M$2:M39,M39,$L$2:L39,"VALID")=1,1,0),0)</x:f>
        <x:v>0</x:v>
      </x:c>
    </x:row>
    <x:row r="40">
      <x:c r="A40" s="47"/>
      <x:c r="B40" s="47"/>
      <x:c r="C40" s="69"/>
      <x:c r="D40" s="47"/>
      <x:c r="E40" s="47"/>
      <x:c r="F40" s="47"/>
      <x:c r="G40" s="47"/>
      <x:c r="H40" s="48"/>
      <x:c r="I40" s="48"/>
      <x:c r="J40" s="47"/>
      <x:c r="K40" s="47"/>
      <x:c r="L40" s="57" t="str">
        <x:f>IF(COUNTA(A40:K40)=0,"",IF(K40="CANCELLED","CANCELLED",IF(A40="","INVOICE ID REQUIRED",IF(B40="","PROJECT ID REQUIRED",IF(NOT(ISNUMBER(C40)),"INVALID INVOICE DATE",IF(NOT(AND(ISNUMBER(C40),C40&gt;=2,C40&lt;=2958465,C40=INT(C40))),"INVALID INVOICE DATE",IF(NOT(OR(D40="MX",D40="US")),"ENTITY REQUIRED",IF(NOT(OR(E40="Strategic Services",E40="Brands")),"UNIT REQUIRED",IF(F40="","BRAND / N/A REQUIRED",IF(NOT(OR(G40="USD",G40="MXN")),"CURRENCY REQUIRED",IF(NOT(ISNUMBER(H40)),"AMOUNT REQUIRED",IF(J40="","ERP SOURCE REQUIRED",IF(NOT(OR(K40="ISSUED",K40="CANCELLED")),"INVOICE STATUS REQUIRED",IF(COUNTIFS($A$2:$A$501,A40,$B$2:$B$501,B40,$D$2:$D$501,D40)&gt;1,"DUPLICATE INVOICE / PROJECT",IF(SUMPRODUCT(--(('ERP Snapshot'!$A$2:$A$101&amp;"")=(B40&amp;"")))=0,"PROJECT NOT FOUND",IF(SUMPRODUCT(--(('ERP Snapshot'!$A$2:$A$101&amp;"")=(B40&amp;"")))&gt;1,"DUPLICATE PROJECT ID",IF(OR(SUMPRODUCT(--(('ERP Snapshot'!$A$2:$A$101&amp;"")=(B40&amp;"")),--('ERP Snapshot'!$Q$2:$Q$101=E40),--('ERP Snapshot'!$R$2:$R$101=F40))&lt;&gt;1,SUMPRODUCT(--('Commercial Catalogs'!$A$2:$A$10=E40),--('Commercial Catalogs'!$B$2:$B$10=F40),--('Commercial Catalogs'!$C$2:$C$10="YES"),--('Commercial Catalogs'!$D$2:$D$10="IN SCOPE"))=0,AND(E40="Strategic Services",F40&lt;&gt;"N/A"),AND(E40="Brands",F40="N/A")),"PROJECT CLASSIFICATION MISMATCH",IF(AND(G40="MXN",NOT(AND(ISNUMBER(I40),Settings!$B$8="APPROVED",Settings!$B$9&lt;&gt;"",Settings!$B$10&lt;&gt;""))),"FX HOLD","VALID"))))))))))))))))))</x:f>
      </x:c>
      <x:c r="M40" s="57" t="str">
        <x:f>IF(ISNUMBER(C40),IF(AND(ISNUMBER(C40),C40&gt;=2,C40&lt;=2958465,C40=INT(C40)),YEAR(C40)&amp;"-"&amp;IF(MONTH(C40)&lt;10,"0","")&amp;MONTH(C40),""),"")</x:f>
      </x:c>
      <x:c r="N40" s="59" t="str">
        <x:f>IF(L40="VALID",IF(G40="USD",H40,I40),"")</x:f>
      </x:c>
      <x:c r="O40" s="57" t="n">
        <x:f>IF(L40="VALID",IF(COUNTIFS($B$2:B40,B40,$M$2:M40,M40,$L$2:L40,"VALID")=1,1,0),0)</x:f>
        <x:v>0</x:v>
      </x:c>
    </x:row>
    <x:row r="41">
      <x:c r="A41" s="47"/>
      <x:c r="B41" s="47"/>
      <x:c r="C41" s="69"/>
      <x:c r="D41" s="47"/>
      <x:c r="E41" s="47"/>
      <x:c r="F41" s="47"/>
      <x:c r="G41" s="47"/>
      <x:c r="H41" s="48"/>
      <x:c r="I41" s="48"/>
      <x:c r="J41" s="47"/>
      <x:c r="K41" s="47"/>
      <x:c r="L41" s="57" t="str">
        <x:f>IF(COUNTA(A41:K41)=0,"",IF(K41="CANCELLED","CANCELLED",IF(A41="","INVOICE ID REQUIRED",IF(B41="","PROJECT ID REQUIRED",IF(NOT(ISNUMBER(C41)),"INVALID INVOICE DATE",IF(NOT(AND(ISNUMBER(C41),C41&gt;=2,C41&lt;=2958465,C41=INT(C41))),"INVALID INVOICE DATE",IF(NOT(OR(D41="MX",D41="US")),"ENTITY REQUIRED",IF(NOT(OR(E41="Strategic Services",E41="Brands")),"UNIT REQUIRED",IF(F41="","BRAND / N/A REQUIRED",IF(NOT(OR(G41="USD",G41="MXN")),"CURRENCY REQUIRED",IF(NOT(ISNUMBER(H41)),"AMOUNT REQUIRED",IF(J41="","ERP SOURCE REQUIRED",IF(NOT(OR(K41="ISSUED",K41="CANCELLED")),"INVOICE STATUS REQUIRED",IF(COUNTIFS($A$2:$A$501,A41,$B$2:$B$501,B41,$D$2:$D$501,D41)&gt;1,"DUPLICATE INVOICE / PROJECT",IF(SUMPRODUCT(--(('ERP Snapshot'!$A$2:$A$101&amp;"")=(B41&amp;"")))=0,"PROJECT NOT FOUND",IF(SUMPRODUCT(--(('ERP Snapshot'!$A$2:$A$101&amp;"")=(B41&amp;"")))&gt;1,"DUPLICATE PROJECT ID",IF(OR(SUMPRODUCT(--(('ERP Snapshot'!$A$2:$A$101&amp;"")=(B41&amp;"")),--('ERP Snapshot'!$Q$2:$Q$101=E41),--('ERP Snapshot'!$R$2:$R$101=F41))&lt;&gt;1,SUMPRODUCT(--('Commercial Catalogs'!$A$2:$A$10=E41),--('Commercial Catalogs'!$B$2:$B$10=F41),--('Commercial Catalogs'!$C$2:$C$10="YES"),--('Commercial Catalogs'!$D$2:$D$10="IN SCOPE"))=0,AND(E41="Strategic Services",F41&lt;&gt;"N/A"),AND(E41="Brands",F41="N/A")),"PROJECT CLASSIFICATION MISMATCH",IF(AND(G41="MXN",NOT(AND(ISNUMBER(I41),Settings!$B$8="APPROVED",Settings!$B$9&lt;&gt;"",Settings!$B$10&lt;&gt;""))),"FX HOLD","VALID"))))))))))))))))))</x:f>
      </x:c>
      <x:c r="M41" s="57" t="str">
        <x:f>IF(ISNUMBER(C41),IF(AND(ISNUMBER(C41),C41&gt;=2,C41&lt;=2958465,C41=INT(C41)),YEAR(C41)&amp;"-"&amp;IF(MONTH(C41)&lt;10,"0","")&amp;MONTH(C41),""),"")</x:f>
      </x:c>
      <x:c r="N41" s="59" t="str">
        <x:f>IF(L41="VALID",IF(G41="USD",H41,I41),"")</x:f>
      </x:c>
      <x:c r="O41" s="57" t="n">
        <x:f>IF(L41="VALID",IF(COUNTIFS($B$2:B41,B41,$M$2:M41,M41,$L$2:L41,"VALID")=1,1,0),0)</x:f>
        <x:v>0</x:v>
      </x:c>
    </x:row>
    <x:row r="42">
      <x:c r="A42" s="47"/>
      <x:c r="B42" s="47"/>
      <x:c r="C42" s="69"/>
      <x:c r="D42" s="47"/>
      <x:c r="E42" s="47"/>
      <x:c r="F42" s="47"/>
      <x:c r="G42" s="47"/>
      <x:c r="H42" s="48"/>
      <x:c r="I42" s="48"/>
      <x:c r="J42" s="47"/>
      <x:c r="K42" s="47"/>
      <x:c r="L42" s="57" t="str">
        <x:f>IF(COUNTA(A42:K42)=0,"",IF(K42="CANCELLED","CANCELLED",IF(A42="","INVOICE ID REQUIRED",IF(B42="","PROJECT ID REQUIRED",IF(NOT(ISNUMBER(C42)),"INVALID INVOICE DATE",IF(NOT(AND(ISNUMBER(C42),C42&gt;=2,C42&lt;=2958465,C42=INT(C42))),"INVALID INVOICE DATE",IF(NOT(OR(D42="MX",D42="US")),"ENTITY REQUIRED",IF(NOT(OR(E42="Strategic Services",E42="Brands")),"UNIT REQUIRED",IF(F42="","BRAND / N/A REQUIRED",IF(NOT(OR(G42="USD",G42="MXN")),"CURRENCY REQUIRED",IF(NOT(ISNUMBER(H42)),"AMOUNT REQUIRED",IF(J42="","ERP SOURCE REQUIRED",IF(NOT(OR(K42="ISSUED",K42="CANCELLED")),"INVOICE STATUS REQUIRED",IF(COUNTIFS($A$2:$A$501,A42,$B$2:$B$501,B42,$D$2:$D$501,D42)&gt;1,"DUPLICATE INVOICE / PROJECT",IF(SUMPRODUCT(--(('ERP Snapshot'!$A$2:$A$101&amp;"")=(B42&amp;"")))=0,"PROJECT NOT FOUND",IF(SUMPRODUCT(--(('ERP Snapshot'!$A$2:$A$101&amp;"")=(B42&amp;"")))&gt;1,"DUPLICATE PROJECT ID",IF(OR(SUMPRODUCT(--(('ERP Snapshot'!$A$2:$A$101&amp;"")=(B42&amp;"")),--('ERP Snapshot'!$Q$2:$Q$101=E42),--('ERP Snapshot'!$R$2:$R$101=F42))&lt;&gt;1,SUMPRODUCT(--('Commercial Catalogs'!$A$2:$A$10=E42),--('Commercial Catalogs'!$B$2:$B$10=F42),--('Commercial Catalogs'!$C$2:$C$10="YES"),--('Commercial Catalogs'!$D$2:$D$10="IN SCOPE"))=0,AND(E42="Strategic Services",F42&lt;&gt;"N/A"),AND(E42="Brands",F42="N/A")),"PROJECT CLASSIFICATION MISMATCH",IF(AND(G42="MXN",NOT(AND(ISNUMBER(I42),Settings!$B$8="APPROVED",Settings!$B$9&lt;&gt;"",Settings!$B$10&lt;&gt;""))),"FX HOLD","VALID"))))))))))))))))))</x:f>
      </x:c>
      <x:c r="M42" s="57" t="str">
        <x:f>IF(ISNUMBER(C42),IF(AND(ISNUMBER(C42),C42&gt;=2,C42&lt;=2958465,C42=INT(C42)),YEAR(C42)&amp;"-"&amp;IF(MONTH(C42)&lt;10,"0","")&amp;MONTH(C42),""),"")</x:f>
      </x:c>
      <x:c r="N42" s="59" t="str">
        <x:f>IF(L42="VALID",IF(G42="USD",H42,I42),"")</x:f>
      </x:c>
      <x:c r="O42" s="57" t="n">
        <x:f>IF(L42="VALID",IF(COUNTIFS($B$2:B42,B42,$M$2:M42,M42,$L$2:L42,"VALID")=1,1,0),0)</x:f>
        <x:v>0</x:v>
      </x:c>
    </x:row>
    <x:row r="43">
      <x:c r="A43" s="47"/>
      <x:c r="B43" s="47"/>
      <x:c r="C43" s="69"/>
      <x:c r="D43" s="47"/>
      <x:c r="E43" s="47"/>
      <x:c r="F43" s="47"/>
      <x:c r="G43" s="47"/>
      <x:c r="H43" s="48"/>
      <x:c r="I43" s="48"/>
      <x:c r="J43" s="47"/>
      <x:c r="K43" s="47"/>
      <x:c r="L43" s="57" t="str">
        <x:f>IF(COUNTA(A43:K43)=0,"",IF(K43="CANCELLED","CANCELLED",IF(A43="","INVOICE ID REQUIRED",IF(B43="","PROJECT ID REQUIRED",IF(NOT(ISNUMBER(C43)),"INVALID INVOICE DATE",IF(NOT(AND(ISNUMBER(C43),C43&gt;=2,C43&lt;=2958465,C43=INT(C43))),"INVALID INVOICE DATE",IF(NOT(OR(D43="MX",D43="US")),"ENTITY REQUIRED",IF(NOT(OR(E43="Strategic Services",E43="Brands")),"UNIT REQUIRED",IF(F43="","BRAND / N/A REQUIRED",IF(NOT(OR(G43="USD",G43="MXN")),"CURRENCY REQUIRED",IF(NOT(ISNUMBER(H43)),"AMOUNT REQUIRED",IF(J43="","ERP SOURCE REQUIRED",IF(NOT(OR(K43="ISSUED",K43="CANCELLED")),"INVOICE STATUS REQUIRED",IF(COUNTIFS($A$2:$A$501,A43,$B$2:$B$501,B43,$D$2:$D$501,D43)&gt;1,"DUPLICATE INVOICE / PROJECT",IF(SUMPRODUCT(--(('ERP Snapshot'!$A$2:$A$101&amp;"")=(B43&amp;"")))=0,"PROJECT NOT FOUND",IF(SUMPRODUCT(--(('ERP Snapshot'!$A$2:$A$101&amp;"")=(B43&amp;"")))&gt;1,"DUPLICATE PROJECT ID",IF(OR(SUMPRODUCT(--(('ERP Snapshot'!$A$2:$A$101&amp;"")=(B43&amp;"")),--('ERP Snapshot'!$Q$2:$Q$101=E43),--('ERP Snapshot'!$R$2:$R$101=F43))&lt;&gt;1,SUMPRODUCT(--('Commercial Catalogs'!$A$2:$A$10=E43),--('Commercial Catalogs'!$B$2:$B$10=F43),--('Commercial Catalogs'!$C$2:$C$10="YES"),--('Commercial Catalogs'!$D$2:$D$10="IN SCOPE"))=0,AND(E43="Strategic Services",F43&lt;&gt;"N/A"),AND(E43="Brands",F43="N/A")),"PROJECT CLASSIFICATION MISMATCH",IF(AND(G43="MXN",NOT(AND(ISNUMBER(I43),Settings!$B$8="APPROVED",Settings!$B$9&lt;&gt;"",Settings!$B$10&lt;&gt;""))),"FX HOLD","VALID"))))))))))))))))))</x:f>
      </x:c>
      <x:c r="M43" s="57" t="str">
        <x:f>IF(ISNUMBER(C43),IF(AND(ISNUMBER(C43),C43&gt;=2,C43&lt;=2958465,C43=INT(C43)),YEAR(C43)&amp;"-"&amp;IF(MONTH(C43)&lt;10,"0","")&amp;MONTH(C43),""),"")</x:f>
      </x:c>
      <x:c r="N43" s="59" t="str">
        <x:f>IF(L43="VALID",IF(G43="USD",H43,I43),"")</x:f>
      </x:c>
      <x:c r="O43" s="57" t="n">
        <x:f>IF(L43="VALID",IF(COUNTIFS($B$2:B43,B43,$M$2:M43,M43,$L$2:L43,"VALID")=1,1,0),0)</x:f>
        <x:v>0</x:v>
      </x:c>
    </x:row>
    <x:row r="44">
      <x:c r="A44" s="47"/>
      <x:c r="B44" s="47"/>
      <x:c r="C44" s="69"/>
      <x:c r="D44" s="47"/>
      <x:c r="E44" s="47"/>
      <x:c r="F44" s="47"/>
      <x:c r="G44" s="47"/>
      <x:c r="H44" s="48"/>
      <x:c r="I44" s="48"/>
      <x:c r="J44" s="47"/>
      <x:c r="K44" s="47"/>
      <x:c r="L44" s="57" t="str">
        <x:f>IF(COUNTA(A44:K44)=0,"",IF(K44="CANCELLED","CANCELLED",IF(A44="","INVOICE ID REQUIRED",IF(B44="","PROJECT ID REQUIRED",IF(NOT(ISNUMBER(C44)),"INVALID INVOICE DATE",IF(NOT(AND(ISNUMBER(C44),C44&gt;=2,C44&lt;=2958465,C44=INT(C44))),"INVALID INVOICE DATE",IF(NOT(OR(D44="MX",D44="US")),"ENTITY REQUIRED",IF(NOT(OR(E44="Strategic Services",E44="Brands")),"UNIT REQUIRED",IF(F44="","BRAND / N/A REQUIRED",IF(NOT(OR(G44="USD",G44="MXN")),"CURRENCY REQUIRED",IF(NOT(ISNUMBER(H44)),"AMOUNT REQUIRED",IF(J44="","ERP SOURCE REQUIRED",IF(NOT(OR(K44="ISSUED",K44="CANCELLED")),"INVOICE STATUS REQUIRED",IF(COUNTIFS($A$2:$A$501,A44,$B$2:$B$501,B44,$D$2:$D$501,D44)&gt;1,"DUPLICATE INVOICE / PROJECT",IF(SUMPRODUCT(--(('ERP Snapshot'!$A$2:$A$101&amp;"")=(B44&amp;"")))=0,"PROJECT NOT FOUND",IF(SUMPRODUCT(--(('ERP Snapshot'!$A$2:$A$101&amp;"")=(B44&amp;"")))&gt;1,"DUPLICATE PROJECT ID",IF(OR(SUMPRODUCT(--(('ERP Snapshot'!$A$2:$A$101&amp;"")=(B44&amp;"")),--('ERP Snapshot'!$Q$2:$Q$101=E44),--('ERP Snapshot'!$R$2:$R$101=F44))&lt;&gt;1,SUMPRODUCT(--('Commercial Catalogs'!$A$2:$A$10=E44),--('Commercial Catalogs'!$B$2:$B$10=F44),--('Commercial Catalogs'!$C$2:$C$10="YES"),--('Commercial Catalogs'!$D$2:$D$10="IN SCOPE"))=0,AND(E44="Strategic Services",F44&lt;&gt;"N/A"),AND(E44="Brands",F44="N/A")),"PROJECT CLASSIFICATION MISMATCH",IF(AND(G44="MXN",NOT(AND(ISNUMBER(I44),Settings!$B$8="APPROVED",Settings!$B$9&lt;&gt;"",Settings!$B$10&lt;&gt;""))),"FX HOLD","VALID"))))))))))))))))))</x:f>
      </x:c>
      <x:c r="M44" s="57" t="str">
        <x:f>IF(ISNUMBER(C44),IF(AND(ISNUMBER(C44),C44&gt;=2,C44&lt;=2958465,C44=INT(C44)),YEAR(C44)&amp;"-"&amp;IF(MONTH(C44)&lt;10,"0","")&amp;MONTH(C44),""),"")</x:f>
      </x:c>
      <x:c r="N44" s="59" t="str">
        <x:f>IF(L44="VALID",IF(G44="USD",H44,I44),"")</x:f>
      </x:c>
      <x:c r="O44" s="57" t="n">
        <x:f>IF(L44="VALID",IF(COUNTIFS($B$2:B44,B44,$M$2:M44,M44,$L$2:L44,"VALID")=1,1,0),0)</x:f>
        <x:v>0</x:v>
      </x:c>
    </x:row>
    <x:row r="45">
      <x:c r="A45" s="47"/>
      <x:c r="B45" s="47"/>
      <x:c r="C45" s="69"/>
      <x:c r="D45" s="47"/>
      <x:c r="E45" s="47"/>
      <x:c r="F45" s="47"/>
      <x:c r="G45" s="47"/>
      <x:c r="H45" s="48"/>
      <x:c r="I45" s="48"/>
      <x:c r="J45" s="47"/>
      <x:c r="K45" s="47"/>
      <x:c r="L45" s="57" t="str">
        <x:f>IF(COUNTA(A45:K45)=0,"",IF(K45="CANCELLED","CANCELLED",IF(A45="","INVOICE ID REQUIRED",IF(B45="","PROJECT ID REQUIRED",IF(NOT(ISNUMBER(C45)),"INVALID INVOICE DATE",IF(NOT(AND(ISNUMBER(C45),C45&gt;=2,C45&lt;=2958465,C45=INT(C45))),"INVALID INVOICE DATE",IF(NOT(OR(D45="MX",D45="US")),"ENTITY REQUIRED",IF(NOT(OR(E45="Strategic Services",E45="Brands")),"UNIT REQUIRED",IF(F45="","BRAND / N/A REQUIRED",IF(NOT(OR(G45="USD",G45="MXN")),"CURRENCY REQUIRED",IF(NOT(ISNUMBER(H45)),"AMOUNT REQUIRED",IF(J45="","ERP SOURCE REQUIRED",IF(NOT(OR(K45="ISSUED",K45="CANCELLED")),"INVOICE STATUS REQUIRED",IF(COUNTIFS($A$2:$A$501,A45,$B$2:$B$501,B45,$D$2:$D$501,D45)&gt;1,"DUPLICATE INVOICE / PROJECT",IF(SUMPRODUCT(--(('ERP Snapshot'!$A$2:$A$101&amp;"")=(B45&amp;"")))=0,"PROJECT NOT FOUND",IF(SUMPRODUCT(--(('ERP Snapshot'!$A$2:$A$101&amp;"")=(B45&amp;"")))&gt;1,"DUPLICATE PROJECT ID",IF(OR(SUMPRODUCT(--(('ERP Snapshot'!$A$2:$A$101&amp;"")=(B45&amp;"")),--('ERP Snapshot'!$Q$2:$Q$101=E45),--('ERP Snapshot'!$R$2:$R$101=F45))&lt;&gt;1,SUMPRODUCT(--('Commercial Catalogs'!$A$2:$A$10=E45),--('Commercial Catalogs'!$B$2:$B$10=F45),--('Commercial Catalogs'!$C$2:$C$10="YES"),--('Commercial Catalogs'!$D$2:$D$10="IN SCOPE"))=0,AND(E45="Strategic Services",F45&lt;&gt;"N/A"),AND(E45="Brands",F45="N/A")),"PROJECT CLASSIFICATION MISMATCH",IF(AND(G45="MXN",NOT(AND(ISNUMBER(I45),Settings!$B$8="APPROVED",Settings!$B$9&lt;&gt;"",Settings!$B$10&lt;&gt;""))),"FX HOLD","VALID"))))))))))))))))))</x:f>
      </x:c>
      <x:c r="M45" s="57" t="str">
        <x:f>IF(ISNUMBER(C45),IF(AND(ISNUMBER(C45),C45&gt;=2,C45&lt;=2958465,C45=INT(C45)),YEAR(C45)&amp;"-"&amp;IF(MONTH(C45)&lt;10,"0","")&amp;MONTH(C45),""),"")</x:f>
      </x:c>
      <x:c r="N45" s="59" t="str">
        <x:f>IF(L45="VALID",IF(G45="USD",H45,I45),"")</x:f>
      </x:c>
      <x:c r="O45" s="57" t="n">
        <x:f>IF(L45="VALID",IF(COUNTIFS($B$2:B45,B45,$M$2:M45,M45,$L$2:L45,"VALID")=1,1,0),0)</x:f>
        <x:v>0</x:v>
      </x:c>
    </x:row>
    <x:row r="46">
      <x:c r="A46" s="47"/>
      <x:c r="B46" s="47"/>
      <x:c r="C46" s="69"/>
      <x:c r="D46" s="47"/>
      <x:c r="E46" s="47"/>
      <x:c r="F46" s="47"/>
      <x:c r="G46" s="47"/>
      <x:c r="H46" s="48"/>
      <x:c r="I46" s="48"/>
      <x:c r="J46" s="47"/>
      <x:c r="K46" s="47"/>
      <x:c r="L46" s="57" t="str">
        <x:f>IF(COUNTA(A46:K46)=0,"",IF(K46="CANCELLED","CANCELLED",IF(A46="","INVOICE ID REQUIRED",IF(B46="","PROJECT ID REQUIRED",IF(NOT(ISNUMBER(C46)),"INVALID INVOICE DATE",IF(NOT(AND(ISNUMBER(C46),C46&gt;=2,C46&lt;=2958465,C46=INT(C46))),"INVALID INVOICE DATE",IF(NOT(OR(D46="MX",D46="US")),"ENTITY REQUIRED",IF(NOT(OR(E46="Strategic Services",E46="Brands")),"UNIT REQUIRED",IF(F46="","BRAND / N/A REQUIRED",IF(NOT(OR(G46="USD",G46="MXN")),"CURRENCY REQUIRED",IF(NOT(ISNUMBER(H46)),"AMOUNT REQUIRED",IF(J46="","ERP SOURCE REQUIRED",IF(NOT(OR(K46="ISSUED",K46="CANCELLED")),"INVOICE STATUS REQUIRED",IF(COUNTIFS($A$2:$A$501,A46,$B$2:$B$501,B46,$D$2:$D$501,D46)&gt;1,"DUPLICATE INVOICE / PROJECT",IF(SUMPRODUCT(--(('ERP Snapshot'!$A$2:$A$101&amp;"")=(B46&amp;"")))=0,"PROJECT NOT FOUND",IF(SUMPRODUCT(--(('ERP Snapshot'!$A$2:$A$101&amp;"")=(B46&amp;"")))&gt;1,"DUPLICATE PROJECT ID",IF(OR(SUMPRODUCT(--(('ERP Snapshot'!$A$2:$A$101&amp;"")=(B46&amp;"")),--('ERP Snapshot'!$Q$2:$Q$101=E46),--('ERP Snapshot'!$R$2:$R$101=F46))&lt;&gt;1,SUMPRODUCT(--('Commercial Catalogs'!$A$2:$A$10=E46),--('Commercial Catalogs'!$B$2:$B$10=F46),--('Commercial Catalogs'!$C$2:$C$10="YES"),--('Commercial Catalogs'!$D$2:$D$10="IN SCOPE"))=0,AND(E46="Strategic Services",F46&lt;&gt;"N/A"),AND(E46="Brands",F46="N/A")),"PROJECT CLASSIFICATION MISMATCH",IF(AND(G46="MXN",NOT(AND(ISNUMBER(I46),Settings!$B$8="APPROVED",Settings!$B$9&lt;&gt;"",Settings!$B$10&lt;&gt;""))),"FX HOLD","VALID"))))))))))))))))))</x:f>
      </x:c>
      <x:c r="M46" s="57" t="str">
        <x:f>IF(ISNUMBER(C46),IF(AND(ISNUMBER(C46),C46&gt;=2,C46&lt;=2958465,C46=INT(C46)),YEAR(C46)&amp;"-"&amp;IF(MONTH(C46)&lt;10,"0","")&amp;MONTH(C46),""),"")</x:f>
      </x:c>
      <x:c r="N46" s="59" t="str">
        <x:f>IF(L46="VALID",IF(G46="USD",H46,I46),"")</x:f>
      </x:c>
      <x:c r="O46" s="57" t="n">
        <x:f>IF(L46="VALID",IF(COUNTIFS($B$2:B46,B46,$M$2:M46,M46,$L$2:L46,"VALID")=1,1,0),0)</x:f>
        <x:v>0</x:v>
      </x:c>
    </x:row>
    <x:row r="47">
      <x:c r="A47" s="47"/>
      <x:c r="B47" s="47"/>
      <x:c r="C47" s="69"/>
      <x:c r="D47" s="47"/>
      <x:c r="E47" s="47"/>
      <x:c r="F47" s="47"/>
      <x:c r="G47" s="47"/>
      <x:c r="H47" s="48"/>
      <x:c r="I47" s="48"/>
      <x:c r="J47" s="47"/>
      <x:c r="K47" s="47"/>
      <x:c r="L47" s="57" t="str">
        <x:f>IF(COUNTA(A47:K47)=0,"",IF(K47="CANCELLED","CANCELLED",IF(A47="","INVOICE ID REQUIRED",IF(B47="","PROJECT ID REQUIRED",IF(NOT(ISNUMBER(C47)),"INVALID INVOICE DATE",IF(NOT(AND(ISNUMBER(C47),C47&gt;=2,C47&lt;=2958465,C47=INT(C47))),"INVALID INVOICE DATE",IF(NOT(OR(D47="MX",D47="US")),"ENTITY REQUIRED",IF(NOT(OR(E47="Strategic Services",E47="Brands")),"UNIT REQUIRED",IF(F47="","BRAND / N/A REQUIRED",IF(NOT(OR(G47="USD",G47="MXN")),"CURRENCY REQUIRED",IF(NOT(ISNUMBER(H47)),"AMOUNT REQUIRED",IF(J47="","ERP SOURCE REQUIRED",IF(NOT(OR(K47="ISSUED",K47="CANCELLED")),"INVOICE STATUS REQUIRED",IF(COUNTIFS($A$2:$A$501,A47,$B$2:$B$501,B47,$D$2:$D$501,D47)&gt;1,"DUPLICATE INVOICE / PROJECT",IF(SUMPRODUCT(--(('ERP Snapshot'!$A$2:$A$101&amp;"")=(B47&amp;"")))=0,"PROJECT NOT FOUND",IF(SUMPRODUCT(--(('ERP Snapshot'!$A$2:$A$101&amp;"")=(B47&amp;"")))&gt;1,"DUPLICATE PROJECT ID",IF(OR(SUMPRODUCT(--(('ERP Snapshot'!$A$2:$A$101&amp;"")=(B47&amp;"")),--('ERP Snapshot'!$Q$2:$Q$101=E47),--('ERP Snapshot'!$R$2:$R$101=F47))&lt;&gt;1,SUMPRODUCT(--('Commercial Catalogs'!$A$2:$A$10=E47),--('Commercial Catalogs'!$B$2:$B$10=F47),--('Commercial Catalogs'!$C$2:$C$10="YES"),--('Commercial Catalogs'!$D$2:$D$10="IN SCOPE"))=0,AND(E47="Strategic Services",F47&lt;&gt;"N/A"),AND(E47="Brands",F47="N/A")),"PROJECT CLASSIFICATION MISMATCH",IF(AND(G47="MXN",NOT(AND(ISNUMBER(I47),Settings!$B$8="APPROVED",Settings!$B$9&lt;&gt;"",Settings!$B$10&lt;&gt;""))),"FX HOLD","VALID"))))))))))))))))))</x:f>
      </x:c>
      <x:c r="M47" s="57" t="str">
        <x:f>IF(ISNUMBER(C47),IF(AND(ISNUMBER(C47),C47&gt;=2,C47&lt;=2958465,C47=INT(C47)),YEAR(C47)&amp;"-"&amp;IF(MONTH(C47)&lt;10,"0","")&amp;MONTH(C47),""),"")</x:f>
      </x:c>
      <x:c r="N47" s="59" t="str">
        <x:f>IF(L47="VALID",IF(G47="USD",H47,I47),"")</x:f>
      </x:c>
      <x:c r="O47" s="57" t="n">
        <x:f>IF(L47="VALID",IF(COUNTIFS($B$2:B47,B47,$M$2:M47,M47,$L$2:L47,"VALID")=1,1,0),0)</x:f>
        <x:v>0</x:v>
      </x:c>
    </x:row>
    <x:row r="48">
      <x:c r="A48" s="47"/>
      <x:c r="B48" s="47"/>
      <x:c r="C48" s="69"/>
      <x:c r="D48" s="47"/>
      <x:c r="E48" s="47"/>
      <x:c r="F48" s="47"/>
      <x:c r="G48" s="47"/>
      <x:c r="H48" s="48"/>
      <x:c r="I48" s="48"/>
      <x:c r="J48" s="47"/>
      <x:c r="K48" s="47"/>
      <x:c r="L48" s="57" t="str">
        <x:f>IF(COUNTA(A48:K48)=0,"",IF(K48="CANCELLED","CANCELLED",IF(A48="","INVOICE ID REQUIRED",IF(B48="","PROJECT ID REQUIRED",IF(NOT(ISNUMBER(C48)),"INVALID INVOICE DATE",IF(NOT(AND(ISNUMBER(C48),C48&gt;=2,C48&lt;=2958465,C48=INT(C48))),"INVALID INVOICE DATE",IF(NOT(OR(D48="MX",D48="US")),"ENTITY REQUIRED",IF(NOT(OR(E48="Strategic Services",E48="Brands")),"UNIT REQUIRED",IF(F48="","BRAND / N/A REQUIRED",IF(NOT(OR(G48="USD",G48="MXN")),"CURRENCY REQUIRED",IF(NOT(ISNUMBER(H48)),"AMOUNT REQUIRED",IF(J48="","ERP SOURCE REQUIRED",IF(NOT(OR(K48="ISSUED",K48="CANCELLED")),"INVOICE STATUS REQUIRED",IF(COUNTIFS($A$2:$A$501,A48,$B$2:$B$501,B48,$D$2:$D$501,D48)&gt;1,"DUPLICATE INVOICE / PROJECT",IF(SUMPRODUCT(--(('ERP Snapshot'!$A$2:$A$101&amp;"")=(B48&amp;"")))=0,"PROJECT NOT FOUND",IF(SUMPRODUCT(--(('ERP Snapshot'!$A$2:$A$101&amp;"")=(B48&amp;"")))&gt;1,"DUPLICATE PROJECT ID",IF(OR(SUMPRODUCT(--(('ERP Snapshot'!$A$2:$A$101&amp;"")=(B48&amp;"")),--('ERP Snapshot'!$Q$2:$Q$101=E48),--('ERP Snapshot'!$R$2:$R$101=F48))&lt;&gt;1,SUMPRODUCT(--('Commercial Catalogs'!$A$2:$A$10=E48),--('Commercial Catalogs'!$B$2:$B$10=F48),--('Commercial Catalogs'!$C$2:$C$10="YES"),--('Commercial Catalogs'!$D$2:$D$10="IN SCOPE"))=0,AND(E48="Strategic Services",F48&lt;&gt;"N/A"),AND(E48="Brands",F48="N/A")),"PROJECT CLASSIFICATION MISMATCH",IF(AND(G48="MXN",NOT(AND(ISNUMBER(I48),Settings!$B$8="APPROVED",Settings!$B$9&lt;&gt;"",Settings!$B$10&lt;&gt;""))),"FX HOLD","VALID"))))))))))))))))))</x:f>
      </x:c>
      <x:c r="M48" s="57" t="str">
        <x:f>IF(ISNUMBER(C48),IF(AND(ISNUMBER(C48),C48&gt;=2,C48&lt;=2958465,C48=INT(C48)),YEAR(C48)&amp;"-"&amp;IF(MONTH(C48)&lt;10,"0","")&amp;MONTH(C48),""),"")</x:f>
      </x:c>
      <x:c r="N48" s="59" t="str">
        <x:f>IF(L48="VALID",IF(G48="USD",H48,I48),"")</x:f>
      </x:c>
      <x:c r="O48" s="57" t="n">
        <x:f>IF(L48="VALID",IF(COUNTIFS($B$2:B48,B48,$M$2:M48,M48,$L$2:L48,"VALID")=1,1,0),0)</x:f>
        <x:v>0</x:v>
      </x:c>
    </x:row>
    <x:row r="49">
      <x:c r="A49" s="47"/>
      <x:c r="B49" s="47"/>
      <x:c r="C49" s="69"/>
      <x:c r="D49" s="47"/>
      <x:c r="E49" s="47"/>
      <x:c r="F49" s="47"/>
      <x:c r="G49" s="47"/>
      <x:c r="H49" s="48"/>
      <x:c r="I49" s="48"/>
      <x:c r="J49" s="47"/>
      <x:c r="K49" s="47"/>
      <x:c r="L49" s="57" t="str">
        <x:f>IF(COUNTA(A49:K49)=0,"",IF(K49="CANCELLED","CANCELLED",IF(A49="","INVOICE ID REQUIRED",IF(B49="","PROJECT ID REQUIRED",IF(NOT(ISNUMBER(C49)),"INVALID INVOICE DATE",IF(NOT(AND(ISNUMBER(C49),C49&gt;=2,C49&lt;=2958465,C49=INT(C49))),"INVALID INVOICE DATE",IF(NOT(OR(D49="MX",D49="US")),"ENTITY REQUIRED",IF(NOT(OR(E49="Strategic Services",E49="Brands")),"UNIT REQUIRED",IF(F49="","BRAND / N/A REQUIRED",IF(NOT(OR(G49="USD",G49="MXN")),"CURRENCY REQUIRED",IF(NOT(ISNUMBER(H49)),"AMOUNT REQUIRED",IF(J49="","ERP SOURCE REQUIRED",IF(NOT(OR(K49="ISSUED",K49="CANCELLED")),"INVOICE STATUS REQUIRED",IF(COUNTIFS($A$2:$A$501,A49,$B$2:$B$501,B49,$D$2:$D$501,D49)&gt;1,"DUPLICATE INVOICE / PROJECT",IF(SUMPRODUCT(--(('ERP Snapshot'!$A$2:$A$101&amp;"")=(B49&amp;"")))=0,"PROJECT NOT FOUND",IF(SUMPRODUCT(--(('ERP Snapshot'!$A$2:$A$101&amp;"")=(B49&amp;"")))&gt;1,"DUPLICATE PROJECT ID",IF(OR(SUMPRODUCT(--(('ERP Snapshot'!$A$2:$A$101&amp;"")=(B49&amp;"")),--('ERP Snapshot'!$Q$2:$Q$101=E49),--('ERP Snapshot'!$R$2:$R$101=F49))&lt;&gt;1,SUMPRODUCT(--('Commercial Catalogs'!$A$2:$A$10=E49),--('Commercial Catalogs'!$B$2:$B$10=F49),--('Commercial Catalogs'!$C$2:$C$10="YES"),--('Commercial Catalogs'!$D$2:$D$10="IN SCOPE"))=0,AND(E49="Strategic Services",F49&lt;&gt;"N/A"),AND(E49="Brands",F49="N/A")),"PROJECT CLASSIFICATION MISMATCH",IF(AND(G49="MXN",NOT(AND(ISNUMBER(I49),Settings!$B$8="APPROVED",Settings!$B$9&lt;&gt;"",Settings!$B$10&lt;&gt;""))),"FX HOLD","VALID"))))))))))))))))))</x:f>
      </x:c>
      <x:c r="M49" s="57" t="str">
        <x:f>IF(ISNUMBER(C49),IF(AND(ISNUMBER(C49),C49&gt;=2,C49&lt;=2958465,C49=INT(C49)),YEAR(C49)&amp;"-"&amp;IF(MONTH(C49)&lt;10,"0","")&amp;MONTH(C49),""),"")</x:f>
      </x:c>
      <x:c r="N49" s="59" t="str">
        <x:f>IF(L49="VALID",IF(G49="USD",H49,I49),"")</x:f>
      </x:c>
      <x:c r="O49" s="57" t="n">
        <x:f>IF(L49="VALID",IF(COUNTIFS($B$2:B49,B49,$M$2:M49,M49,$L$2:L49,"VALID")=1,1,0),0)</x:f>
        <x:v>0</x:v>
      </x:c>
    </x:row>
    <x:row r="50">
      <x:c r="A50" s="47"/>
      <x:c r="B50" s="47"/>
      <x:c r="C50" s="69"/>
      <x:c r="D50" s="47"/>
      <x:c r="E50" s="47"/>
      <x:c r="F50" s="47"/>
      <x:c r="G50" s="47"/>
      <x:c r="H50" s="48"/>
      <x:c r="I50" s="48"/>
      <x:c r="J50" s="47"/>
      <x:c r="K50" s="47"/>
      <x:c r="L50" s="57" t="str">
        <x:f>IF(COUNTA(A50:K50)=0,"",IF(K50="CANCELLED","CANCELLED",IF(A50="","INVOICE ID REQUIRED",IF(B50="","PROJECT ID REQUIRED",IF(NOT(ISNUMBER(C50)),"INVALID INVOICE DATE",IF(NOT(AND(ISNUMBER(C50),C50&gt;=2,C50&lt;=2958465,C50=INT(C50))),"INVALID INVOICE DATE",IF(NOT(OR(D50="MX",D50="US")),"ENTITY REQUIRED",IF(NOT(OR(E50="Strategic Services",E50="Brands")),"UNIT REQUIRED",IF(F50="","BRAND / N/A REQUIRED",IF(NOT(OR(G50="USD",G50="MXN")),"CURRENCY REQUIRED",IF(NOT(ISNUMBER(H50)),"AMOUNT REQUIRED",IF(J50="","ERP SOURCE REQUIRED",IF(NOT(OR(K50="ISSUED",K50="CANCELLED")),"INVOICE STATUS REQUIRED",IF(COUNTIFS($A$2:$A$501,A50,$B$2:$B$501,B50,$D$2:$D$501,D50)&gt;1,"DUPLICATE INVOICE / PROJECT",IF(SUMPRODUCT(--(('ERP Snapshot'!$A$2:$A$101&amp;"")=(B50&amp;"")))=0,"PROJECT NOT FOUND",IF(SUMPRODUCT(--(('ERP Snapshot'!$A$2:$A$101&amp;"")=(B50&amp;"")))&gt;1,"DUPLICATE PROJECT ID",IF(OR(SUMPRODUCT(--(('ERP Snapshot'!$A$2:$A$101&amp;"")=(B50&amp;"")),--('ERP Snapshot'!$Q$2:$Q$101=E50),--('ERP Snapshot'!$R$2:$R$101=F50))&lt;&gt;1,SUMPRODUCT(--('Commercial Catalogs'!$A$2:$A$10=E50),--('Commercial Catalogs'!$B$2:$B$10=F50),--('Commercial Catalogs'!$C$2:$C$10="YES"),--('Commercial Catalogs'!$D$2:$D$10="IN SCOPE"))=0,AND(E50="Strategic Services",F50&lt;&gt;"N/A"),AND(E50="Brands",F50="N/A")),"PROJECT CLASSIFICATION MISMATCH",IF(AND(G50="MXN",NOT(AND(ISNUMBER(I50),Settings!$B$8="APPROVED",Settings!$B$9&lt;&gt;"",Settings!$B$10&lt;&gt;""))),"FX HOLD","VALID"))))))))))))))))))</x:f>
      </x:c>
      <x:c r="M50" s="57" t="str">
        <x:f>IF(ISNUMBER(C50),IF(AND(ISNUMBER(C50),C50&gt;=2,C50&lt;=2958465,C50=INT(C50)),YEAR(C50)&amp;"-"&amp;IF(MONTH(C50)&lt;10,"0","")&amp;MONTH(C50),""),"")</x:f>
      </x:c>
      <x:c r="N50" s="59" t="str">
        <x:f>IF(L50="VALID",IF(G50="USD",H50,I50),"")</x:f>
      </x:c>
      <x:c r="O50" s="57" t="n">
        <x:f>IF(L50="VALID",IF(COUNTIFS($B$2:B50,B50,$M$2:M50,M50,$L$2:L50,"VALID")=1,1,0),0)</x:f>
        <x:v>0</x:v>
      </x:c>
    </x:row>
    <x:row r="51">
      <x:c r="A51" s="47"/>
      <x:c r="B51" s="47"/>
      <x:c r="C51" s="69"/>
      <x:c r="D51" s="47"/>
      <x:c r="E51" s="47"/>
      <x:c r="F51" s="47"/>
      <x:c r="G51" s="47"/>
      <x:c r="H51" s="48"/>
      <x:c r="I51" s="48"/>
      <x:c r="J51" s="47"/>
      <x:c r="K51" s="47"/>
      <x:c r="L51" s="57" t="str">
        <x:f>IF(COUNTA(A51:K51)=0,"",IF(K51="CANCELLED","CANCELLED",IF(A51="","INVOICE ID REQUIRED",IF(B51="","PROJECT ID REQUIRED",IF(NOT(ISNUMBER(C51)),"INVALID INVOICE DATE",IF(NOT(AND(ISNUMBER(C51),C51&gt;=2,C51&lt;=2958465,C51=INT(C51))),"INVALID INVOICE DATE",IF(NOT(OR(D51="MX",D51="US")),"ENTITY REQUIRED",IF(NOT(OR(E51="Strategic Services",E51="Brands")),"UNIT REQUIRED",IF(F51="","BRAND / N/A REQUIRED",IF(NOT(OR(G51="USD",G51="MXN")),"CURRENCY REQUIRED",IF(NOT(ISNUMBER(H51)),"AMOUNT REQUIRED",IF(J51="","ERP SOURCE REQUIRED",IF(NOT(OR(K51="ISSUED",K51="CANCELLED")),"INVOICE STATUS REQUIRED",IF(COUNTIFS($A$2:$A$501,A51,$B$2:$B$501,B51,$D$2:$D$501,D51)&gt;1,"DUPLICATE INVOICE / PROJECT",IF(SUMPRODUCT(--(('ERP Snapshot'!$A$2:$A$101&amp;"")=(B51&amp;"")))=0,"PROJECT NOT FOUND",IF(SUMPRODUCT(--(('ERP Snapshot'!$A$2:$A$101&amp;"")=(B51&amp;"")))&gt;1,"DUPLICATE PROJECT ID",IF(OR(SUMPRODUCT(--(('ERP Snapshot'!$A$2:$A$101&amp;"")=(B51&amp;"")),--('ERP Snapshot'!$Q$2:$Q$101=E51),--('ERP Snapshot'!$R$2:$R$101=F51))&lt;&gt;1,SUMPRODUCT(--('Commercial Catalogs'!$A$2:$A$10=E51),--('Commercial Catalogs'!$B$2:$B$10=F51),--('Commercial Catalogs'!$C$2:$C$10="YES"),--('Commercial Catalogs'!$D$2:$D$10="IN SCOPE"))=0,AND(E51="Strategic Services",F51&lt;&gt;"N/A"),AND(E51="Brands",F51="N/A")),"PROJECT CLASSIFICATION MISMATCH",IF(AND(G51="MXN",NOT(AND(ISNUMBER(I51),Settings!$B$8="APPROVED",Settings!$B$9&lt;&gt;"",Settings!$B$10&lt;&gt;""))),"FX HOLD","VALID"))))))))))))))))))</x:f>
      </x:c>
      <x:c r="M51" s="57" t="str">
        <x:f>IF(ISNUMBER(C51),IF(AND(ISNUMBER(C51),C51&gt;=2,C51&lt;=2958465,C51=INT(C51)),YEAR(C51)&amp;"-"&amp;IF(MONTH(C51)&lt;10,"0","")&amp;MONTH(C51),""),"")</x:f>
      </x:c>
      <x:c r="N51" s="59" t="str">
        <x:f>IF(L51="VALID",IF(G51="USD",H51,I51),"")</x:f>
      </x:c>
      <x:c r="O51" s="57" t="n">
        <x:f>IF(L51="VALID",IF(COUNTIFS($B$2:B51,B51,$M$2:M51,M51,$L$2:L51,"VALID")=1,1,0),0)</x:f>
        <x:v>0</x:v>
      </x:c>
    </x:row>
    <x:row r="52">
      <x:c r="A52" s="47"/>
      <x:c r="B52" s="47"/>
      <x:c r="C52" s="69"/>
      <x:c r="D52" s="47"/>
      <x:c r="E52" s="47"/>
      <x:c r="F52" s="47"/>
      <x:c r="G52" s="47"/>
      <x:c r="H52" s="48"/>
      <x:c r="I52" s="48"/>
      <x:c r="J52" s="47"/>
      <x:c r="K52" s="47"/>
      <x:c r="L52" s="57" t="str">
        <x:f>IF(COUNTA(A52:K52)=0,"",IF(K52="CANCELLED","CANCELLED",IF(A52="","INVOICE ID REQUIRED",IF(B52="","PROJECT ID REQUIRED",IF(NOT(ISNUMBER(C52)),"INVALID INVOICE DATE",IF(NOT(AND(ISNUMBER(C52),C52&gt;=2,C52&lt;=2958465,C52=INT(C52))),"INVALID INVOICE DATE",IF(NOT(OR(D52="MX",D52="US")),"ENTITY REQUIRED",IF(NOT(OR(E52="Strategic Services",E52="Brands")),"UNIT REQUIRED",IF(F52="","BRAND / N/A REQUIRED",IF(NOT(OR(G52="USD",G52="MXN")),"CURRENCY REQUIRED",IF(NOT(ISNUMBER(H52)),"AMOUNT REQUIRED",IF(J52="","ERP SOURCE REQUIRED",IF(NOT(OR(K52="ISSUED",K52="CANCELLED")),"INVOICE STATUS REQUIRED",IF(COUNTIFS($A$2:$A$501,A52,$B$2:$B$501,B52,$D$2:$D$501,D52)&gt;1,"DUPLICATE INVOICE / PROJECT",IF(SUMPRODUCT(--(('ERP Snapshot'!$A$2:$A$101&amp;"")=(B52&amp;"")))=0,"PROJECT NOT FOUND",IF(SUMPRODUCT(--(('ERP Snapshot'!$A$2:$A$101&amp;"")=(B52&amp;"")))&gt;1,"DUPLICATE PROJECT ID",IF(OR(SUMPRODUCT(--(('ERP Snapshot'!$A$2:$A$101&amp;"")=(B52&amp;"")),--('ERP Snapshot'!$Q$2:$Q$101=E52),--('ERP Snapshot'!$R$2:$R$101=F52))&lt;&gt;1,SUMPRODUCT(--('Commercial Catalogs'!$A$2:$A$10=E52),--('Commercial Catalogs'!$B$2:$B$10=F52),--('Commercial Catalogs'!$C$2:$C$10="YES"),--('Commercial Catalogs'!$D$2:$D$10="IN SCOPE"))=0,AND(E52="Strategic Services",F52&lt;&gt;"N/A"),AND(E52="Brands",F52="N/A")),"PROJECT CLASSIFICATION MISMATCH",IF(AND(G52="MXN",NOT(AND(ISNUMBER(I52),Settings!$B$8="APPROVED",Settings!$B$9&lt;&gt;"",Settings!$B$10&lt;&gt;""))),"FX HOLD","VALID"))))))))))))))))))</x:f>
      </x:c>
      <x:c r="M52" s="57" t="str">
        <x:f>IF(ISNUMBER(C52),IF(AND(ISNUMBER(C52),C52&gt;=2,C52&lt;=2958465,C52=INT(C52)),YEAR(C52)&amp;"-"&amp;IF(MONTH(C52)&lt;10,"0","")&amp;MONTH(C52),""),"")</x:f>
      </x:c>
      <x:c r="N52" s="59" t="str">
        <x:f>IF(L52="VALID",IF(G52="USD",H52,I52),"")</x:f>
      </x:c>
      <x:c r="O52" s="57" t="n">
        <x:f>IF(L52="VALID",IF(COUNTIFS($B$2:B52,B52,$M$2:M52,M52,$L$2:L52,"VALID")=1,1,0),0)</x:f>
        <x:v>0</x:v>
      </x:c>
    </x:row>
    <x:row r="53">
      <x:c r="A53" s="47"/>
      <x:c r="B53" s="47"/>
      <x:c r="C53" s="69"/>
      <x:c r="D53" s="47"/>
      <x:c r="E53" s="47"/>
      <x:c r="F53" s="47"/>
      <x:c r="G53" s="47"/>
      <x:c r="H53" s="48"/>
      <x:c r="I53" s="48"/>
      <x:c r="J53" s="47"/>
      <x:c r="K53" s="47"/>
      <x:c r="L53" s="57" t="str">
        <x:f>IF(COUNTA(A53:K53)=0,"",IF(K53="CANCELLED","CANCELLED",IF(A53="","INVOICE ID REQUIRED",IF(B53="","PROJECT ID REQUIRED",IF(NOT(ISNUMBER(C53)),"INVALID INVOICE DATE",IF(NOT(AND(ISNUMBER(C53),C53&gt;=2,C53&lt;=2958465,C53=INT(C53))),"INVALID INVOICE DATE",IF(NOT(OR(D53="MX",D53="US")),"ENTITY REQUIRED",IF(NOT(OR(E53="Strategic Services",E53="Brands")),"UNIT REQUIRED",IF(F53="","BRAND / N/A REQUIRED",IF(NOT(OR(G53="USD",G53="MXN")),"CURRENCY REQUIRED",IF(NOT(ISNUMBER(H53)),"AMOUNT REQUIRED",IF(J53="","ERP SOURCE REQUIRED",IF(NOT(OR(K53="ISSUED",K53="CANCELLED")),"INVOICE STATUS REQUIRED",IF(COUNTIFS($A$2:$A$501,A53,$B$2:$B$501,B53,$D$2:$D$501,D53)&gt;1,"DUPLICATE INVOICE / PROJECT",IF(SUMPRODUCT(--(('ERP Snapshot'!$A$2:$A$101&amp;"")=(B53&amp;"")))=0,"PROJECT NOT FOUND",IF(SUMPRODUCT(--(('ERP Snapshot'!$A$2:$A$101&amp;"")=(B53&amp;"")))&gt;1,"DUPLICATE PROJECT ID",IF(OR(SUMPRODUCT(--(('ERP Snapshot'!$A$2:$A$101&amp;"")=(B53&amp;"")),--('ERP Snapshot'!$Q$2:$Q$101=E53),--('ERP Snapshot'!$R$2:$R$101=F53))&lt;&gt;1,SUMPRODUCT(--('Commercial Catalogs'!$A$2:$A$10=E53),--('Commercial Catalogs'!$B$2:$B$10=F53),--('Commercial Catalogs'!$C$2:$C$10="YES"),--('Commercial Catalogs'!$D$2:$D$10="IN SCOPE"))=0,AND(E53="Strategic Services",F53&lt;&gt;"N/A"),AND(E53="Brands",F53="N/A")),"PROJECT CLASSIFICATION MISMATCH",IF(AND(G53="MXN",NOT(AND(ISNUMBER(I53),Settings!$B$8="APPROVED",Settings!$B$9&lt;&gt;"",Settings!$B$10&lt;&gt;""))),"FX HOLD","VALID"))))))))))))))))))</x:f>
      </x:c>
      <x:c r="M53" s="57" t="str">
        <x:f>IF(ISNUMBER(C53),IF(AND(ISNUMBER(C53),C53&gt;=2,C53&lt;=2958465,C53=INT(C53)),YEAR(C53)&amp;"-"&amp;IF(MONTH(C53)&lt;10,"0","")&amp;MONTH(C53),""),"")</x:f>
      </x:c>
      <x:c r="N53" s="59" t="str">
        <x:f>IF(L53="VALID",IF(G53="USD",H53,I53),"")</x:f>
      </x:c>
      <x:c r="O53" s="57" t="n">
        <x:f>IF(L53="VALID",IF(COUNTIFS($B$2:B53,B53,$M$2:M53,M53,$L$2:L53,"VALID")=1,1,0),0)</x:f>
        <x:v>0</x:v>
      </x:c>
    </x:row>
    <x:row r="54">
      <x:c r="A54" s="47"/>
      <x:c r="B54" s="47"/>
      <x:c r="C54" s="69"/>
      <x:c r="D54" s="47"/>
      <x:c r="E54" s="47"/>
      <x:c r="F54" s="47"/>
      <x:c r="G54" s="47"/>
      <x:c r="H54" s="48"/>
      <x:c r="I54" s="48"/>
      <x:c r="J54" s="47"/>
      <x:c r="K54" s="47"/>
      <x:c r="L54" s="57" t="str">
        <x:f>IF(COUNTA(A54:K54)=0,"",IF(K54="CANCELLED","CANCELLED",IF(A54="","INVOICE ID REQUIRED",IF(B54="","PROJECT ID REQUIRED",IF(NOT(ISNUMBER(C54)),"INVALID INVOICE DATE",IF(NOT(AND(ISNUMBER(C54),C54&gt;=2,C54&lt;=2958465,C54=INT(C54))),"INVALID INVOICE DATE",IF(NOT(OR(D54="MX",D54="US")),"ENTITY REQUIRED",IF(NOT(OR(E54="Strategic Services",E54="Brands")),"UNIT REQUIRED",IF(F54="","BRAND / N/A REQUIRED",IF(NOT(OR(G54="USD",G54="MXN")),"CURRENCY REQUIRED",IF(NOT(ISNUMBER(H54)),"AMOUNT REQUIRED",IF(J54="","ERP SOURCE REQUIRED",IF(NOT(OR(K54="ISSUED",K54="CANCELLED")),"INVOICE STATUS REQUIRED",IF(COUNTIFS($A$2:$A$501,A54,$B$2:$B$501,B54,$D$2:$D$501,D54)&gt;1,"DUPLICATE INVOICE / PROJECT",IF(SUMPRODUCT(--(('ERP Snapshot'!$A$2:$A$101&amp;"")=(B54&amp;"")))=0,"PROJECT NOT FOUND",IF(SUMPRODUCT(--(('ERP Snapshot'!$A$2:$A$101&amp;"")=(B54&amp;"")))&gt;1,"DUPLICATE PROJECT ID",IF(OR(SUMPRODUCT(--(('ERP Snapshot'!$A$2:$A$101&amp;"")=(B54&amp;"")),--('ERP Snapshot'!$Q$2:$Q$101=E54),--('ERP Snapshot'!$R$2:$R$101=F54))&lt;&gt;1,SUMPRODUCT(--('Commercial Catalogs'!$A$2:$A$10=E54),--('Commercial Catalogs'!$B$2:$B$10=F54),--('Commercial Catalogs'!$C$2:$C$10="YES"),--('Commercial Catalogs'!$D$2:$D$10="IN SCOPE"))=0,AND(E54="Strategic Services",F54&lt;&gt;"N/A"),AND(E54="Brands",F54="N/A")),"PROJECT CLASSIFICATION MISMATCH",IF(AND(G54="MXN",NOT(AND(ISNUMBER(I54),Settings!$B$8="APPROVED",Settings!$B$9&lt;&gt;"",Settings!$B$10&lt;&gt;""))),"FX HOLD","VALID"))))))))))))))))))</x:f>
      </x:c>
      <x:c r="M54" s="57" t="str">
        <x:f>IF(ISNUMBER(C54),IF(AND(ISNUMBER(C54),C54&gt;=2,C54&lt;=2958465,C54=INT(C54)),YEAR(C54)&amp;"-"&amp;IF(MONTH(C54)&lt;10,"0","")&amp;MONTH(C54),""),"")</x:f>
      </x:c>
      <x:c r="N54" s="59" t="str">
        <x:f>IF(L54="VALID",IF(G54="USD",H54,I54),"")</x:f>
      </x:c>
      <x:c r="O54" s="57" t="n">
        <x:f>IF(L54="VALID",IF(COUNTIFS($B$2:B54,B54,$M$2:M54,M54,$L$2:L54,"VALID")=1,1,0),0)</x:f>
        <x:v>0</x:v>
      </x:c>
    </x:row>
    <x:row r="55">
      <x:c r="A55" s="47"/>
      <x:c r="B55" s="47"/>
      <x:c r="C55" s="69"/>
      <x:c r="D55" s="47"/>
      <x:c r="E55" s="47"/>
      <x:c r="F55" s="47"/>
      <x:c r="G55" s="47"/>
      <x:c r="H55" s="48"/>
      <x:c r="I55" s="48"/>
      <x:c r="J55" s="47"/>
      <x:c r="K55" s="47"/>
      <x:c r="L55" s="57" t="str">
        <x:f>IF(COUNTA(A55:K55)=0,"",IF(K55="CANCELLED","CANCELLED",IF(A55="","INVOICE ID REQUIRED",IF(B55="","PROJECT ID REQUIRED",IF(NOT(ISNUMBER(C55)),"INVALID INVOICE DATE",IF(NOT(AND(ISNUMBER(C55),C55&gt;=2,C55&lt;=2958465,C55=INT(C55))),"INVALID INVOICE DATE",IF(NOT(OR(D55="MX",D55="US")),"ENTITY REQUIRED",IF(NOT(OR(E55="Strategic Services",E55="Brands")),"UNIT REQUIRED",IF(F55="","BRAND / N/A REQUIRED",IF(NOT(OR(G55="USD",G55="MXN")),"CURRENCY REQUIRED",IF(NOT(ISNUMBER(H55)),"AMOUNT REQUIRED",IF(J55="","ERP SOURCE REQUIRED",IF(NOT(OR(K55="ISSUED",K55="CANCELLED")),"INVOICE STATUS REQUIRED",IF(COUNTIFS($A$2:$A$501,A55,$B$2:$B$501,B55,$D$2:$D$501,D55)&gt;1,"DUPLICATE INVOICE / PROJECT",IF(SUMPRODUCT(--(('ERP Snapshot'!$A$2:$A$101&amp;"")=(B55&amp;"")))=0,"PROJECT NOT FOUND",IF(SUMPRODUCT(--(('ERP Snapshot'!$A$2:$A$101&amp;"")=(B55&amp;"")))&gt;1,"DUPLICATE PROJECT ID",IF(OR(SUMPRODUCT(--(('ERP Snapshot'!$A$2:$A$101&amp;"")=(B55&amp;"")),--('ERP Snapshot'!$Q$2:$Q$101=E55),--('ERP Snapshot'!$R$2:$R$101=F55))&lt;&gt;1,SUMPRODUCT(--('Commercial Catalogs'!$A$2:$A$10=E55),--('Commercial Catalogs'!$B$2:$B$10=F55),--('Commercial Catalogs'!$C$2:$C$10="YES"),--('Commercial Catalogs'!$D$2:$D$10="IN SCOPE"))=0,AND(E55="Strategic Services",F55&lt;&gt;"N/A"),AND(E55="Brands",F55="N/A")),"PROJECT CLASSIFICATION MISMATCH",IF(AND(G55="MXN",NOT(AND(ISNUMBER(I55),Settings!$B$8="APPROVED",Settings!$B$9&lt;&gt;"",Settings!$B$10&lt;&gt;""))),"FX HOLD","VALID"))))))))))))))))))</x:f>
      </x:c>
      <x:c r="M55" s="57" t="str">
        <x:f>IF(ISNUMBER(C55),IF(AND(ISNUMBER(C55),C55&gt;=2,C55&lt;=2958465,C55=INT(C55)),YEAR(C55)&amp;"-"&amp;IF(MONTH(C55)&lt;10,"0","")&amp;MONTH(C55),""),"")</x:f>
      </x:c>
      <x:c r="N55" s="59" t="str">
        <x:f>IF(L55="VALID",IF(G55="USD",H55,I55),"")</x:f>
      </x:c>
      <x:c r="O55" s="57" t="n">
        <x:f>IF(L55="VALID",IF(COUNTIFS($B$2:B55,B55,$M$2:M55,M55,$L$2:L55,"VALID")=1,1,0),0)</x:f>
        <x:v>0</x:v>
      </x:c>
    </x:row>
    <x:row r="56">
      <x:c r="A56" s="47"/>
      <x:c r="B56" s="47"/>
      <x:c r="C56" s="69"/>
      <x:c r="D56" s="47"/>
      <x:c r="E56" s="47"/>
      <x:c r="F56" s="47"/>
      <x:c r="G56" s="47"/>
      <x:c r="H56" s="48"/>
      <x:c r="I56" s="48"/>
      <x:c r="J56" s="47"/>
      <x:c r="K56" s="47"/>
      <x:c r="L56" s="57" t="str">
        <x:f>IF(COUNTA(A56:K56)=0,"",IF(K56="CANCELLED","CANCELLED",IF(A56="","INVOICE ID REQUIRED",IF(B56="","PROJECT ID REQUIRED",IF(NOT(ISNUMBER(C56)),"INVALID INVOICE DATE",IF(NOT(AND(ISNUMBER(C56),C56&gt;=2,C56&lt;=2958465,C56=INT(C56))),"INVALID INVOICE DATE",IF(NOT(OR(D56="MX",D56="US")),"ENTITY REQUIRED",IF(NOT(OR(E56="Strategic Services",E56="Brands")),"UNIT REQUIRED",IF(F56="","BRAND / N/A REQUIRED",IF(NOT(OR(G56="USD",G56="MXN")),"CURRENCY REQUIRED",IF(NOT(ISNUMBER(H56)),"AMOUNT REQUIRED",IF(J56="","ERP SOURCE REQUIRED",IF(NOT(OR(K56="ISSUED",K56="CANCELLED")),"INVOICE STATUS REQUIRED",IF(COUNTIFS($A$2:$A$501,A56,$B$2:$B$501,B56,$D$2:$D$501,D56)&gt;1,"DUPLICATE INVOICE / PROJECT",IF(SUMPRODUCT(--(('ERP Snapshot'!$A$2:$A$101&amp;"")=(B56&amp;"")))=0,"PROJECT NOT FOUND",IF(SUMPRODUCT(--(('ERP Snapshot'!$A$2:$A$101&amp;"")=(B56&amp;"")))&gt;1,"DUPLICATE PROJECT ID",IF(OR(SUMPRODUCT(--(('ERP Snapshot'!$A$2:$A$101&amp;"")=(B56&amp;"")),--('ERP Snapshot'!$Q$2:$Q$101=E56),--('ERP Snapshot'!$R$2:$R$101=F56))&lt;&gt;1,SUMPRODUCT(--('Commercial Catalogs'!$A$2:$A$10=E56),--('Commercial Catalogs'!$B$2:$B$10=F56),--('Commercial Catalogs'!$C$2:$C$10="YES"),--('Commercial Catalogs'!$D$2:$D$10="IN SCOPE"))=0,AND(E56="Strategic Services",F56&lt;&gt;"N/A"),AND(E56="Brands",F56="N/A")),"PROJECT CLASSIFICATION MISMATCH",IF(AND(G56="MXN",NOT(AND(ISNUMBER(I56),Settings!$B$8="APPROVED",Settings!$B$9&lt;&gt;"",Settings!$B$10&lt;&gt;""))),"FX HOLD","VALID"))))))))))))))))))</x:f>
      </x:c>
      <x:c r="M56" s="57" t="str">
        <x:f>IF(ISNUMBER(C56),IF(AND(ISNUMBER(C56),C56&gt;=2,C56&lt;=2958465,C56=INT(C56)),YEAR(C56)&amp;"-"&amp;IF(MONTH(C56)&lt;10,"0","")&amp;MONTH(C56),""),"")</x:f>
      </x:c>
      <x:c r="N56" s="59" t="str">
        <x:f>IF(L56="VALID",IF(G56="USD",H56,I56),"")</x:f>
      </x:c>
      <x:c r="O56" s="57" t="n">
        <x:f>IF(L56="VALID",IF(COUNTIFS($B$2:B56,B56,$M$2:M56,M56,$L$2:L56,"VALID")=1,1,0),0)</x:f>
        <x:v>0</x:v>
      </x:c>
    </x:row>
    <x:row r="57">
      <x:c r="A57" s="47"/>
      <x:c r="B57" s="47"/>
      <x:c r="C57" s="69"/>
      <x:c r="D57" s="47"/>
      <x:c r="E57" s="47"/>
      <x:c r="F57" s="47"/>
      <x:c r="G57" s="47"/>
      <x:c r="H57" s="48"/>
      <x:c r="I57" s="48"/>
      <x:c r="J57" s="47"/>
      <x:c r="K57" s="47"/>
      <x:c r="L57" s="57" t="str">
        <x:f>IF(COUNTA(A57:K57)=0,"",IF(K57="CANCELLED","CANCELLED",IF(A57="","INVOICE ID REQUIRED",IF(B57="","PROJECT ID REQUIRED",IF(NOT(ISNUMBER(C57)),"INVALID INVOICE DATE",IF(NOT(AND(ISNUMBER(C57),C57&gt;=2,C57&lt;=2958465,C57=INT(C57))),"INVALID INVOICE DATE",IF(NOT(OR(D57="MX",D57="US")),"ENTITY REQUIRED",IF(NOT(OR(E57="Strategic Services",E57="Brands")),"UNIT REQUIRED",IF(F57="","BRAND / N/A REQUIRED",IF(NOT(OR(G57="USD",G57="MXN")),"CURRENCY REQUIRED",IF(NOT(ISNUMBER(H57)),"AMOUNT REQUIRED",IF(J57="","ERP SOURCE REQUIRED",IF(NOT(OR(K57="ISSUED",K57="CANCELLED")),"INVOICE STATUS REQUIRED",IF(COUNTIFS($A$2:$A$501,A57,$B$2:$B$501,B57,$D$2:$D$501,D57)&gt;1,"DUPLICATE INVOICE / PROJECT",IF(SUMPRODUCT(--(('ERP Snapshot'!$A$2:$A$101&amp;"")=(B57&amp;"")))=0,"PROJECT NOT FOUND",IF(SUMPRODUCT(--(('ERP Snapshot'!$A$2:$A$101&amp;"")=(B57&amp;"")))&gt;1,"DUPLICATE PROJECT ID",IF(OR(SUMPRODUCT(--(('ERP Snapshot'!$A$2:$A$101&amp;"")=(B57&amp;"")),--('ERP Snapshot'!$Q$2:$Q$101=E57),--('ERP Snapshot'!$R$2:$R$101=F57))&lt;&gt;1,SUMPRODUCT(--('Commercial Catalogs'!$A$2:$A$10=E57),--('Commercial Catalogs'!$B$2:$B$10=F57),--('Commercial Catalogs'!$C$2:$C$10="YES"),--('Commercial Catalogs'!$D$2:$D$10="IN SCOPE"))=0,AND(E57="Strategic Services",F57&lt;&gt;"N/A"),AND(E57="Brands",F57="N/A")),"PROJECT CLASSIFICATION MISMATCH",IF(AND(G57="MXN",NOT(AND(ISNUMBER(I57),Settings!$B$8="APPROVED",Settings!$B$9&lt;&gt;"",Settings!$B$10&lt;&gt;""))),"FX HOLD","VALID"))))))))))))))))))</x:f>
      </x:c>
      <x:c r="M57" s="57" t="str">
        <x:f>IF(ISNUMBER(C57),IF(AND(ISNUMBER(C57),C57&gt;=2,C57&lt;=2958465,C57=INT(C57)),YEAR(C57)&amp;"-"&amp;IF(MONTH(C57)&lt;10,"0","")&amp;MONTH(C57),""),"")</x:f>
      </x:c>
      <x:c r="N57" s="59" t="str">
        <x:f>IF(L57="VALID",IF(G57="USD",H57,I57),"")</x:f>
      </x:c>
      <x:c r="O57" s="57" t="n">
        <x:f>IF(L57="VALID",IF(COUNTIFS($B$2:B57,B57,$M$2:M57,M57,$L$2:L57,"VALID")=1,1,0),0)</x:f>
        <x:v>0</x:v>
      </x:c>
    </x:row>
    <x:row r="58">
      <x:c r="A58" s="47"/>
      <x:c r="B58" s="47"/>
      <x:c r="C58" s="69"/>
      <x:c r="D58" s="47"/>
      <x:c r="E58" s="47"/>
      <x:c r="F58" s="47"/>
      <x:c r="G58" s="47"/>
      <x:c r="H58" s="48"/>
      <x:c r="I58" s="48"/>
      <x:c r="J58" s="47"/>
      <x:c r="K58" s="47"/>
      <x:c r="L58" s="57" t="str">
        <x:f>IF(COUNTA(A58:K58)=0,"",IF(K58="CANCELLED","CANCELLED",IF(A58="","INVOICE ID REQUIRED",IF(B58="","PROJECT ID REQUIRED",IF(NOT(ISNUMBER(C58)),"INVALID INVOICE DATE",IF(NOT(AND(ISNUMBER(C58),C58&gt;=2,C58&lt;=2958465,C58=INT(C58))),"INVALID INVOICE DATE",IF(NOT(OR(D58="MX",D58="US")),"ENTITY REQUIRED",IF(NOT(OR(E58="Strategic Services",E58="Brands")),"UNIT REQUIRED",IF(F58="","BRAND / N/A REQUIRED",IF(NOT(OR(G58="USD",G58="MXN")),"CURRENCY REQUIRED",IF(NOT(ISNUMBER(H58)),"AMOUNT REQUIRED",IF(J58="","ERP SOURCE REQUIRED",IF(NOT(OR(K58="ISSUED",K58="CANCELLED")),"INVOICE STATUS REQUIRED",IF(COUNTIFS($A$2:$A$501,A58,$B$2:$B$501,B58,$D$2:$D$501,D58)&gt;1,"DUPLICATE INVOICE / PROJECT",IF(SUMPRODUCT(--(('ERP Snapshot'!$A$2:$A$101&amp;"")=(B58&amp;"")))=0,"PROJECT NOT FOUND",IF(SUMPRODUCT(--(('ERP Snapshot'!$A$2:$A$101&amp;"")=(B58&amp;"")))&gt;1,"DUPLICATE PROJECT ID",IF(OR(SUMPRODUCT(--(('ERP Snapshot'!$A$2:$A$101&amp;"")=(B58&amp;"")),--('ERP Snapshot'!$Q$2:$Q$101=E58),--('ERP Snapshot'!$R$2:$R$101=F58))&lt;&gt;1,SUMPRODUCT(--('Commercial Catalogs'!$A$2:$A$10=E58),--('Commercial Catalogs'!$B$2:$B$10=F58),--('Commercial Catalogs'!$C$2:$C$10="YES"),--('Commercial Catalogs'!$D$2:$D$10="IN SCOPE"))=0,AND(E58="Strategic Services",F58&lt;&gt;"N/A"),AND(E58="Brands",F58="N/A")),"PROJECT CLASSIFICATION MISMATCH",IF(AND(G58="MXN",NOT(AND(ISNUMBER(I58),Settings!$B$8="APPROVED",Settings!$B$9&lt;&gt;"",Settings!$B$10&lt;&gt;""))),"FX HOLD","VALID"))))))))))))))))))</x:f>
      </x:c>
      <x:c r="M58" s="57" t="str">
        <x:f>IF(ISNUMBER(C58),IF(AND(ISNUMBER(C58),C58&gt;=2,C58&lt;=2958465,C58=INT(C58)),YEAR(C58)&amp;"-"&amp;IF(MONTH(C58)&lt;10,"0","")&amp;MONTH(C58),""),"")</x:f>
      </x:c>
      <x:c r="N58" s="59" t="str">
        <x:f>IF(L58="VALID",IF(G58="USD",H58,I58),"")</x:f>
      </x:c>
      <x:c r="O58" s="57" t="n">
        <x:f>IF(L58="VALID",IF(COUNTIFS($B$2:B58,B58,$M$2:M58,M58,$L$2:L58,"VALID")=1,1,0),0)</x:f>
        <x:v>0</x:v>
      </x:c>
    </x:row>
    <x:row r="59">
      <x:c r="A59" s="47"/>
      <x:c r="B59" s="47"/>
      <x:c r="C59" s="69"/>
      <x:c r="D59" s="47"/>
      <x:c r="E59" s="47"/>
      <x:c r="F59" s="47"/>
      <x:c r="G59" s="47"/>
      <x:c r="H59" s="48"/>
      <x:c r="I59" s="48"/>
      <x:c r="J59" s="47"/>
      <x:c r="K59" s="47"/>
      <x:c r="L59" s="57" t="str">
        <x:f>IF(COUNTA(A59:K59)=0,"",IF(K59="CANCELLED","CANCELLED",IF(A59="","INVOICE ID REQUIRED",IF(B59="","PROJECT ID REQUIRED",IF(NOT(ISNUMBER(C59)),"INVALID INVOICE DATE",IF(NOT(AND(ISNUMBER(C59),C59&gt;=2,C59&lt;=2958465,C59=INT(C59))),"INVALID INVOICE DATE",IF(NOT(OR(D59="MX",D59="US")),"ENTITY REQUIRED",IF(NOT(OR(E59="Strategic Services",E59="Brands")),"UNIT REQUIRED",IF(F59="","BRAND / N/A REQUIRED",IF(NOT(OR(G59="USD",G59="MXN")),"CURRENCY REQUIRED",IF(NOT(ISNUMBER(H59)),"AMOUNT REQUIRED",IF(J59="","ERP SOURCE REQUIRED",IF(NOT(OR(K59="ISSUED",K59="CANCELLED")),"INVOICE STATUS REQUIRED",IF(COUNTIFS($A$2:$A$501,A59,$B$2:$B$501,B59,$D$2:$D$501,D59)&gt;1,"DUPLICATE INVOICE / PROJECT",IF(SUMPRODUCT(--(('ERP Snapshot'!$A$2:$A$101&amp;"")=(B59&amp;"")))=0,"PROJECT NOT FOUND",IF(SUMPRODUCT(--(('ERP Snapshot'!$A$2:$A$101&amp;"")=(B59&amp;"")))&gt;1,"DUPLICATE PROJECT ID",IF(OR(SUMPRODUCT(--(('ERP Snapshot'!$A$2:$A$101&amp;"")=(B59&amp;"")),--('ERP Snapshot'!$Q$2:$Q$101=E59),--('ERP Snapshot'!$R$2:$R$101=F59))&lt;&gt;1,SUMPRODUCT(--('Commercial Catalogs'!$A$2:$A$10=E59),--('Commercial Catalogs'!$B$2:$B$10=F59),--('Commercial Catalogs'!$C$2:$C$10="YES"),--('Commercial Catalogs'!$D$2:$D$10="IN SCOPE"))=0,AND(E59="Strategic Services",F59&lt;&gt;"N/A"),AND(E59="Brands",F59="N/A")),"PROJECT CLASSIFICATION MISMATCH",IF(AND(G59="MXN",NOT(AND(ISNUMBER(I59),Settings!$B$8="APPROVED",Settings!$B$9&lt;&gt;"",Settings!$B$10&lt;&gt;""))),"FX HOLD","VALID"))))))))))))))))))</x:f>
      </x:c>
      <x:c r="M59" s="57" t="str">
        <x:f>IF(ISNUMBER(C59),IF(AND(ISNUMBER(C59),C59&gt;=2,C59&lt;=2958465,C59=INT(C59)),YEAR(C59)&amp;"-"&amp;IF(MONTH(C59)&lt;10,"0","")&amp;MONTH(C59),""),"")</x:f>
      </x:c>
      <x:c r="N59" s="59" t="str">
        <x:f>IF(L59="VALID",IF(G59="USD",H59,I59),"")</x:f>
      </x:c>
      <x:c r="O59" s="57" t="n">
        <x:f>IF(L59="VALID",IF(COUNTIFS($B$2:B59,B59,$M$2:M59,M59,$L$2:L59,"VALID")=1,1,0),0)</x:f>
        <x:v>0</x:v>
      </x:c>
    </x:row>
    <x:row r="60">
      <x:c r="A60" s="47"/>
      <x:c r="B60" s="47"/>
      <x:c r="C60" s="69"/>
      <x:c r="D60" s="47"/>
      <x:c r="E60" s="47"/>
      <x:c r="F60" s="47"/>
      <x:c r="G60" s="47"/>
      <x:c r="H60" s="48"/>
      <x:c r="I60" s="48"/>
      <x:c r="J60" s="47"/>
      <x:c r="K60" s="47"/>
      <x:c r="L60" s="57" t="str">
        <x:f>IF(COUNTA(A60:K60)=0,"",IF(K60="CANCELLED","CANCELLED",IF(A60="","INVOICE ID REQUIRED",IF(B60="","PROJECT ID REQUIRED",IF(NOT(ISNUMBER(C60)),"INVALID INVOICE DATE",IF(NOT(AND(ISNUMBER(C60),C60&gt;=2,C60&lt;=2958465,C60=INT(C60))),"INVALID INVOICE DATE",IF(NOT(OR(D60="MX",D60="US")),"ENTITY REQUIRED",IF(NOT(OR(E60="Strategic Services",E60="Brands")),"UNIT REQUIRED",IF(F60="","BRAND / N/A REQUIRED",IF(NOT(OR(G60="USD",G60="MXN")),"CURRENCY REQUIRED",IF(NOT(ISNUMBER(H60)),"AMOUNT REQUIRED",IF(J60="","ERP SOURCE REQUIRED",IF(NOT(OR(K60="ISSUED",K60="CANCELLED")),"INVOICE STATUS REQUIRED",IF(COUNTIFS($A$2:$A$501,A60,$B$2:$B$501,B60,$D$2:$D$501,D60)&gt;1,"DUPLICATE INVOICE / PROJECT",IF(SUMPRODUCT(--(('ERP Snapshot'!$A$2:$A$101&amp;"")=(B60&amp;"")))=0,"PROJECT NOT FOUND",IF(SUMPRODUCT(--(('ERP Snapshot'!$A$2:$A$101&amp;"")=(B60&amp;"")))&gt;1,"DUPLICATE PROJECT ID",IF(OR(SUMPRODUCT(--(('ERP Snapshot'!$A$2:$A$101&amp;"")=(B60&amp;"")),--('ERP Snapshot'!$Q$2:$Q$101=E60),--('ERP Snapshot'!$R$2:$R$101=F60))&lt;&gt;1,SUMPRODUCT(--('Commercial Catalogs'!$A$2:$A$10=E60),--('Commercial Catalogs'!$B$2:$B$10=F60),--('Commercial Catalogs'!$C$2:$C$10="YES"),--('Commercial Catalogs'!$D$2:$D$10="IN SCOPE"))=0,AND(E60="Strategic Services",F60&lt;&gt;"N/A"),AND(E60="Brands",F60="N/A")),"PROJECT CLASSIFICATION MISMATCH",IF(AND(G60="MXN",NOT(AND(ISNUMBER(I60),Settings!$B$8="APPROVED",Settings!$B$9&lt;&gt;"",Settings!$B$10&lt;&gt;""))),"FX HOLD","VALID"))))))))))))))))))</x:f>
      </x:c>
      <x:c r="M60" s="57" t="str">
        <x:f>IF(ISNUMBER(C60),IF(AND(ISNUMBER(C60),C60&gt;=2,C60&lt;=2958465,C60=INT(C60)),YEAR(C60)&amp;"-"&amp;IF(MONTH(C60)&lt;10,"0","")&amp;MONTH(C60),""),"")</x:f>
      </x:c>
      <x:c r="N60" s="59" t="str">
        <x:f>IF(L60="VALID",IF(G60="USD",H60,I60),"")</x:f>
      </x:c>
      <x:c r="O60" s="57" t="n">
        <x:f>IF(L60="VALID",IF(COUNTIFS($B$2:B60,B60,$M$2:M60,M60,$L$2:L60,"VALID")=1,1,0),0)</x:f>
        <x:v>0</x:v>
      </x:c>
    </x:row>
    <x:row r="61">
      <x:c r="A61" s="47"/>
      <x:c r="B61" s="47"/>
      <x:c r="C61" s="69"/>
      <x:c r="D61" s="47"/>
      <x:c r="E61" s="47"/>
      <x:c r="F61" s="47"/>
      <x:c r="G61" s="47"/>
      <x:c r="H61" s="48"/>
      <x:c r="I61" s="48"/>
      <x:c r="J61" s="47"/>
      <x:c r="K61" s="47"/>
      <x:c r="L61" s="57" t="str">
        <x:f>IF(COUNTA(A61:K61)=0,"",IF(K61="CANCELLED","CANCELLED",IF(A61="","INVOICE ID REQUIRED",IF(B61="","PROJECT ID REQUIRED",IF(NOT(ISNUMBER(C61)),"INVALID INVOICE DATE",IF(NOT(AND(ISNUMBER(C61),C61&gt;=2,C61&lt;=2958465,C61=INT(C61))),"INVALID INVOICE DATE",IF(NOT(OR(D61="MX",D61="US")),"ENTITY REQUIRED",IF(NOT(OR(E61="Strategic Services",E61="Brands")),"UNIT REQUIRED",IF(F61="","BRAND / N/A REQUIRED",IF(NOT(OR(G61="USD",G61="MXN")),"CURRENCY REQUIRED",IF(NOT(ISNUMBER(H61)),"AMOUNT REQUIRED",IF(J61="","ERP SOURCE REQUIRED",IF(NOT(OR(K61="ISSUED",K61="CANCELLED")),"INVOICE STATUS REQUIRED",IF(COUNTIFS($A$2:$A$501,A61,$B$2:$B$501,B61,$D$2:$D$501,D61)&gt;1,"DUPLICATE INVOICE / PROJECT",IF(SUMPRODUCT(--(('ERP Snapshot'!$A$2:$A$101&amp;"")=(B61&amp;"")))=0,"PROJECT NOT FOUND",IF(SUMPRODUCT(--(('ERP Snapshot'!$A$2:$A$101&amp;"")=(B61&amp;"")))&gt;1,"DUPLICATE PROJECT ID",IF(OR(SUMPRODUCT(--(('ERP Snapshot'!$A$2:$A$101&amp;"")=(B61&amp;"")),--('ERP Snapshot'!$Q$2:$Q$101=E61),--('ERP Snapshot'!$R$2:$R$101=F61))&lt;&gt;1,SUMPRODUCT(--('Commercial Catalogs'!$A$2:$A$10=E61),--('Commercial Catalogs'!$B$2:$B$10=F61),--('Commercial Catalogs'!$C$2:$C$10="YES"),--('Commercial Catalogs'!$D$2:$D$10="IN SCOPE"))=0,AND(E61="Strategic Services",F61&lt;&gt;"N/A"),AND(E61="Brands",F61="N/A")),"PROJECT CLASSIFICATION MISMATCH",IF(AND(G61="MXN",NOT(AND(ISNUMBER(I61),Settings!$B$8="APPROVED",Settings!$B$9&lt;&gt;"",Settings!$B$10&lt;&gt;""))),"FX HOLD","VALID"))))))))))))))))))</x:f>
      </x:c>
      <x:c r="M61" s="57" t="str">
        <x:f>IF(ISNUMBER(C61),IF(AND(ISNUMBER(C61),C61&gt;=2,C61&lt;=2958465,C61=INT(C61)),YEAR(C61)&amp;"-"&amp;IF(MONTH(C61)&lt;10,"0","")&amp;MONTH(C61),""),"")</x:f>
      </x:c>
      <x:c r="N61" s="59" t="str">
        <x:f>IF(L61="VALID",IF(G61="USD",H61,I61),"")</x:f>
      </x:c>
      <x:c r="O61" s="57" t="n">
        <x:f>IF(L61="VALID",IF(COUNTIFS($B$2:B61,B61,$M$2:M61,M61,$L$2:L61,"VALID")=1,1,0),0)</x:f>
        <x:v>0</x:v>
      </x:c>
    </x:row>
    <x:row r="62">
      <x:c r="A62" s="47"/>
      <x:c r="B62" s="47"/>
      <x:c r="C62" s="69"/>
      <x:c r="D62" s="47"/>
      <x:c r="E62" s="47"/>
      <x:c r="F62" s="47"/>
      <x:c r="G62" s="47"/>
      <x:c r="H62" s="48"/>
      <x:c r="I62" s="48"/>
      <x:c r="J62" s="47"/>
      <x:c r="K62" s="47"/>
      <x:c r="L62" s="57" t="str">
        <x:f>IF(COUNTA(A62:K62)=0,"",IF(K62="CANCELLED","CANCELLED",IF(A62="","INVOICE ID REQUIRED",IF(B62="","PROJECT ID REQUIRED",IF(NOT(ISNUMBER(C62)),"INVALID INVOICE DATE",IF(NOT(AND(ISNUMBER(C62),C62&gt;=2,C62&lt;=2958465,C62=INT(C62))),"INVALID INVOICE DATE",IF(NOT(OR(D62="MX",D62="US")),"ENTITY REQUIRED",IF(NOT(OR(E62="Strategic Services",E62="Brands")),"UNIT REQUIRED",IF(F62="","BRAND / N/A REQUIRED",IF(NOT(OR(G62="USD",G62="MXN")),"CURRENCY REQUIRED",IF(NOT(ISNUMBER(H62)),"AMOUNT REQUIRED",IF(J62="","ERP SOURCE REQUIRED",IF(NOT(OR(K62="ISSUED",K62="CANCELLED")),"INVOICE STATUS REQUIRED",IF(COUNTIFS($A$2:$A$501,A62,$B$2:$B$501,B62,$D$2:$D$501,D62)&gt;1,"DUPLICATE INVOICE / PROJECT",IF(SUMPRODUCT(--(('ERP Snapshot'!$A$2:$A$101&amp;"")=(B62&amp;"")))=0,"PROJECT NOT FOUND",IF(SUMPRODUCT(--(('ERP Snapshot'!$A$2:$A$101&amp;"")=(B62&amp;"")))&gt;1,"DUPLICATE PROJECT ID",IF(OR(SUMPRODUCT(--(('ERP Snapshot'!$A$2:$A$101&amp;"")=(B62&amp;"")),--('ERP Snapshot'!$Q$2:$Q$101=E62),--('ERP Snapshot'!$R$2:$R$101=F62))&lt;&gt;1,SUMPRODUCT(--('Commercial Catalogs'!$A$2:$A$10=E62),--('Commercial Catalogs'!$B$2:$B$10=F62),--('Commercial Catalogs'!$C$2:$C$10="YES"),--('Commercial Catalogs'!$D$2:$D$10="IN SCOPE"))=0,AND(E62="Strategic Services",F62&lt;&gt;"N/A"),AND(E62="Brands",F62="N/A")),"PROJECT CLASSIFICATION MISMATCH",IF(AND(G62="MXN",NOT(AND(ISNUMBER(I62),Settings!$B$8="APPROVED",Settings!$B$9&lt;&gt;"",Settings!$B$10&lt;&gt;""))),"FX HOLD","VALID"))))))))))))))))))</x:f>
      </x:c>
      <x:c r="M62" s="57" t="str">
        <x:f>IF(ISNUMBER(C62),IF(AND(ISNUMBER(C62),C62&gt;=2,C62&lt;=2958465,C62=INT(C62)),YEAR(C62)&amp;"-"&amp;IF(MONTH(C62)&lt;10,"0","")&amp;MONTH(C62),""),"")</x:f>
      </x:c>
      <x:c r="N62" s="59" t="str">
        <x:f>IF(L62="VALID",IF(G62="USD",H62,I62),"")</x:f>
      </x:c>
      <x:c r="O62" s="57" t="n">
        <x:f>IF(L62="VALID",IF(COUNTIFS($B$2:B62,B62,$M$2:M62,M62,$L$2:L62,"VALID")=1,1,0),0)</x:f>
        <x:v>0</x:v>
      </x:c>
    </x:row>
    <x:row r="63">
      <x:c r="A63" s="47"/>
      <x:c r="B63" s="47"/>
      <x:c r="C63" s="69"/>
      <x:c r="D63" s="47"/>
      <x:c r="E63" s="47"/>
      <x:c r="F63" s="47"/>
      <x:c r="G63" s="47"/>
      <x:c r="H63" s="48"/>
      <x:c r="I63" s="48"/>
      <x:c r="J63" s="47"/>
      <x:c r="K63" s="47"/>
      <x:c r="L63" s="57" t="str">
        <x:f>IF(COUNTA(A63:K63)=0,"",IF(K63="CANCELLED","CANCELLED",IF(A63="","INVOICE ID REQUIRED",IF(B63="","PROJECT ID REQUIRED",IF(NOT(ISNUMBER(C63)),"INVALID INVOICE DATE",IF(NOT(AND(ISNUMBER(C63),C63&gt;=2,C63&lt;=2958465,C63=INT(C63))),"INVALID INVOICE DATE",IF(NOT(OR(D63="MX",D63="US")),"ENTITY REQUIRED",IF(NOT(OR(E63="Strategic Services",E63="Brands")),"UNIT REQUIRED",IF(F63="","BRAND / N/A REQUIRED",IF(NOT(OR(G63="USD",G63="MXN")),"CURRENCY REQUIRED",IF(NOT(ISNUMBER(H63)),"AMOUNT REQUIRED",IF(J63="","ERP SOURCE REQUIRED",IF(NOT(OR(K63="ISSUED",K63="CANCELLED")),"INVOICE STATUS REQUIRED",IF(COUNTIFS($A$2:$A$501,A63,$B$2:$B$501,B63,$D$2:$D$501,D63)&gt;1,"DUPLICATE INVOICE / PROJECT",IF(SUMPRODUCT(--(('ERP Snapshot'!$A$2:$A$101&amp;"")=(B63&amp;"")))=0,"PROJECT NOT FOUND",IF(SUMPRODUCT(--(('ERP Snapshot'!$A$2:$A$101&amp;"")=(B63&amp;"")))&gt;1,"DUPLICATE PROJECT ID",IF(OR(SUMPRODUCT(--(('ERP Snapshot'!$A$2:$A$101&amp;"")=(B63&amp;"")),--('ERP Snapshot'!$Q$2:$Q$101=E63),--('ERP Snapshot'!$R$2:$R$101=F63))&lt;&gt;1,SUMPRODUCT(--('Commercial Catalogs'!$A$2:$A$10=E63),--('Commercial Catalogs'!$B$2:$B$10=F63),--('Commercial Catalogs'!$C$2:$C$10="YES"),--('Commercial Catalogs'!$D$2:$D$10="IN SCOPE"))=0,AND(E63="Strategic Services",F63&lt;&gt;"N/A"),AND(E63="Brands",F63="N/A")),"PROJECT CLASSIFICATION MISMATCH",IF(AND(G63="MXN",NOT(AND(ISNUMBER(I63),Settings!$B$8="APPROVED",Settings!$B$9&lt;&gt;"",Settings!$B$10&lt;&gt;""))),"FX HOLD","VALID"))))))))))))))))))</x:f>
      </x:c>
      <x:c r="M63" s="57" t="str">
        <x:f>IF(ISNUMBER(C63),IF(AND(ISNUMBER(C63),C63&gt;=2,C63&lt;=2958465,C63=INT(C63)),YEAR(C63)&amp;"-"&amp;IF(MONTH(C63)&lt;10,"0","")&amp;MONTH(C63),""),"")</x:f>
      </x:c>
      <x:c r="N63" s="59" t="str">
        <x:f>IF(L63="VALID",IF(G63="USD",H63,I63),"")</x:f>
      </x:c>
      <x:c r="O63" s="57" t="n">
        <x:f>IF(L63="VALID",IF(COUNTIFS($B$2:B63,B63,$M$2:M63,M63,$L$2:L63,"VALID")=1,1,0),0)</x:f>
        <x:v>0</x:v>
      </x:c>
    </x:row>
    <x:row r="64">
      <x:c r="A64" s="47"/>
      <x:c r="B64" s="47"/>
      <x:c r="C64" s="69"/>
      <x:c r="D64" s="47"/>
      <x:c r="E64" s="47"/>
      <x:c r="F64" s="47"/>
      <x:c r="G64" s="47"/>
      <x:c r="H64" s="48"/>
      <x:c r="I64" s="48"/>
      <x:c r="J64" s="47"/>
      <x:c r="K64" s="47"/>
      <x:c r="L64" s="57" t="str">
        <x:f>IF(COUNTA(A64:K64)=0,"",IF(K64="CANCELLED","CANCELLED",IF(A64="","INVOICE ID REQUIRED",IF(B64="","PROJECT ID REQUIRED",IF(NOT(ISNUMBER(C64)),"INVALID INVOICE DATE",IF(NOT(AND(ISNUMBER(C64),C64&gt;=2,C64&lt;=2958465,C64=INT(C64))),"INVALID INVOICE DATE",IF(NOT(OR(D64="MX",D64="US")),"ENTITY REQUIRED",IF(NOT(OR(E64="Strategic Services",E64="Brands")),"UNIT REQUIRED",IF(F64="","BRAND / N/A REQUIRED",IF(NOT(OR(G64="USD",G64="MXN")),"CURRENCY REQUIRED",IF(NOT(ISNUMBER(H64)),"AMOUNT REQUIRED",IF(J64="","ERP SOURCE REQUIRED",IF(NOT(OR(K64="ISSUED",K64="CANCELLED")),"INVOICE STATUS REQUIRED",IF(COUNTIFS($A$2:$A$501,A64,$B$2:$B$501,B64,$D$2:$D$501,D64)&gt;1,"DUPLICATE INVOICE / PROJECT",IF(SUMPRODUCT(--(('ERP Snapshot'!$A$2:$A$101&amp;"")=(B64&amp;"")))=0,"PROJECT NOT FOUND",IF(SUMPRODUCT(--(('ERP Snapshot'!$A$2:$A$101&amp;"")=(B64&amp;"")))&gt;1,"DUPLICATE PROJECT ID",IF(OR(SUMPRODUCT(--(('ERP Snapshot'!$A$2:$A$101&amp;"")=(B64&amp;"")),--('ERP Snapshot'!$Q$2:$Q$101=E64),--('ERP Snapshot'!$R$2:$R$101=F64))&lt;&gt;1,SUMPRODUCT(--('Commercial Catalogs'!$A$2:$A$10=E64),--('Commercial Catalogs'!$B$2:$B$10=F64),--('Commercial Catalogs'!$C$2:$C$10="YES"),--('Commercial Catalogs'!$D$2:$D$10="IN SCOPE"))=0,AND(E64="Strategic Services",F64&lt;&gt;"N/A"),AND(E64="Brands",F64="N/A")),"PROJECT CLASSIFICATION MISMATCH",IF(AND(G64="MXN",NOT(AND(ISNUMBER(I64),Settings!$B$8="APPROVED",Settings!$B$9&lt;&gt;"",Settings!$B$10&lt;&gt;""))),"FX HOLD","VALID"))))))))))))))))))</x:f>
      </x:c>
      <x:c r="M64" s="57" t="str">
        <x:f>IF(ISNUMBER(C64),IF(AND(ISNUMBER(C64),C64&gt;=2,C64&lt;=2958465,C64=INT(C64)),YEAR(C64)&amp;"-"&amp;IF(MONTH(C64)&lt;10,"0","")&amp;MONTH(C64),""),"")</x:f>
      </x:c>
      <x:c r="N64" s="59" t="str">
        <x:f>IF(L64="VALID",IF(G64="USD",H64,I64),"")</x:f>
      </x:c>
      <x:c r="O64" s="57" t="n">
        <x:f>IF(L64="VALID",IF(COUNTIFS($B$2:B64,B64,$M$2:M64,M64,$L$2:L64,"VALID")=1,1,0),0)</x:f>
        <x:v>0</x:v>
      </x:c>
    </x:row>
    <x:row r="65">
      <x:c r="A65" s="47"/>
      <x:c r="B65" s="47"/>
      <x:c r="C65" s="69"/>
      <x:c r="D65" s="47"/>
      <x:c r="E65" s="47"/>
      <x:c r="F65" s="47"/>
      <x:c r="G65" s="47"/>
      <x:c r="H65" s="48"/>
      <x:c r="I65" s="48"/>
      <x:c r="J65" s="47"/>
      <x:c r="K65" s="47"/>
      <x:c r="L65" s="57" t="str">
        <x:f>IF(COUNTA(A65:K65)=0,"",IF(K65="CANCELLED","CANCELLED",IF(A65="","INVOICE ID REQUIRED",IF(B65="","PROJECT ID REQUIRED",IF(NOT(ISNUMBER(C65)),"INVALID INVOICE DATE",IF(NOT(AND(ISNUMBER(C65),C65&gt;=2,C65&lt;=2958465,C65=INT(C65))),"INVALID INVOICE DATE",IF(NOT(OR(D65="MX",D65="US")),"ENTITY REQUIRED",IF(NOT(OR(E65="Strategic Services",E65="Brands")),"UNIT REQUIRED",IF(F65="","BRAND / N/A REQUIRED",IF(NOT(OR(G65="USD",G65="MXN")),"CURRENCY REQUIRED",IF(NOT(ISNUMBER(H65)),"AMOUNT REQUIRED",IF(J65="","ERP SOURCE REQUIRED",IF(NOT(OR(K65="ISSUED",K65="CANCELLED")),"INVOICE STATUS REQUIRED",IF(COUNTIFS($A$2:$A$501,A65,$B$2:$B$501,B65,$D$2:$D$501,D65)&gt;1,"DUPLICATE INVOICE / PROJECT",IF(SUMPRODUCT(--(('ERP Snapshot'!$A$2:$A$101&amp;"")=(B65&amp;"")))=0,"PROJECT NOT FOUND",IF(SUMPRODUCT(--(('ERP Snapshot'!$A$2:$A$101&amp;"")=(B65&amp;"")))&gt;1,"DUPLICATE PROJECT ID",IF(OR(SUMPRODUCT(--(('ERP Snapshot'!$A$2:$A$101&amp;"")=(B65&amp;"")),--('ERP Snapshot'!$Q$2:$Q$101=E65),--('ERP Snapshot'!$R$2:$R$101=F65))&lt;&gt;1,SUMPRODUCT(--('Commercial Catalogs'!$A$2:$A$10=E65),--('Commercial Catalogs'!$B$2:$B$10=F65),--('Commercial Catalogs'!$C$2:$C$10="YES"),--('Commercial Catalogs'!$D$2:$D$10="IN SCOPE"))=0,AND(E65="Strategic Services",F65&lt;&gt;"N/A"),AND(E65="Brands",F65="N/A")),"PROJECT CLASSIFICATION MISMATCH",IF(AND(G65="MXN",NOT(AND(ISNUMBER(I65),Settings!$B$8="APPROVED",Settings!$B$9&lt;&gt;"",Settings!$B$10&lt;&gt;""))),"FX HOLD","VALID"))))))))))))))))))</x:f>
      </x:c>
      <x:c r="M65" s="57" t="str">
        <x:f>IF(ISNUMBER(C65),IF(AND(ISNUMBER(C65),C65&gt;=2,C65&lt;=2958465,C65=INT(C65)),YEAR(C65)&amp;"-"&amp;IF(MONTH(C65)&lt;10,"0","")&amp;MONTH(C65),""),"")</x:f>
      </x:c>
      <x:c r="N65" s="59" t="str">
        <x:f>IF(L65="VALID",IF(G65="USD",H65,I65),"")</x:f>
      </x:c>
      <x:c r="O65" s="57" t="n">
        <x:f>IF(L65="VALID",IF(COUNTIFS($B$2:B65,B65,$M$2:M65,M65,$L$2:L65,"VALID")=1,1,0),0)</x:f>
        <x:v>0</x:v>
      </x:c>
    </x:row>
    <x:row r="66">
      <x:c r="A66" s="47"/>
      <x:c r="B66" s="47"/>
      <x:c r="C66" s="69"/>
      <x:c r="D66" s="47"/>
      <x:c r="E66" s="47"/>
      <x:c r="F66" s="47"/>
      <x:c r="G66" s="47"/>
      <x:c r="H66" s="48"/>
      <x:c r="I66" s="48"/>
      <x:c r="J66" s="47"/>
      <x:c r="K66" s="47"/>
      <x:c r="L66" s="57" t="str">
        <x:f>IF(COUNTA(A66:K66)=0,"",IF(K66="CANCELLED","CANCELLED",IF(A66="","INVOICE ID REQUIRED",IF(B66="","PROJECT ID REQUIRED",IF(NOT(ISNUMBER(C66)),"INVALID INVOICE DATE",IF(NOT(AND(ISNUMBER(C66),C66&gt;=2,C66&lt;=2958465,C66=INT(C66))),"INVALID INVOICE DATE",IF(NOT(OR(D66="MX",D66="US")),"ENTITY REQUIRED",IF(NOT(OR(E66="Strategic Services",E66="Brands")),"UNIT REQUIRED",IF(F66="","BRAND / N/A REQUIRED",IF(NOT(OR(G66="USD",G66="MXN")),"CURRENCY REQUIRED",IF(NOT(ISNUMBER(H66)),"AMOUNT REQUIRED",IF(J66="","ERP SOURCE REQUIRED",IF(NOT(OR(K66="ISSUED",K66="CANCELLED")),"INVOICE STATUS REQUIRED",IF(COUNTIFS($A$2:$A$501,A66,$B$2:$B$501,B66,$D$2:$D$501,D66)&gt;1,"DUPLICATE INVOICE / PROJECT",IF(SUMPRODUCT(--(('ERP Snapshot'!$A$2:$A$101&amp;"")=(B66&amp;"")))=0,"PROJECT NOT FOUND",IF(SUMPRODUCT(--(('ERP Snapshot'!$A$2:$A$101&amp;"")=(B66&amp;"")))&gt;1,"DUPLICATE PROJECT ID",IF(OR(SUMPRODUCT(--(('ERP Snapshot'!$A$2:$A$101&amp;"")=(B66&amp;"")),--('ERP Snapshot'!$Q$2:$Q$101=E66),--('ERP Snapshot'!$R$2:$R$101=F66))&lt;&gt;1,SUMPRODUCT(--('Commercial Catalogs'!$A$2:$A$10=E66),--('Commercial Catalogs'!$B$2:$B$10=F66),--('Commercial Catalogs'!$C$2:$C$10="YES"),--('Commercial Catalogs'!$D$2:$D$10="IN SCOPE"))=0,AND(E66="Strategic Services",F66&lt;&gt;"N/A"),AND(E66="Brands",F66="N/A")),"PROJECT CLASSIFICATION MISMATCH",IF(AND(G66="MXN",NOT(AND(ISNUMBER(I66),Settings!$B$8="APPROVED",Settings!$B$9&lt;&gt;"",Settings!$B$10&lt;&gt;""))),"FX HOLD","VALID"))))))))))))))))))</x:f>
      </x:c>
      <x:c r="M66" s="57" t="str">
        <x:f>IF(ISNUMBER(C66),IF(AND(ISNUMBER(C66),C66&gt;=2,C66&lt;=2958465,C66=INT(C66)),YEAR(C66)&amp;"-"&amp;IF(MONTH(C66)&lt;10,"0","")&amp;MONTH(C66),""),"")</x:f>
      </x:c>
      <x:c r="N66" s="59" t="str">
        <x:f>IF(L66="VALID",IF(G66="USD",H66,I66),"")</x:f>
      </x:c>
      <x:c r="O66" s="57" t="n">
        <x:f>IF(L66="VALID",IF(COUNTIFS($B$2:B66,B66,$M$2:M66,M66,$L$2:L66,"VALID")=1,1,0),0)</x:f>
        <x:v>0</x:v>
      </x:c>
    </x:row>
    <x:row r="67">
      <x:c r="A67" s="47"/>
      <x:c r="B67" s="47"/>
      <x:c r="C67" s="69"/>
      <x:c r="D67" s="47"/>
      <x:c r="E67" s="47"/>
      <x:c r="F67" s="47"/>
      <x:c r="G67" s="47"/>
      <x:c r="H67" s="48"/>
      <x:c r="I67" s="48"/>
      <x:c r="J67" s="47"/>
      <x:c r="K67" s="47"/>
      <x:c r="L67" s="57" t="str">
        <x:f>IF(COUNTA(A67:K67)=0,"",IF(K67="CANCELLED","CANCELLED",IF(A67="","INVOICE ID REQUIRED",IF(B67="","PROJECT ID REQUIRED",IF(NOT(ISNUMBER(C67)),"INVALID INVOICE DATE",IF(NOT(AND(ISNUMBER(C67),C67&gt;=2,C67&lt;=2958465,C67=INT(C67))),"INVALID INVOICE DATE",IF(NOT(OR(D67="MX",D67="US")),"ENTITY REQUIRED",IF(NOT(OR(E67="Strategic Services",E67="Brands")),"UNIT REQUIRED",IF(F67="","BRAND / N/A REQUIRED",IF(NOT(OR(G67="USD",G67="MXN")),"CURRENCY REQUIRED",IF(NOT(ISNUMBER(H67)),"AMOUNT REQUIRED",IF(J67="","ERP SOURCE REQUIRED",IF(NOT(OR(K67="ISSUED",K67="CANCELLED")),"INVOICE STATUS REQUIRED",IF(COUNTIFS($A$2:$A$501,A67,$B$2:$B$501,B67,$D$2:$D$501,D67)&gt;1,"DUPLICATE INVOICE / PROJECT",IF(SUMPRODUCT(--(('ERP Snapshot'!$A$2:$A$101&amp;"")=(B67&amp;"")))=0,"PROJECT NOT FOUND",IF(SUMPRODUCT(--(('ERP Snapshot'!$A$2:$A$101&amp;"")=(B67&amp;"")))&gt;1,"DUPLICATE PROJECT ID",IF(OR(SUMPRODUCT(--(('ERP Snapshot'!$A$2:$A$101&amp;"")=(B67&amp;"")),--('ERP Snapshot'!$Q$2:$Q$101=E67),--('ERP Snapshot'!$R$2:$R$101=F67))&lt;&gt;1,SUMPRODUCT(--('Commercial Catalogs'!$A$2:$A$10=E67),--('Commercial Catalogs'!$B$2:$B$10=F67),--('Commercial Catalogs'!$C$2:$C$10="YES"),--('Commercial Catalogs'!$D$2:$D$10="IN SCOPE"))=0,AND(E67="Strategic Services",F67&lt;&gt;"N/A"),AND(E67="Brands",F67="N/A")),"PROJECT CLASSIFICATION MISMATCH",IF(AND(G67="MXN",NOT(AND(ISNUMBER(I67),Settings!$B$8="APPROVED",Settings!$B$9&lt;&gt;"",Settings!$B$10&lt;&gt;""))),"FX HOLD","VALID"))))))))))))))))))</x:f>
      </x:c>
      <x:c r="M67" s="57" t="str">
        <x:f>IF(ISNUMBER(C67),IF(AND(ISNUMBER(C67),C67&gt;=2,C67&lt;=2958465,C67=INT(C67)),YEAR(C67)&amp;"-"&amp;IF(MONTH(C67)&lt;10,"0","")&amp;MONTH(C67),""),"")</x:f>
      </x:c>
      <x:c r="N67" s="59" t="str">
        <x:f>IF(L67="VALID",IF(G67="USD",H67,I67),"")</x:f>
      </x:c>
      <x:c r="O67" s="57" t="n">
        <x:f>IF(L67="VALID",IF(COUNTIFS($B$2:B67,B67,$M$2:M67,M67,$L$2:L67,"VALID")=1,1,0),0)</x:f>
        <x:v>0</x:v>
      </x:c>
    </x:row>
    <x:row r="68">
      <x:c r="A68" s="47"/>
      <x:c r="B68" s="47"/>
      <x:c r="C68" s="69"/>
      <x:c r="D68" s="47"/>
      <x:c r="E68" s="47"/>
      <x:c r="F68" s="47"/>
      <x:c r="G68" s="47"/>
      <x:c r="H68" s="48"/>
      <x:c r="I68" s="48"/>
      <x:c r="J68" s="47"/>
      <x:c r="K68" s="47"/>
      <x:c r="L68" s="57" t="str">
        <x:f>IF(COUNTA(A68:K68)=0,"",IF(K68="CANCELLED","CANCELLED",IF(A68="","INVOICE ID REQUIRED",IF(B68="","PROJECT ID REQUIRED",IF(NOT(ISNUMBER(C68)),"INVALID INVOICE DATE",IF(NOT(AND(ISNUMBER(C68),C68&gt;=2,C68&lt;=2958465,C68=INT(C68))),"INVALID INVOICE DATE",IF(NOT(OR(D68="MX",D68="US")),"ENTITY REQUIRED",IF(NOT(OR(E68="Strategic Services",E68="Brands")),"UNIT REQUIRED",IF(F68="","BRAND / N/A REQUIRED",IF(NOT(OR(G68="USD",G68="MXN")),"CURRENCY REQUIRED",IF(NOT(ISNUMBER(H68)),"AMOUNT REQUIRED",IF(J68="","ERP SOURCE REQUIRED",IF(NOT(OR(K68="ISSUED",K68="CANCELLED")),"INVOICE STATUS REQUIRED",IF(COUNTIFS($A$2:$A$501,A68,$B$2:$B$501,B68,$D$2:$D$501,D68)&gt;1,"DUPLICATE INVOICE / PROJECT",IF(SUMPRODUCT(--(('ERP Snapshot'!$A$2:$A$101&amp;"")=(B68&amp;"")))=0,"PROJECT NOT FOUND",IF(SUMPRODUCT(--(('ERP Snapshot'!$A$2:$A$101&amp;"")=(B68&amp;"")))&gt;1,"DUPLICATE PROJECT ID",IF(OR(SUMPRODUCT(--(('ERP Snapshot'!$A$2:$A$101&amp;"")=(B68&amp;"")),--('ERP Snapshot'!$Q$2:$Q$101=E68),--('ERP Snapshot'!$R$2:$R$101=F68))&lt;&gt;1,SUMPRODUCT(--('Commercial Catalogs'!$A$2:$A$10=E68),--('Commercial Catalogs'!$B$2:$B$10=F68),--('Commercial Catalogs'!$C$2:$C$10="YES"),--('Commercial Catalogs'!$D$2:$D$10="IN SCOPE"))=0,AND(E68="Strategic Services",F68&lt;&gt;"N/A"),AND(E68="Brands",F68="N/A")),"PROJECT CLASSIFICATION MISMATCH",IF(AND(G68="MXN",NOT(AND(ISNUMBER(I68),Settings!$B$8="APPROVED",Settings!$B$9&lt;&gt;"",Settings!$B$10&lt;&gt;""))),"FX HOLD","VALID"))))))))))))))))))</x:f>
      </x:c>
      <x:c r="M68" s="57" t="str">
        <x:f>IF(ISNUMBER(C68),IF(AND(ISNUMBER(C68),C68&gt;=2,C68&lt;=2958465,C68=INT(C68)),YEAR(C68)&amp;"-"&amp;IF(MONTH(C68)&lt;10,"0","")&amp;MONTH(C68),""),"")</x:f>
      </x:c>
      <x:c r="N68" s="59" t="str">
        <x:f>IF(L68="VALID",IF(G68="USD",H68,I68),"")</x:f>
      </x:c>
      <x:c r="O68" s="57" t="n">
        <x:f>IF(L68="VALID",IF(COUNTIFS($B$2:B68,B68,$M$2:M68,M68,$L$2:L68,"VALID")=1,1,0),0)</x:f>
        <x:v>0</x:v>
      </x:c>
    </x:row>
    <x:row r="69">
      <x:c r="A69" s="47"/>
      <x:c r="B69" s="47"/>
      <x:c r="C69" s="69"/>
      <x:c r="D69" s="47"/>
      <x:c r="E69" s="47"/>
      <x:c r="F69" s="47"/>
      <x:c r="G69" s="47"/>
      <x:c r="H69" s="48"/>
      <x:c r="I69" s="48"/>
      <x:c r="J69" s="47"/>
      <x:c r="K69" s="47"/>
      <x:c r="L69" s="57" t="str">
        <x:f>IF(COUNTA(A69:K69)=0,"",IF(K69="CANCELLED","CANCELLED",IF(A69="","INVOICE ID REQUIRED",IF(B69="","PROJECT ID REQUIRED",IF(NOT(ISNUMBER(C69)),"INVALID INVOICE DATE",IF(NOT(AND(ISNUMBER(C69),C69&gt;=2,C69&lt;=2958465,C69=INT(C69))),"INVALID INVOICE DATE",IF(NOT(OR(D69="MX",D69="US")),"ENTITY REQUIRED",IF(NOT(OR(E69="Strategic Services",E69="Brands")),"UNIT REQUIRED",IF(F69="","BRAND / N/A REQUIRED",IF(NOT(OR(G69="USD",G69="MXN")),"CURRENCY REQUIRED",IF(NOT(ISNUMBER(H69)),"AMOUNT REQUIRED",IF(J69="","ERP SOURCE REQUIRED",IF(NOT(OR(K69="ISSUED",K69="CANCELLED")),"INVOICE STATUS REQUIRED",IF(COUNTIFS($A$2:$A$501,A69,$B$2:$B$501,B69,$D$2:$D$501,D69)&gt;1,"DUPLICATE INVOICE / PROJECT",IF(SUMPRODUCT(--(('ERP Snapshot'!$A$2:$A$101&amp;"")=(B69&amp;"")))=0,"PROJECT NOT FOUND",IF(SUMPRODUCT(--(('ERP Snapshot'!$A$2:$A$101&amp;"")=(B69&amp;"")))&gt;1,"DUPLICATE PROJECT ID",IF(OR(SUMPRODUCT(--(('ERP Snapshot'!$A$2:$A$101&amp;"")=(B69&amp;"")),--('ERP Snapshot'!$Q$2:$Q$101=E69),--('ERP Snapshot'!$R$2:$R$101=F69))&lt;&gt;1,SUMPRODUCT(--('Commercial Catalogs'!$A$2:$A$10=E69),--('Commercial Catalogs'!$B$2:$B$10=F69),--('Commercial Catalogs'!$C$2:$C$10="YES"),--('Commercial Catalogs'!$D$2:$D$10="IN SCOPE"))=0,AND(E69="Strategic Services",F69&lt;&gt;"N/A"),AND(E69="Brands",F69="N/A")),"PROJECT CLASSIFICATION MISMATCH",IF(AND(G69="MXN",NOT(AND(ISNUMBER(I69),Settings!$B$8="APPROVED",Settings!$B$9&lt;&gt;"",Settings!$B$10&lt;&gt;""))),"FX HOLD","VALID"))))))))))))))))))</x:f>
      </x:c>
      <x:c r="M69" s="57" t="str">
        <x:f>IF(ISNUMBER(C69),IF(AND(ISNUMBER(C69),C69&gt;=2,C69&lt;=2958465,C69=INT(C69)),YEAR(C69)&amp;"-"&amp;IF(MONTH(C69)&lt;10,"0","")&amp;MONTH(C69),""),"")</x:f>
      </x:c>
      <x:c r="N69" s="59" t="str">
        <x:f>IF(L69="VALID",IF(G69="USD",H69,I69),"")</x:f>
      </x:c>
      <x:c r="O69" s="57" t="n">
        <x:f>IF(L69="VALID",IF(COUNTIFS($B$2:B69,B69,$M$2:M69,M69,$L$2:L69,"VALID")=1,1,0),0)</x:f>
        <x:v>0</x:v>
      </x:c>
    </x:row>
    <x:row r="70">
      <x:c r="A70" s="47"/>
      <x:c r="B70" s="47"/>
      <x:c r="C70" s="69"/>
      <x:c r="D70" s="47"/>
      <x:c r="E70" s="47"/>
      <x:c r="F70" s="47"/>
      <x:c r="G70" s="47"/>
      <x:c r="H70" s="48"/>
      <x:c r="I70" s="48"/>
      <x:c r="J70" s="47"/>
      <x:c r="K70" s="47"/>
      <x:c r="L70" s="57" t="str">
        <x:f>IF(COUNTA(A70:K70)=0,"",IF(K70="CANCELLED","CANCELLED",IF(A70="","INVOICE ID REQUIRED",IF(B70="","PROJECT ID REQUIRED",IF(NOT(ISNUMBER(C70)),"INVALID INVOICE DATE",IF(NOT(AND(ISNUMBER(C70),C70&gt;=2,C70&lt;=2958465,C70=INT(C70))),"INVALID INVOICE DATE",IF(NOT(OR(D70="MX",D70="US")),"ENTITY REQUIRED",IF(NOT(OR(E70="Strategic Services",E70="Brands")),"UNIT REQUIRED",IF(F70="","BRAND / N/A REQUIRED",IF(NOT(OR(G70="USD",G70="MXN")),"CURRENCY REQUIRED",IF(NOT(ISNUMBER(H70)),"AMOUNT REQUIRED",IF(J70="","ERP SOURCE REQUIRED",IF(NOT(OR(K70="ISSUED",K70="CANCELLED")),"INVOICE STATUS REQUIRED",IF(COUNTIFS($A$2:$A$501,A70,$B$2:$B$501,B70,$D$2:$D$501,D70)&gt;1,"DUPLICATE INVOICE / PROJECT",IF(SUMPRODUCT(--(('ERP Snapshot'!$A$2:$A$101&amp;"")=(B70&amp;"")))=0,"PROJECT NOT FOUND",IF(SUMPRODUCT(--(('ERP Snapshot'!$A$2:$A$101&amp;"")=(B70&amp;"")))&gt;1,"DUPLICATE PROJECT ID",IF(OR(SUMPRODUCT(--(('ERP Snapshot'!$A$2:$A$101&amp;"")=(B70&amp;"")),--('ERP Snapshot'!$Q$2:$Q$101=E70),--('ERP Snapshot'!$R$2:$R$101=F70))&lt;&gt;1,SUMPRODUCT(--('Commercial Catalogs'!$A$2:$A$10=E70),--('Commercial Catalogs'!$B$2:$B$10=F70),--('Commercial Catalogs'!$C$2:$C$10="YES"),--('Commercial Catalogs'!$D$2:$D$10="IN SCOPE"))=0,AND(E70="Strategic Services",F70&lt;&gt;"N/A"),AND(E70="Brands",F70="N/A")),"PROJECT CLASSIFICATION MISMATCH",IF(AND(G70="MXN",NOT(AND(ISNUMBER(I70),Settings!$B$8="APPROVED",Settings!$B$9&lt;&gt;"",Settings!$B$10&lt;&gt;""))),"FX HOLD","VALID"))))))))))))))))))</x:f>
      </x:c>
      <x:c r="M70" s="57" t="str">
        <x:f>IF(ISNUMBER(C70),IF(AND(ISNUMBER(C70),C70&gt;=2,C70&lt;=2958465,C70=INT(C70)),YEAR(C70)&amp;"-"&amp;IF(MONTH(C70)&lt;10,"0","")&amp;MONTH(C70),""),"")</x:f>
      </x:c>
      <x:c r="N70" s="59" t="str">
        <x:f>IF(L70="VALID",IF(G70="USD",H70,I70),"")</x:f>
      </x:c>
      <x:c r="O70" s="57" t="n">
        <x:f>IF(L70="VALID",IF(COUNTIFS($B$2:B70,B70,$M$2:M70,M70,$L$2:L70,"VALID")=1,1,0),0)</x:f>
        <x:v>0</x:v>
      </x:c>
    </x:row>
    <x:row r="71">
      <x:c r="A71" s="47"/>
      <x:c r="B71" s="47"/>
      <x:c r="C71" s="69"/>
      <x:c r="D71" s="47"/>
      <x:c r="E71" s="47"/>
      <x:c r="F71" s="47"/>
      <x:c r="G71" s="47"/>
      <x:c r="H71" s="48"/>
      <x:c r="I71" s="48"/>
      <x:c r="J71" s="47"/>
      <x:c r="K71" s="47"/>
      <x:c r="L71" s="57" t="str">
        <x:f>IF(COUNTA(A71:K71)=0,"",IF(K71="CANCELLED","CANCELLED",IF(A71="","INVOICE ID REQUIRED",IF(B71="","PROJECT ID REQUIRED",IF(NOT(ISNUMBER(C71)),"INVALID INVOICE DATE",IF(NOT(AND(ISNUMBER(C71),C71&gt;=2,C71&lt;=2958465,C71=INT(C71))),"INVALID INVOICE DATE",IF(NOT(OR(D71="MX",D71="US")),"ENTITY REQUIRED",IF(NOT(OR(E71="Strategic Services",E71="Brands")),"UNIT REQUIRED",IF(F71="","BRAND / N/A REQUIRED",IF(NOT(OR(G71="USD",G71="MXN")),"CURRENCY REQUIRED",IF(NOT(ISNUMBER(H71)),"AMOUNT REQUIRED",IF(J71="","ERP SOURCE REQUIRED",IF(NOT(OR(K71="ISSUED",K71="CANCELLED")),"INVOICE STATUS REQUIRED",IF(COUNTIFS($A$2:$A$501,A71,$B$2:$B$501,B71,$D$2:$D$501,D71)&gt;1,"DUPLICATE INVOICE / PROJECT",IF(SUMPRODUCT(--(('ERP Snapshot'!$A$2:$A$101&amp;"")=(B71&amp;"")))=0,"PROJECT NOT FOUND",IF(SUMPRODUCT(--(('ERP Snapshot'!$A$2:$A$101&amp;"")=(B71&amp;"")))&gt;1,"DUPLICATE PROJECT ID",IF(OR(SUMPRODUCT(--(('ERP Snapshot'!$A$2:$A$101&amp;"")=(B71&amp;"")),--('ERP Snapshot'!$Q$2:$Q$101=E71),--('ERP Snapshot'!$R$2:$R$101=F71))&lt;&gt;1,SUMPRODUCT(--('Commercial Catalogs'!$A$2:$A$10=E71),--('Commercial Catalogs'!$B$2:$B$10=F71),--('Commercial Catalogs'!$C$2:$C$10="YES"),--('Commercial Catalogs'!$D$2:$D$10="IN SCOPE"))=0,AND(E71="Strategic Services",F71&lt;&gt;"N/A"),AND(E71="Brands",F71="N/A")),"PROJECT CLASSIFICATION MISMATCH",IF(AND(G71="MXN",NOT(AND(ISNUMBER(I71),Settings!$B$8="APPROVED",Settings!$B$9&lt;&gt;"",Settings!$B$10&lt;&gt;""))),"FX HOLD","VALID"))))))))))))))))))</x:f>
      </x:c>
      <x:c r="M71" s="57" t="str">
        <x:f>IF(ISNUMBER(C71),IF(AND(ISNUMBER(C71),C71&gt;=2,C71&lt;=2958465,C71=INT(C71)),YEAR(C71)&amp;"-"&amp;IF(MONTH(C71)&lt;10,"0","")&amp;MONTH(C71),""),"")</x:f>
      </x:c>
      <x:c r="N71" s="59" t="str">
        <x:f>IF(L71="VALID",IF(G71="USD",H71,I71),"")</x:f>
      </x:c>
      <x:c r="O71" s="57" t="n">
        <x:f>IF(L71="VALID",IF(COUNTIFS($B$2:B71,B71,$M$2:M71,M71,$L$2:L71,"VALID")=1,1,0),0)</x:f>
        <x:v>0</x:v>
      </x:c>
    </x:row>
    <x:row r="72">
      <x:c r="A72" s="47"/>
      <x:c r="B72" s="47"/>
      <x:c r="C72" s="69"/>
      <x:c r="D72" s="47"/>
      <x:c r="E72" s="47"/>
      <x:c r="F72" s="47"/>
      <x:c r="G72" s="47"/>
      <x:c r="H72" s="48"/>
      <x:c r="I72" s="48"/>
      <x:c r="J72" s="47"/>
      <x:c r="K72" s="47"/>
      <x:c r="L72" s="57" t="str">
        <x:f>IF(COUNTA(A72:K72)=0,"",IF(K72="CANCELLED","CANCELLED",IF(A72="","INVOICE ID REQUIRED",IF(B72="","PROJECT ID REQUIRED",IF(NOT(ISNUMBER(C72)),"INVALID INVOICE DATE",IF(NOT(AND(ISNUMBER(C72),C72&gt;=2,C72&lt;=2958465,C72=INT(C72))),"INVALID INVOICE DATE",IF(NOT(OR(D72="MX",D72="US")),"ENTITY REQUIRED",IF(NOT(OR(E72="Strategic Services",E72="Brands")),"UNIT REQUIRED",IF(F72="","BRAND / N/A REQUIRED",IF(NOT(OR(G72="USD",G72="MXN")),"CURRENCY REQUIRED",IF(NOT(ISNUMBER(H72)),"AMOUNT REQUIRED",IF(J72="","ERP SOURCE REQUIRED",IF(NOT(OR(K72="ISSUED",K72="CANCELLED")),"INVOICE STATUS REQUIRED",IF(COUNTIFS($A$2:$A$501,A72,$B$2:$B$501,B72,$D$2:$D$501,D72)&gt;1,"DUPLICATE INVOICE / PROJECT",IF(SUMPRODUCT(--(('ERP Snapshot'!$A$2:$A$101&amp;"")=(B72&amp;"")))=0,"PROJECT NOT FOUND",IF(SUMPRODUCT(--(('ERP Snapshot'!$A$2:$A$101&amp;"")=(B72&amp;"")))&gt;1,"DUPLICATE PROJECT ID",IF(OR(SUMPRODUCT(--(('ERP Snapshot'!$A$2:$A$101&amp;"")=(B72&amp;"")),--('ERP Snapshot'!$Q$2:$Q$101=E72),--('ERP Snapshot'!$R$2:$R$101=F72))&lt;&gt;1,SUMPRODUCT(--('Commercial Catalogs'!$A$2:$A$10=E72),--('Commercial Catalogs'!$B$2:$B$10=F72),--('Commercial Catalogs'!$C$2:$C$10="YES"),--('Commercial Catalogs'!$D$2:$D$10="IN SCOPE"))=0,AND(E72="Strategic Services",F72&lt;&gt;"N/A"),AND(E72="Brands",F72="N/A")),"PROJECT CLASSIFICATION MISMATCH",IF(AND(G72="MXN",NOT(AND(ISNUMBER(I72),Settings!$B$8="APPROVED",Settings!$B$9&lt;&gt;"",Settings!$B$10&lt;&gt;""))),"FX HOLD","VALID"))))))))))))))))))</x:f>
      </x:c>
      <x:c r="M72" s="57" t="str">
        <x:f>IF(ISNUMBER(C72),IF(AND(ISNUMBER(C72),C72&gt;=2,C72&lt;=2958465,C72=INT(C72)),YEAR(C72)&amp;"-"&amp;IF(MONTH(C72)&lt;10,"0","")&amp;MONTH(C72),""),"")</x:f>
      </x:c>
      <x:c r="N72" s="59" t="str">
        <x:f>IF(L72="VALID",IF(G72="USD",H72,I72),"")</x:f>
      </x:c>
      <x:c r="O72" s="57" t="n">
        <x:f>IF(L72="VALID",IF(COUNTIFS($B$2:B72,B72,$M$2:M72,M72,$L$2:L72,"VALID")=1,1,0),0)</x:f>
        <x:v>0</x:v>
      </x:c>
    </x:row>
    <x:row r="73">
      <x:c r="A73" s="47"/>
      <x:c r="B73" s="47"/>
      <x:c r="C73" s="69"/>
      <x:c r="D73" s="47"/>
      <x:c r="E73" s="47"/>
      <x:c r="F73" s="47"/>
      <x:c r="G73" s="47"/>
      <x:c r="H73" s="48"/>
      <x:c r="I73" s="48"/>
      <x:c r="J73" s="47"/>
      <x:c r="K73" s="47"/>
      <x:c r="L73" s="57" t="str">
        <x:f>IF(COUNTA(A73:K73)=0,"",IF(K73="CANCELLED","CANCELLED",IF(A73="","INVOICE ID REQUIRED",IF(B73="","PROJECT ID REQUIRED",IF(NOT(ISNUMBER(C73)),"INVALID INVOICE DATE",IF(NOT(AND(ISNUMBER(C73),C73&gt;=2,C73&lt;=2958465,C73=INT(C73))),"INVALID INVOICE DATE",IF(NOT(OR(D73="MX",D73="US")),"ENTITY REQUIRED",IF(NOT(OR(E73="Strategic Services",E73="Brands")),"UNIT REQUIRED",IF(F73="","BRAND / N/A REQUIRED",IF(NOT(OR(G73="USD",G73="MXN")),"CURRENCY REQUIRED",IF(NOT(ISNUMBER(H73)),"AMOUNT REQUIRED",IF(J73="","ERP SOURCE REQUIRED",IF(NOT(OR(K73="ISSUED",K73="CANCELLED")),"INVOICE STATUS REQUIRED",IF(COUNTIFS($A$2:$A$501,A73,$B$2:$B$501,B73,$D$2:$D$501,D73)&gt;1,"DUPLICATE INVOICE / PROJECT",IF(SUMPRODUCT(--(('ERP Snapshot'!$A$2:$A$101&amp;"")=(B73&amp;"")))=0,"PROJECT NOT FOUND",IF(SUMPRODUCT(--(('ERP Snapshot'!$A$2:$A$101&amp;"")=(B73&amp;"")))&gt;1,"DUPLICATE PROJECT ID",IF(OR(SUMPRODUCT(--(('ERP Snapshot'!$A$2:$A$101&amp;"")=(B73&amp;"")),--('ERP Snapshot'!$Q$2:$Q$101=E73),--('ERP Snapshot'!$R$2:$R$101=F73))&lt;&gt;1,SUMPRODUCT(--('Commercial Catalogs'!$A$2:$A$10=E73),--('Commercial Catalogs'!$B$2:$B$10=F73),--('Commercial Catalogs'!$C$2:$C$10="YES"),--('Commercial Catalogs'!$D$2:$D$10="IN SCOPE"))=0,AND(E73="Strategic Services",F73&lt;&gt;"N/A"),AND(E73="Brands",F73="N/A")),"PROJECT CLASSIFICATION MISMATCH",IF(AND(G73="MXN",NOT(AND(ISNUMBER(I73),Settings!$B$8="APPROVED",Settings!$B$9&lt;&gt;"",Settings!$B$10&lt;&gt;""))),"FX HOLD","VALID"))))))))))))))))))</x:f>
      </x:c>
      <x:c r="M73" s="57" t="str">
        <x:f>IF(ISNUMBER(C73),IF(AND(ISNUMBER(C73),C73&gt;=2,C73&lt;=2958465,C73=INT(C73)),YEAR(C73)&amp;"-"&amp;IF(MONTH(C73)&lt;10,"0","")&amp;MONTH(C73),""),"")</x:f>
      </x:c>
      <x:c r="N73" s="59" t="str">
        <x:f>IF(L73="VALID",IF(G73="USD",H73,I73),"")</x:f>
      </x:c>
      <x:c r="O73" s="57" t="n">
        <x:f>IF(L73="VALID",IF(COUNTIFS($B$2:B73,B73,$M$2:M73,M73,$L$2:L73,"VALID")=1,1,0),0)</x:f>
        <x:v>0</x:v>
      </x:c>
    </x:row>
    <x:row r="74">
      <x:c r="A74" s="47"/>
      <x:c r="B74" s="47"/>
      <x:c r="C74" s="69"/>
      <x:c r="D74" s="47"/>
      <x:c r="E74" s="47"/>
      <x:c r="F74" s="47"/>
      <x:c r="G74" s="47"/>
      <x:c r="H74" s="48"/>
      <x:c r="I74" s="48"/>
      <x:c r="J74" s="47"/>
      <x:c r="K74" s="47"/>
      <x:c r="L74" s="57" t="str">
        <x:f>IF(COUNTA(A74:K74)=0,"",IF(K74="CANCELLED","CANCELLED",IF(A74="","INVOICE ID REQUIRED",IF(B74="","PROJECT ID REQUIRED",IF(NOT(ISNUMBER(C74)),"INVALID INVOICE DATE",IF(NOT(AND(ISNUMBER(C74),C74&gt;=2,C74&lt;=2958465,C74=INT(C74))),"INVALID INVOICE DATE",IF(NOT(OR(D74="MX",D74="US")),"ENTITY REQUIRED",IF(NOT(OR(E74="Strategic Services",E74="Brands")),"UNIT REQUIRED",IF(F74="","BRAND / N/A REQUIRED",IF(NOT(OR(G74="USD",G74="MXN")),"CURRENCY REQUIRED",IF(NOT(ISNUMBER(H74)),"AMOUNT REQUIRED",IF(J74="","ERP SOURCE REQUIRED",IF(NOT(OR(K74="ISSUED",K74="CANCELLED")),"INVOICE STATUS REQUIRED",IF(COUNTIFS($A$2:$A$501,A74,$B$2:$B$501,B74,$D$2:$D$501,D74)&gt;1,"DUPLICATE INVOICE / PROJECT",IF(SUMPRODUCT(--(('ERP Snapshot'!$A$2:$A$101&amp;"")=(B74&amp;"")))=0,"PROJECT NOT FOUND",IF(SUMPRODUCT(--(('ERP Snapshot'!$A$2:$A$101&amp;"")=(B74&amp;"")))&gt;1,"DUPLICATE PROJECT ID",IF(OR(SUMPRODUCT(--(('ERP Snapshot'!$A$2:$A$101&amp;"")=(B74&amp;"")),--('ERP Snapshot'!$Q$2:$Q$101=E74),--('ERP Snapshot'!$R$2:$R$101=F74))&lt;&gt;1,SUMPRODUCT(--('Commercial Catalogs'!$A$2:$A$10=E74),--('Commercial Catalogs'!$B$2:$B$10=F74),--('Commercial Catalogs'!$C$2:$C$10="YES"),--('Commercial Catalogs'!$D$2:$D$10="IN SCOPE"))=0,AND(E74="Strategic Services",F74&lt;&gt;"N/A"),AND(E74="Brands",F74="N/A")),"PROJECT CLASSIFICATION MISMATCH",IF(AND(G74="MXN",NOT(AND(ISNUMBER(I74),Settings!$B$8="APPROVED",Settings!$B$9&lt;&gt;"",Settings!$B$10&lt;&gt;""))),"FX HOLD","VALID"))))))))))))))))))</x:f>
      </x:c>
      <x:c r="M74" s="57" t="str">
        <x:f>IF(ISNUMBER(C74),IF(AND(ISNUMBER(C74),C74&gt;=2,C74&lt;=2958465,C74=INT(C74)),YEAR(C74)&amp;"-"&amp;IF(MONTH(C74)&lt;10,"0","")&amp;MONTH(C74),""),"")</x:f>
      </x:c>
      <x:c r="N74" s="59" t="str">
        <x:f>IF(L74="VALID",IF(G74="USD",H74,I74),"")</x:f>
      </x:c>
      <x:c r="O74" s="57" t="n">
        <x:f>IF(L74="VALID",IF(COUNTIFS($B$2:B74,B74,$M$2:M74,M74,$L$2:L74,"VALID")=1,1,0),0)</x:f>
        <x:v>0</x:v>
      </x:c>
    </x:row>
    <x:row r="75">
      <x:c r="A75" s="47"/>
      <x:c r="B75" s="47"/>
      <x:c r="C75" s="69"/>
      <x:c r="D75" s="47"/>
      <x:c r="E75" s="47"/>
      <x:c r="F75" s="47"/>
      <x:c r="G75" s="47"/>
      <x:c r="H75" s="48"/>
      <x:c r="I75" s="48"/>
      <x:c r="J75" s="47"/>
      <x:c r="K75" s="47"/>
      <x:c r="L75" s="57" t="str">
        <x:f>IF(COUNTA(A75:K75)=0,"",IF(K75="CANCELLED","CANCELLED",IF(A75="","INVOICE ID REQUIRED",IF(B75="","PROJECT ID REQUIRED",IF(NOT(ISNUMBER(C75)),"INVALID INVOICE DATE",IF(NOT(AND(ISNUMBER(C75),C75&gt;=2,C75&lt;=2958465,C75=INT(C75))),"INVALID INVOICE DATE",IF(NOT(OR(D75="MX",D75="US")),"ENTITY REQUIRED",IF(NOT(OR(E75="Strategic Services",E75="Brands")),"UNIT REQUIRED",IF(F75="","BRAND / N/A REQUIRED",IF(NOT(OR(G75="USD",G75="MXN")),"CURRENCY REQUIRED",IF(NOT(ISNUMBER(H75)),"AMOUNT REQUIRED",IF(J75="","ERP SOURCE REQUIRED",IF(NOT(OR(K75="ISSUED",K75="CANCELLED")),"INVOICE STATUS REQUIRED",IF(COUNTIFS($A$2:$A$501,A75,$B$2:$B$501,B75,$D$2:$D$501,D75)&gt;1,"DUPLICATE INVOICE / PROJECT",IF(SUMPRODUCT(--(('ERP Snapshot'!$A$2:$A$101&amp;"")=(B75&amp;"")))=0,"PROJECT NOT FOUND",IF(SUMPRODUCT(--(('ERP Snapshot'!$A$2:$A$101&amp;"")=(B75&amp;"")))&gt;1,"DUPLICATE PROJECT ID",IF(OR(SUMPRODUCT(--(('ERP Snapshot'!$A$2:$A$101&amp;"")=(B75&amp;"")),--('ERP Snapshot'!$Q$2:$Q$101=E75),--('ERP Snapshot'!$R$2:$R$101=F75))&lt;&gt;1,SUMPRODUCT(--('Commercial Catalogs'!$A$2:$A$10=E75),--('Commercial Catalogs'!$B$2:$B$10=F75),--('Commercial Catalogs'!$C$2:$C$10="YES"),--('Commercial Catalogs'!$D$2:$D$10="IN SCOPE"))=0,AND(E75="Strategic Services",F75&lt;&gt;"N/A"),AND(E75="Brands",F75="N/A")),"PROJECT CLASSIFICATION MISMATCH",IF(AND(G75="MXN",NOT(AND(ISNUMBER(I75),Settings!$B$8="APPROVED",Settings!$B$9&lt;&gt;"",Settings!$B$10&lt;&gt;""))),"FX HOLD","VALID"))))))))))))))))))</x:f>
      </x:c>
      <x:c r="M75" s="57" t="str">
        <x:f>IF(ISNUMBER(C75),IF(AND(ISNUMBER(C75),C75&gt;=2,C75&lt;=2958465,C75=INT(C75)),YEAR(C75)&amp;"-"&amp;IF(MONTH(C75)&lt;10,"0","")&amp;MONTH(C75),""),"")</x:f>
      </x:c>
      <x:c r="N75" s="59" t="str">
        <x:f>IF(L75="VALID",IF(G75="USD",H75,I75),"")</x:f>
      </x:c>
      <x:c r="O75" s="57" t="n">
        <x:f>IF(L75="VALID",IF(COUNTIFS($B$2:B75,B75,$M$2:M75,M75,$L$2:L75,"VALID")=1,1,0),0)</x:f>
        <x:v>0</x:v>
      </x:c>
    </x:row>
    <x:row r="76">
      <x:c r="A76" s="47"/>
      <x:c r="B76" s="47"/>
      <x:c r="C76" s="69"/>
      <x:c r="D76" s="47"/>
      <x:c r="E76" s="47"/>
      <x:c r="F76" s="47"/>
      <x:c r="G76" s="47"/>
      <x:c r="H76" s="48"/>
      <x:c r="I76" s="48"/>
      <x:c r="J76" s="47"/>
      <x:c r="K76" s="47"/>
      <x:c r="L76" s="57" t="str">
        <x:f>IF(COUNTA(A76:K76)=0,"",IF(K76="CANCELLED","CANCELLED",IF(A76="","INVOICE ID REQUIRED",IF(B76="","PROJECT ID REQUIRED",IF(NOT(ISNUMBER(C76)),"INVALID INVOICE DATE",IF(NOT(AND(ISNUMBER(C76),C76&gt;=2,C76&lt;=2958465,C76=INT(C76))),"INVALID INVOICE DATE",IF(NOT(OR(D76="MX",D76="US")),"ENTITY REQUIRED",IF(NOT(OR(E76="Strategic Services",E76="Brands")),"UNIT REQUIRED",IF(F76="","BRAND / N/A REQUIRED",IF(NOT(OR(G76="USD",G76="MXN")),"CURRENCY REQUIRED",IF(NOT(ISNUMBER(H76)),"AMOUNT REQUIRED",IF(J76="","ERP SOURCE REQUIRED",IF(NOT(OR(K76="ISSUED",K76="CANCELLED")),"INVOICE STATUS REQUIRED",IF(COUNTIFS($A$2:$A$501,A76,$B$2:$B$501,B76,$D$2:$D$501,D76)&gt;1,"DUPLICATE INVOICE / PROJECT",IF(SUMPRODUCT(--(('ERP Snapshot'!$A$2:$A$101&amp;"")=(B76&amp;"")))=0,"PROJECT NOT FOUND",IF(SUMPRODUCT(--(('ERP Snapshot'!$A$2:$A$101&amp;"")=(B76&amp;"")))&gt;1,"DUPLICATE PROJECT ID",IF(OR(SUMPRODUCT(--(('ERP Snapshot'!$A$2:$A$101&amp;"")=(B76&amp;"")),--('ERP Snapshot'!$Q$2:$Q$101=E76),--('ERP Snapshot'!$R$2:$R$101=F76))&lt;&gt;1,SUMPRODUCT(--('Commercial Catalogs'!$A$2:$A$10=E76),--('Commercial Catalogs'!$B$2:$B$10=F76),--('Commercial Catalogs'!$C$2:$C$10="YES"),--('Commercial Catalogs'!$D$2:$D$10="IN SCOPE"))=0,AND(E76="Strategic Services",F76&lt;&gt;"N/A"),AND(E76="Brands",F76="N/A")),"PROJECT CLASSIFICATION MISMATCH",IF(AND(G76="MXN",NOT(AND(ISNUMBER(I76),Settings!$B$8="APPROVED",Settings!$B$9&lt;&gt;"",Settings!$B$10&lt;&gt;""))),"FX HOLD","VALID"))))))))))))))))))</x:f>
      </x:c>
      <x:c r="M76" s="57" t="str">
        <x:f>IF(ISNUMBER(C76),IF(AND(ISNUMBER(C76),C76&gt;=2,C76&lt;=2958465,C76=INT(C76)),YEAR(C76)&amp;"-"&amp;IF(MONTH(C76)&lt;10,"0","")&amp;MONTH(C76),""),"")</x:f>
      </x:c>
      <x:c r="N76" s="59" t="str">
        <x:f>IF(L76="VALID",IF(G76="USD",H76,I76),"")</x:f>
      </x:c>
      <x:c r="O76" s="57" t="n">
        <x:f>IF(L76="VALID",IF(COUNTIFS($B$2:B76,B76,$M$2:M76,M76,$L$2:L76,"VALID")=1,1,0),0)</x:f>
        <x:v>0</x:v>
      </x:c>
    </x:row>
    <x:row r="77">
      <x:c r="A77" s="47"/>
      <x:c r="B77" s="47"/>
      <x:c r="C77" s="69"/>
      <x:c r="D77" s="47"/>
      <x:c r="E77" s="47"/>
      <x:c r="F77" s="47"/>
      <x:c r="G77" s="47"/>
      <x:c r="H77" s="48"/>
      <x:c r="I77" s="48"/>
      <x:c r="J77" s="47"/>
      <x:c r="K77" s="47"/>
      <x:c r="L77" s="57" t="str">
        <x:f>IF(COUNTA(A77:K77)=0,"",IF(K77="CANCELLED","CANCELLED",IF(A77="","INVOICE ID REQUIRED",IF(B77="","PROJECT ID REQUIRED",IF(NOT(ISNUMBER(C77)),"INVALID INVOICE DATE",IF(NOT(AND(ISNUMBER(C77),C77&gt;=2,C77&lt;=2958465,C77=INT(C77))),"INVALID INVOICE DATE",IF(NOT(OR(D77="MX",D77="US")),"ENTITY REQUIRED",IF(NOT(OR(E77="Strategic Services",E77="Brands")),"UNIT REQUIRED",IF(F77="","BRAND / N/A REQUIRED",IF(NOT(OR(G77="USD",G77="MXN")),"CURRENCY REQUIRED",IF(NOT(ISNUMBER(H77)),"AMOUNT REQUIRED",IF(J77="","ERP SOURCE REQUIRED",IF(NOT(OR(K77="ISSUED",K77="CANCELLED")),"INVOICE STATUS REQUIRED",IF(COUNTIFS($A$2:$A$501,A77,$B$2:$B$501,B77,$D$2:$D$501,D77)&gt;1,"DUPLICATE INVOICE / PROJECT",IF(SUMPRODUCT(--(('ERP Snapshot'!$A$2:$A$101&amp;"")=(B77&amp;"")))=0,"PROJECT NOT FOUND",IF(SUMPRODUCT(--(('ERP Snapshot'!$A$2:$A$101&amp;"")=(B77&amp;"")))&gt;1,"DUPLICATE PROJECT ID",IF(OR(SUMPRODUCT(--(('ERP Snapshot'!$A$2:$A$101&amp;"")=(B77&amp;"")),--('ERP Snapshot'!$Q$2:$Q$101=E77),--('ERP Snapshot'!$R$2:$R$101=F77))&lt;&gt;1,SUMPRODUCT(--('Commercial Catalogs'!$A$2:$A$10=E77),--('Commercial Catalogs'!$B$2:$B$10=F77),--('Commercial Catalogs'!$C$2:$C$10="YES"),--('Commercial Catalogs'!$D$2:$D$10="IN SCOPE"))=0,AND(E77="Strategic Services",F77&lt;&gt;"N/A"),AND(E77="Brands",F77="N/A")),"PROJECT CLASSIFICATION MISMATCH",IF(AND(G77="MXN",NOT(AND(ISNUMBER(I77),Settings!$B$8="APPROVED",Settings!$B$9&lt;&gt;"",Settings!$B$10&lt;&gt;""))),"FX HOLD","VALID"))))))))))))))))))</x:f>
      </x:c>
      <x:c r="M77" s="57" t="str">
        <x:f>IF(ISNUMBER(C77),IF(AND(ISNUMBER(C77),C77&gt;=2,C77&lt;=2958465,C77=INT(C77)),YEAR(C77)&amp;"-"&amp;IF(MONTH(C77)&lt;10,"0","")&amp;MONTH(C77),""),"")</x:f>
      </x:c>
      <x:c r="N77" s="59" t="str">
        <x:f>IF(L77="VALID",IF(G77="USD",H77,I77),"")</x:f>
      </x:c>
      <x:c r="O77" s="57" t="n">
        <x:f>IF(L77="VALID",IF(COUNTIFS($B$2:B77,B77,$M$2:M77,M77,$L$2:L77,"VALID")=1,1,0),0)</x:f>
        <x:v>0</x:v>
      </x:c>
    </x:row>
    <x:row r="78">
      <x:c r="A78" s="47"/>
      <x:c r="B78" s="47"/>
      <x:c r="C78" s="69"/>
      <x:c r="D78" s="47"/>
      <x:c r="E78" s="47"/>
      <x:c r="F78" s="47"/>
      <x:c r="G78" s="47"/>
      <x:c r="H78" s="48"/>
      <x:c r="I78" s="48"/>
      <x:c r="J78" s="47"/>
      <x:c r="K78" s="47"/>
      <x:c r="L78" s="57" t="str">
        <x:f>IF(COUNTA(A78:K78)=0,"",IF(K78="CANCELLED","CANCELLED",IF(A78="","INVOICE ID REQUIRED",IF(B78="","PROJECT ID REQUIRED",IF(NOT(ISNUMBER(C78)),"INVALID INVOICE DATE",IF(NOT(AND(ISNUMBER(C78),C78&gt;=2,C78&lt;=2958465,C78=INT(C78))),"INVALID INVOICE DATE",IF(NOT(OR(D78="MX",D78="US")),"ENTITY REQUIRED",IF(NOT(OR(E78="Strategic Services",E78="Brands")),"UNIT REQUIRED",IF(F78="","BRAND / N/A REQUIRED",IF(NOT(OR(G78="USD",G78="MXN")),"CURRENCY REQUIRED",IF(NOT(ISNUMBER(H78)),"AMOUNT REQUIRED",IF(J78="","ERP SOURCE REQUIRED",IF(NOT(OR(K78="ISSUED",K78="CANCELLED")),"INVOICE STATUS REQUIRED",IF(COUNTIFS($A$2:$A$501,A78,$B$2:$B$501,B78,$D$2:$D$501,D78)&gt;1,"DUPLICATE INVOICE / PROJECT",IF(SUMPRODUCT(--(('ERP Snapshot'!$A$2:$A$101&amp;"")=(B78&amp;"")))=0,"PROJECT NOT FOUND",IF(SUMPRODUCT(--(('ERP Snapshot'!$A$2:$A$101&amp;"")=(B78&amp;"")))&gt;1,"DUPLICATE PROJECT ID",IF(OR(SUMPRODUCT(--(('ERP Snapshot'!$A$2:$A$101&amp;"")=(B78&amp;"")),--('ERP Snapshot'!$Q$2:$Q$101=E78),--('ERP Snapshot'!$R$2:$R$101=F78))&lt;&gt;1,SUMPRODUCT(--('Commercial Catalogs'!$A$2:$A$10=E78),--('Commercial Catalogs'!$B$2:$B$10=F78),--('Commercial Catalogs'!$C$2:$C$10="YES"),--('Commercial Catalogs'!$D$2:$D$10="IN SCOPE"))=0,AND(E78="Strategic Services",F78&lt;&gt;"N/A"),AND(E78="Brands",F78="N/A")),"PROJECT CLASSIFICATION MISMATCH",IF(AND(G78="MXN",NOT(AND(ISNUMBER(I78),Settings!$B$8="APPROVED",Settings!$B$9&lt;&gt;"",Settings!$B$10&lt;&gt;""))),"FX HOLD","VALID"))))))))))))))))))</x:f>
      </x:c>
      <x:c r="M78" s="57" t="str">
        <x:f>IF(ISNUMBER(C78),IF(AND(ISNUMBER(C78),C78&gt;=2,C78&lt;=2958465,C78=INT(C78)),YEAR(C78)&amp;"-"&amp;IF(MONTH(C78)&lt;10,"0","")&amp;MONTH(C78),""),"")</x:f>
      </x:c>
      <x:c r="N78" s="59" t="str">
        <x:f>IF(L78="VALID",IF(G78="USD",H78,I78),"")</x:f>
      </x:c>
      <x:c r="O78" s="57" t="n">
        <x:f>IF(L78="VALID",IF(COUNTIFS($B$2:B78,B78,$M$2:M78,M78,$L$2:L78,"VALID")=1,1,0),0)</x:f>
        <x:v>0</x:v>
      </x:c>
    </x:row>
    <x:row r="79">
      <x:c r="A79" s="47"/>
      <x:c r="B79" s="47"/>
      <x:c r="C79" s="69"/>
      <x:c r="D79" s="47"/>
      <x:c r="E79" s="47"/>
      <x:c r="F79" s="47"/>
      <x:c r="G79" s="47"/>
      <x:c r="H79" s="48"/>
      <x:c r="I79" s="48"/>
      <x:c r="J79" s="47"/>
      <x:c r="K79" s="47"/>
      <x:c r="L79" s="57" t="str">
        <x:f>IF(COUNTA(A79:K79)=0,"",IF(K79="CANCELLED","CANCELLED",IF(A79="","INVOICE ID REQUIRED",IF(B79="","PROJECT ID REQUIRED",IF(NOT(ISNUMBER(C79)),"INVALID INVOICE DATE",IF(NOT(AND(ISNUMBER(C79),C79&gt;=2,C79&lt;=2958465,C79=INT(C79))),"INVALID INVOICE DATE",IF(NOT(OR(D79="MX",D79="US")),"ENTITY REQUIRED",IF(NOT(OR(E79="Strategic Services",E79="Brands")),"UNIT REQUIRED",IF(F79="","BRAND / N/A REQUIRED",IF(NOT(OR(G79="USD",G79="MXN")),"CURRENCY REQUIRED",IF(NOT(ISNUMBER(H79)),"AMOUNT REQUIRED",IF(J79="","ERP SOURCE REQUIRED",IF(NOT(OR(K79="ISSUED",K79="CANCELLED")),"INVOICE STATUS REQUIRED",IF(COUNTIFS($A$2:$A$501,A79,$B$2:$B$501,B79,$D$2:$D$501,D79)&gt;1,"DUPLICATE INVOICE / PROJECT",IF(SUMPRODUCT(--(('ERP Snapshot'!$A$2:$A$101&amp;"")=(B79&amp;"")))=0,"PROJECT NOT FOUND",IF(SUMPRODUCT(--(('ERP Snapshot'!$A$2:$A$101&amp;"")=(B79&amp;"")))&gt;1,"DUPLICATE PROJECT ID",IF(OR(SUMPRODUCT(--(('ERP Snapshot'!$A$2:$A$101&amp;"")=(B79&amp;"")),--('ERP Snapshot'!$Q$2:$Q$101=E79),--('ERP Snapshot'!$R$2:$R$101=F79))&lt;&gt;1,SUMPRODUCT(--('Commercial Catalogs'!$A$2:$A$10=E79),--('Commercial Catalogs'!$B$2:$B$10=F79),--('Commercial Catalogs'!$C$2:$C$10="YES"),--('Commercial Catalogs'!$D$2:$D$10="IN SCOPE"))=0,AND(E79="Strategic Services",F79&lt;&gt;"N/A"),AND(E79="Brands",F79="N/A")),"PROJECT CLASSIFICATION MISMATCH",IF(AND(G79="MXN",NOT(AND(ISNUMBER(I79),Settings!$B$8="APPROVED",Settings!$B$9&lt;&gt;"",Settings!$B$10&lt;&gt;""))),"FX HOLD","VALID"))))))))))))))))))</x:f>
      </x:c>
      <x:c r="M79" s="57" t="str">
        <x:f>IF(ISNUMBER(C79),IF(AND(ISNUMBER(C79),C79&gt;=2,C79&lt;=2958465,C79=INT(C79)),YEAR(C79)&amp;"-"&amp;IF(MONTH(C79)&lt;10,"0","")&amp;MONTH(C79),""),"")</x:f>
      </x:c>
      <x:c r="N79" s="59" t="str">
        <x:f>IF(L79="VALID",IF(G79="USD",H79,I79),"")</x:f>
      </x:c>
      <x:c r="O79" s="57" t="n">
        <x:f>IF(L79="VALID",IF(COUNTIFS($B$2:B79,B79,$M$2:M79,M79,$L$2:L79,"VALID")=1,1,0),0)</x:f>
        <x:v>0</x:v>
      </x:c>
    </x:row>
    <x:row r="80">
      <x:c r="A80" s="47"/>
      <x:c r="B80" s="47"/>
      <x:c r="C80" s="69"/>
      <x:c r="D80" s="47"/>
      <x:c r="E80" s="47"/>
      <x:c r="F80" s="47"/>
      <x:c r="G80" s="47"/>
      <x:c r="H80" s="48"/>
      <x:c r="I80" s="48"/>
      <x:c r="J80" s="47"/>
      <x:c r="K80" s="47"/>
      <x:c r="L80" s="57" t="str">
        <x:f>IF(COUNTA(A80:K80)=0,"",IF(K80="CANCELLED","CANCELLED",IF(A80="","INVOICE ID REQUIRED",IF(B80="","PROJECT ID REQUIRED",IF(NOT(ISNUMBER(C80)),"INVALID INVOICE DATE",IF(NOT(AND(ISNUMBER(C80),C80&gt;=2,C80&lt;=2958465,C80=INT(C80))),"INVALID INVOICE DATE",IF(NOT(OR(D80="MX",D80="US")),"ENTITY REQUIRED",IF(NOT(OR(E80="Strategic Services",E80="Brands")),"UNIT REQUIRED",IF(F80="","BRAND / N/A REQUIRED",IF(NOT(OR(G80="USD",G80="MXN")),"CURRENCY REQUIRED",IF(NOT(ISNUMBER(H80)),"AMOUNT REQUIRED",IF(J80="","ERP SOURCE REQUIRED",IF(NOT(OR(K80="ISSUED",K80="CANCELLED")),"INVOICE STATUS REQUIRED",IF(COUNTIFS($A$2:$A$501,A80,$B$2:$B$501,B80,$D$2:$D$501,D80)&gt;1,"DUPLICATE INVOICE / PROJECT",IF(SUMPRODUCT(--(('ERP Snapshot'!$A$2:$A$101&amp;"")=(B80&amp;"")))=0,"PROJECT NOT FOUND",IF(SUMPRODUCT(--(('ERP Snapshot'!$A$2:$A$101&amp;"")=(B80&amp;"")))&gt;1,"DUPLICATE PROJECT ID",IF(OR(SUMPRODUCT(--(('ERP Snapshot'!$A$2:$A$101&amp;"")=(B80&amp;"")),--('ERP Snapshot'!$Q$2:$Q$101=E80),--('ERP Snapshot'!$R$2:$R$101=F80))&lt;&gt;1,SUMPRODUCT(--('Commercial Catalogs'!$A$2:$A$10=E80),--('Commercial Catalogs'!$B$2:$B$10=F80),--('Commercial Catalogs'!$C$2:$C$10="YES"),--('Commercial Catalogs'!$D$2:$D$10="IN SCOPE"))=0,AND(E80="Strategic Services",F80&lt;&gt;"N/A"),AND(E80="Brands",F80="N/A")),"PROJECT CLASSIFICATION MISMATCH",IF(AND(G80="MXN",NOT(AND(ISNUMBER(I80),Settings!$B$8="APPROVED",Settings!$B$9&lt;&gt;"",Settings!$B$10&lt;&gt;""))),"FX HOLD","VALID"))))))))))))))))))</x:f>
      </x:c>
      <x:c r="M80" s="57" t="str">
        <x:f>IF(ISNUMBER(C80),IF(AND(ISNUMBER(C80),C80&gt;=2,C80&lt;=2958465,C80=INT(C80)),YEAR(C80)&amp;"-"&amp;IF(MONTH(C80)&lt;10,"0","")&amp;MONTH(C80),""),"")</x:f>
      </x:c>
      <x:c r="N80" s="59" t="str">
        <x:f>IF(L80="VALID",IF(G80="USD",H80,I80),"")</x:f>
      </x:c>
      <x:c r="O80" s="57" t="n">
        <x:f>IF(L80="VALID",IF(COUNTIFS($B$2:B80,B80,$M$2:M80,M80,$L$2:L80,"VALID")=1,1,0),0)</x:f>
        <x:v>0</x:v>
      </x:c>
    </x:row>
    <x:row r="81">
      <x:c r="A81" s="47"/>
      <x:c r="B81" s="47"/>
      <x:c r="C81" s="69"/>
      <x:c r="D81" s="47"/>
      <x:c r="E81" s="47"/>
      <x:c r="F81" s="47"/>
      <x:c r="G81" s="47"/>
      <x:c r="H81" s="48"/>
      <x:c r="I81" s="48"/>
      <x:c r="J81" s="47"/>
      <x:c r="K81" s="47"/>
      <x:c r="L81" s="57" t="str">
        <x:f>IF(COUNTA(A81:K81)=0,"",IF(K81="CANCELLED","CANCELLED",IF(A81="","INVOICE ID REQUIRED",IF(B81="","PROJECT ID REQUIRED",IF(NOT(ISNUMBER(C81)),"INVALID INVOICE DATE",IF(NOT(AND(ISNUMBER(C81),C81&gt;=2,C81&lt;=2958465,C81=INT(C81))),"INVALID INVOICE DATE",IF(NOT(OR(D81="MX",D81="US")),"ENTITY REQUIRED",IF(NOT(OR(E81="Strategic Services",E81="Brands")),"UNIT REQUIRED",IF(F81="","BRAND / N/A REQUIRED",IF(NOT(OR(G81="USD",G81="MXN")),"CURRENCY REQUIRED",IF(NOT(ISNUMBER(H81)),"AMOUNT REQUIRED",IF(J81="","ERP SOURCE REQUIRED",IF(NOT(OR(K81="ISSUED",K81="CANCELLED")),"INVOICE STATUS REQUIRED",IF(COUNTIFS($A$2:$A$501,A81,$B$2:$B$501,B81,$D$2:$D$501,D81)&gt;1,"DUPLICATE INVOICE / PROJECT",IF(SUMPRODUCT(--(('ERP Snapshot'!$A$2:$A$101&amp;"")=(B81&amp;"")))=0,"PROJECT NOT FOUND",IF(SUMPRODUCT(--(('ERP Snapshot'!$A$2:$A$101&amp;"")=(B81&amp;"")))&gt;1,"DUPLICATE PROJECT ID",IF(OR(SUMPRODUCT(--(('ERP Snapshot'!$A$2:$A$101&amp;"")=(B81&amp;"")),--('ERP Snapshot'!$Q$2:$Q$101=E81),--('ERP Snapshot'!$R$2:$R$101=F81))&lt;&gt;1,SUMPRODUCT(--('Commercial Catalogs'!$A$2:$A$10=E81),--('Commercial Catalogs'!$B$2:$B$10=F81),--('Commercial Catalogs'!$C$2:$C$10="YES"),--('Commercial Catalogs'!$D$2:$D$10="IN SCOPE"))=0,AND(E81="Strategic Services",F81&lt;&gt;"N/A"),AND(E81="Brands",F81="N/A")),"PROJECT CLASSIFICATION MISMATCH",IF(AND(G81="MXN",NOT(AND(ISNUMBER(I81),Settings!$B$8="APPROVED",Settings!$B$9&lt;&gt;"",Settings!$B$10&lt;&gt;""))),"FX HOLD","VALID"))))))))))))))))))</x:f>
      </x:c>
      <x:c r="M81" s="57" t="str">
        <x:f>IF(ISNUMBER(C81),IF(AND(ISNUMBER(C81),C81&gt;=2,C81&lt;=2958465,C81=INT(C81)),YEAR(C81)&amp;"-"&amp;IF(MONTH(C81)&lt;10,"0","")&amp;MONTH(C81),""),"")</x:f>
      </x:c>
      <x:c r="N81" s="59" t="str">
        <x:f>IF(L81="VALID",IF(G81="USD",H81,I81),"")</x:f>
      </x:c>
      <x:c r="O81" s="57" t="n">
        <x:f>IF(L81="VALID",IF(COUNTIFS($B$2:B81,B81,$M$2:M81,M81,$L$2:L81,"VALID")=1,1,0),0)</x:f>
        <x:v>0</x:v>
      </x:c>
    </x:row>
    <x:row r="82">
      <x:c r="A82" s="47"/>
      <x:c r="B82" s="47"/>
      <x:c r="C82" s="69"/>
      <x:c r="D82" s="47"/>
      <x:c r="E82" s="47"/>
      <x:c r="F82" s="47"/>
      <x:c r="G82" s="47"/>
      <x:c r="H82" s="48"/>
      <x:c r="I82" s="48"/>
      <x:c r="J82" s="47"/>
      <x:c r="K82" s="47"/>
      <x:c r="L82" s="57" t="str">
        <x:f>IF(COUNTA(A82:K82)=0,"",IF(K82="CANCELLED","CANCELLED",IF(A82="","INVOICE ID REQUIRED",IF(B82="","PROJECT ID REQUIRED",IF(NOT(ISNUMBER(C82)),"INVALID INVOICE DATE",IF(NOT(AND(ISNUMBER(C82),C82&gt;=2,C82&lt;=2958465,C82=INT(C82))),"INVALID INVOICE DATE",IF(NOT(OR(D82="MX",D82="US")),"ENTITY REQUIRED",IF(NOT(OR(E82="Strategic Services",E82="Brands")),"UNIT REQUIRED",IF(F82="","BRAND / N/A REQUIRED",IF(NOT(OR(G82="USD",G82="MXN")),"CURRENCY REQUIRED",IF(NOT(ISNUMBER(H82)),"AMOUNT REQUIRED",IF(J82="","ERP SOURCE REQUIRED",IF(NOT(OR(K82="ISSUED",K82="CANCELLED")),"INVOICE STATUS REQUIRED",IF(COUNTIFS($A$2:$A$501,A82,$B$2:$B$501,B82,$D$2:$D$501,D82)&gt;1,"DUPLICATE INVOICE / PROJECT",IF(SUMPRODUCT(--(('ERP Snapshot'!$A$2:$A$101&amp;"")=(B82&amp;"")))=0,"PROJECT NOT FOUND",IF(SUMPRODUCT(--(('ERP Snapshot'!$A$2:$A$101&amp;"")=(B82&amp;"")))&gt;1,"DUPLICATE PROJECT ID",IF(OR(SUMPRODUCT(--(('ERP Snapshot'!$A$2:$A$101&amp;"")=(B82&amp;"")),--('ERP Snapshot'!$Q$2:$Q$101=E82),--('ERP Snapshot'!$R$2:$R$101=F82))&lt;&gt;1,SUMPRODUCT(--('Commercial Catalogs'!$A$2:$A$10=E82),--('Commercial Catalogs'!$B$2:$B$10=F82),--('Commercial Catalogs'!$C$2:$C$10="YES"),--('Commercial Catalogs'!$D$2:$D$10="IN SCOPE"))=0,AND(E82="Strategic Services",F82&lt;&gt;"N/A"),AND(E82="Brands",F82="N/A")),"PROJECT CLASSIFICATION MISMATCH",IF(AND(G82="MXN",NOT(AND(ISNUMBER(I82),Settings!$B$8="APPROVED",Settings!$B$9&lt;&gt;"",Settings!$B$10&lt;&gt;""))),"FX HOLD","VALID"))))))))))))))))))</x:f>
      </x:c>
      <x:c r="M82" s="57" t="str">
        <x:f>IF(ISNUMBER(C82),IF(AND(ISNUMBER(C82),C82&gt;=2,C82&lt;=2958465,C82=INT(C82)),YEAR(C82)&amp;"-"&amp;IF(MONTH(C82)&lt;10,"0","")&amp;MONTH(C82),""),"")</x:f>
      </x:c>
      <x:c r="N82" s="59" t="str">
        <x:f>IF(L82="VALID",IF(G82="USD",H82,I82),"")</x:f>
      </x:c>
      <x:c r="O82" s="57" t="n">
        <x:f>IF(L82="VALID",IF(COUNTIFS($B$2:B82,B82,$M$2:M82,M82,$L$2:L82,"VALID")=1,1,0),0)</x:f>
        <x:v>0</x:v>
      </x:c>
    </x:row>
    <x:row r="83">
      <x:c r="A83" s="47"/>
      <x:c r="B83" s="47"/>
      <x:c r="C83" s="69"/>
      <x:c r="D83" s="47"/>
      <x:c r="E83" s="47"/>
      <x:c r="F83" s="47"/>
      <x:c r="G83" s="47"/>
      <x:c r="H83" s="48"/>
      <x:c r="I83" s="48"/>
      <x:c r="J83" s="47"/>
      <x:c r="K83" s="47"/>
      <x:c r="L83" s="57" t="str">
        <x:f>IF(COUNTA(A83:K83)=0,"",IF(K83="CANCELLED","CANCELLED",IF(A83="","INVOICE ID REQUIRED",IF(B83="","PROJECT ID REQUIRED",IF(NOT(ISNUMBER(C83)),"INVALID INVOICE DATE",IF(NOT(AND(ISNUMBER(C83),C83&gt;=2,C83&lt;=2958465,C83=INT(C83))),"INVALID INVOICE DATE",IF(NOT(OR(D83="MX",D83="US")),"ENTITY REQUIRED",IF(NOT(OR(E83="Strategic Services",E83="Brands")),"UNIT REQUIRED",IF(F83="","BRAND / N/A REQUIRED",IF(NOT(OR(G83="USD",G83="MXN")),"CURRENCY REQUIRED",IF(NOT(ISNUMBER(H83)),"AMOUNT REQUIRED",IF(J83="","ERP SOURCE REQUIRED",IF(NOT(OR(K83="ISSUED",K83="CANCELLED")),"INVOICE STATUS REQUIRED",IF(COUNTIFS($A$2:$A$501,A83,$B$2:$B$501,B83,$D$2:$D$501,D83)&gt;1,"DUPLICATE INVOICE / PROJECT",IF(SUMPRODUCT(--(('ERP Snapshot'!$A$2:$A$101&amp;"")=(B83&amp;"")))=0,"PROJECT NOT FOUND",IF(SUMPRODUCT(--(('ERP Snapshot'!$A$2:$A$101&amp;"")=(B83&amp;"")))&gt;1,"DUPLICATE PROJECT ID",IF(OR(SUMPRODUCT(--(('ERP Snapshot'!$A$2:$A$101&amp;"")=(B83&amp;"")),--('ERP Snapshot'!$Q$2:$Q$101=E83),--('ERP Snapshot'!$R$2:$R$101=F83))&lt;&gt;1,SUMPRODUCT(--('Commercial Catalogs'!$A$2:$A$10=E83),--('Commercial Catalogs'!$B$2:$B$10=F83),--('Commercial Catalogs'!$C$2:$C$10="YES"),--('Commercial Catalogs'!$D$2:$D$10="IN SCOPE"))=0,AND(E83="Strategic Services",F83&lt;&gt;"N/A"),AND(E83="Brands",F83="N/A")),"PROJECT CLASSIFICATION MISMATCH",IF(AND(G83="MXN",NOT(AND(ISNUMBER(I83),Settings!$B$8="APPROVED",Settings!$B$9&lt;&gt;"",Settings!$B$10&lt;&gt;""))),"FX HOLD","VALID"))))))))))))))))))</x:f>
      </x:c>
      <x:c r="M83" s="57" t="str">
        <x:f>IF(ISNUMBER(C83),IF(AND(ISNUMBER(C83),C83&gt;=2,C83&lt;=2958465,C83=INT(C83)),YEAR(C83)&amp;"-"&amp;IF(MONTH(C83)&lt;10,"0","")&amp;MONTH(C83),""),"")</x:f>
      </x:c>
      <x:c r="N83" s="59" t="str">
        <x:f>IF(L83="VALID",IF(G83="USD",H83,I83),"")</x:f>
      </x:c>
      <x:c r="O83" s="57" t="n">
        <x:f>IF(L83="VALID",IF(COUNTIFS($B$2:B83,B83,$M$2:M83,M83,$L$2:L83,"VALID")=1,1,0),0)</x:f>
        <x:v>0</x:v>
      </x:c>
    </x:row>
    <x:row r="84">
      <x:c r="A84" s="47"/>
      <x:c r="B84" s="47"/>
      <x:c r="C84" s="69"/>
      <x:c r="D84" s="47"/>
      <x:c r="E84" s="47"/>
      <x:c r="F84" s="47"/>
      <x:c r="G84" s="47"/>
      <x:c r="H84" s="48"/>
      <x:c r="I84" s="48"/>
      <x:c r="J84" s="47"/>
      <x:c r="K84" s="47"/>
      <x:c r="L84" s="57" t="str">
        <x:f>IF(COUNTA(A84:K84)=0,"",IF(K84="CANCELLED","CANCELLED",IF(A84="","INVOICE ID REQUIRED",IF(B84="","PROJECT ID REQUIRED",IF(NOT(ISNUMBER(C84)),"INVALID INVOICE DATE",IF(NOT(AND(ISNUMBER(C84),C84&gt;=2,C84&lt;=2958465,C84=INT(C84))),"INVALID INVOICE DATE",IF(NOT(OR(D84="MX",D84="US")),"ENTITY REQUIRED",IF(NOT(OR(E84="Strategic Services",E84="Brands")),"UNIT REQUIRED",IF(F84="","BRAND / N/A REQUIRED",IF(NOT(OR(G84="USD",G84="MXN")),"CURRENCY REQUIRED",IF(NOT(ISNUMBER(H84)),"AMOUNT REQUIRED",IF(J84="","ERP SOURCE REQUIRED",IF(NOT(OR(K84="ISSUED",K84="CANCELLED")),"INVOICE STATUS REQUIRED",IF(COUNTIFS($A$2:$A$501,A84,$B$2:$B$501,B84,$D$2:$D$501,D84)&gt;1,"DUPLICATE INVOICE / PROJECT",IF(SUMPRODUCT(--(('ERP Snapshot'!$A$2:$A$101&amp;"")=(B84&amp;"")))=0,"PROJECT NOT FOUND",IF(SUMPRODUCT(--(('ERP Snapshot'!$A$2:$A$101&amp;"")=(B84&amp;"")))&gt;1,"DUPLICATE PROJECT ID",IF(OR(SUMPRODUCT(--(('ERP Snapshot'!$A$2:$A$101&amp;"")=(B84&amp;"")),--('ERP Snapshot'!$Q$2:$Q$101=E84),--('ERP Snapshot'!$R$2:$R$101=F84))&lt;&gt;1,SUMPRODUCT(--('Commercial Catalogs'!$A$2:$A$10=E84),--('Commercial Catalogs'!$B$2:$B$10=F84),--('Commercial Catalogs'!$C$2:$C$10="YES"),--('Commercial Catalogs'!$D$2:$D$10="IN SCOPE"))=0,AND(E84="Strategic Services",F84&lt;&gt;"N/A"),AND(E84="Brands",F84="N/A")),"PROJECT CLASSIFICATION MISMATCH",IF(AND(G84="MXN",NOT(AND(ISNUMBER(I84),Settings!$B$8="APPROVED",Settings!$B$9&lt;&gt;"",Settings!$B$10&lt;&gt;""))),"FX HOLD","VALID"))))))))))))))))))</x:f>
      </x:c>
      <x:c r="M84" s="57" t="str">
        <x:f>IF(ISNUMBER(C84),IF(AND(ISNUMBER(C84),C84&gt;=2,C84&lt;=2958465,C84=INT(C84)),YEAR(C84)&amp;"-"&amp;IF(MONTH(C84)&lt;10,"0","")&amp;MONTH(C84),""),"")</x:f>
      </x:c>
      <x:c r="N84" s="59" t="str">
        <x:f>IF(L84="VALID",IF(G84="USD",H84,I84),"")</x:f>
      </x:c>
      <x:c r="O84" s="57" t="n">
        <x:f>IF(L84="VALID",IF(COUNTIFS($B$2:B84,B84,$M$2:M84,M84,$L$2:L84,"VALID")=1,1,0),0)</x:f>
        <x:v>0</x:v>
      </x:c>
    </x:row>
    <x:row r="85">
      <x:c r="A85" s="47"/>
      <x:c r="B85" s="47"/>
      <x:c r="C85" s="69"/>
      <x:c r="D85" s="47"/>
      <x:c r="E85" s="47"/>
      <x:c r="F85" s="47"/>
      <x:c r="G85" s="47"/>
      <x:c r="H85" s="48"/>
      <x:c r="I85" s="48"/>
      <x:c r="J85" s="47"/>
      <x:c r="K85" s="47"/>
      <x:c r="L85" s="57" t="str">
        <x:f>IF(COUNTA(A85:K85)=0,"",IF(K85="CANCELLED","CANCELLED",IF(A85="","INVOICE ID REQUIRED",IF(B85="","PROJECT ID REQUIRED",IF(NOT(ISNUMBER(C85)),"INVALID INVOICE DATE",IF(NOT(AND(ISNUMBER(C85),C85&gt;=2,C85&lt;=2958465,C85=INT(C85))),"INVALID INVOICE DATE",IF(NOT(OR(D85="MX",D85="US")),"ENTITY REQUIRED",IF(NOT(OR(E85="Strategic Services",E85="Brands")),"UNIT REQUIRED",IF(F85="","BRAND / N/A REQUIRED",IF(NOT(OR(G85="USD",G85="MXN")),"CURRENCY REQUIRED",IF(NOT(ISNUMBER(H85)),"AMOUNT REQUIRED",IF(J85="","ERP SOURCE REQUIRED",IF(NOT(OR(K85="ISSUED",K85="CANCELLED")),"INVOICE STATUS REQUIRED",IF(COUNTIFS($A$2:$A$501,A85,$B$2:$B$501,B85,$D$2:$D$501,D85)&gt;1,"DUPLICATE INVOICE / PROJECT",IF(SUMPRODUCT(--(('ERP Snapshot'!$A$2:$A$101&amp;"")=(B85&amp;"")))=0,"PROJECT NOT FOUND",IF(SUMPRODUCT(--(('ERP Snapshot'!$A$2:$A$101&amp;"")=(B85&amp;"")))&gt;1,"DUPLICATE PROJECT ID",IF(OR(SUMPRODUCT(--(('ERP Snapshot'!$A$2:$A$101&amp;"")=(B85&amp;"")),--('ERP Snapshot'!$Q$2:$Q$101=E85),--('ERP Snapshot'!$R$2:$R$101=F85))&lt;&gt;1,SUMPRODUCT(--('Commercial Catalogs'!$A$2:$A$10=E85),--('Commercial Catalogs'!$B$2:$B$10=F85),--('Commercial Catalogs'!$C$2:$C$10="YES"),--('Commercial Catalogs'!$D$2:$D$10="IN SCOPE"))=0,AND(E85="Strategic Services",F85&lt;&gt;"N/A"),AND(E85="Brands",F85="N/A")),"PROJECT CLASSIFICATION MISMATCH",IF(AND(G85="MXN",NOT(AND(ISNUMBER(I85),Settings!$B$8="APPROVED",Settings!$B$9&lt;&gt;"",Settings!$B$10&lt;&gt;""))),"FX HOLD","VALID"))))))))))))))))))</x:f>
      </x:c>
      <x:c r="M85" s="57" t="str">
        <x:f>IF(ISNUMBER(C85),IF(AND(ISNUMBER(C85),C85&gt;=2,C85&lt;=2958465,C85=INT(C85)),YEAR(C85)&amp;"-"&amp;IF(MONTH(C85)&lt;10,"0","")&amp;MONTH(C85),""),"")</x:f>
      </x:c>
      <x:c r="N85" s="59" t="str">
        <x:f>IF(L85="VALID",IF(G85="USD",H85,I85),"")</x:f>
      </x:c>
      <x:c r="O85" s="57" t="n">
        <x:f>IF(L85="VALID",IF(COUNTIFS($B$2:B85,B85,$M$2:M85,M85,$L$2:L85,"VALID")=1,1,0),0)</x:f>
        <x:v>0</x:v>
      </x:c>
    </x:row>
    <x:row r="86">
      <x:c r="A86" s="47"/>
      <x:c r="B86" s="47"/>
      <x:c r="C86" s="69"/>
      <x:c r="D86" s="47"/>
      <x:c r="E86" s="47"/>
      <x:c r="F86" s="47"/>
      <x:c r="G86" s="47"/>
      <x:c r="H86" s="48"/>
      <x:c r="I86" s="48"/>
      <x:c r="J86" s="47"/>
      <x:c r="K86" s="47"/>
      <x:c r="L86" s="57" t="str">
        <x:f>IF(COUNTA(A86:K86)=0,"",IF(K86="CANCELLED","CANCELLED",IF(A86="","INVOICE ID REQUIRED",IF(B86="","PROJECT ID REQUIRED",IF(NOT(ISNUMBER(C86)),"INVALID INVOICE DATE",IF(NOT(AND(ISNUMBER(C86),C86&gt;=2,C86&lt;=2958465,C86=INT(C86))),"INVALID INVOICE DATE",IF(NOT(OR(D86="MX",D86="US")),"ENTITY REQUIRED",IF(NOT(OR(E86="Strategic Services",E86="Brands")),"UNIT REQUIRED",IF(F86="","BRAND / N/A REQUIRED",IF(NOT(OR(G86="USD",G86="MXN")),"CURRENCY REQUIRED",IF(NOT(ISNUMBER(H86)),"AMOUNT REQUIRED",IF(J86="","ERP SOURCE REQUIRED",IF(NOT(OR(K86="ISSUED",K86="CANCELLED")),"INVOICE STATUS REQUIRED",IF(COUNTIFS($A$2:$A$501,A86,$B$2:$B$501,B86,$D$2:$D$501,D86)&gt;1,"DUPLICATE INVOICE / PROJECT",IF(SUMPRODUCT(--(('ERP Snapshot'!$A$2:$A$101&amp;"")=(B86&amp;"")))=0,"PROJECT NOT FOUND",IF(SUMPRODUCT(--(('ERP Snapshot'!$A$2:$A$101&amp;"")=(B86&amp;"")))&gt;1,"DUPLICATE PROJECT ID",IF(OR(SUMPRODUCT(--(('ERP Snapshot'!$A$2:$A$101&amp;"")=(B86&amp;"")),--('ERP Snapshot'!$Q$2:$Q$101=E86),--('ERP Snapshot'!$R$2:$R$101=F86))&lt;&gt;1,SUMPRODUCT(--('Commercial Catalogs'!$A$2:$A$10=E86),--('Commercial Catalogs'!$B$2:$B$10=F86),--('Commercial Catalogs'!$C$2:$C$10="YES"),--('Commercial Catalogs'!$D$2:$D$10="IN SCOPE"))=0,AND(E86="Strategic Services",F86&lt;&gt;"N/A"),AND(E86="Brands",F86="N/A")),"PROJECT CLASSIFICATION MISMATCH",IF(AND(G86="MXN",NOT(AND(ISNUMBER(I86),Settings!$B$8="APPROVED",Settings!$B$9&lt;&gt;"",Settings!$B$10&lt;&gt;""))),"FX HOLD","VALID"))))))))))))))))))</x:f>
      </x:c>
      <x:c r="M86" s="57" t="str">
        <x:f>IF(ISNUMBER(C86),IF(AND(ISNUMBER(C86),C86&gt;=2,C86&lt;=2958465,C86=INT(C86)),YEAR(C86)&amp;"-"&amp;IF(MONTH(C86)&lt;10,"0","")&amp;MONTH(C86),""),"")</x:f>
      </x:c>
      <x:c r="N86" s="59" t="str">
        <x:f>IF(L86="VALID",IF(G86="USD",H86,I86),"")</x:f>
      </x:c>
      <x:c r="O86" s="57" t="n">
        <x:f>IF(L86="VALID",IF(COUNTIFS($B$2:B86,B86,$M$2:M86,M86,$L$2:L86,"VALID")=1,1,0),0)</x:f>
        <x:v>0</x:v>
      </x:c>
    </x:row>
    <x:row r="87">
      <x:c r="A87" s="47"/>
      <x:c r="B87" s="47"/>
      <x:c r="C87" s="69"/>
      <x:c r="D87" s="47"/>
      <x:c r="E87" s="47"/>
      <x:c r="F87" s="47"/>
      <x:c r="G87" s="47"/>
      <x:c r="H87" s="48"/>
      <x:c r="I87" s="48"/>
      <x:c r="J87" s="47"/>
      <x:c r="K87" s="47"/>
      <x:c r="L87" s="57" t="str">
        <x:f>IF(COUNTA(A87:K87)=0,"",IF(K87="CANCELLED","CANCELLED",IF(A87="","INVOICE ID REQUIRED",IF(B87="","PROJECT ID REQUIRED",IF(NOT(ISNUMBER(C87)),"INVALID INVOICE DATE",IF(NOT(AND(ISNUMBER(C87),C87&gt;=2,C87&lt;=2958465,C87=INT(C87))),"INVALID INVOICE DATE",IF(NOT(OR(D87="MX",D87="US")),"ENTITY REQUIRED",IF(NOT(OR(E87="Strategic Services",E87="Brands")),"UNIT REQUIRED",IF(F87="","BRAND / N/A REQUIRED",IF(NOT(OR(G87="USD",G87="MXN")),"CURRENCY REQUIRED",IF(NOT(ISNUMBER(H87)),"AMOUNT REQUIRED",IF(J87="","ERP SOURCE REQUIRED",IF(NOT(OR(K87="ISSUED",K87="CANCELLED")),"INVOICE STATUS REQUIRED",IF(COUNTIFS($A$2:$A$501,A87,$B$2:$B$501,B87,$D$2:$D$501,D87)&gt;1,"DUPLICATE INVOICE / PROJECT",IF(SUMPRODUCT(--(('ERP Snapshot'!$A$2:$A$101&amp;"")=(B87&amp;"")))=0,"PROJECT NOT FOUND",IF(SUMPRODUCT(--(('ERP Snapshot'!$A$2:$A$101&amp;"")=(B87&amp;"")))&gt;1,"DUPLICATE PROJECT ID",IF(OR(SUMPRODUCT(--(('ERP Snapshot'!$A$2:$A$101&amp;"")=(B87&amp;"")),--('ERP Snapshot'!$Q$2:$Q$101=E87),--('ERP Snapshot'!$R$2:$R$101=F87))&lt;&gt;1,SUMPRODUCT(--('Commercial Catalogs'!$A$2:$A$10=E87),--('Commercial Catalogs'!$B$2:$B$10=F87),--('Commercial Catalogs'!$C$2:$C$10="YES"),--('Commercial Catalogs'!$D$2:$D$10="IN SCOPE"))=0,AND(E87="Strategic Services",F87&lt;&gt;"N/A"),AND(E87="Brands",F87="N/A")),"PROJECT CLASSIFICATION MISMATCH",IF(AND(G87="MXN",NOT(AND(ISNUMBER(I87),Settings!$B$8="APPROVED",Settings!$B$9&lt;&gt;"",Settings!$B$10&lt;&gt;""))),"FX HOLD","VALID"))))))))))))))))))</x:f>
      </x:c>
      <x:c r="M87" s="57" t="str">
        <x:f>IF(ISNUMBER(C87),IF(AND(ISNUMBER(C87),C87&gt;=2,C87&lt;=2958465,C87=INT(C87)),YEAR(C87)&amp;"-"&amp;IF(MONTH(C87)&lt;10,"0","")&amp;MONTH(C87),""),"")</x:f>
      </x:c>
      <x:c r="N87" s="59" t="str">
        <x:f>IF(L87="VALID",IF(G87="USD",H87,I87),"")</x:f>
      </x:c>
      <x:c r="O87" s="57" t="n">
        <x:f>IF(L87="VALID",IF(COUNTIFS($B$2:B87,B87,$M$2:M87,M87,$L$2:L87,"VALID")=1,1,0),0)</x:f>
        <x:v>0</x:v>
      </x:c>
    </x:row>
    <x:row r="88">
      <x:c r="A88" s="47"/>
      <x:c r="B88" s="47"/>
      <x:c r="C88" s="69"/>
      <x:c r="D88" s="47"/>
      <x:c r="E88" s="47"/>
      <x:c r="F88" s="47"/>
      <x:c r="G88" s="47"/>
      <x:c r="H88" s="48"/>
      <x:c r="I88" s="48"/>
      <x:c r="J88" s="47"/>
      <x:c r="K88" s="47"/>
      <x:c r="L88" s="57" t="str">
        <x:f>IF(COUNTA(A88:K88)=0,"",IF(K88="CANCELLED","CANCELLED",IF(A88="","INVOICE ID REQUIRED",IF(B88="","PROJECT ID REQUIRED",IF(NOT(ISNUMBER(C88)),"INVALID INVOICE DATE",IF(NOT(AND(ISNUMBER(C88),C88&gt;=2,C88&lt;=2958465,C88=INT(C88))),"INVALID INVOICE DATE",IF(NOT(OR(D88="MX",D88="US")),"ENTITY REQUIRED",IF(NOT(OR(E88="Strategic Services",E88="Brands")),"UNIT REQUIRED",IF(F88="","BRAND / N/A REQUIRED",IF(NOT(OR(G88="USD",G88="MXN")),"CURRENCY REQUIRED",IF(NOT(ISNUMBER(H88)),"AMOUNT REQUIRED",IF(J88="","ERP SOURCE REQUIRED",IF(NOT(OR(K88="ISSUED",K88="CANCELLED")),"INVOICE STATUS REQUIRED",IF(COUNTIFS($A$2:$A$501,A88,$B$2:$B$501,B88,$D$2:$D$501,D88)&gt;1,"DUPLICATE INVOICE / PROJECT",IF(SUMPRODUCT(--(('ERP Snapshot'!$A$2:$A$101&amp;"")=(B88&amp;"")))=0,"PROJECT NOT FOUND",IF(SUMPRODUCT(--(('ERP Snapshot'!$A$2:$A$101&amp;"")=(B88&amp;"")))&gt;1,"DUPLICATE PROJECT ID",IF(OR(SUMPRODUCT(--(('ERP Snapshot'!$A$2:$A$101&amp;"")=(B88&amp;"")),--('ERP Snapshot'!$Q$2:$Q$101=E88),--('ERP Snapshot'!$R$2:$R$101=F88))&lt;&gt;1,SUMPRODUCT(--('Commercial Catalogs'!$A$2:$A$10=E88),--('Commercial Catalogs'!$B$2:$B$10=F88),--('Commercial Catalogs'!$C$2:$C$10="YES"),--('Commercial Catalogs'!$D$2:$D$10="IN SCOPE"))=0,AND(E88="Strategic Services",F88&lt;&gt;"N/A"),AND(E88="Brands",F88="N/A")),"PROJECT CLASSIFICATION MISMATCH",IF(AND(G88="MXN",NOT(AND(ISNUMBER(I88),Settings!$B$8="APPROVED",Settings!$B$9&lt;&gt;"",Settings!$B$10&lt;&gt;""))),"FX HOLD","VALID"))))))))))))))))))</x:f>
      </x:c>
      <x:c r="M88" s="57" t="str">
        <x:f>IF(ISNUMBER(C88),IF(AND(ISNUMBER(C88),C88&gt;=2,C88&lt;=2958465,C88=INT(C88)),YEAR(C88)&amp;"-"&amp;IF(MONTH(C88)&lt;10,"0","")&amp;MONTH(C88),""),"")</x:f>
      </x:c>
      <x:c r="N88" s="59" t="str">
        <x:f>IF(L88="VALID",IF(G88="USD",H88,I88),"")</x:f>
      </x:c>
      <x:c r="O88" s="57" t="n">
        <x:f>IF(L88="VALID",IF(COUNTIFS($B$2:B88,B88,$M$2:M88,M88,$L$2:L88,"VALID")=1,1,0),0)</x:f>
        <x:v>0</x:v>
      </x:c>
    </x:row>
    <x:row r="89">
      <x:c r="A89" s="47"/>
      <x:c r="B89" s="47"/>
      <x:c r="C89" s="69"/>
      <x:c r="D89" s="47"/>
      <x:c r="E89" s="47"/>
      <x:c r="F89" s="47"/>
      <x:c r="G89" s="47"/>
      <x:c r="H89" s="48"/>
      <x:c r="I89" s="48"/>
      <x:c r="J89" s="47"/>
      <x:c r="K89" s="47"/>
      <x:c r="L89" s="57" t="str">
        <x:f>IF(COUNTA(A89:K89)=0,"",IF(K89="CANCELLED","CANCELLED",IF(A89="","INVOICE ID REQUIRED",IF(B89="","PROJECT ID REQUIRED",IF(NOT(ISNUMBER(C89)),"INVALID INVOICE DATE",IF(NOT(AND(ISNUMBER(C89),C89&gt;=2,C89&lt;=2958465,C89=INT(C89))),"INVALID INVOICE DATE",IF(NOT(OR(D89="MX",D89="US")),"ENTITY REQUIRED",IF(NOT(OR(E89="Strategic Services",E89="Brands")),"UNIT REQUIRED",IF(F89="","BRAND / N/A REQUIRED",IF(NOT(OR(G89="USD",G89="MXN")),"CURRENCY REQUIRED",IF(NOT(ISNUMBER(H89)),"AMOUNT REQUIRED",IF(J89="","ERP SOURCE REQUIRED",IF(NOT(OR(K89="ISSUED",K89="CANCELLED")),"INVOICE STATUS REQUIRED",IF(COUNTIFS($A$2:$A$501,A89,$B$2:$B$501,B89,$D$2:$D$501,D89)&gt;1,"DUPLICATE INVOICE / PROJECT",IF(SUMPRODUCT(--(('ERP Snapshot'!$A$2:$A$101&amp;"")=(B89&amp;"")))=0,"PROJECT NOT FOUND",IF(SUMPRODUCT(--(('ERP Snapshot'!$A$2:$A$101&amp;"")=(B89&amp;"")))&gt;1,"DUPLICATE PROJECT ID",IF(OR(SUMPRODUCT(--(('ERP Snapshot'!$A$2:$A$101&amp;"")=(B89&amp;"")),--('ERP Snapshot'!$Q$2:$Q$101=E89),--('ERP Snapshot'!$R$2:$R$101=F89))&lt;&gt;1,SUMPRODUCT(--('Commercial Catalogs'!$A$2:$A$10=E89),--('Commercial Catalogs'!$B$2:$B$10=F89),--('Commercial Catalogs'!$C$2:$C$10="YES"),--('Commercial Catalogs'!$D$2:$D$10="IN SCOPE"))=0,AND(E89="Strategic Services",F89&lt;&gt;"N/A"),AND(E89="Brands",F89="N/A")),"PROJECT CLASSIFICATION MISMATCH",IF(AND(G89="MXN",NOT(AND(ISNUMBER(I89),Settings!$B$8="APPROVED",Settings!$B$9&lt;&gt;"",Settings!$B$10&lt;&gt;""))),"FX HOLD","VALID"))))))))))))))))))</x:f>
      </x:c>
      <x:c r="M89" s="57" t="str">
        <x:f>IF(ISNUMBER(C89),IF(AND(ISNUMBER(C89),C89&gt;=2,C89&lt;=2958465,C89=INT(C89)),YEAR(C89)&amp;"-"&amp;IF(MONTH(C89)&lt;10,"0","")&amp;MONTH(C89),""),"")</x:f>
      </x:c>
      <x:c r="N89" s="59" t="str">
        <x:f>IF(L89="VALID",IF(G89="USD",H89,I89),"")</x:f>
      </x:c>
      <x:c r="O89" s="57" t="n">
        <x:f>IF(L89="VALID",IF(COUNTIFS($B$2:B89,B89,$M$2:M89,M89,$L$2:L89,"VALID")=1,1,0),0)</x:f>
        <x:v>0</x:v>
      </x:c>
    </x:row>
    <x:row r="90">
      <x:c r="A90" s="47"/>
      <x:c r="B90" s="47"/>
      <x:c r="C90" s="69"/>
      <x:c r="D90" s="47"/>
      <x:c r="E90" s="47"/>
      <x:c r="F90" s="47"/>
      <x:c r="G90" s="47"/>
      <x:c r="H90" s="48"/>
      <x:c r="I90" s="48"/>
      <x:c r="J90" s="47"/>
      <x:c r="K90" s="47"/>
      <x:c r="L90" s="57" t="str">
        <x:f>IF(COUNTA(A90:K90)=0,"",IF(K90="CANCELLED","CANCELLED",IF(A90="","INVOICE ID REQUIRED",IF(B90="","PROJECT ID REQUIRED",IF(NOT(ISNUMBER(C90)),"INVALID INVOICE DATE",IF(NOT(AND(ISNUMBER(C90),C90&gt;=2,C90&lt;=2958465,C90=INT(C90))),"INVALID INVOICE DATE",IF(NOT(OR(D90="MX",D90="US")),"ENTITY REQUIRED",IF(NOT(OR(E90="Strategic Services",E90="Brands")),"UNIT REQUIRED",IF(F90="","BRAND / N/A REQUIRED",IF(NOT(OR(G90="USD",G90="MXN")),"CURRENCY REQUIRED",IF(NOT(ISNUMBER(H90)),"AMOUNT REQUIRED",IF(J90="","ERP SOURCE REQUIRED",IF(NOT(OR(K90="ISSUED",K90="CANCELLED")),"INVOICE STATUS REQUIRED",IF(COUNTIFS($A$2:$A$501,A90,$B$2:$B$501,B90,$D$2:$D$501,D90)&gt;1,"DUPLICATE INVOICE / PROJECT",IF(SUMPRODUCT(--(('ERP Snapshot'!$A$2:$A$101&amp;"")=(B90&amp;"")))=0,"PROJECT NOT FOUND",IF(SUMPRODUCT(--(('ERP Snapshot'!$A$2:$A$101&amp;"")=(B90&amp;"")))&gt;1,"DUPLICATE PROJECT ID",IF(OR(SUMPRODUCT(--(('ERP Snapshot'!$A$2:$A$101&amp;"")=(B90&amp;"")),--('ERP Snapshot'!$Q$2:$Q$101=E90),--('ERP Snapshot'!$R$2:$R$101=F90))&lt;&gt;1,SUMPRODUCT(--('Commercial Catalogs'!$A$2:$A$10=E90),--('Commercial Catalogs'!$B$2:$B$10=F90),--('Commercial Catalogs'!$C$2:$C$10="YES"),--('Commercial Catalogs'!$D$2:$D$10="IN SCOPE"))=0,AND(E90="Strategic Services",F90&lt;&gt;"N/A"),AND(E90="Brands",F90="N/A")),"PROJECT CLASSIFICATION MISMATCH",IF(AND(G90="MXN",NOT(AND(ISNUMBER(I90),Settings!$B$8="APPROVED",Settings!$B$9&lt;&gt;"",Settings!$B$10&lt;&gt;""))),"FX HOLD","VALID"))))))))))))))))))</x:f>
      </x:c>
      <x:c r="M90" s="57" t="str">
        <x:f>IF(ISNUMBER(C90),IF(AND(ISNUMBER(C90),C90&gt;=2,C90&lt;=2958465,C90=INT(C90)),YEAR(C90)&amp;"-"&amp;IF(MONTH(C90)&lt;10,"0","")&amp;MONTH(C90),""),"")</x:f>
      </x:c>
      <x:c r="N90" s="59" t="str">
        <x:f>IF(L90="VALID",IF(G90="USD",H90,I90),"")</x:f>
      </x:c>
      <x:c r="O90" s="57" t="n">
        <x:f>IF(L90="VALID",IF(COUNTIFS($B$2:B90,B90,$M$2:M90,M90,$L$2:L90,"VALID")=1,1,0),0)</x:f>
        <x:v>0</x:v>
      </x:c>
    </x:row>
    <x:row r="91">
      <x:c r="A91" s="47"/>
      <x:c r="B91" s="47"/>
      <x:c r="C91" s="69"/>
      <x:c r="D91" s="47"/>
      <x:c r="E91" s="47"/>
      <x:c r="F91" s="47"/>
      <x:c r="G91" s="47"/>
      <x:c r="H91" s="48"/>
      <x:c r="I91" s="48"/>
      <x:c r="J91" s="47"/>
      <x:c r="K91" s="47"/>
      <x:c r="L91" s="57" t="str">
        <x:f>IF(COUNTA(A91:K91)=0,"",IF(K91="CANCELLED","CANCELLED",IF(A91="","INVOICE ID REQUIRED",IF(B91="","PROJECT ID REQUIRED",IF(NOT(ISNUMBER(C91)),"INVALID INVOICE DATE",IF(NOT(AND(ISNUMBER(C91),C91&gt;=2,C91&lt;=2958465,C91=INT(C91))),"INVALID INVOICE DATE",IF(NOT(OR(D91="MX",D91="US")),"ENTITY REQUIRED",IF(NOT(OR(E91="Strategic Services",E91="Brands")),"UNIT REQUIRED",IF(F91="","BRAND / N/A REQUIRED",IF(NOT(OR(G91="USD",G91="MXN")),"CURRENCY REQUIRED",IF(NOT(ISNUMBER(H91)),"AMOUNT REQUIRED",IF(J91="","ERP SOURCE REQUIRED",IF(NOT(OR(K91="ISSUED",K91="CANCELLED")),"INVOICE STATUS REQUIRED",IF(COUNTIFS($A$2:$A$501,A91,$B$2:$B$501,B91,$D$2:$D$501,D91)&gt;1,"DUPLICATE INVOICE / PROJECT",IF(SUMPRODUCT(--(('ERP Snapshot'!$A$2:$A$101&amp;"")=(B91&amp;"")))=0,"PROJECT NOT FOUND",IF(SUMPRODUCT(--(('ERP Snapshot'!$A$2:$A$101&amp;"")=(B91&amp;"")))&gt;1,"DUPLICATE PROJECT ID",IF(OR(SUMPRODUCT(--(('ERP Snapshot'!$A$2:$A$101&amp;"")=(B91&amp;"")),--('ERP Snapshot'!$Q$2:$Q$101=E91),--('ERP Snapshot'!$R$2:$R$101=F91))&lt;&gt;1,SUMPRODUCT(--('Commercial Catalogs'!$A$2:$A$10=E91),--('Commercial Catalogs'!$B$2:$B$10=F91),--('Commercial Catalogs'!$C$2:$C$10="YES"),--('Commercial Catalogs'!$D$2:$D$10="IN SCOPE"))=0,AND(E91="Strategic Services",F91&lt;&gt;"N/A"),AND(E91="Brands",F91="N/A")),"PROJECT CLASSIFICATION MISMATCH",IF(AND(G91="MXN",NOT(AND(ISNUMBER(I91),Settings!$B$8="APPROVED",Settings!$B$9&lt;&gt;"",Settings!$B$10&lt;&gt;""))),"FX HOLD","VALID"))))))))))))))))))</x:f>
      </x:c>
      <x:c r="M91" s="57" t="str">
        <x:f>IF(ISNUMBER(C91),IF(AND(ISNUMBER(C91),C91&gt;=2,C91&lt;=2958465,C91=INT(C91)),YEAR(C91)&amp;"-"&amp;IF(MONTH(C91)&lt;10,"0","")&amp;MONTH(C91),""),"")</x:f>
      </x:c>
      <x:c r="N91" s="59" t="str">
        <x:f>IF(L91="VALID",IF(G91="USD",H91,I91),"")</x:f>
      </x:c>
      <x:c r="O91" s="57" t="n">
        <x:f>IF(L91="VALID",IF(COUNTIFS($B$2:B91,B91,$M$2:M91,M91,$L$2:L91,"VALID")=1,1,0),0)</x:f>
        <x:v>0</x:v>
      </x:c>
    </x:row>
    <x:row r="92">
      <x:c r="A92" s="47"/>
      <x:c r="B92" s="47"/>
      <x:c r="C92" s="69"/>
      <x:c r="D92" s="47"/>
      <x:c r="E92" s="47"/>
      <x:c r="F92" s="47"/>
      <x:c r="G92" s="47"/>
      <x:c r="H92" s="48"/>
      <x:c r="I92" s="48"/>
      <x:c r="J92" s="47"/>
      <x:c r="K92" s="47"/>
      <x:c r="L92" s="57" t="str">
        <x:f>IF(COUNTA(A92:K92)=0,"",IF(K92="CANCELLED","CANCELLED",IF(A92="","INVOICE ID REQUIRED",IF(B92="","PROJECT ID REQUIRED",IF(NOT(ISNUMBER(C92)),"INVALID INVOICE DATE",IF(NOT(AND(ISNUMBER(C92),C92&gt;=2,C92&lt;=2958465,C92=INT(C92))),"INVALID INVOICE DATE",IF(NOT(OR(D92="MX",D92="US")),"ENTITY REQUIRED",IF(NOT(OR(E92="Strategic Services",E92="Brands")),"UNIT REQUIRED",IF(F92="","BRAND / N/A REQUIRED",IF(NOT(OR(G92="USD",G92="MXN")),"CURRENCY REQUIRED",IF(NOT(ISNUMBER(H92)),"AMOUNT REQUIRED",IF(J92="","ERP SOURCE REQUIRED",IF(NOT(OR(K92="ISSUED",K92="CANCELLED")),"INVOICE STATUS REQUIRED",IF(COUNTIFS($A$2:$A$501,A92,$B$2:$B$501,B92,$D$2:$D$501,D92)&gt;1,"DUPLICATE INVOICE / PROJECT",IF(SUMPRODUCT(--(('ERP Snapshot'!$A$2:$A$101&amp;"")=(B92&amp;"")))=0,"PROJECT NOT FOUND",IF(SUMPRODUCT(--(('ERP Snapshot'!$A$2:$A$101&amp;"")=(B92&amp;"")))&gt;1,"DUPLICATE PROJECT ID",IF(OR(SUMPRODUCT(--(('ERP Snapshot'!$A$2:$A$101&amp;"")=(B92&amp;"")),--('ERP Snapshot'!$Q$2:$Q$101=E92),--('ERP Snapshot'!$R$2:$R$101=F92))&lt;&gt;1,SUMPRODUCT(--('Commercial Catalogs'!$A$2:$A$10=E92),--('Commercial Catalogs'!$B$2:$B$10=F92),--('Commercial Catalogs'!$C$2:$C$10="YES"),--('Commercial Catalogs'!$D$2:$D$10="IN SCOPE"))=0,AND(E92="Strategic Services",F92&lt;&gt;"N/A"),AND(E92="Brands",F92="N/A")),"PROJECT CLASSIFICATION MISMATCH",IF(AND(G92="MXN",NOT(AND(ISNUMBER(I92),Settings!$B$8="APPROVED",Settings!$B$9&lt;&gt;"",Settings!$B$10&lt;&gt;""))),"FX HOLD","VALID"))))))))))))))))))</x:f>
      </x:c>
      <x:c r="M92" s="57" t="str">
        <x:f>IF(ISNUMBER(C92),IF(AND(ISNUMBER(C92),C92&gt;=2,C92&lt;=2958465,C92=INT(C92)),YEAR(C92)&amp;"-"&amp;IF(MONTH(C92)&lt;10,"0","")&amp;MONTH(C92),""),"")</x:f>
      </x:c>
      <x:c r="N92" s="59" t="str">
        <x:f>IF(L92="VALID",IF(G92="USD",H92,I92),"")</x:f>
      </x:c>
      <x:c r="O92" s="57" t="n">
        <x:f>IF(L92="VALID",IF(COUNTIFS($B$2:B92,B92,$M$2:M92,M92,$L$2:L92,"VALID")=1,1,0),0)</x:f>
        <x:v>0</x:v>
      </x:c>
    </x:row>
    <x:row r="93">
      <x:c r="A93" s="47"/>
      <x:c r="B93" s="47"/>
      <x:c r="C93" s="69"/>
      <x:c r="D93" s="47"/>
      <x:c r="E93" s="47"/>
      <x:c r="F93" s="47"/>
      <x:c r="G93" s="47"/>
      <x:c r="H93" s="48"/>
      <x:c r="I93" s="48"/>
      <x:c r="J93" s="47"/>
      <x:c r="K93" s="47"/>
      <x:c r="L93" s="57" t="str">
        <x:f>IF(COUNTA(A93:K93)=0,"",IF(K93="CANCELLED","CANCELLED",IF(A93="","INVOICE ID REQUIRED",IF(B93="","PROJECT ID REQUIRED",IF(NOT(ISNUMBER(C93)),"INVALID INVOICE DATE",IF(NOT(AND(ISNUMBER(C93),C93&gt;=2,C93&lt;=2958465,C93=INT(C93))),"INVALID INVOICE DATE",IF(NOT(OR(D93="MX",D93="US")),"ENTITY REQUIRED",IF(NOT(OR(E93="Strategic Services",E93="Brands")),"UNIT REQUIRED",IF(F93="","BRAND / N/A REQUIRED",IF(NOT(OR(G93="USD",G93="MXN")),"CURRENCY REQUIRED",IF(NOT(ISNUMBER(H93)),"AMOUNT REQUIRED",IF(J93="","ERP SOURCE REQUIRED",IF(NOT(OR(K93="ISSUED",K93="CANCELLED")),"INVOICE STATUS REQUIRED",IF(COUNTIFS($A$2:$A$501,A93,$B$2:$B$501,B93,$D$2:$D$501,D93)&gt;1,"DUPLICATE INVOICE / PROJECT",IF(SUMPRODUCT(--(('ERP Snapshot'!$A$2:$A$101&amp;"")=(B93&amp;"")))=0,"PROJECT NOT FOUND",IF(SUMPRODUCT(--(('ERP Snapshot'!$A$2:$A$101&amp;"")=(B93&amp;"")))&gt;1,"DUPLICATE PROJECT ID",IF(OR(SUMPRODUCT(--(('ERP Snapshot'!$A$2:$A$101&amp;"")=(B93&amp;"")),--('ERP Snapshot'!$Q$2:$Q$101=E93),--('ERP Snapshot'!$R$2:$R$101=F93))&lt;&gt;1,SUMPRODUCT(--('Commercial Catalogs'!$A$2:$A$10=E93),--('Commercial Catalogs'!$B$2:$B$10=F93),--('Commercial Catalogs'!$C$2:$C$10="YES"),--('Commercial Catalogs'!$D$2:$D$10="IN SCOPE"))=0,AND(E93="Strategic Services",F93&lt;&gt;"N/A"),AND(E93="Brands",F93="N/A")),"PROJECT CLASSIFICATION MISMATCH",IF(AND(G93="MXN",NOT(AND(ISNUMBER(I93),Settings!$B$8="APPROVED",Settings!$B$9&lt;&gt;"",Settings!$B$10&lt;&gt;""))),"FX HOLD","VALID"))))))))))))))))))</x:f>
      </x:c>
      <x:c r="M93" s="57" t="str">
        <x:f>IF(ISNUMBER(C93),IF(AND(ISNUMBER(C93),C93&gt;=2,C93&lt;=2958465,C93=INT(C93)),YEAR(C93)&amp;"-"&amp;IF(MONTH(C93)&lt;10,"0","")&amp;MONTH(C93),""),"")</x:f>
      </x:c>
      <x:c r="N93" s="59" t="str">
        <x:f>IF(L93="VALID",IF(G93="USD",H93,I93),"")</x:f>
      </x:c>
      <x:c r="O93" s="57" t="n">
        <x:f>IF(L93="VALID",IF(COUNTIFS($B$2:B93,B93,$M$2:M93,M93,$L$2:L93,"VALID")=1,1,0),0)</x:f>
        <x:v>0</x:v>
      </x:c>
    </x:row>
    <x:row r="94">
      <x:c r="A94" s="47"/>
      <x:c r="B94" s="47"/>
      <x:c r="C94" s="69"/>
      <x:c r="D94" s="47"/>
      <x:c r="E94" s="47"/>
      <x:c r="F94" s="47"/>
      <x:c r="G94" s="47"/>
      <x:c r="H94" s="48"/>
      <x:c r="I94" s="48"/>
      <x:c r="J94" s="47"/>
      <x:c r="K94" s="47"/>
      <x:c r="L94" s="57" t="str">
        <x:f>IF(COUNTA(A94:K94)=0,"",IF(K94="CANCELLED","CANCELLED",IF(A94="","INVOICE ID REQUIRED",IF(B94="","PROJECT ID REQUIRED",IF(NOT(ISNUMBER(C94)),"INVALID INVOICE DATE",IF(NOT(AND(ISNUMBER(C94),C94&gt;=2,C94&lt;=2958465,C94=INT(C94))),"INVALID INVOICE DATE",IF(NOT(OR(D94="MX",D94="US")),"ENTITY REQUIRED",IF(NOT(OR(E94="Strategic Services",E94="Brands")),"UNIT REQUIRED",IF(F94="","BRAND / N/A REQUIRED",IF(NOT(OR(G94="USD",G94="MXN")),"CURRENCY REQUIRED",IF(NOT(ISNUMBER(H94)),"AMOUNT REQUIRED",IF(J94="","ERP SOURCE REQUIRED",IF(NOT(OR(K94="ISSUED",K94="CANCELLED")),"INVOICE STATUS REQUIRED",IF(COUNTIFS($A$2:$A$501,A94,$B$2:$B$501,B94,$D$2:$D$501,D94)&gt;1,"DUPLICATE INVOICE / PROJECT",IF(SUMPRODUCT(--(('ERP Snapshot'!$A$2:$A$101&amp;"")=(B94&amp;"")))=0,"PROJECT NOT FOUND",IF(SUMPRODUCT(--(('ERP Snapshot'!$A$2:$A$101&amp;"")=(B94&amp;"")))&gt;1,"DUPLICATE PROJECT ID",IF(OR(SUMPRODUCT(--(('ERP Snapshot'!$A$2:$A$101&amp;"")=(B94&amp;"")),--('ERP Snapshot'!$Q$2:$Q$101=E94),--('ERP Snapshot'!$R$2:$R$101=F94))&lt;&gt;1,SUMPRODUCT(--('Commercial Catalogs'!$A$2:$A$10=E94),--('Commercial Catalogs'!$B$2:$B$10=F94),--('Commercial Catalogs'!$C$2:$C$10="YES"),--('Commercial Catalogs'!$D$2:$D$10="IN SCOPE"))=0,AND(E94="Strategic Services",F94&lt;&gt;"N/A"),AND(E94="Brands",F94="N/A")),"PROJECT CLASSIFICATION MISMATCH",IF(AND(G94="MXN",NOT(AND(ISNUMBER(I94),Settings!$B$8="APPROVED",Settings!$B$9&lt;&gt;"",Settings!$B$10&lt;&gt;""))),"FX HOLD","VALID"))))))))))))))))))</x:f>
      </x:c>
      <x:c r="M94" s="57" t="str">
        <x:f>IF(ISNUMBER(C94),IF(AND(ISNUMBER(C94),C94&gt;=2,C94&lt;=2958465,C94=INT(C94)),YEAR(C94)&amp;"-"&amp;IF(MONTH(C94)&lt;10,"0","")&amp;MONTH(C94),""),"")</x:f>
      </x:c>
      <x:c r="N94" s="59" t="str">
        <x:f>IF(L94="VALID",IF(G94="USD",H94,I94),"")</x:f>
      </x:c>
      <x:c r="O94" s="57" t="n">
        <x:f>IF(L94="VALID",IF(COUNTIFS($B$2:B94,B94,$M$2:M94,M94,$L$2:L94,"VALID")=1,1,0),0)</x:f>
        <x:v>0</x:v>
      </x:c>
    </x:row>
    <x:row r="95">
      <x:c r="A95" s="47"/>
      <x:c r="B95" s="47"/>
      <x:c r="C95" s="69"/>
      <x:c r="D95" s="47"/>
      <x:c r="E95" s="47"/>
      <x:c r="F95" s="47"/>
      <x:c r="G95" s="47"/>
      <x:c r="H95" s="48"/>
      <x:c r="I95" s="48"/>
      <x:c r="J95" s="47"/>
      <x:c r="K95" s="47"/>
      <x:c r="L95" s="57" t="str">
        <x:f>IF(COUNTA(A95:K95)=0,"",IF(K95="CANCELLED","CANCELLED",IF(A95="","INVOICE ID REQUIRED",IF(B95="","PROJECT ID REQUIRED",IF(NOT(ISNUMBER(C95)),"INVALID INVOICE DATE",IF(NOT(AND(ISNUMBER(C95),C95&gt;=2,C95&lt;=2958465,C95=INT(C95))),"INVALID INVOICE DATE",IF(NOT(OR(D95="MX",D95="US")),"ENTITY REQUIRED",IF(NOT(OR(E95="Strategic Services",E95="Brands")),"UNIT REQUIRED",IF(F95="","BRAND / N/A REQUIRED",IF(NOT(OR(G95="USD",G95="MXN")),"CURRENCY REQUIRED",IF(NOT(ISNUMBER(H95)),"AMOUNT REQUIRED",IF(J95="","ERP SOURCE REQUIRED",IF(NOT(OR(K95="ISSUED",K95="CANCELLED")),"INVOICE STATUS REQUIRED",IF(COUNTIFS($A$2:$A$501,A95,$B$2:$B$501,B95,$D$2:$D$501,D95)&gt;1,"DUPLICATE INVOICE / PROJECT",IF(SUMPRODUCT(--(('ERP Snapshot'!$A$2:$A$101&amp;"")=(B95&amp;"")))=0,"PROJECT NOT FOUND",IF(SUMPRODUCT(--(('ERP Snapshot'!$A$2:$A$101&amp;"")=(B95&amp;"")))&gt;1,"DUPLICATE PROJECT ID",IF(OR(SUMPRODUCT(--(('ERP Snapshot'!$A$2:$A$101&amp;"")=(B95&amp;"")),--('ERP Snapshot'!$Q$2:$Q$101=E95),--('ERP Snapshot'!$R$2:$R$101=F95))&lt;&gt;1,SUMPRODUCT(--('Commercial Catalogs'!$A$2:$A$10=E95),--('Commercial Catalogs'!$B$2:$B$10=F95),--('Commercial Catalogs'!$C$2:$C$10="YES"),--('Commercial Catalogs'!$D$2:$D$10="IN SCOPE"))=0,AND(E95="Strategic Services",F95&lt;&gt;"N/A"),AND(E95="Brands",F95="N/A")),"PROJECT CLASSIFICATION MISMATCH",IF(AND(G95="MXN",NOT(AND(ISNUMBER(I95),Settings!$B$8="APPROVED",Settings!$B$9&lt;&gt;"",Settings!$B$10&lt;&gt;""))),"FX HOLD","VALID"))))))))))))))))))</x:f>
      </x:c>
      <x:c r="M95" s="57" t="str">
        <x:f>IF(ISNUMBER(C95),IF(AND(ISNUMBER(C95),C95&gt;=2,C95&lt;=2958465,C95=INT(C95)),YEAR(C95)&amp;"-"&amp;IF(MONTH(C95)&lt;10,"0","")&amp;MONTH(C95),""),"")</x:f>
      </x:c>
      <x:c r="N95" s="59" t="str">
        <x:f>IF(L95="VALID",IF(G95="USD",H95,I95),"")</x:f>
      </x:c>
      <x:c r="O95" s="57" t="n">
        <x:f>IF(L95="VALID",IF(COUNTIFS($B$2:B95,B95,$M$2:M95,M95,$L$2:L95,"VALID")=1,1,0),0)</x:f>
        <x:v>0</x:v>
      </x:c>
    </x:row>
    <x:row r="96">
      <x:c r="A96" s="47"/>
      <x:c r="B96" s="47"/>
      <x:c r="C96" s="69"/>
      <x:c r="D96" s="47"/>
      <x:c r="E96" s="47"/>
      <x:c r="F96" s="47"/>
      <x:c r="G96" s="47"/>
      <x:c r="H96" s="48"/>
      <x:c r="I96" s="48"/>
      <x:c r="J96" s="47"/>
      <x:c r="K96" s="47"/>
      <x:c r="L96" s="57" t="str">
        <x:f>IF(COUNTA(A96:K96)=0,"",IF(K96="CANCELLED","CANCELLED",IF(A96="","INVOICE ID REQUIRED",IF(B96="","PROJECT ID REQUIRED",IF(NOT(ISNUMBER(C96)),"INVALID INVOICE DATE",IF(NOT(AND(ISNUMBER(C96),C96&gt;=2,C96&lt;=2958465,C96=INT(C96))),"INVALID INVOICE DATE",IF(NOT(OR(D96="MX",D96="US")),"ENTITY REQUIRED",IF(NOT(OR(E96="Strategic Services",E96="Brands")),"UNIT REQUIRED",IF(F96="","BRAND / N/A REQUIRED",IF(NOT(OR(G96="USD",G96="MXN")),"CURRENCY REQUIRED",IF(NOT(ISNUMBER(H96)),"AMOUNT REQUIRED",IF(J96="","ERP SOURCE REQUIRED",IF(NOT(OR(K96="ISSUED",K96="CANCELLED")),"INVOICE STATUS REQUIRED",IF(COUNTIFS($A$2:$A$501,A96,$B$2:$B$501,B96,$D$2:$D$501,D96)&gt;1,"DUPLICATE INVOICE / PROJECT",IF(SUMPRODUCT(--(('ERP Snapshot'!$A$2:$A$101&amp;"")=(B96&amp;"")))=0,"PROJECT NOT FOUND",IF(SUMPRODUCT(--(('ERP Snapshot'!$A$2:$A$101&amp;"")=(B96&amp;"")))&gt;1,"DUPLICATE PROJECT ID",IF(OR(SUMPRODUCT(--(('ERP Snapshot'!$A$2:$A$101&amp;"")=(B96&amp;"")),--('ERP Snapshot'!$Q$2:$Q$101=E96),--('ERP Snapshot'!$R$2:$R$101=F96))&lt;&gt;1,SUMPRODUCT(--('Commercial Catalogs'!$A$2:$A$10=E96),--('Commercial Catalogs'!$B$2:$B$10=F96),--('Commercial Catalogs'!$C$2:$C$10="YES"),--('Commercial Catalogs'!$D$2:$D$10="IN SCOPE"))=0,AND(E96="Strategic Services",F96&lt;&gt;"N/A"),AND(E96="Brands",F96="N/A")),"PROJECT CLASSIFICATION MISMATCH",IF(AND(G96="MXN",NOT(AND(ISNUMBER(I96),Settings!$B$8="APPROVED",Settings!$B$9&lt;&gt;"",Settings!$B$10&lt;&gt;""))),"FX HOLD","VALID"))))))))))))))))))</x:f>
      </x:c>
      <x:c r="M96" s="57" t="str">
        <x:f>IF(ISNUMBER(C96),IF(AND(ISNUMBER(C96),C96&gt;=2,C96&lt;=2958465,C96=INT(C96)),YEAR(C96)&amp;"-"&amp;IF(MONTH(C96)&lt;10,"0","")&amp;MONTH(C96),""),"")</x:f>
      </x:c>
      <x:c r="N96" s="59" t="str">
        <x:f>IF(L96="VALID",IF(G96="USD",H96,I96),"")</x:f>
      </x:c>
      <x:c r="O96" s="57" t="n">
        <x:f>IF(L96="VALID",IF(COUNTIFS($B$2:B96,B96,$M$2:M96,M96,$L$2:L96,"VALID")=1,1,0),0)</x:f>
        <x:v>0</x:v>
      </x:c>
    </x:row>
    <x:row r="97">
      <x:c r="A97" s="47"/>
      <x:c r="B97" s="47"/>
      <x:c r="C97" s="69"/>
      <x:c r="D97" s="47"/>
      <x:c r="E97" s="47"/>
      <x:c r="F97" s="47"/>
      <x:c r="G97" s="47"/>
      <x:c r="H97" s="48"/>
      <x:c r="I97" s="48"/>
      <x:c r="J97" s="47"/>
      <x:c r="K97" s="47"/>
      <x:c r="L97" s="57" t="str">
        <x:f>IF(COUNTA(A97:K97)=0,"",IF(K97="CANCELLED","CANCELLED",IF(A97="","INVOICE ID REQUIRED",IF(B97="","PROJECT ID REQUIRED",IF(NOT(ISNUMBER(C97)),"INVALID INVOICE DATE",IF(NOT(AND(ISNUMBER(C97),C97&gt;=2,C97&lt;=2958465,C97=INT(C97))),"INVALID INVOICE DATE",IF(NOT(OR(D97="MX",D97="US")),"ENTITY REQUIRED",IF(NOT(OR(E97="Strategic Services",E97="Brands")),"UNIT REQUIRED",IF(F97="","BRAND / N/A REQUIRED",IF(NOT(OR(G97="USD",G97="MXN")),"CURRENCY REQUIRED",IF(NOT(ISNUMBER(H97)),"AMOUNT REQUIRED",IF(J97="","ERP SOURCE REQUIRED",IF(NOT(OR(K97="ISSUED",K97="CANCELLED")),"INVOICE STATUS REQUIRED",IF(COUNTIFS($A$2:$A$501,A97,$B$2:$B$501,B97,$D$2:$D$501,D97)&gt;1,"DUPLICATE INVOICE / PROJECT",IF(SUMPRODUCT(--(('ERP Snapshot'!$A$2:$A$101&amp;"")=(B97&amp;"")))=0,"PROJECT NOT FOUND",IF(SUMPRODUCT(--(('ERP Snapshot'!$A$2:$A$101&amp;"")=(B97&amp;"")))&gt;1,"DUPLICATE PROJECT ID",IF(OR(SUMPRODUCT(--(('ERP Snapshot'!$A$2:$A$101&amp;"")=(B97&amp;"")),--('ERP Snapshot'!$Q$2:$Q$101=E97),--('ERP Snapshot'!$R$2:$R$101=F97))&lt;&gt;1,SUMPRODUCT(--('Commercial Catalogs'!$A$2:$A$10=E97),--('Commercial Catalogs'!$B$2:$B$10=F97),--('Commercial Catalogs'!$C$2:$C$10="YES"),--('Commercial Catalogs'!$D$2:$D$10="IN SCOPE"))=0,AND(E97="Strategic Services",F97&lt;&gt;"N/A"),AND(E97="Brands",F97="N/A")),"PROJECT CLASSIFICATION MISMATCH",IF(AND(G97="MXN",NOT(AND(ISNUMBER(I97),Settings!$B$8="APPROVED",Settings!$B$9&lt;&gt;"",Settings!$B$10&lt;&gt;""))),"FX HOLD","VALID"))))))))))))))))))</x:f>
      </x:c>
      <x:c r="M97" s="57" t="str">
        <x:f>IF(ISNUMBER(C97),IF(AND(ISNUMBER(C97),C97&gt;=2,C97&lt;=2958465,C97=INT(C97)),YEAR(C97)&amp;"-"&amp;IF(MONTH(C97)&lt;10,"0","")&amp;MONTH(C97),""),"")</x:f>
      </x:c>
      <x:c r="N97" s="59" t="str">
        <x:f>IF(L97="VALID",IF(G97="USD",H97,I97),"")</x:f>
      </x:c>
      <x:c r="O97" s="57" t="n">
        <x:f>IF(L97="VALID",IF(COUNTIFS($B$2:B97,B97,$M$2:M97,M97,$L$2:L97,"VALID")=1,1,0),0)</x:f>
        <x:v>0</x:v>
      </x:c>
    </x:row>
    <x:row r="98">
      <x:c r="A98" s="47"/>
      <x:c r="B98" s="47"/>
      <x:c r="C98" s="69"/>
      <x:c r="D98" s="47"/>
      <x:c r="E98" s="47"/>
      <x:c r="F98" s="47"/>
      <x:c r="G98" s="47"/>
      <x:c r="H98" s="48"/>
      <x:c r="I98" s="48"/>
      <x:c r="J98" s="47"/>
      <x:c r="K98" s="47"/>
      <x:c r="L98" s="57" t="str">
        <x:f>IF(COUNTA(A98:K98)=0,"",IF(K98="CANCELLED","CANCELLED",IF(A98="","INVOICE ID REQUIRED",IF(B98="","PROJECT ID REQUIRED",IF(NOT(ISNUMBER(C98)),"INVALID INVOICE DATE",IF(NOT(AND(ISNUMBER(C98),C98&gt;=2,C98&lt;=2958465,C98=INT(C98))),"INVALID INVOICE DATE",IF(NOT(OR(D98="MX",D98="US")),"ENTITY REQUIRED",IF(NOT(OR(E98="Strategic Services",E98="Brands")),"UNIT REQUIRED",IF(F98="","BRAND / N/A REQUIRED",IF(NOT(OR(G98="USD",G98="MXN")),"CURRENCY REQUIRED",IF(NOT(ISNUMBER(H98)),"AMOUNT REQUIRED",IF(J98="","ERP SOURCE REQUIRED",IF(NOT(OR(K98="ISSUED",K98="CANCELLED")),"INVOICE STATUS REQUIRED",IF(COUNTIFS($A$2:$A$501,A98,$B$2:$B$501,B98,$D$2:$D$501,D98)&gt;1,"DUPLICATE INVOICE / PROJECT",IF(SUMPRODUCT(--(('ERP Snapshot'!$A$2:$A$101&amp;"")=(B98&amp;"")))=0,"PROJECT NOT FOUND",IF(SUMPRODUCT(--(('ERP Snapshot'!$A$2:$A$101&amp;"")=(B98&amp;"")))&gt;1,"DUPLICATE PROJECT ID",IF(OR(SUMPRODUCT(--(('ERP Snapshot'!$A$2:$A$101&amp;"")=(B98&amp;"")),--('ERP Snapshot'!$Q$2:$Q$101=E98),--('ERP Snapshot'!$R$2:$R$101=F98))&lt;&gt;1,SUMPRODUCT(--('Commercial Catalogs'!$A$2:$A$10=E98),--('Commercial Catalogs'!$B$2:$B$10=F98),--('Commercial Catalogs'!$C$2:$C$10="YES"),--('Commercial Catalogs'!$D$2:$D$10="IN SCOPE"))=0,AND(E98="Strategic Services",F98&lt;&gt;"N/A"),AND(E98="Brands",F98="N/A")),"PROJECT CLASSIFICATION MISMATCH",IF(AND(G98="MXN",NOT(AND(ISNUMBER(I98),Settings!$B$8="APPROVED",Settings!$B$9&lt;&gt;"",Settings!$B$10&lt;&gt;""))),"FX HOLD","VALID"))))))))))))))))))</x:f>
      </x:c>
      <x:c r="M98" s="57" t="str">
        <x:f>IF(ISNUMBER(C98),IF(AND(ISNUMBER(C98),C98&gt;=2,C98&lt;=2958465,C98=INT(C98)),YEAR(C98)&amp;"-"&amp;IF(MONTH(C98)&lt;10,"0","")&amp;MONTH(C98),""),"")</x:f>
      </x:c>
      <x:c r="N98" s="59" t="str">
        <x:f>IF(L98="VALID",IF(G98="USD",H98,I98),"")</x:f>
      </x:c>
      <x:c r="O98" s="57" t="n">
        <x:f>IF(L98="VALID",IF(COUNTIFS($B$2:B98,B98,$M$2:M98,M98,$L$2:L98,"VALID")=1,1,0),0)</x:f>
        <x:v>0</x:v>
      </x:c>
    </x:row>
    <x:row r="99">
      <x:c r="A99" s="47"/>
      <x:c r="B99" s="47"/>
      <x:c r="C99" s="69"/>
      <x:c r="D99" s="47"/>
      <x:c r="E99" s="47"/>
      <x:c r="F99" s="47"/>
      <x:c r="G99" s="47"/>
      <x:c r="H99" s="48"/>
      <x:c r="I99" s="48"/>
      <x:c r="J99" s="47"/>
      <x:c r="K99" s="47"/>
      <x:c r="L99" s="57" t="str">
        <x:f>IF(COUNTA(A99:K99)=0,"",IF(K99="CANCELLED","CANCELLED",IF(A99="","INVOICE ID REQUIRED",IF(B99="","PROJECT ID REQUIRED",IF(NOT(ISNUMBER(C99)),"INVALID INVOICE DATE",IF(NOT(AND(ISNUMBER(C99),C99&gt;=2,C99&lt;=2958465,C99=INT(C99))),"INVALID INVOICE DATE",IF(NOT(OR(D99="MX",D99="US")),"ENTITY REQUIRED",IF(NOT(OR(E99="Strategic Services",E99="Brands")),"UNIT REQUIRED",IF(F99="","BRAND / N/A REQUIRED",IF(NOT(OR(G99="USD",G99="MXN")),"CURRENCY REQUIRED",IF(NOT(ISNUMBER(H99)),"AMOUNT REQUIRED",IF(J99="","ERP SOURCE REQUIRED",IF(NOT(OR(K99="ISSUED",K99="CANCELLED")),"INVOICE STATUS REQUIRED",IF(COUNTIFS($A$2:$A$501,A99,$B$2:$B$501,B99,$D$2:$D$501,D99)&gt;1,"DUPLICATE INVOICE / PROJECT",IF(SUMPRODUCT(--(('ERP Snapshot'!$A$2:$A$101&amp;"")=(B99&amp;"")))=0,"PROJECT NOT FOUND",IF(SUMPRODUCT(--(('ERP Snapshot'!$A$2:$A$101&amp;"")=(B99&amp;"")))&gt;1,"DUPLICATE PROJECT ID",IF(OR(SUMPRODUCT(--(('ERP Snapshot'!$A$2:$A$101&amp;"")=(B99&amp;"")),--('ERP Snapshot'!$Q$2:$Q$101=E99),--('ERP Snapshot'!$R$2:$R$101=F99))&lt;&gt;1,SUMPRODUCT(--('Commercial Catalogs'!$A$2:$A$10=E99),--('Commercial Catalogs'!$B$2:$B$10=F99),--('Commercial Catalogs'!$C$2:$C$10="YES"),--('Commercial Catalogs'!$D$2:$D$10="IN SCOPE"))=0,AND(E99="Strategic Services",F99&lt;&gt;"N/A"),AND(E99="Brands",F99="N/A")),"PROJECT CLASSIFICATION MISMATCH",IF(AND(G99="MXN",NOT(AND(ISNUMBER(I99),Settings!$B$8="APPROVED",Settings!$B$9&lt;&gt;"",Settings!$B$10&lt;&gt;""))),"FX HOLD","VALID"))))))))))))))))))</x:f>
      </x:c>
      <x:c r="M99" s="57" t="str">
        <x:f>IF(ISNUMBER(C99),IF(AND(ISNUMBER(C99),C99&gt;=2,C99&lt;=2958465,C99=INT(C99)),YEAR(C99)&amp;"-"&amp;IF(MONTH(C99)&lt;10,"0","")&amp;MONTH(C99),""),"")</x:f>
      </x:c>
      <x:c r="N99" s="59" t="str">
        <x:f>IF(L99="VALID",IF(G99="USD",H99,I99),"")</x:f>
      </x:c>
      <x:c r="O99" s="57" t="n">
        <x:f>IF(L99="VALID",IF(COUNTIFS($B$2:B99,B99,$M$2:M99,M99,$L$2:L99,"VALID")=1,1,0),0)</x:f>
        <x:v>0</x:v>
      </x:c>
    </x:row>
    <x:row r="100">
      <x:c r="A100" s="47"/>
      <x:c r="B100" s="47"/>
      <x:c r="C100" s="69"/>
      <x:c r="D100" s="47"/>
      <x:c r="E100" s="47"/>
      <x:c r="F100" s="47"/>
      <x:c r="G100" s="47"/>
      <x:c r="H100" s="48"/>
      <x:c r="I100" s="48"/>
      <x:c r="J100" s="47"/>
      <x:c r="K100" s="47"/>
      <x:c r="L100" s="57" t="str">
        <x:f>IF(COUNTA(A100:K100)=0,"",IF(K100="CANCELLED","CANCELLED",IF(A100="","INVOICE ID REQUIRED",IF(B100="","PROJECT ID REQUIRED",IF(NOT(ISNUMBER(C100)),"INVALID INVOICE DATE",IF(NOT(AND(ISNUMBER(C100),C100&gt;=2,C100&lt;=2958465,C100=INT(C100))),"INVALID INVOICE DATE",IF(NOT(OR(D100="MX",D100="US")),"ENTITY REQUIRED",IF(NOT(OR(E100="Strategic Services",E100="Brands")),"UNIT REQUIRED",IF(F100="","BRAND / N/A REQUIRED",IF(NOT(OR(G100="USD",G100="MXN")),"CURRENCY REQUIRED",IF(NOT(ISNUMBER(H100)),"AMOUNT REQUIRED",IF(J100="","ERP SOURCE REQUIRED",IF(NOT(OR(K100="ISSUED",K100="CANCELLED")),"INVOICE STATUS REQUIRED",IF(COUNTIFS($A$2:$A$501,A100,$B$2:$B$501,B100,$D$2:$D$501,D100)&gt;1,"DUPLICATE INVOICE / PROJECT",IF(SUMPRODUCT(--(('ERP Snapshot'!$A$2:$A$101&amp;"")=(B100&amp;"")))=0,"PROJECT NOT FOUND",IF(SUMPRODUCT(--(('ERP Snapshot'!$A$2:$A$101&amp;"")=(B100&amp;"")))&gt;1,"DUPLICATE PROJECT ID",IF(OR(SUMPRODUCT(--(('ERP Snapshot'!$A$2:$A$101&amp;"")=(B100&amp;"")),--('ERP Snapshot'!$Q$2:$Q$101=E100),--('ERP Snapshot'!$R$2:$R$101=F100))&lt;&gt;1,SUMPRODUCT(--('Commercial Catalogs'!$A$2:$A$10=E100),--('Commercial Catalogs'!$B$2:$B$10=F100),--('Commercial Catalogs'!$C$2:$C$10="YES"),--('Commercial Catalogs'!$D$2:$D$10="IN SCOPE"))=0,AND(E100="Strategic Services",F100&lt;&gt;"N/A"),AND(E100="Brands",F100="N/A")),"PROJECT CLASSIFICATION MISMATCH",IF(AND(G100="MXN",NOT(AND(ISNUMBER(I100),Settings!$B$8="APPROVED",Settings!$B$9&lt;&gt;"",Settings!$B$10&lt;&gt;""))),"FX HOLD","VALID"))))))))))))))))))</x:f>
      </x:c>
      <x:c r="M100" s="57" t="str">
        <x:f>IF(ISNUMBER(C100),IF(AND(ISNUMBER(C100),C100&gt;=2,C100&lt;=2958465,C100=INT(C100)),YEAR(C100)&amp;"-"&amp;IF(MONTH(C100)&lt;10,"0","")&amp;MONTH(C100),""),"")</x:f>
      </x:c>
      <x:c r="N100" s="59" t="str">
        <x:f>IF(L100="VALID",IF(G100="USD",H100,I100),"")</x:f>
      </x:c>
      <x:c r="O100" s="57" t="n">
        <x:f>IF(L100="VALID",IF(COUNTIFS($B$2:B100,B100,$M$2:M100,M100,$L$2:L100,"VALID")=1,1,0),0)</x:f>
        <x:v>0</x:v>
      </x:c>
    </x:row>
    <x:row r="101">
      <x:c r="A101" s="47"/>
      <x:c r="B101" s="47"/>
      <x:c r="C101" s="69"/>
      <x:c r="D101" s="47"/>
      <x:c r="E101" s="47"/>
      <x:c r="F101" s="47"/>
      <x:c r="G101" s="47"/>
      <x:c r="H101" s="48"/>
      <x:c r="I101" s="48"/>
      <x:c r="J101" s="47"/>
      <x:c r="K101" s="47"/>
      <x:c r="L101" s="57" t="str">
        <x:f>IF(COUNTA(A101:K101)=0,"",IF(K101="CANCELLED","CANCELLED",IF(A101="","INVOICE ID REQUIRED",IF(B101="","PROJECT ID REQUIRED",IF(NOT(ISNUMBER(C101)),"INVALID INVOICE DATE",IF(NOT(AND(ISNUMBER(C101),C101&gt;=2,C101&lt;=2958465,C101=INT(C101))),"INVALID INVOICE DATE",IF(NOT(OR(D101="MX",D101="US")),"ENTITY REQUIRED",IF(NOT(OR(E101="Strategic Services",E101="Brands")),"UNIT REQUIRED",IF(F101="","BRAND / N/A REQUIRED",IF(NOT(OR(G101="USD",G101="MXN")),"CURRENCY REQUIRED",IF(NOT(ISNUMBER(H101)),"AMOUNT REQUIRED",IF(J101="","ERP SOURCE REQUIRED",IF(NOT(OR(K101="ISSUED",K101="CANCELLED")),"INVOICE STATUS REQUIRED",IF(COUNTIFS($A$2:$A$501,A101,$B$2:$B$501,B101,$D$2:$D$501,D101)&gt;1,"DUPLICATE INVOICE / PROJECT",IF(SUMPRODUCT(--(('ERP Snapshot'!$A$2:$A$101&amp;"")=(B101&amp;"")))=0,"PROJECT NOT FOUND",IF(SUMPRODUCT(--(('ERP Snapshot'!$A$2:$A$101&amp;"")=(B101&amp;"")))&gt;1,"DUPLICATE PROJECT ID",IF(OR(SUMPRODUCT(--(('ERP Snapshot'!$A$2:$A$101&amp;"")=(B101&amp;"")),--('ERP Snapshot'!$Q$2:$Q$101=E101),--('ERP Snapshot'!$R$2:$R$101=F101))&lt;&gt;1,SUMPRODUCT(--('Commercial Catalogs'!$A$2:$A$10=E101),--('Commercial Catalogs'!$B$2:$B$10=F101),--('Commercial Catalogs'!$C$2:$C$10="YES"),--('Commercial Catalogs'!$D$2:$D$10="IN SCOPE"))=0,AND(E101="Strategic Services",F101&lt;&gt;"N/A"),AND(E101="Brands",F101="N/A")),"PROJECT CLASSIFICATION MISMATCH",IF(AND(G101="MXN",NOT(AND(ISNUMBER(I101),Settings!$B$8="APPROVED",Settings!$B$9&lt;&gt;"",Settings!$B$10&lt;&gt;""))),"FX HOLD","VALID"))))))))))))))))))</x:f>
      </x:c>
      <x:c r="M101" s="57" t="str">
        <x:f>IF(ISNUMBER(C101),IF(AND(ISNUMBER(C101),C101&gt;=2,C101&lt;=2958465,C101=INT(C101)),YEAR(C101)&amp;"-"&amp;IF(MONTH(C101)&lt;10,"0","")&amp;MONTH(C101),""),"")</x:f>
      </x:c>
      <x:c r="N101" s="59" t="str">
        <x:f>IF(L101="VALID",IF(G101="USD",H101,I101),"")</x:f>
      </x:c>
      <x:c r="O101" s="57" t="n">
        <x:f>IF(L101="VALID",IF(COUNTIFS($B$2:B101,B101,$M$2:M101,M101,$L$2:L101,"VALID")=1,1,0),0)</x:f>
        <x:v>0</x:v>
      </x:c>
    </x:row>
    <x:row r="102">
      <x:c r="A102" s="47"/>
      <x:c r="B102" s="47"/>
      <x:c r="C102" s="69"/>
      <x:c r="D102" s="47"/>
      <x:c r="E102" s="47"/>
      <x:c r="F102" s="47"/>
      <x:c r="G102" s="47"/>
      <x:c r="H102" s="48"/>
      <x:c r="I102" s="48"/>
      <x:c r="J102" s="47"/>
      <x:c r="K102" s="47"/>
      <x:c r="L102" s="57" t="str">
        <x:f>IF(COUNTA(A102:K102)=0,"",IF(K102="CANCELLED","CANCELLED",IF(A102="","INVOICE ID REQUIRED",IF(B102="","PROJECT ID REQUIRED",IF(NOT(ISNUMBER(C102)),"INVALID INVOICE DATE",IF(NOT(AND(ISNUMBER(C102),C102&gt;=2,C102&lt;=2958465,C102=INT(C102))),"INVALID INVOICE DATE",IF(NOT(OR(D102="MX",D102="US")),"ENTITY REQUIRED",IF(NOT(OR(E102="Strategic Services",E102="Brands")),"UNIT REQUIRED",IF(F102="","BRAND / N/A REQUIRED",IF(NOT(OR(G102="USD",G102="MXN")),"CURRENCY REQUIRED",IF(NOT(ISNUMBER(H102)),"AMOUNT REQUIRED",IF(J102="","ERP SOURCE REQUIRED",IF(NOT(OR(K102="ISSUED",K102="CANCELLED")),"INVOICE STATUS REQUIRED",IF(COUNTIFS($A$2:$A$501,A102,$B$2:$B$501,B102,$D$2:$D$501,D102)&gt;1,"DUPLICATE INVOICE / PROJECT",IF(SUMPRODUCT(--(('ERP Snapshot'!$A$2:$A$101&amp;"")=(B102&amp;"")))=0,"PROJECT NOT FOUND",IF(SUMPRODUCT(--(('ERP Snapshot'!$A$2:$A$101&amp;"")=(B102&amp;"")))&gt;1,"DUPLICATE PROJECT ID",IF(OR(SUMPRODUCT(--(('ERP Snapshot'!$A$2:$A$101&amp;"")=(B102&amp;"")),--('ERP Snapshot'!$Q$2:$Q$101=E102),--('ERP Snapshot'!$R$2:$R$101=F102))&lt;&gt;1,SUMPRODUCT(--('Commercial Catalogs'!$A$2:$A$10=E102),--('Commercial Catalogs'!$B$2:$B$10=F102),--('Commercial Catalogs'!$C$2:$C$10="YES"),--('Commercial Catalogs'!$D$2:$D$10="IN SCOPE"))=0,AND(E102="Strategic Services",F102&lt;&gt;"N/A"),AND(E102="Brands",F102="N/A")),"PROJECT CLASSIFICATION MISMATCH",IF(AND(G102="MXN",NOT(AND(ISNUMBER(I102),Settings!$B$8="APPROVED",Settings!$B$9&lt;&gt;"",Settings!$B$10&lt;&gt;""))),"FX HOLD","VALID"))))))))))))))))))</x:f>
      </x:c>
      <x:c r="M102" s="57" t="str">
        <x:f>IF(ISNUMBER(C102),IF(AND(ISNUMBER(C102),C102&gt;=2,C102&lt;=2958465,C102=INT(C102)),YEAR(C102)&amp;"-"&amp;IF(MONTH(C102)&lt;10,"0","")&amp;MONTH(C102),""),"")</x:f>
      </x:c>
      <x:c r="N102" s="59" t="str">
        <x:f>IF(L102="VALID",IF(G102="USD",H102,I102),"")</x:f>
      </x:c>
      <x:c r="O102" s="57" t="n">
        <x:f>IF(L102="VALID",IF(COUNTIFS($B$2:B102,B102,$M$2:M102,M102,$L$2:L102,"VALID")=1,1,0),0)</x:f>
        <x:v>0</x:v>
      </x:c>
    </x:row>
    <x:row r="103">
      <x:c r="A103" s="47"/>
      <x:c r="B103" s="47"/>
      <x:c r="C103" s="69"/>
      <x:c r="D103" s="47"/>
      <x:c r="E103" s="47"/>
      <x:c r="F103" s="47"/>
      <x:c r="G103" s="47"/>
      <x:c r="H103" s="48"/>
      <x:c r="I103" s="48"/>
      <x:c r="J103" s="47"/>
      <x:c r="K103" s="47"/>
      <x:c r="L103" s="57" t="str">
        <x:f>IF(COUNTA(A103:K103)=0,"",IF(K103="CANCELLED","CANCELLED",IF(A103="","INVOICE ID REQUIRED",IF(B103="","PROJECT ID REQUIRED",IF(NOT(ISNUMBER(C103)),"INVALID INVOICE DATE",IF(NOT(AND(ISNUMBER(C103),C103&gt;=2,C103&lt;=2958465,C103=INT(C103))),"INVALID INVOICE DATE",IF(NOT(OR(D103="MX",D103="US")),"ENTITY REQUIRED",IF(NOT(OR(E103="Strategic Services",E103="Brands")),"UNIT REQUIRED",IF(F103="","BRAND / N/A REQUIRED",IF(NOT(OR(G103="USD",G103="MXN")),"CURRENCY REQUIRED",IF(NOT(ISNUMBER(H103)),"AMOUNT REQUIRED",IF(J103="","ERP SOURCE REQUIRED",IF(NOT(OR(K103="ISSUED",K103="CANCELLED")),"INVOICE STATUS REQUIRED",IF(COUNTIFS($A$2:$A$501,A103,$B$2:$B$501,B103,$D$2:$D$501,D103)&gt;1,"DUPLICATE INVOICE / PROJECT",IF(SUMPRODUCT(--(('ERP Snapshot'!$A$2:$A$101&amp;"")=(B103&amp;"")))=0,"PROJECT NOT FOUND",IF(SUMPRODUCT(--(('ERP Snapshot'!$A$2:$A$101&amp;"")=(B103&amp;"")))&gt;1,"DUPLICATE PROJECT ID",IF(OR(SUMPRODUCT(--(('ERP Snapshot'!$A$2:$A$101&amp;"")=(B103&amp;"")),--('ERP Snapshot'!$Q$2:$Q$101=E103),--('ERP Snapshot'!$R$2:$R$101=F103))&lt;&gt;1,SUMPRODUCT(--('Commercial Catalogs'!$A$2:$A$10=E103),--('Commercial Catalogs'!$B$2:$B$10=F103),--('Commercial Catalogs'!$C$2:$C$10="YES"),--('Commercial Catalogs'!$D$2:$D$10="IN SCOPE"))=0,AND(E103="Strategic Services",F103&lt;&gt;"N/A"),AND(E103="Brands",F103="N/A")),"PROJECT CLASSIFICATION MISMATCH",IF(AND(G103="MXN",NOT(AND(ISNUMBER(I103),Settings!$B$8="APPROVED",Settings!$B$9&lt;&gt;"",Settings!$B$10&lt;&gt;""))),"FX HOLD","VALID"))))))))))))))))))</x:f>
      </x:c>
      <x:c r="M103" s="57" t="str">
        <x:f>IF(ISNUMBER(C103),IF(AND(ISNUMBER(C103),C103&gt;=2,C103&lt;=2958465,C103=INT(C103)),YEAR(C103)&amp;"-"&amp;IF(MONTH(C103)&lt;10,"0","")&amp;MONTH(C103),""),"")</x:f>
      </x:c>
      <x:c r="N103" s="59" t="str">
        <x:f>IF(L103="VALID",IF(G103="USD",H103,I103),"")</x:f>
      </x:c>
      <x:c r="O103" s="57" t="n">
        <x:f>IF(L103="VALID",IF(COUNTIFS($B$2:B103,B103,$M$2:M103,M103,$L$2:L103,"VALID")=1,1,0),0)</x:f>
        <x:v>0</x:v>
      </x:c>
    </x:row>
    <x:row r="104">
      <x:c r="A104" s="47"/>
      <x:c r="B104" s="47"/>
      <x:c r="C104" s="69"/>
      <x:c r="D104" s="47"/>
      <x:c r="E104" s="47"/>
      <x:c r="F104" s="47"/>
      <x:c r="G104" s="47"/>
      <x:c r="H104" s="48"/>
      <x:c r="I104" s="48"/>
      <x:c r="J104" s="47"/>
      <x:c r="K104" s="47"/>
      <x:c r="L104" s="57" t="str">
        <x:f>IF(COUNTA(A104:K104)=0,"",IF(K104="CANCELLED","CANCELLED",IF(A104="","INVOICE ID REQUIRED",IF(B104="","PROJECT ID REQUIRED",IF(NOT(ISNUMBER(C104)),"INVALID INVOICE DATE",IF(NOT(AND(ISNUMBER(C104),C104&gt;=2,C104&lt;=2958465,C104=INT(C104))),"INVALID INVOICE DATE",IF(NOT(OR(D104="MX",D104="US")),"ENTITY REQUIRED",IF(NOT(OR(E104="Strategic Services",E104="Brands")),"UNIT REQUIRED",IF(F104="","BRAND / N/A REQUIRED",IF(NOT(OR(G104="USD",G104="MXN")),"CURRENCY REQUIRED",IF(NOT(ISNUMBER(H104)),"AMOUNT REQUIRED",IF(J104="","ERP SOURCE REQUIRED",IF(NOT(OR(K104="ISSUED",K104="CANCELLED")),"INVOICE STATUS REQUIRED",IF(COUNTIFS($A$2:$A$501,A104,$B$2:$B$501,B104,$D$2:$D$501,D104)&gt;1,"DUPLICATE INVOICE / PROJECT",IF(SUMPRODUCT(--(('ERP Snapshot'!$A$2:$A$101&amp;"")=(B104&amp;"")))=0,"PROJECT NOT FOUND",IF(SUMPRODUCT(--(('ERP Snapshot'!$A$2:$A$101&amp;"")=(B104&amp;"")))&gt;1,"DUPLICATE PROJECT ID",IF(OR(SUMPRODUCT(--(('ERP Snapshot'!$A$2:$A$101&amp;"")=(B104&amp;"")),--('ERP Snapshot'!$Q$2:$Q$101=E104),--('ERP Snapshot'!$R$2:$R$101=F104))&lt;&gt;1,SUMPRODUCT(--('Commercial Catalogs'!$A$2:$A$10=E104),--('Commercial Catalogs'!$B$2:$B$10=F104),--('Commercial Catalogs'!$C$2:$C$10="YES"),--('Commercial Catalogs'!$D$2:$D$10="IN SCOPE"))=0,AND(E104="Strategic Services",F104&lt;&gt;"N/A"),AND(E104="Brands",F104="N/A")),"PROJECT CLASSIFICATION MISMATCH",IF(AND(G104="MXN",NOT(AND(ISNUMBER(I104),Settings!$B$8="APPROVED",Settings!$B$9&lt;&gt;"",Settings!$B$10&lt;&gt;""))),"FX HOLD","VALID"))))))))))))))))))</x:f>
      </x:c>
      <x:c r="M104" s="57" t="str">
        <x:f>IF(ISNUMBER(C104),IF(AND(ISNUMBER(C104),C104&gt;=2,C104&lt;=2958465,C104=INT(C104)),YEAR(C104)&amp;"-"&amp;IF(MONTH(C104)&lt;10,"0","")&amp;MONTH(C104),""),"")</x:f>
      </x:c>
      <x:c r="N104" s="59" t="str">
        <x:f>IF(L104="VALID",IF(G104="USD",H104,I104),"")</x:f>
      </x:c>
      <x:c r="O104" s="57" t="n">
        <x:f>IF(L104="VALID",IF(COUNTIFS($B$2:B104,B104,$M$2:M104,M104,$L$2:L104,"VALID")=1,1,0),0)</x:f>
        <x:v>0</x:v>
      </x:c>
    </x:row>
    <x:row r="105">
      <x:c r="A105" s="47"/>
      <x:c r="B105" s="47"/>
      <x:c r="C105" s="69"/>
      <x:c r="D105" s="47"/>
      <x:c r="E105" s="47"/>
      <x:c r="F105" s="47"/>
      <x:c r="G105" s="47"/>
      <x:c r="H105" s="48"/>
      <x:c r="I105" s="48"/>
      <x:c r="J105" s="47"/>
      <x:c r="K105" s="47"/>
      <x:c r="L105" s="57" t="str">
        <x:f>IF(COUNTA(A105:K105)=0,"",IF(K105="CANCELLED","CANCELLED",IF(A105="","INVOICE ID REQUIRED",IF(B105="","PROJECT ID REQUIRED",IF(NOT(ISNUMBER(C105)),"INVALID INVOICE DATE",IF(NOT(AND(ISNUMBER(C105),C105&gt;=2,C105&lt;=2958465,C105=INT(C105))),"INVALID INVOICE DATE",IF(NOT(OR(D105="MX",D105="US")),"ENTITY REQUIRED",IF(NOT(OR(E105="Strategic Services",E105="Brands")),"UNIT REQUIRED",IF(F105="","BRAND / N/A REQUIRED",IF(NOT(OR(G105="USD",G105="MXN")),"CURRENCY REQUIRED",IF(NOT(ISNUMBER(H105)),"AMOUNT REQUIRED",IF(J105="","ERP SOURCE REQUIRED",IF(NOT(OR(K105="ISSUED",K105="CANCELLED")),"INVOICE STATUS REQUIRED",IF(COUNTIFS($A$2:$A$501,A105,$B$2:$B$501,B105,$D$2:$D$501,D105)&gt;1,"DUPLICATE INVOICE / PROJECT",IF(SUMPRODUCT(--(('ERP Snapshot'!$A$2:$A$101&amp;"")=(B105&amp;"")))=0,"PROJECT NOT FOUND",IF(SUMPRODUCT(--(('ERP Snapshot'!$A$2:$A$101&amp;"")=(B105&amp;"")))&gt;1,"DUPLICATE PROJECT ID",IF(OR(SUMPRODUCT(--(('ERP Snapshot'!$A$2:$A$101&amp;"")=(B105&amp;"")),--('ERP Snapshot'!$Q$2:$Q$101=E105),--('ERP Snapshot'!$R$2:$R$101=F105))&lt;&gt;1,SUMPRODUCT(--('Commercial Catalogs'!$A$2:$A$10=E105),--('Commercial Catalogs'!$B$2:$B$10=F105),--('Commercial Catalogs'!$C$2:$C$10="YES"),--('Commercial Catalogs'!$D$2:$D$10="IN SCOPE"))=0,AND(E105="Strategic Services",F105&lt;&gt;"N/A"),AND(E105="Brands",F105="N/A")),"PROJECT CLASSIFICATION MISMATCH",IF(AND(G105="MXN",NOT(AND(ISNUMBER(I105),Settings!$B$8="APPROVED",Settings!$B$9&lt;&gt;"",Settings!$B$10&lt;&gt;""))),"FX HOLD","VALID"))))))))))))))))))</x:f>
      </x:c>
      <x:c r="M105" s="57" t="str">
        <x:f>IF(ISNUMBER(C105),IF(AND(ISNUMBER(C105),C105&gt;=2,C105&lt;=2958465,C105=INT(C105)),YEAR(C105)&amp;"-"&amp;IF(MONTH(C105)&lt;10,"0","")&amp;MONTH(C105),""),"")</x:f>
      </x:c>
      <x:c r="N105" s="59" t="str">
        <x:f>IF(L105="VALID",IF(G105="USD",H105,I105),"")</x:f>
      </x:c>
      <x:c r="O105" s="57" t="n">
        <x:f>IF(L105="VALID",IF(COUNTIFS($B$2:B105,B105,$M$2:M105,M105,$L$2:L105,"VALID")=1,1,0),0)</x:f>
        <x:v>0</x:v>
      </x:c>
    </x:row>
    <x:row r="106">
      <x:c r="A106" s="47"/>
      <x:c r="B106" s="47"/>
      <x:c r="C106" s="69"/>
      <x:c r="D106" s="47"/>
      <x:c r="E106" s="47"/>
      <x:c r="F106" s="47"/>
      <x:c r="G106" s="47"/>
      <x:c r="H106" s="48"/>
      <x:c r="I106" s="48"/>
      <x:c r="J106" s="47"/>
      <x:c r="K106" s="47"/>
      <x:c r="L106" s="57" t="str">
        <x:f>IF(COUNTA(A106:K106)=0,"",IF(K106="CANCELLED","CANCELLED",IF(A106="","INVOICE ID REQUIRED",IF(B106="","PROJECT ID REQUIRED",IF(NOT(ISNUMBER(C106)),"INVALID INVOICE DATE",IF(NOT(AND(ISNUMBER(C106),C106&gt;=2,C106&lt;=2958465,C106=INT(C106))),"INVALID INVOICE DATE",IF(NOT(OR(D106="MX",D106="US")),"ENTITY REQUIRED",IF(NOT(OR(E106="Strategic Services",E106="Brands")),"UNIT REQUIRED",IF(F106="","BRAND / N/A REQUIRED",IF(NOT(OR(G106="USD",G106="MXN")),"CURRENCY REQUIRED",IF(NOT(ISNUMBER(H106)),"AMOUNT REQUIRED",IF(J106="","ERP SOURCE REQUIRED",IF(NOT(OR(K106="ISSUED",K106="CANCELLED")),"INVOICE STATUS REQUIRED",IF(COUNTIFS($A$2:$A$501,A106,$B$2:$B$501,B106,$D$2:$D$501,D106)&gt;1,"DUPLICATE INVOICE / PROJECT",IF(SUMPRODUCT(--(('ERP Snapshot'!$A$2:$A$101&amp;"")=(B106&amp;"")))=0,"PROJECT NOT FOUND",IF(SUMPRODUCT(--(('ERP Snapshot'!$A$2:$A$101&amp;"")=(B106&amp;"")))&gt;1,"DUPLICATE PROJECT ID",IF(OR(SUMPRODUCT(--(('ERP Snapshot'!$A$2:$A$101&amp;"")=(B106&amp;"")),--('ERP Snapshot'!$Q$2:$Q$101=E106),--('ERP Snapshot'!$R$2:$R$101=F106))&lt;&gt;1,SUMPRODUCT(--('Commercial Catalogs'!$A$2:$A$10=E106),--('Commercial Catalogs'!$B$2:$B$10=F106),--('Commercial Catalogs'!$C$2:$C$10="YES"),--('Commercial Catalogs'!$D$2:$D$10="IN SCOPE"))=0,AND(E106="Strategic Services",F106&lt;&gt;"N/A"),AND(E106="Brands",F106="N/A")),"PROJECT CLASSIFICATION MISMATCH",IF(AND(G106="MXN",NOT(AND(ISNUMBER(I106),Settings!$B$8="APPROVED",Settings!$B$9&lt;&gt;"",Settings!$B$10&lt;&gt;""))),"FX HOLD","VALID"))))))))))))))))))</x:f>
      </x:c>
      <x:c r="M106" s="57" t="str">
        <x:f>IF(ISNUMBER(C106),IF(AND(ISNUMBER(C106),C106&gt;=2,C106&lt;=2958465,C106=INT(C106)),YEAR(C106)&amp;"-"&amp;IF(MONTH(C106)&lt;10,"0","")&amp;MONTH(C106),""),"")</x:f>
      </x:c>
      <x:c r="N106" s="59" t="str">
        <x:f>IF(L106="VALID",IF(G106="USD",H106,I106),"")</x:f>
      </x:c>
      <x:c r="O106" s="57" t="n">
        <x:f>IF(L106="VALID",IF(COUNTIFS($B$2:B106,B106,$M$2:M106,M106,$L$2:L106,"VALID")=1,1,0),0)</x:f>
        <x:v>0</x:v>
      </x:c>
    </x:row>
    <x:row r="107">
      <x:c r="A107" s="47"/>
      <x:c r="B107" s="47"/>
      <x:c r="C107" s="69"/>
      <x:c r="D107" s="47"/>
      <x:c r="E107" s="47"/>
      <x:c r="F107" s="47"/>
      <x:c r="G107" s="47"/>
      <x:c r="H107" s="48"/>
      <x:c r="I107" s="48"/>
      <x:c r="J107" s="47"/>
      <x:c r="K107" s="47"/>
      <x:c r="L107" s="57" t="str">
        <x:f>IF(COUNTA(A107:K107)=0,"",IF(K107="CANCELLED","CANCELLED",IF(A107="","INVOICE ID REQUIRED",IF(B107="","PROJECT ID REQUIRED",IF(NOT(ISNUMBER(C107)),"INVALID INVOICE DATE",IF(NOT(AND(ISNUMBER(C107),C107&gt;=2,C107&lt;=2958465,C107=INT(C107))),"INVALID INVOICE DATE",IF(NOT(OR(D107="MX",D107="US")),"ENTITY REQUIRED",IF(NOT(OR(E107="Strategic Services",E107="Brands")),"UNIT REQUIRED",IF(F107="","BRAND / N/A REQUIRED",IF(NOT(OR(G107="USD",G107="MXN")),"CURRENCY REQUIRED",IF(NOT(ISNUMBER(H107)),"AMOUNT REQUIRED",IF(J107="","ERP SOURCE REQUIRED",IF(NOT(OR(K107="ISSUED",K107="CANCELLED")),"INVOICE STATUS REQUIRED",IF(COUNTIFS($A$2:$A$501,A107,$B$2:$B$501,B107,$D$2:$D$501,D107)&gt;1,"DUPLICATE INVOICE / PROJECT",IF(SUMPRODUCT(--(('ERP Snapshot'!$A$2:$A$101&amp;"")=(B107&amp;"")))=0,"PROJECT NOT FOUND",IF(SUMPRODUCT(--(('ERP Snapshot'!$A$2:$A$101&amp;"")=(B107&amp;"")))&gt;1,"DUPLICATE PROJECT ID",IF(OR(SUMPRODUCT(--(('ERP Snapshot'!$A$2:$A$101&amp;"")=(B107&amp;"")),--('ERP Snapshot'!$Q$2:$Q$101=E107),--('ERP Snapshot'!$R$2:$R$101=F107))&lt;&gt;1,SUMPRODUCT(--('Commercial Catalogs'!$A$2:$A$10=E107),--('Commercial Catalogs'!$B$2:$B$10=F107),--('Commercial Catalogs'!$C$2:$C$10="YES"),--('Commercial Catalogs'!$D$2:$D$10="IN SCOPE"))=0,AND(E107="Strategic Services",F107&lt;&gt;"N/A"),AND(E107="Brands",F107="N/A")),"PROJECT CLASSIFICATION MISMATCH",IF(AND(G107="MXN",NOT(AND(ISNUMBER(I107),Settings!$B$8="APPROVED",Settings!$B$9&lt;&gt;"",Settings!$B$10&lt;&gt;""))),"FX HOLD","VALID"))))))))))))))))))</x:f>
      </x:c>
      <x:c r="M107" s="57" t="str">
        <x:f>IF(ISNUMBER(C107),IF(AND(ISNUMBER(C107),C107&gt;=2,C107&lt;=2958465,C107=INT(C107)),YEAR(C107)&amp;"-"&amp;IF(MONTH(C107)&lt;10,"0","")&amp;MONTH(C107),""),"")</x:f>
      </x:c>
      <x:c r="N107" s="59" t="str">
        <x:f>IF(L107="VALID",IF(G107="USD",H107,I107),"")</x:f>
      </x:c>
      <x:c r="O107" s="57" t="n">
        <x:f>IF(L107="VALID",IF(COUNTIFS($B$2:B107,B107,$M$2:M107,M107,$L$2:L107,"VALID")=1,1,0),0)</x:f>
        <x:v>0</x:v>
      </x:c>
    </x:row>
    <x:row r="108">
      <x:c r="A108" s="47"/>
      <x:c r="B108" s="47"/>
      <x:c r="C108" s="69"/>
      <x:c r="D108" s="47"/>
      <x:c r="E108" s="47"/>
      <x:c r="F108" s="47"/>
      <x:c r="G108" s="47"/>
      <x:c r="H108" s="48"/>
      <x:c r="I108" s="48"/>
      <x:c r="J108" s="47"/>
      <x:c r="K108" s="47"/>
      <x:c r="L108" s="57" t="str">
        <x:f>IF(COUNTA(A108:K108)=0,"",IF(K108="CANCELLED","CANCELLED",IF(A108="","INVOICE ID REQUIRED",IF(B108="","PROJECT ID REQUIRED",IF(NOT(ISNUMBER(C108)),"INVALID INVOICE DATE",IF(NOT(AND(ISNUMBER(C108),C108&gt;=2,C108&lt;=2958465,C108=INT(C108))),"INVALID INVOICE DATE",IF(NOT(OR(D108="MX",D108="US")),"ENTITY REQUIRED",IF(NOT(OR(E108="Strategic Services",E108="Brands")),"UNIT REQUIRED",IF(F108="","BRAND / N/A REQUIRED",IF(NOT(OR(G108="USD",G108="MXN")),"CURRENCY REQUIRED",IF(NOT(ISNUMBER(H108)),"AMOUNT REQUIRED",IF(J108="","ERP SOURCE REQUIRED",IF(NOT(OR(K108="ISSUED",K108="CANCELLED")),"INVOICE STATUS REQUIRED",IF(COUNTIFS($A$2:$A$501,A108,$B$2:$B$501,B108,$D$2:$D$501,D108)&gt;1,"DUPLICATE INVOICE / PROJECT",IF(SUMPRODUCT(--(('ERP Snapshot'!$A$2:$A$101&amp;"")=(B108&amp;"")))=0,"PROJECT NOT FOUND",IF(SUMPRODUCT(--(('ERP Snapshot'!$A$2:$A$101&amp;"")=(B108&amp;"")))&gt;1,"DUPLICATE PROJECT ID",IF(OR(SUMPRODUCT(--(('ERP Snapshot'!$A$2:$A$101&amp;"")=(B108&amp;"")),--('ERP Snapshot'!$Q$2:$Q$101=E108),--('ERP Snapshot'!$R$2:$R$101=F108))&lt;&gt;1,SUMPRODUCT(--('Commercial Catalogs'!$A$2:$A$10=E108),--('Commercial Catalogs'!$B$2:$B$10=F108),--('Commercial Catalogs'!$C$2:$C$10="YES"),--('Commercial Catalogs'!$D$2:$D$10="IN SCOPE"))=0,AND(E108="Strategic Services",F108&lt;&gt;"N/A"),AND(E108="Brands",F108="N/A")),"PROJECT CLASSIFICATION MISMATCH",IF(AND(G108="MXN",NOT(AND(ISNUMBER(I108),Settings!$B$8="APPROVED",Settings!$B$9&lt;&gt;"",Settings!$B$10&lt;&gt;""))),"FX HOLD","VALID"))))))))))))))))))</x:f>
      </x:c>
      <x:c r="M108" s="57" t="str">
        <x:f>IF(ISNUMBER(C108),IF(AND(ISNUMBER(C108),C108&gt;=2,C108&lt;=2958465,C108=INT(C108)),YEAR(C108)&amp;"-"&amp;IF(MONTH(C108)&lt;10,"0","")&amp;MONTH(C108),""),"")</x:f>
      </x:c>
      <x:c r="N108" s="59" t="str">
        <x:f>IF(L108="VALID",IF(G108="USD",H108,I108),"")</x:f>
      </x:c>
      <x:c r="O108" s="57" t="n">
        <x:f>IF(L108="VALID",IF(COUNTIFS($B$2:B108,B108,$M$2:M108,M108,$L$2:L108,"VALID")=1,1,0),0)</x:f>
        <x:v>0</x:v>
      </x:c>
    </x:row>
    <x:row r="109">
      <x:c r="A109" s="47"/>
      <x:c r="B109" s="47"/>
      <x:c r="C109" s="69"/>
      <x:c r="D109" s="47"/>
      <x:c r="E109" s="47"/>
      <x:c r="F109" s="47"/>
      <x:c r="G109" s="47"/>
      <x:c r="H109" s="48"/>
      <x:c r="I109" s="48"/>
      <x:c r="J109" s="47"/>
      <x:c r="K109" s="47"/>
      <x:c r="L109" s="57" t="str">
        <x:f>IF(COUNTA(A109:K109)=0,"",IF(K109="CANCELLED","CANCELLED",IF(A109="","INVOICE ID REQUIRED",IF(B109="","PROJECT ID REQUIRED",IF(NOT(ISNUMBER(C109)),"INVALID INVOICE DATE",IF(NOT(AND(ISNUMBER(C109),C109&gt;=2,C109&lt;=2958465,C109=INT(C109))),"INVALID INVOICE DATE",IF(NOT(OR(D109="MX",D109="US")),"ENTITY REQUIRED",IF(NOT(OR(E109="Strategic Services",E109="Brands")),"UNIT REQUIRED",IF(F109="","BRAND / N/A REQUIRED",IF(NOT(OR(G109="USD",G109="MXN")),"CURRENCY REQUIRED",IF(NOT(ISNUMBER(H109)),"AMOUNT REQUIRED",IF(J109="","ERP SOURCE REQUIRED",IF(NOT(OR(K109="ISSUED",K109="CANCELLED")),"INVOICE STATUS REQUIRED",IF(COUNTIFS($A$2:$A$501,A109,$B$2:$B$501,B109,$D$2:$D$501,D109)&gt;1,"DUPLICATE INVOICE / PROJECT",IF(SUMPRODUCT(--(('ERP Snapshot'!$A$2:$A$101&amp;"")=(B109&amp;"")))=0,"PROJECT NOT FOUND",IF(SUMPRODUCT(--(('ERP Snapshot'!$A$2:$A$101&amp;"")=(B109&amp;"")))&gt;1,"DUPLICATE PROJECT ID",IF(OR(SUMPRODUCT(--(('ERP Snapshot'!$A$2:$A$101&amp;"")=(B109&amp;"")),--('ERP Snapshot'!$Q$2:$Q$101=E109),--('ERP Snapshot'!$R$2:$R$101=F109))&lt;&gt;1,SUMPRODUCT(--('Commercial Catalogs'!$A$2:$A$10=E109),--('Commercial Catalogs'!$B$2:$B$10=F109),--('Commercial Catalogs'!$C$2:$C$10="YES"),--('Commercial Catalogs'!$D$2:$D$10="IN SCOPE"))=0,AND(E109="Strategic Services",F109&lt;&gt;"N/A"),AND(E109="Brands",F109="N/A")),"PROJECT CLASSIFICATION MISMATCH",IF(AND(G109="MXN",NOT(AND(ISNUMBER(I109),Settings!$B$8="APPROVED",Settings!$B$9&lt;&gt;"",Settings!$B$10&lt;&gt;""))),"FX HOLD","VALID"))))))))))))))))))</x:f>
      </x:c>
      <x:c r="M109" s="57" t="str">
        <x:f>IF(ISNUMBER(C109),IF(AND(ISNUMBER(C109),C109&gt;=2,C109&lt;=2958465,C109=INT(C109)),YEAR(C109)&amp;"-"&amp;IF(MONTH(C109)&lt;10,"0","")&amp;MONTH(C109),""),"")</x:f>
      </x:c>
      <x:c r="N109" s="59" t="str">
        <x:f>IF(L109="VALID",IF(G109="USD",H109,I109),"")</x:f>
      </x:c>
      <x:c r="O109" s="57" t="n">
        <x:f>IF(L109="VALID",IF(COUNTIFS($B$2:B109,B109,$M$2:M109,M109,$L$2:L109,"VALID")=1,1,0),0)</x:f>
        <x:v>0</x:v>
      </x:c>
    </x:row>
    <x:row r="110">
      <x:c r="A110" s="47"/>
      <x:c r="B110" s="47"/>
      <x:c r="C110" s="69"/>
      <x:c r="D110" s="47"/>
      <x:c r="E110" s="47"/>
      <x:c r="F110" s="47"/>
      <x:c r="G110" s="47"/>
      <x:c r="H110" s="48"/>
      <x:c r="I110" s="48"/>
      <x:c r="J110" s="47"/>
      <x:c r="K110" s="47"/>
      <x:c r="L110" s="57" t="str">
        <x:f>IF(COUNTA(A110:K110)=0,"",IF(K110="CANCELLED","CANCELLED",IF(A110="","INVOICE ID REQUIRED",IF(B110="","PROJECT ID REQUIRED",IF(NOT(ISNUMBER(C110)),"INVALID INVOICE DATE",IF(NOT(AND(ISNUMBER(C110),C110&gt;=2,C110&lt;=2958465,C110=INT(C110))),"INVALID INVOICE DATE",IF(NOT(OR(D110="MX",D110="US")),"ENTITY REQUIRED",IF(NOT(OR(E110="Strategic Services",E110="Brands")),"UNIT REQUIRED",IF(F110="","BRAND / N/A REQUIRED",IF(NOT(OR(G110="USD",G110="MXN")),"CURRENCY REQUIRED",IF(NOT(ISNUMBER(H110)),"AMOUNT REQUIRED",IF(J110="","ERP SOURCE REQUIRED",IF(NOT(OR(K110="ISSUED",K110="CANCELLED")),"INVOICE STATUS REQUIRED",IF(COUNTIFS($A$2:$A$501,A110,$B$2:$B$501,B110,$D$2:$D$501,D110)&gt;1,"DUPLICATE INVOICE / PROJECT",IF(SUMPRODUCT(--(('ERP Snapshot'!$A$2:$A$101&amp;"")=(B110&amp;"")))=0,"PROJECT NOT FOUND",IF(SUMPRODUCT(--(('ERP Snapshot'!$A$2:$A$101&amp;"")=(B110&amp;"")))&gt;1,"DUPLICATE PROJECT ID",IF(OR(SUMPRODUCT(--(('ERP Snapshot'!$A$2:$A$101&amp;"")=(B110&amp;"")),--('ERP Snapshot'!$Q$2:$Q$101=E110),--('ERP Snapshot'!$R$2:$R$101=F110))&lt;&gt;1,SUMPRODUCT(--('Commercial Catalogs'!$A$2:$A$10=E110),--('Commercial Catalogs'!$B$2:$B$10=F110),--('Commercial Catalogs'!$C$2:$C$10="YES"),--('Commercial Catalogs'!$D$2:$D$10="IN SCOPE"))=0,AND(E110="Strategic Services",F110&lt;&gt;"N/A"),AND(E110="Brands",F110="N/A")),"PROJECT CLASSIFICATION MISMATCH",IF(AND(G110="MXN",NOT(AND(ISNUMBER(I110),Settings!$B$8="APPROVED",Settings!$B$9&lt;&gt;"",Settings!$B$10&lt;&gt;""))),"FX HOLD","VALID"))))))))))))))))))</x:f>
      </x:c>
      <x:c r="M110" s="57" t="str">
        <x:f>IF(ISNUMBER(C110),IF(AND(ISNUMBER(C110),C110&gt;=2,C110&lt;=2958465,C110=INT(C110)),YEAR(C110)&amp;"-"&amp;IF(MONTH(C110)&lt;10,"0","")&amp;MONTH(C110),""),"")</x:f>
      </x:c>
      <x:c r="N110" s="59" t="str">
        <x:f>IF(L110="VALID",IF(G110="USD",H110,I110),"")</x:f>
      </x:c>
      <x:c r="O110" s="57" t="n">
        <x:f>IF(L110="VALID",IF(COUNTIFS($B$2:B110,B110,$M$2:M110,M110,$L$2:L110,"VALID")=1,1,0),0)</x:f>
        <x:v>0</x:v>
      </x:c>
    </x:row>
    <x:row r="111">
      <x:c r="A111" s="47"/>
      <x:c r="B111" s="47"/>
      <x:c r="C111" s="69"/>
      <x:c r="D111" s="47"/>
      <x:c r="E111" s="47"/>
      <x:c r="F111" s="47"/>
      <x:c r="G111" s="47"/>
      <x:c r="H111" s="48"/>
      <x:c r="I111" s="48"/>
      <x:c r="J111" s="47"/>
      <x:c r="K111" s="47"/>
      <x:c r="L111" s="57" t="str">
        <x:f>IF(COUNTA(A111:K111)=0,"",IF(K111="CANCELLED","CANCELLED",IF(A111="","INVOICE ID REQUIRED",IF(B111="","PROJECT ID REQUIRED",IF(NOT(ISNUMBER(C111)),"INVALID INVOICE DATE",IF(NOT(AND(ISNUMBER(C111),C111&gt;=2,C111&lt;=2958465,C111=INT(C111))),"INVALID INVOICE DATE",IF(NOT(OR(D111="MX",D111="US")),"ENTITY REQUIRED",IF(NOT(OR(E111="Strategic Services",E111="Brands")),"UNIT REQUIRED",IF(F111="","BRAND / N/A REQUIRED",IF(NOT(OR(G111="USD",G111="MXN")),"CURRENCY REQUIRED",IF(NOT(ISNUMBER(H111)),"AMOUNT REQUIRED",IF(J111="","ERP SOURCE REQUIRED",IF(NOT(OR(K111="ISSUED",K111="CANCELLED")),"INVOICE STATUS REQUIRED",IF(COUNTIFS($A$2:$A$501,A111,$B$2:$B$501,B111,$D$2:$D$501,D111)&gt;1,"DUPLICATE INVOICE / PROJECT",IF(SUMPRODUCT(--(('ERP Snapshot'!$A$2:$A$101&amp;"")=(B111&amp;"")))=0,"PROJECT NOT FOUND",IF(SUMPRODUCT(--(('ERP Snapshot'!$A$2:$A$101&amp;"")=(B111&amp;"")))&gt;1,"DUPLICATE PROJECT ID",IF(OR(SUMPRODUCT(--(('ERP Snapshot'!$A$2:$A$101&amp;"")=(B111&amp;"")),--('ERP Snapshot'!$Q$2:$Q$101=E111),--('ERP Snapshot'!$R$2:$R$101=F111))&lt;&gt;1,SUMPRODUCT(--('Commercial Catalogs'!$A$2:$A$10=E111),--('Commercial Catalogs'!$B$2:$B$10=F111),--('Commercial Catalogs'!$C$2:$C$10="YES"),--('Commercial Catalogs'!$D$2:$D$10="IN SCOPE"))=0,AND(E111="Strategic Services",F111&lt;&gt;"N/A"),AND(E111="Brands",F111="N/A")),"PROJECT CLASSIFICATION MISMATCH",IF(AND(G111="MXN",NOT(AND(ISNUMBER(I111),Settings!$B$8="APPROVED",Settings!$B$9&lt;&gt;"",Settings!$B$10&lt;&gt;""))),"FX HOLD","VALID"))))))))))))))))))</x:f>
      </x:c>
      <x:c r="M111" s="57" t="str">
        <x:f>IF(ISNUMBER(C111),IF(AND(ISNUMBER(C111),C111&gt;=2,C111&lt;=2958465,C111=INT(C111)),YEAR(C111)&amp;"-"&amp;IF(MONTH(C111)&lt;10,"0","")&amp;MONTH(C111),""),"")</x:f>
      </x:c>
      <x:c r="N111" s="59" t="str">
        <x:f>IF(L111="VALID",IF(G111="USD",H111,I111),"")</x:f>
      </x:c>
      <x:c r="O111" s="57" t="n">
        <x:f>IF(L111="VALID",IF(COUNTIFS($B$2:B111,B111,$M$2:M111,M111,$L$2:L111,"VALID")=1,1,0),0)</x:f>
        <x:v>0</x:v>
      </x:c>
    </x:row>
    <x:row r="112">
      <x:c r="A112" s="47"/>
      <x:c r="B112" s="47"/>
      <x:c r="C112" s="69"/>
      <x:c r="D112" s="47"/>
      <x:c r="E112" s="47"/>
      <x:c r="F112" s="47"/>
      <x:c r="G112" s="47"/>
      <x:c r="H112" s="48"/>
      <x:c r="I112" s="48"/>
      <x:c r="J112" s="47"/>
      <x:c r="K112" s="47"/>
      <x:c r="L112" s="57" t="str">
        <x:f>IF(COUNTA(A112:K112)=0,"",IF(K112="CANCELLED","CANCELLED",IF(A112="","INVOICE ID REQUIRED",IF(B112="","PROJECT ID REQUIRED",IF(NOT(ISNUMBER(C112)),"INVALID INVOICE DATE",IF(NOT(AND(ISNUMBER(C112),C112&gt;=2,C112&lt;=2958465,C112=INT(C112))),"INVALID INVOICE DATE",IF(NOT(OR(D112="MX",D112="US")),"ENTITY REQUIRED",IF(NOT(OR(E112="Strategic Services",E112="Brands")),"UNIT REQUIRED",IF(F112="","BRAND / N/A REQUIRED",IF(NOT(OR(G112="USD",G112="MXN")),"CURRENCY REQUIRED",IF(NOT(ISNUMBER(H112)),"AMOUNT REQUIRED",IF(J112="","ERP SOURCE REQUIRED",IF(NOT(OR(K112="ISSUED",K112="CANCELLED")),"INVOICE STATUS REQUIRED",IF(COUNTIFS($A$2:$A$501,A112,$B$2:$B$501,B112,$D$2:$D$501,D112)&gt;1,"DUPLICATE INVOICE / PROJECT",IF(SUMPRODUCT(--(('ERP Snapshot'!$A$2:$A$101&amp;"")=(B112&amp;"")))=0,"PROJECT NOT FOUND",IF(SUMPRODUCT(--(('ERP Snapshot'!$A$2:$A$101&amp;"")=(B112&amp;"")))&gt;1,"DUPLICATE PROJECT ID",IF(OR(SUMPRODUCT(--(('ERP Snapshot'!$A$2:$A$101&amp;"")=(B112&amp;"")),--('ERP Snapshot'!$Q$2:$Q$101=E112),--('ERP Snapshot'!$R$2:$R$101=F112))&lt;&gt;1,SUMPRODUCT(--('Commercial Catalogs'!$A$2:$A$10=E112),--('Commercial Catalogs'!$B$2:$B$10=F112),--('Commercial Catalogs'!$C$2:$C$10="YES"),--('Commercial Catalogs'!$D$2:$D$10="IN SCOPE"))=0,AND(E112="Strategic Services",F112&lt;&gt;"N/A"),AND(E112="Brands",F112="N/A")),"PROJECT CLASSIFICATION MISMATCH",IF(AND(G112="MXN",NOT(AND(ISNUMBER(I112),Settings!$B$8="APPROVED",Settings!$B$9&lt;&gt;"",Settings!$B$10&lt;&gt;""))),"FX HOLD","VALID"))))))))))))))))))</x:f>
      </x:c>
      <x:c r="M112" s="57" t="str">
        <x:f>IF(ISNUMBER(C112),IF(AND(ISNUMBER(C112),C112&gt;=2,C112&lt;=2958465,C112=INT(C112)),YEAR(C112)&amp;"-"&amp;IF(MONTH(C112)&lt;10,"0","")&amp;MONTH(C112),""),"")</x:f>
      </x:c>
      <x:c r="N112" s="59" t="str">
        <x:f>IF(L112="VALID",IF(G112="USD",H112,I112),"")</x:f>
      </x:c>
      <x:c r="O112" s="57" t="n">
        <x:f>IF(L112="VALID",IF(COUNTIFS($B$2:B112,B112,$M$2:M112,M112,$L$2:L112,"VALID")=1,1,0),0)</x:f>
        <x:v>0</x:v>
      </x:c>
    </x:row>
    <x:row r="113">
      <x:c r="A113" s="47"/>
      <x:c r="B113" s="47"/>
      <x:c r="C113" s="69"/>
      <x:c r="D113" s="47"/>
      <x:c r="E113" s="47"/>
      <x:c r="F113" s="47"/>
      <x:c r="G113" s="47"/>
      <x:c r="H113" s="48"/>
      <x:c r="I113" s="48"/>
      <x:c r="J113" s="47"/>
      <x:c r="K113" s="47"/>
      <x:c r="L113" s="57" t="str">
        <x:f>IF(COUNTA(A113:K113)=0,"",IF(K113="CANCELLED","CANCELLED",IF(A113="","INVOICE ID REQUIRED",IF(B113="","PROJECT ID REQUIRED",IF(NOT(ISNUMBER(C113)),"INVALID INVOICE DATE",IF(NOT(AND(ISNUMBER(C113),C113&gt;=2,C113&lt;=2958465,C113=INT(C113))),"INVALID INVOICE DATE",IF(NOT(OR(D113="MX",D113="US")),"ENTITY REQUIRED",IF(NOT(OR(E113="Strategic Services",E113="Brands")),"UNIT REQUIRED",IF(F113="","BRAND / N/A REQUIRED",IF(NOT(OR(G113="USD",G113="MXN")),"CURRENCY REQUIRED",IF(NOT(ISNUMBER(H113)),"AMOUNT REQUIRED",IF(J113="","ERP SOURCE REQUIRED",IF(NOT(OR(K113="ISSUED",K113="CANCELLED")),"INVOICE STATUS REQUIRED",IF(COUNTIFS($A$2:$A$501,A113,$B$2:$B$501,B113,$D$2:$D$501,D113)&gt;1,"DUPLICATE INVOICE / PROJECT",IF(SUMPRODUCT(--(('ERP Snapshot'!$A$2:$A$101&amp;"")=(B113&amp;"")))=0,"PROJECT NOT FOUND",IF(SUMPRODUCT(--(('ERP Snapshot'!$A$2:$A$101&amp;"")=(B113&amp;"")))&gt;1,"DUPLICATE PROJECT ID",IF(OR(SUMPRODUCT(--(('ERP Snapshot'!$A$2:$A$101&amp;"")=(B113&amp;"")),--('ERP Snapshot'!$Q$2:$Q$101=E113),--('ERP Snapshot'!$R$2:$R$101=F113))&lt;&gt;1,SUMPRODUCT(--('Commercial Catalogs'!$A$2:$A$10=E113),--('Commercial Catalogs'!$B$2:$B$10=F113),--('Commercial Catalogs'!$C$2:$C$10="YES"),--('Commercial Catalogs'!$D$2:$D$10="IN SCOPE"))=0,AND(E113="Strategic Services",F113&lt;&gt;"N/A"),AND(E113="Brands",F113="N/A")),"PROJECT CLASSIFICATION MISMATCH",IF(AND(G113="MXN",NOT(AND(ISNUMBER(I113),Settings!$B$8="APPROVED",Settings!$B$9&lt;&gt;"",Settings!$B$10&lt;&gt;""))),"FX HOLD","VALID"))))))))))))))))))</x:f>
      </x:c>
      <x:c r="M113" s="57" t="str">
        <x:f>IF(ISNUMBER(C113),IF(AND(ISNUMBER(C113),C113&gt;=2,C113&lt;=2958465,C113=INT(C113)),YEAR(C113)&amp;"-"&amp;IF(MONTH(C113)&lt;10,"0","")&amp;MONTH(C113),""),"")</x:f>
      </x:c>
      <x:c r="N113" s="59" t="str">
        <x:f>IF(L113="VALID",IF(G113="USD",H113,I113),"")</x:f>
      </x:c>
      <x:c r="O113" s="57" t="n">
        <x:f>IF(L113="VALID",IF(COUNTIFS($B$2:B113,B113,$M$2:M113,M113,$L$2:L113,"VALID")=1,1,0),0)</x:f>
        <x:v>0</x:v>
      </x:c>
    </x:row>
    <x:row r="114">
      <x:c r="A114" s="47"/>
      <x:c r="B114" s="47"/>
      <x:c r="C114" s="69"/>
      <x:c r="D114" s="47"/>
      <x:c r="E114" s="47"/>
      <x:c r="F114" s="47"/>
      <x:c r="G114" s="47"/>
      <x:c r="H114" s="48"/>
      <x:c r="I114" s="48"/>
      <x:c r="J114" s="47"/>
      <x:c r="K114" s="47"/>
      <x:c r="L114" s="57" t="str">
        <x:f>IF(COUNTA(A114:K114)=0,"",IF(K114="CANCELLED","CANCELLED",IF(A114="","INVOICE ID REQUIRED",IF(B114="","PROJECT ID REQUIRED",IF(NOT(ISNUMBER(C114)),"INVALID INVOICE DATE",IF(NOT(AND(ISNUMBER(C114),C114&gt;=2,C114&lt;=2958465,C114=INT(C114))),"INVALID INVOICE DATE",IF(NOT(OR(D114="MX",D114="US")),"ENTITY REQUIRED",IF(NOT(OR(E114="Strategic Services",E114="Brands")),"UNIT REQUIRED",IF(F114="","BRAND / N/A REQUIRED",IF(NOT(OR(G114="USD",G114="MXN")),"CURRENCY REQUIRED",IF(NOT(ISNUMBER(H114)),"AMOUNT REQUIRED",IF(J114="","ERP SOURCE REQUIRED",IF(NOT(OR(K114="ISSUED",K114="CANCELLED")),"INVOICE STATUS REQUIRED",IF(COUNTIFS($A$2:$A$501,A114,$B$2:$B$501,B114,$D$2:$D$501,D114)&gt;1,"DUPLICATE INVOICE / PROJECT",IF(SUMPRODUCT(--(('ERP Snapshot'!$A$2:$A$101&amp;"")=(B114&amp;"")))=0,"PROJECT NOT FOUND",IF(SUMPRODUCT(--(('ERP Snapshot'!$A$2:$A$101&amp;"")=(B114&amp;"")))&gt;1,"DUPLICATE PROJECT ID",IF(OR(SUMPRODUCT(--(('ERP Snapshot'!$A$2:$A$101&amp;"")=(B114&amp;"")),--('ERP Snapshot'!$Q$2:$Q$101=E114),--('ERP Snapshot'!$R$2:$R$101=F114))&lt;&gt;1,SUMPRODUCT(--('Commercial Catalogs'!$A$2:$A$10=E114),--('Commercial Catalogs'!$B$2:$B$10=F114),--('Commercial Catalogs'!$C$2:$C$10="YES"),--('Commercial Catalogs'!$D$2:$D$10="IN SCOPE"))=0,AND(E114="Strategic Services",F114&lt;&gt;"N/A"),AND(E114="Brands",F114="N/A")),"PROJECT CLASSIFICATION MISMATCH",IF(AND(G114="MXN",NOT(AND(ISNUMBER(I114),Settings!$B$8="APPROVED",Settings!$B$9&lt;&gt;"",Settings!$B$10&lt;&gt;""))),"FX HOLD","VALID"))))))))))))))))))</x:f>
      </x:c>
      <x:c r="M114" s="57" t="str">
        <x:f>IF(ISNUMBER(C114),IF(AND(ISNUMBER(C114),C114&gt;=2,C114&lt;=2958465,C114=INT(C114)),YEAR(C114)&amp;"-"&amp;IF(MONTH(C114)&lt;10,"0","")&amp;MONTH(C114),""),"")</x:f>
      </x:c>
      <x:c r="N114" s="59" t="str">
        <x:f>IF(L114="VALID",IF(G114="USD",H114,I114),"")</x:f>
      </x:c>
      <x:c r="O114" s="57" t="n">
        <x:f>IF(L114="VALID",IF(COUNTIFS($B$2:B114,B114,$M$2:M114,M114,$L$2:L114,"VALID")=1,1,0),0)</x:f>
        <x:v>0</x:v>
      </x:c>
    </x:row>
    <x:row r="115">
      <x:c r="A115" s="47"/>
      <x:c r="B115" s="47"/>
      <x:c r="C115" s="69"/>
      <x:c r="D115" s="47"/>
      <x:c r="E115" s="47"/>
      <x:c r="F115" s="47"/>
      <x:c r="G115" s="47"/>
      <x:c r="H115" s="48"/>
      <x:c r="I115" s="48"/>
      <x:c r="J115" s="47"/>
      <x:c r="K115" s="47"/>
      <x:c r="L115" s="57" t="str">
        <x:f>IF(COUNTA(A115:K115)=0,"",IF(K115="CANCELLED","CANCELLED",IF(A115="","INVOICE ID REQUIRED",IF(B115="","PROJECT ID REQUIRED",IF(NOT(ISNUMBER(C115)),"INVALID INVOICE DATE",IF(NOT(AND(ISNUMBER(C115),C115&gt;=2,C115&lt;=2958465,C115=INT(C115))),"INVALID INVOICE DATE",IF(NOT(OR(D115="MX",D115="US")),"ENTITY REQUIRED",IF(NOT(OR(E115="Strategic Services",E115="Brands")),"UNIT REQUIRED",IF(F115="","BRAND / N/A REQUIRED",IF(NOT(OR(G115="USD",G115="MXN")),"CURRENCY REQUIRED",IF(NOT(ISNUMBER(H115)),"AMOUNT REQUIRED",IF(J115="","ERP SOURCE REQUIRED",IF(NOT(OR(K115="ISSUED",K115="CANCELLED")),"INVOICE STATUS REQUIRED",IF(COUNTIFS($A$2:$A$501,A115,$B$2:$B$501,B115,$D$2:$D$501,D115)&gt;1,"DUPLICATE INVOICE / PROJECT",IF(SUMPRODUCT(--(('ERP Snapshot'!$A$2:$A$101&amp;"")=(B115&amp;"")))=0,"PROJECT NOT FOUND",IF(SUMPRODUCT(--(('ERP Snapshot'!$A$2:$A$101&amp;"")=(B115&amp;"")))&gt;1,"DUPLICATE PROJECT ID",IF(OR(SUMPRODUCT(--(('ERP Snapshot'!$A$2:$A$101&amp;"")=(B115&amp;"")),--('ERP Snapshot'!$Q$2:$Q$101=E115),--('ERP Snapshot'!$R$2:$R$101=F115))&lt;&gt;1,SUMPRODUCT(--('Commercial Catalogs'!$A$2:$A$10=E115),--('Commercial Catalogs'!$B$2:$B$10=F115),--('Commercial Catalogs'!$C$2:$C$10="YES"),--('Commercial Catalogs'!$D$2:$D$10="IN SCOPE"))=0,AND(E115="Strategic Services",F115&lt;&gt;"N/A"),AND(E115="Brands",F115="N/A")),"PROJECT CLASSIFICATION MISMATCH",IF(AND(G115="MXN",NOT(AND(ISNUMBER(I115),Settings!$B$8="APPROVED",Settings!$B$9&lt;&gt;"",Settings!$B$10&lt;&gt;""))),"FX HOLD","VALID"))))))))))))))))))</x:f>
      </x:c>
      <x:c r="M115" s="57" t="str">
        <x:f>IF(ISNUMBER(C115),IF(AND(ISNUMBER(C115),C115&gt;=2,C115&lt;=2958465,C115=INT(C115)),YEAR(C115)&amp;"-"&amp;IF(MONTH(C115)&lt;10,"0","")&amp;MONTH(C115),""),"")</x:f>
      </x:c>
      <x:c r="N115" s="59" t="str">
        <x:f>IF(L115="VALID",IF(G115="USD",H115,I115),"")</x:f>
      </x:c>
      <x:c r="O115" s="57" t="n">
        <x:f>IF(L115="VALID",IF(COUNTIFS($B$2:B115,B115,$M$2:M115,M115,$L$2:L115,"VALID")=1,1,0),0)</x:f>
        <x:v>0</x:v>
      </x:c>
    </x:row>
    <x:row r="116">
      <x:c r="A116" s="47"/>
      <x:c r="B116" s="47"/>
      <x:c r="C116" s="69"/>
      <x:c r="D116" s="47"/>
      <x:c r="E116" s="47"/>
      <x:c r="F116" s="47"/>
      <x:c r="G116" s="47"/>
      <x:c r="H116" s="48"/>
      <x:c r="I116" s="48"/>
      <x:c r="J116" s="47"/>
      <x:c r="K116" s="47"/>
      <x:c r="L116" s="57" t="str">
        <x:f>IF(COUNTA(A116:K116)=0,"",IF(K116="CANCELLED","CANCELLED",IF(A116="","INVOICE ID REQUIRED",IF(B116="","PROJECT ID REQUIRED",IF(NOT(ISNUMBER(C116)),"INVALID INVOICE DATE",IF(NOT(AND(ISNUMBER(C116),C116&gt;=2,C116&lt;=2958465,C116=INT(C116))),"INVALID INVOICE DATE",IF(NOT(OR(D116="MX",D116="US")),"ENTITY REQUIRED",IF(NOT(OR(E116="Strategic Services",E116="Brands")),"UNIT REQUIRED",IF(F116="","BRAND / N/A REQUIRED",IF(NOT(OR(G116="USD",G116="MXN")),"CURRENCY REQUIRED",IF(NOT(ISNUMBER(H116)),"AMOUNT REQUIRED",IF(J116="","ERP SOURCE REQUIRED",IF(NOT(OR(K116="ISSUED",K116="CANCELLED")),"INVOICE STATUS REQUIRED",IF(COUNTIFS($A$2:$A$501,A116,$B$2:$B$501,B116,$D$2:$D$501,D116)&gt;1,"DUPLICATE INVOICE / PROJECT",IF(SUMPRODUCT(--(('ERP Snapshot'!$A$2:$A$101&amp;"")=(B116&amp;"")))=0,"PROJECT NOT FOUND",IF(SUMPRODUCT(--(('ERP Snapshot'!$A$2:$A$101&amp;"")=(B116&amp;"")))&gt;1,"DUPLICATE PROJECT ID",IF(OR(SUMPRODUCT(--(('ERP Snapshot'!$A$2:$A$101&amp;"")=(B116&amp;"")),--('ERP Snapshot'!$Q$2:$Q$101=E116),--('ERP Snapshot'!$R$2:$R$101=F116))&lt;&gt;1,SUMPRODUCT(--('Commercial Catalogs'!$A$2:$A$10=E116),--('Commercial Catalogs'!$B$2:$B$10=F116),--('Commercial Catalogs'!$C$2:$C$10="YES"),--('Commercial Catalogs'!$D$2:$D$10="IN SCOPE"))=0,AND(E116="Strategic Services",F116&lt;&gt;"N/A"),AND(E116="Brands",F116="N/A")),"PROJECT CLASSIFICATION MISMATCH",IF(AND(G116="MXN",NOT(AND(ISNUMBER(I116),Settings!$B$8="APPROVED",Settings!$B$9&lt;&gt;"",Settings!$B$10&lt;&gt;""))),"FX HOLD","VALID"))))))))))))))))))</x:f>
      </x:c>
      <x:c r="M116" s="57" t="str">
        <x:f>IF(ISNUMBER(C116),IF(AND(ISNUMBER(C116),C116&gt;=2,C116&lt;=2958465,C116=INT(C116)),YEAR(C116)&amp;"-"&amp;IF(MONTH(C116)&lt;10,"0","")&amp;MONTH(C116),""),"")</x:f>
      </x:c>
      <x:c r="N116" s="59" t="str">
        <x:f>IF(L116="VALID",IF(G116="USD",H116,I116),"")</x:f>
      </x:c>
      <x:c r="O116" s="57" t="n">
        <x:f>IF(L116="VALID",IF(COUNTIFS($B$2:B116,B116,$M$2:M116,M116,$L$2:L116,"VALID")=1,1,0),0)</x:f>
        <x:v>0</x:v>
      </x:c>
    </x:row>
    <x:row r="117">
      <x:c r="A117" s="47"/>
      <x:c r="B117" s="47"/>
      <x:c r="C117" s="69"/>
      <x:c r="D117" s="47"/>
      <x:c r="E117" s="47"/>
      <x:c r="F117" s="47"/>
      <x:c r="G117" s="47"/>
      <x:c r="H117" s="48"/>
      <x:c r="I117" s="48"/>
      <x:c r="J117" s="47"/>
      <x:c r="K117" s="47"/>
      <x:c r="L117" s="57" t="str">
        <x:f>IF(COUNTA(A117:K117)=0,"",IF(K117="CANCELLED","CANCELLED",IF(A117="","INVOICE ID REQUIRED",IF(B117="","PROJECT ID REQUIRED",IF(NOT(ISNUMBER(C117)),"INVALID INVOICE DATE",IF(NOT(AND(ISNUMBER(C117),C117&gt;=2,C117&lt;=2958465,C117=INT(C117))),"INVALID INVOICE DATE",IF(NOT(OR(D117="MX",D117="US")),"ENTITY REQUIRED",IF(NOT(OR(E117="Strategic Services",E117="Brands")),"UNIT REQUIRED",IF(F117="","BRAND / N/A REQUIRED",IF(NOT(OR(G117="USD",G117="MXN")),"CURRENCY REQUIRED",IF(NOT(ISNUMBER(H117)),"AMOUNT REQUIRED",IF(J117="","ERP SOURCE REQUIRED",IF(NOT(OR(K117="ISSUED",K117="CANCELLED")),"INVOICE STATUS REQUIRED",IF(COUNTIFS($A$2:$A$501,A117,$B$2:$B$501,B117,$D$2:$D$501,D117)&gt;1,"DUPLICATE INVOICE / PROJECT",IF(SUMPRODUCT(--(('ERP Snapshot'!$A$2:$A$101&amp;"")=(B117&amp;"")))=0,"PROJECT NOT FOUND",IF(SUMPRODUCT(--(('ERP Snapshot'!$A$2:$A$101&amp;"")=(B117&amp;"")))&gt;1,"DUPLICATE PROJECT ID",IF(OR(SUMPRODUCT(--(('ERP Snapshot'!$A$2:$A$101&amp;"")=(B117&amp;"")),--('ERP Snapshot'!$Q$2:$Q$101=E117),--('ERP Snapshot'!$R$2:$R$101=F117))&lt;&gt;1,SUMPRODUCT(--('Commercial Catalogs'!$A$2:$A$10=E117),--('Commercial Catalogs'!$B$2:$B$10=F117),--('Commercial Catalogs'!$C$2:$C$10="YES"),--('Commercial Catalogs'!$D$2:$D$10="IN SCOPE"))=0,AND(E117="Strategic Services",F117&lt;&gt;"N/A"),AND(E117="Brands",F117="N/A")),"PROJECT CLASSIFICATION MISMATCH",IF(AND(G117="MXN",NOT(AND(ISNUMBER(I117),Settings!$B$8="APPROVED",Settings!$B$9&lt;&gt;"",Settings!$B$10&lt;&gt;""))),"FX HOLD","VALID"))))))))))))))))))</x:f>
      </x:c>
      <x:c r="M117" s="57" t="str">
        <x:f>IF(ISNUMBER(C117),IF(AND(ISNUMBER(C117),C117&gt;=2,C117&lt;=2958465,C117=INT(C117)),YEAR(C117)&amp;"-"&amp;IF(MONTH(C117)&lt;10,"0","")&amp;MONTH(C117),""),"")</x:f>
      </x:c>
      <x:c r="N117" s="59" t="str">
        <x:f>IF(L117="VALID",IF(G117="USD",H117,I117),"")</x:f>
      </x:c>
      <x:c r="O117" s="57" t="n">
        <x:f>IF(L117="VALID",IF(COUNTIFS($B$2:B117,B117,$M$2:M117,M117,$L$2:L117,"VALID")=1,1,0),0)</x:f>
        <x:v>0</x:v>
      </x:c>
    </x:row>
    <x:row r="118">
      <x:c r="A118" s="47"/>
      <x:c r="B118" s="47"/>
      <x:c r="C118" s="69"/>
      <x:c r="D118" s="47"/>
      <x:c r="E118" s="47"/>
      <x:c r="F118" s="47"/>
      <x:c r="G118" s="47"/>
      <x:c r="H118" s="48"/>
      <x:c r="I118" s="48"/>
      <x:c r="J118" s="47"/>
      <x:c r="K118" s="47"/>
      <x:c r="L118" s="57" t="str">
        <x:f>IF(COUNTA(A118:K118)=0,"",IF(K118="CANCELLED","CANCELLED",IF(A118="","INVOICE ID REQUIRED",IF(B118="","PROJECT ID REQUIRED",IF(NOT(ISNUMBER(C118)),"INVALID INVOICE DATE",IF(NOT(AND(ISNUMBER(C118),C118&gt;=2,C118&lt;=2958465,C118=INT(C118))),"INVALID INVOICE DATE",IF(NOT(OR(D118="MX",D118="US")),"ENTITY REQUIRED",IF(NOT(OR(E118="Strategic Services",E118="Brands")),"UNIT REQUIRED",IF(F118="","BRAND / N/A REQUIRED",IF(NOT(OR(G118="USD",G118="MXN")),"CURRENCY REQUIRED",IF(NOT(ISNUMBER(H118)),"AMOUNT REQUIRED",IF(J118="","ERP SOURCE REQUIRED",IF(NOT(OR(K118="ISSUED",K118="CANCELLED")),"INVOICE STATUS REQUIRED",IF(COUNTIFS($A$2:$A$501,A118,$B$2:$B$501,B118,$D$2:$D$501,D118)&gt;1,"DUPLICATE INVOICE / PROJECT",IF(SUMPRODUCT(--(('ERP Snapshot'!$A$2:$A$101&amp;"")=(B118&amp;"")))=0,"PROJECT NOT FOUND",IF(SUMPRODUCT(--(('ERP Snapshot'!$A$2:$A$101&amp;"")=(B118&amp;"")))&gt;1,"DUPLICATE PROJECT ID",IF(OR(SUMPRODUCT(--(('ERP Snapshot'!$A$2:$A$101&amp;"")=(B118&amp;"")),--('ERP Snapshot'!$Q$2:$Q$101=E118),--('ERP Snapshot'!$R$2:$R$101=F118))&lt;&gt;1,SUMPRODUCT(--('Commercial Catalogs'!$A$2:$A$10=E118),--('Commercial Catalogs'!$B$2:$B$10=F118),--('Commercial Catalogs'!$C$2:$C$10="YES"),--('Commercial Catalogs'!$D$2:$D$10="IN SCOPE"))=0,AND(E118="Strategic Services",F118&lt;&gt;"N/A"),AND(E118="Brands",F118="N/A")),"PROJECT CLASSIFICATION MISMATCH",IF(AND(G118="MXN",NOT(AND(ISNUMBER(I118),Settings!$B$8="APPROVED",Settings!$B$9&lt;&gt;"",Settings!$B$10&lt;&gt;""))),"FX HOLD","VALID"))))))))))))))))))</x:f>
      </x:c>
      <x:c r="M118" s="57" t="str">
        <x:f>IF(ISNUMBER(C118),IF(AND(ISNUMBER(C118),C118&gt;=2,C118&lt;=2958465,C118=INT(C118)),YEAR(C118)&amp;"-"&amp;IF(MONTH(C118)&lt;10,"0","")&amp;MONTH(C118),""),"")</x:f>
      </x:c>
      <x:c r="N118" s="59" t="str">
        <x:f>IF(L118="VALID",IF(G118="USD",H118,I118),"")</x:f>
      </x:c>
      <x:c r="O118" s="57" t="n">
        <x:f>IF(L118="VALID",IF(COUNTIFS($B$2:B118,B118,$M$2:M118,M118,$L$2:L118,"VALID")=1,1,0),0)</x:f>
        <x:v>0</x:v>
      </x:c>
    </x:row>
    <x:row r="119">
      <x:c r="A119" s="47"/>
      <x:c r="B119" s="47"/>
      <x:c r="C119" s="69"/>
      <x:c r="D119" s="47"/>
      <x:c r="E119" s="47"/>
      <x:c r="F119" s="47"/>
      <x:c r="G119" s="47"/>
      <x:c r="H119" s="48"/>
      <x:c r="I119" s="48"/>
      <x:c r="J119" s="47"/>
      <x:c r="K119" s="47"/>
      <x:c r="L119" s="57" t="str">
        <x:f>IF(COUNTA(A119:K119)=0,"",IF(K119="CANCELLED","CANCELLED",IF(A119="","INVOICE ID REQUIRED",IF(B119="","PROJECT ID REQUIRED",IF(NOT(ISNUMBER(C119)),"INVALID INVOICE DATE",IF(NOT(AND(ISNUMBER(C119),C119&gt;=2,C119&lt;=2958465,C119=INT(C119))),"INVALID INVOICE DATE",IF(NOT(OR(D119="MX",D119="US")),"ENTITY REQUIRED",IF(NOT(OR(E119="Strategic Services",E119="Brands")),"UNIT REQUIRED",IF(F119="","BRAND / N/A REQUIRED",IF(NOT(OR(G119="USD",G119="MXN")),"CURRENCY REQUIRED",IF(NOT(ISNUMBER(H119)),"AMOUNT REQUIRED",IF(J119="","ERP SOURCE REQUIRED",IF(NOT(OR(K119="ISSUED",K119="CANCELLED")),"INVOICE STATUS REQUIRED",IF(COUNTIFS($A$2:$A$501,A119,$B$2:$B$501,B119,$D$2:$D$501,D119)&gt;1,"DUPLICATE INVOICE / PROJECT",IF(SUMPRODUCT(--(('ERP Snapshot'!$A$2:$A$101&amp;"")=(B119&amp;"")))=0,"PROJECT NOT FOUND",IF(SUMPRODUCT(--(('ERP Snapshot'!$A$2:$A$101&amp;"")=(B119&amp;"")))&gt;1,"DUPLICATE PROJECT ID",IF(OR(SUMPRODUCT(--(('ERP Snapshot'!$A$2:$A$101&amp;"")=(B119&amp;"")),--('ERP Snapshot'!$Q$2:$Q$101=E119),--('ERP Snapshot'!$R$2:$R$101=F119))&lt;&gt;1,SUMPRODUCT(--('Commercial Catalogs'!$A$2:$A$10=E119),--('Commercial Catalogs'!$B$2:$B$10=F119),--('Commercial Catalogs'!$C$2:$C$10="YES"),--('Commercial Catalogs'!$D$2:$D$10="IN SCOPE"))=0,AND(E119="Strategic Services",F119&lt;&gt;"N/A"),AND(E119="Brands",F119="N/A")),"PROJECT CLASSIFICATION MISMATCH",IF(AND(G119="MXN",NOT(AND(ISNUMBER(I119),Settings!$B$8="APPROVED",Settings!$B$9&lt;&gt;"",Settings!$B$10&lt;&gt;""))),"FX HOLD","VALID"))))))))))))))))))</x:f>
      </x:c>
      <x:c r="M119" s="57" t="str">
        <x:f>IF(ISNUMBER(C119),IF(AND(ISNUMBER(C119),C119&gt;=2,C119&lt;=2958465,C119=INT(C119)),YEAR(C119)&amp;"-"&amp;IF(MONTH(C119)&lt;10,"0","")&amp;MONTH(C119),""),"")</x:f>
      </x:c>
      <x:c r="N119" s="59" t="str">
        <x:f>IF(L119="VALID",IF(G119="USD",H119,I119),"")</x:f>
      </x:c>
      <x:c r="O119" s="57" t="n">
        <x:f>IF(L119="VALID",IF(COUNTIFS($B$2:B119,B119,$M$2:M119,M119,$L$2:L119,"VALID")=1,1,0),0)</x:f>
        <x:v>0</x:v>
      </x:c>
    </x:row>
    <x:row r="120">
      <x:c r="A120" s="47"/>
      <x:c r="B120" s="47"/>
      <x:c r="C120" s="69"/>
      <x:c r="D120" s="47"/>
      <x:c r="E120" s="47"/>
      <x:c r="F120" s="47"/>
      <x:c r="G120" s="47"/>
      <x:c r="H120" s="48"/>
      <x:c r="I120" s="48"/>
      <x:c r="J120" s="47"/>
      <x:c r="K120" s="47"/>
      <x:c r="L120" s="57" t="str">
        <x:f>IF(COUNTA(A120:K120)=0,"",IF(K120="CANCELLED","CANCELLED",IF(A120="","INVOICE ID REQUIRED",IF(B120="","PROJECT ID REQUIRED",IF(NOT(ISNUMBER(C120)),"INVALID INVOICE DATE",IF(NOT(AND(ISNUMBER(C120),C120&gt;=2,C120&lt;=2958465,C120=INT(C120))),"INVALID INVOICE DATE",IF(NOT(OR(D120="MX",D120="US")),"ENTITY REQUIRED",IF(NOT(OR(E120="Strategic Services",E120="Brands")),"UNIT REQUIRED",IF(F120="","BRAND / N/A REQUIRED",IF(NOT(OR(G120="USD",G120="MXN")),"CURRENCY REQUIRED",IF(NOT(ISNUMBER(H120)),"AMOUNT REQUIRED",IF(J120="","ERP SOURCE REQUIRED",IF(NOT(OR(K120="ISSUED",K120="CANCELLED")),"INVOICE STATUS REQUIRED",IF(COUNTIFS($A$2:$A$501,A120,$B$2:$B$501,B120,$D$2:$D$501,D120)&gt;1,"DUPLICATE INVOICE / PROJECT",IF(SUMPRODUCT(--(('ERP Snapshot'!$A$2:$A$101&amp;"")=(B120&amp;"")))=0,"PROJECT NOT FOUND",IF(SUMPRODUCT(--(('ERP Snapshot'!$A$2:$A$101&amp;"")=(B120&amp;"")))&gt;1,"DUPLICATE PROJECT ID",IF(OR(SUMPRODUCT(--(('ERP Snapshot'!$A$2:$A$101&amp;"")=(B120&amp;"")),--('ERP Snapshot'!$Q$2:$Q$101=E120),--('ERP Snapshot'!$R$2:$R$101=F120))&lt;&gt;1,SUMPRODUCT(--('Commercial Catalogs'!$A$2:$A$10=E120),--('Commercial Catalogs'!$B$2:$B$10=F120),--('Commercial Catalogs'!$C$2:$C$10="YES"),--('Commercial Catalogs'!$D$2:$D$10="IN SCOPE"))=0,AND(E120="Strategic Services",F120&lt;&gt;"N/A"),AND(E120="Brands",F120="N/A")),"PROJECT CLASSIFICATION MISMATCH",IF(AND(G120="MXN",NOT(AND(ISNUMBER(I120),Settings!$B$8="APPROVED",Settings!$B$9&lt;&gt;"",Settings!$B$10&lt;&gt;""))),"FX HOLD","VALID"))))))))))))))))))</x:f>
      </x:c>
      <x:c r="M120" s="57" t="str">
        <x:f>IF(ISNUMBER(C120),IF(AND(ISNUMBER(C120),C120&gt;=2,C120&lt;=2958465,C120=INT(C120)),YEAR(C120)&amp;"-"&amp;IF(MONTH(C120)&lt;10,"0","")&amp;MONTH(C120),""),"")</x:f>
      </x:c>
      <x:c r="N120" s="59" t="str">
        <x:f>IF(L120="VALID",IF(G120="USD",H120,I120),"")</x:f>
      </x:c>
      <x:c r="O120" s="57" t="n">
        <x:f>IF(L120="VALID",IF(COUNTIFS($B$2:B120,B120,$M$2:M120,M120,$L$2:L120,"VALID")=1,1,0),0)</x:f>
        <x:v>0</x:v>
      </x:c>
    </x:row>
    <x:row r="121">
      <x:c r="A121" s="47"/>
      <x:c r="B121" s="47"/>
      <x:c r="C121" s="69"/>
      <x:c r="D121" s="47"/>
      <x:c r="E121" s="47"/>
      <x:c r="F121" s="47"/>
      <x:c r="G121" s="47"/>
      <x:c r="H121" s="48"/>
      <x:c r="I121" s="48"/>
      <x:c r="J121" s="47"/>
      <x:c r="K121" s="47"/>
      <x:c r="L121" s="57" t="str">
        <x:f>IF(COUNTA(A121:K121)=0,"",IF(K121="CANCELLED","CANCELLED",IF(A121="","INVOICE ID REQUIRED",IF(B121="","PROJECT ID REQUIRED",IF(NOT(ISNUMBER(C121)),"INVALID INVOICE DATE",IF(NOT(AND(ISNUMBER(C121),C121&gt;=2,C121&lt;=2958465,C121=INT(C121))),"INVALID INVOICE DATE",IF(NOT(OR(D121="MX",D121="US")),"ENTITY REQUIRED",IF(NOT(OR(E121="Strategic Services",E121="Brands")),"UNIT REQUIRED",IF(F121="","BRAND / N/A REQUIRED",IF(NOT(OR(G121="USD",G121="MXN")),"CURRENCY REQUIRED",IF(NOT(ISNUMBER(H121)),"AMOUNT REQUIRED",IF(J121="","ERP SOURCE REQUIRED",IF(NOT(OR(K121="ISSUED",K121="CANCELLED")),"INVOICE STATUS REQUIRED",IF(COUNTIFS($A$2:$A$501,A121,$B$2:$B$501,B121,$D$2:$D$501,D121)&gt;1,"DUPLICATE INVOICE / PROJECT",IF(SUMPRODUCT(--(('ERP Snapshot'!$A$2:$A$101&amp;"")=(B121&amp;"")))=0,"PROJECT NOT FOUND",IF(SUMPRODUCT(--(('ERP Snapshot'!$A$2:$A$101&amp;"")=(B121&amp;"")))&gt;1,"DUPLICATE PROJECT ID",IF(OR(SUMPRODUCT(--(('ERP Snapshot'!$A$2:$A$101&amp;"")=(B121&amp;"")),--('ERP Snapshot'!$Q$2:$Q$101=E121),--('ERP Snapshot'!$R$2:$R$101=F121))&lt;&gt;1,SUMPRODUCT(--('Commercial Catalogs'!$A$2:$A$10=E121),--('Commercial Catalogs'!$B$2:$B$10=F121),--('Commercial Catalogs'!$C$2:$C$10="YES"),--('Commercial Catalogs'!$D$2:$D$10="IN SCOPE"))=0,AND(E121="Strategic Services",F121&lt;&gt;"N/A"),AND(E121="Brands",F121="N/A")),"PROJECT CLASSIFICATION MISMATCH",IF(AND(G121="MXN",NOT(AND(ISNUMBER(I121),Settings!$B$8="APPROVED",Settings!$B$9&lt;&gt;"",Settings!$B$10&lt;&gt;""))),"FX HOLD","VALID"))))))))))))))))))</x:f>
      </x:c>
      <x:c r="M121" s="57" t="str">
        <x:f>IF(ISNUMBER(C121),IF(AND(ISNUMBER(C121),C121&gt;=2,C121&lt;=2958465,C121=INT(C121)),YEAR(C121)&amp;"-"&amp;IF(MONTH(C121)&lt;10,"0","")&amp;MONTH(C121),""),"")</x:f>
      </x:c>
      <x:c r="N121" s="59" t="str">
        <x:f>IF(L121="VALID",IF(G121="USD",H121,I121),"")</x:f>
      </x:c>
      <x:c r="O121" s="57" t="n">
        <x:f>IF(L121="VALID",IF(COUNTIFS($B$2:B121,B121,$M$2:M121,M121,$L$2:L121,"VALID")=1,1,0),0)</x:f>
        <x:v>0</x:v>
      </x:c>
    </x:row>
    <x:row r="122">
      <x:c r="A122" s="47"/>
      <x:c r="B122" s="47"/>
      <x:c r="C122" s="69"/>
      <x:c r="D122" s="47"/>
      <x:c r="E122" s="47"/>
      <x:c r="F122" s="47"/>
      <x:c r="G122" s="47"/>
      <x:c r="H122" s="48"/>
      <x:c r="I122" s="48"/>
      <x:c r="J122" s="47"/>
      <x:c r="K122" s="47"/>
      <x:c r="L122" s="57" t="str">
        <x:f>IF(COUNTA(A122:K122)=0,"",IF(K122="CANCELLED","CANCELLED",IF(A122="","INVOICE ID REQUIRED",IF(B122="","PROJECT ID REQUIRED",IF(NOT(ISNUMBER(C122)),"INVALID INVOICE DATE",IF(NOT(AND(ISNUMBER(C122),C122&gt;=2,C122&lt;=2958465,C122=INT(C122))),"INVALID INVOICE DATE",IF(NOT(OR(D122="MX",D122="US")),"ENTITY REQUIRED",IF(NOT(OR(E122="Strategic Services",E122="Brands")),"UNIT REQUIRED",IF(F122="","BRAND / N/A REQUIRED",IF(NOT(OR(G122="USD",G122="MXN")),"CURRENCY REQUIRED",IF(NOT(ISNUMBER(H122)),"AMOUNT REQUIRED",IF(J122="","ERP SOURCE REQUIRED",IF(NOT(OR(K122="ISSUED",K122="CANCELLED")),"INVOICE STATUS REQUIRED",IF(COUNTIFS($A$2:$A$501,A122,$B$2:$B$501,B122,$D$2:$D$501,D122)&gt;1,"DUPLICATE INVOICE / PROJECT",IF(SUMPRODUCT(--(('ERP Snapshot'!$A$2:$A$101&amp;"")=(B122&amp;"")))=0,"PROJECT NOT FOUND",IF(SUMPRODUCT(--(('ERP Snapshot'!$A$2:$A$101&amp;"")=(B122&amp;"")))&gt;1,"DUPLICATE PROJECT ID",IF(OR(SUMPRODUCT(--(('ERP Snapshot'!$A$2:$A$101&amp;"")=(B122&amp;"")),--('ERP Snapshot'!$Q$2:$Q$101=E122),--('ERP Snapshot'!$R$2:$R$101=F122))&lt;&gt;1,SUMPRODUCT(--('Commercial Catalogs'!$A$2:$A$10=E122),--('Commercial Catalogs'!$B$2:$B$10=F122),--('Commercial Catalogs'!$C$2:$C$10="YES"),--('Commercial Catalogs'!$D$2:$D$10="IN SCOPE"))=0,AND(E122="Strategic Services",F122&lt;&gt;"N/A"),AND(E122="Brands",F122="N/A")),"PROJECT CLASSIFICATION MISMATCH",IF(AND(G122="MXN",NOT(AND(ISNUMBER(I122),Settings!$B$8="APPROVED",Settings!$B$9&lt;&gt;"",Settings!$B$10&lt;&gt;""))),"FX HOLD","VALID"))))))))))))))))))</x:f>
      </x:c>
      <x:c r="M122" s="57" t="str">
        <x:f>IF(ISNUMBER(C122),IF(AND(ISNUMBER(C122),C122&gt;=2,C122&lt;=2958465,C122=INT(C122)),YEAR(C122)&amp;"-"&amp;IF(MONTH(C122)&lt;10,"0","")&amp;MONTH(C122),""),"")</x:f>
      </x:c>
      <x:c r="N122" s="59" t="str">
        <x:f>IF(L122="VALID",IF(G122="USD",H122,I122),"")</x:f>
      </x:c>
      <x:c r="O122" s="57" t="n">
        <x:f>IF(L122="VALID",IF(COUNTIFS($B$2:B122,B122,$M$2:M122,M122,$L$2:L122,"VALID")=1,1,0),0)</x:f>
        <x:v>0</x:v>
      </x:c>
    </x:row>
    <x:row r="123">
      <x:c r="A123" s="47"/>
      <x:c r="B123" s="47"/>
      <x:c r="C123" s="69"/>
      <x:c r="D123" s="47"/>
      <x:c r="E123" s="47"/>
      <x:c r="F123" s="47"/>
      <x:c r="G123" s="47"/>
      <x:c r="H123" s="48"/>
      <x:c r="I123" s="48"/>
      <x:c r="J123" s="47"/>
      <x:c r="K123" s="47"/>
      <x:c r="L123" s="57" t="str">
        <x:f>IF(COUNTA(A123:K123)=0,"",IF(K123="CANCELLED","CANCELLED",IF(A123="","INVOICE ID REQUIRED",IF(B123="","PROJECT ID REQUIRED",IF(NOT(ISNUMBER(C123)),"INVALID INVOICE DATE",IF(NOT(AND(ISNUMBER(C123),C123&gt;=2,C123&lt;=2958465,C123=INT(C123))),"INVALID INVOICE DATE",IF(NOT(OR(D123="MX",D123="US")),"ENTITY REQUIRED",IF(NOT(OR(E123="Strategic Services",E123="Brands")),"UNIT REQUIRED",IF(F123="","BRAND / N/A REQUIRED",IF(NOT(OR(G123="USD",G123="MXN")),"CURRENCY REQUIRED",IF(NOT(ISNUMBER(H123)),"AMOUNT REQUIRED",IF(J123="","ERP SOURCE REQUIRED",IF(NOT(OR(K123="ISSUED",K123="CANCELLED")),"INVOICE STATUS REQUIRED",IF(COUNTIFS($A$2:$A$501,A123,$B$2:$B$501,B123,$D$2:$D$501,D123)&gt;1,"DUPLICATE INVOICE / PROJECT",IF(SUMPRODUCT(--(('ERP Snapshot'!$A$2:$A$101&amp;"")=(B123&amp;"")))=0,"PROJECT NOT FOUND",IF(SUMPRODUCT(--(('ERP Snapshot'!$A$2:$A$101&amp;"")=(B123&amp;"")))&gt;1,"DUPLICATE PROJECT ID",IF(OR(SUMPRODUCT(--(('ERP Snapshot'!$A$2:$A$101&amp;"")=(B123&amp;"")),--('ERP Snapshot'!$Q$2:$Q$101=E123),--('ERP Snapshot'!$R$2:$R$101=F123))&lt;&gt;1,SUMPRODUCT(--('Commercial Catalogs'!$A$2:$A$10=E123),--('Commercial Catalogs'!$B$2:$B$10=F123),--('Commercial Catalogs'!$C$2:$C$10="YES"),--('Commercial Catalogs'!$D$2:$D$10="IN SCOPE"))=0,AND(E123="Strategic Services",F123&lt;&gt;"N/A"),AND(E123="Brands",F123="N/A")),"PROJECT CLASSIFICATION MISMATCH",IF(AND(G123="MXN",NOT(AND(ISNUMBER(I123),Settings!$B$8="APPROVED",Settings!$B$9&lt;&gt;"",Settings!$B$10&lt;&gt;""))),"FX HOLD","VALID"))))))))))))))))))</x:f>
      </x:c>
      <x:c r="M123" s="57" t="str">
        <x:f>IF(ISNUMBER(C123),IF(AND(ISNUMBER(C123),C123&gt;=2,C123&lt;=2958465,C123=INT(C123)),YEAR(C123)&amp;"-"&amp;IF(MONTH(C123)&lt;10,"0","")&amp;MONTH(C123),""),"")</x:f>
      </x:c>
      <x:c r="N123" s="59" t="str">
        <x:f>IF(L123="VALID",IF(G123="USD",H123,I123),"")</x:f>
      </x:c>
      <x:c r="O123" s="57" t="n">
        <x:f>IF(L123="VALID",IF(COUNTIFS($B$2:B123,B123,$M$2:M123,M123,$L$2:L123,"VALID")=1,1,0),0)</x:f>
        <x:v>0</x:v>
      </x:c>
    </x:row>
    <x:row r="124">
      <x:c r="A124" s="47"/>
      <x:c r="B124" s="47"/>
      <x:c r="C124" s="69"/>
      <x:c r="D124" s="47"/>
      <x:c r="E124" s="47"/>
      <x:c r="F124" s="47"/>
      <x:c r="G124" s="47"/>
      <x:c r="H124" s="48"/>
      <x:c r="I124" s="48"/>
      <x:c r="J124" s="47"/>
      <x:c r="K124" s="47"/>
      <x:c r="L124" s="57" t="str">
        <x:f>IF(COUNTA(A124:K124)=0,"",IF(K124="CANCELLED","CANCELLED",IF(A124="","INVOICE ID REQUIRED",IF(B124="","PROJECT ID REQUIRED",IF(NOT(ISNUMBER(C124)),"INVALID INVOICE DATE",IF(NOT(AND(ISNUMBER(C124),C124&gt;=2,C124&lt;=2958465,C124=INT(C124))),"INVALID INVOICE DATE",IF(NOT(OR(D124="MX",D124="US")),"ENTITY REQUIRED",IF(NOT(OR(E124="Strategic Services",E124="Brands")),"UNIT REQUIRED",IF(F124="","BRAND / N/A REQUIRED",IF(NOT(OR(G124="USD",G124="MXN")),"CURRENCY REQUIRED",IF(NOT(ISNUMBER(H124)),"AMOUNT REQUIRED",IF(J124="","ERP SOURCE REQUIRED",IF(NOT(OR(K124="ISSUED",K124="CANCELLED")),"INVOICE STATUS REQUIRED",IF(COUNTIFS($A$2:$A$501,A124,$B$2:$B$501,B124,$D$2:$D$501,D124)&gt;1,"DUPLICATE INVOICE / PROJECT",IF(SUMPRODUCT(--(('ERP Snapshot'!$A$2:$A$101&amp;"")=(B124&amp;"")))=0,"PROJECT NOT FOUND",IF(SUMPRODUCT(--(('ERP Snapshot'!$A$2:$A$101&amp;"")=(B124&amp;"")))&gt;1,"DUPLICATE PROJECT ID",IF(OR(SUMPRODUCT(--(('ERP Snapshot'!$A$2:$A$101&amp;"")=(B124&amp;"")),--('ERP Snapshot'!$Q$2:$Q$101=E124),--('ERP Snapshot'!$R$2:$R$101=F124))&lt;&gt;1,SUMPRODUCT(--('Commercial Catalogs'!$A$2:$A$10=E124),--('Commercial Catalogs'!$B$2:$B$10=F124),--('Commercial Catalogs'!$C$2:$C$10="YES"),--('Commercial Catalogs'!$D$2:$D$10="IN SCOPE"))=0,AND(E124="Strategic Services",F124&lt;&gt;"N/A"),AND(E124="Brands",F124="N/A")),"PROJECT CLASSIFICATION MISMATCH",IF(AND(G124="MXN",NOT(AND(ISNUMBER(I124),Settings!$B$8="APPROVED",Settings!$B$9&lt;&gt;"",Settings!$B$10&lt;&gt;""))),"FX HOLD","VALID"))))))))))))))))))</x:f>
      </x:c>
      <x:c r="M124" s="57" t="str">
        <x:f>IF(ISNUMBER(C124),IF(AND(ISNUMBER(C124),C124&gt;=2,C124&lt;=2958465,C124=INT(C124)),YEAR(C124)&amp;"-"&amp;IF(MONTH(C124)&lt;10,"0","")&amp;MONTH(C124),""),"")</x:f>
      </x:c>
      <x:c r="N124" s="59" t="str">
        <x:f>IF(L124="VALID",IF(G124="USD",H124,I124),"")</x:f>
      </x:c>
      <x:c r="O124" s="57" t="n">
        <x:f>IF(L124="VALID",IF(COUNTIFS($B$2:B124,B124,$M$2:M124,M124,$L$2:L124,"VALID")=1,1,0),0)</x:f>
        <x:v>0</x:v>
      </x:c>
    </x:row>
    <x:row r="125">
      <x:c r="A125" s="47"/>
      <x:c r="B125" s="47"/>
      <x:c r="C125" s="69"/>
      <x:c r="D125" s="47"/>
      <x:c r="E125" s="47"/>
      <x:c r="F125" s="47"/>
      <x:c r="G125" s="47"/>
      <x:c r="H125" s="48"/>
      <x:c r="I125" s="48"/>
      <x:c r="J125" s="47"/>
      <x:c r="K125" s="47"/>
      <x:c r="L125" s="57" t="str">
        <x:f>IF(COUNTA(A125:K125)=0,"",IF(K125="CANCELLED","CANCELLED",IF(A125="","INVOICE ID REQUIRED",IF(B125="","PROJECT ID REQUIRED",IF(NOT(ISNUMBER(C125)),"INVALID INVOICE DATE",IF(NOT(AND(ISNUMBER(C125),C125&gt;=2,C125&lt;=2958465,C125=INT(C125))),"INVALID INVOICE DATE",IF(NOT(OR(D125="MX",D125="US")),"ENTITY REQUIRED",IF(NOT(OR(E125="Strategic Services",E125="Brands")),"UNIT REQUIRED",IF(F125="","BRAND / N/A REQUIRED",IF(NOT(OR(G125="USD",G125="MXN")),"CURRENCY REQUIRED",IF(NOT(ISNUMBER(H125)),"AMOUNT REQUIRED",IF(J125="","ERP SOURCE REQUIRED",IF(NOT(OR(K125="ISSUED",K125="CANCELLED")),"INVOICE STATUS REQUIRED",IF(COUNTIFS($A$2:$A$501,A125,$B$2:$B$501,B125,$D$2:$D$501,D125)&gt;1,"DUPLICATE INVOICE / PROJECT",IF(SUMPRODUCT(--(('ERP Snapshot'!$A$2:$A$101&amp;"")=(B125&amp;"")))=0,"PROJECT NOT FOUND",IF(SUMPRODUCT(--(('ERP Snapshot'!$A$2:$A$101&amp;"")=(B125&amp;"")))&gt;1,"DUPLICATE PROJECT ID",IF(OR(SUMPRODUCT(--(('ERP Snapshot'!$A$2:$A$101&amp;"")=(B125&amp;"")),--('ERP Snapshot'!$Q$2:$Q$101=E125),--('ERP Snapshot'!$R$2:$R$101=F125))&lt;&gt;1,SUMPRODUCT(--('Commercial Catalogs'!$A$2:$A$10=E125),--('Commercial Catalogs'!$B$2:$B$10=F125),--('Commercial Catalogs'!$C$2:$C$10="YES"),--('Commercial Catalogs'!$D$2:$D$10="IN SCOPE"))=0,AND(E125="Strategic Services",F125&lt;&gt;"N/A"),AND(E125="Brands",F125="N/A")),"PROJECT CLASSIFICATION MISMATCH",IF(AND(G125="MXN",NOT(AND(ISNUMBER(I125),Settings!$B$8="APPROVED",Settings!$B$9&lt;&gt;"",Settings!$B$10&lt;&gt;""))),"FX HOLD","VALID"))))))))))))))))))</x:f>
      </x:c>
      <x:c r="M125" s="57" t="str">
        <x:f>IF(ISNUMBER(C125),IF(AND(ISNUMBER(C125),C125&gt;=2,C125&lt;=2958465,C125=INT(C125)),YEAR(C125)&amp;"-"&amp;IF(MONTH(C125)&lt;10,"0","")&amp;MONTH(C125),""),"")</x:f>
      </x:c>
      <x:c r="N125" s="59" t="str">
        <x:f>IF(L125="VALID",IF(G125="USD",H125,I125),"")</x:f>
      </x:c>
      <x:c r="O125" s="57" t="n">
        <x:f>IF(L125="VALID",IF(COUNTIFS($B$2:B125,B125,$M$2:M125,M125,$L$2:L125,"VALID")=1,1,0),0)</x:f>
        <x:v>0</x:v>
      </x:c>
    </x:row>
    <x:row r="126">
      <x:c r="A126" s="47"/>
      <x:c r="B126" s="47"/>
      <x:c r="C126" s="69"/>
      <x:c r="D126" s="47"/>
      <x:c r="E126" s="47"/>
      <x:c r="F126" s="47"/>
      <x:c r="G126" s="47"/>
      <x:c r="H126" s="48"/>
      <x:c r="I126" s="48"/>
      <x:c r="J126" s="47"/>
      <x:c r="K126" s="47"/>
      <x:c r="L126" s="57" t="str">
        <x:f>IF(COUNTA(A126:K126)=0,"",IF(K126="CANCELLED","CANCELLED",IF(A126="","INVOICE ID REQUIRED",IF(B126="","PROJECT ID REQUIRED",IF(NOT(ISNUMBER(C126)),"INVALID INVOICE DATE",IF(NOT(AND(ISNUMBER(C126),C126&gt;=2,C126&lt;=2958465,C126=INT(C126))),"INVALID INVOICE DATE",IF(NOT(OR(D126="MX",D126="US")),"ENTITY REQUIRED",IF(NOT(OR(E126="Strategic Services",E126="Brands")),"UNIT REQUIRED",IF(F126="","BRAND / N/A REQUIRED",IF(NOT(OR(G126="USD",G126="MXN")),"CURRENCY REQUIRED",IF(NOT(ISNUMBER(H126)),"AMOUNT REQUIRED",IF(J126="","ERP SOURCE REQUIRED",IF(NOT(OR(K126="ISSUED",K126="CANCELLED")),"INVOICE STATUS REQUIRED",IF(COUNTIFS($A$2:$A$501,A126,$B$2:$B$501,B126,$D$2:$D$501,D126)&gt;1,"DUPLICATE INVOICE / PROJECT",IF(SUMPRODUCT(--(('ERP Snapshot'!$A$2:$A$101&amp;"")=(B126&amp;"")))=0,"PROJECT NOT FOUND",IF(SUMPRODUCT(--(('ERP Snapshot'!$A$2:$A$101&amp;"")=(B126&amp;"")))&gt;1,"DUPLICATE PROJECT ID",IF(OR(SUMPRODUCT(--(('ERP Snapshot'!$A$2:$A$101&amp;"")=(B126&amp;"")),--('ERP Snapshot'!$Q$2:$Q$101=E126),--('ERP Snapshot'!$R$2:$R$101=F126))&lt;&gt;1,SUMPRODUCT(--('Commercial Catalogs'!$A$2:$A$10=E126),--('Commercial Catalogs'!$B$2:$B$10=F126),--('Commercial Catalogs'!$C$2:$C$10="YES"),--('Commercial Catalogs'!$D$2:$D$10="IN SCOPE"))=0,AND(E126="Strategic Services",F126&lt;&gt;"N/A"),AND(E126="Brands",F126="N/A")),"PROJECT CLASSIFICATION MISMATCH",IF(AND(G126="MXN",NOT(AND(ISNUMBER(I126),Settings!$B$8="APPROVED",Settings!$B$9&lt;&gt;"",Settings!$B$10&lt;&gt;""))),"FX HOLD","VALID"))))))))))))))))))</x:f>
      </x:c>
      <x:c r="M126" s="57" t="str">
        <x:f>IF(ISNUMBER(C126),IF(AND(ISNUMBER(C126),C126&gt;=2,C126&lt;=2958465,C126=INT(C126)),YEAR(C126)&amp;"-"&amp;IF(MONTH(C126)&lt;10,"0","")&amp;MONTH(C126),""),"")</x:f>
      </x:c>
      <x:c r="N126" s="59" t="str">
        <x:f>IF(L126="VALID",IF(G126="USD",H126,I126),"")</x:f>
      </x:c>
      <x:c r="O126" s="57" t="n">
        <x:f>IF(L126="VALID",IF(COUNTIFS($B$2:B126,B126,$M$2:M126,M126,$L$2:L126,"VALID")=1,1,0),0)</x:f>
        <x:v>0</x:v>
      </x:c>
    </x:row>
    <x:row r="127">
      <x:c r="A127" s="47"/>
      <x:c r="B127" s="47"/>
      <x:c r="C127" s="69"/>
      <x:c r="D127" s="47"/>
      <x:c r="E127" s="47"/>
      <x:c r="F127" s="47"/>
      <x:c r="G127" s="47"/>
      <x:c r="H127" s="48"/>
      <x:c r="I127" s="48"/>
      <x:c r="J127" s="47"/>
      <x:c r="K127" s="47"/>
      <x:c r="L127" s="57" t="str">
        <x:f>IF(COUNTA(A127:K127)=0,"",IF(K127="CANCELLED","CANCELLED",IF(A127="","INVOICE ID REQUIRED",IF(B127="","PROJECT ID REQUIRED",IF(NOT(ISNUMBER(C127)),"INVALID INVOICE DATE",IF(NOT(AND(ISNUMBER(C127),C127&gt;=2,C127&lt;=2958465,C127=INT(C127))),"INVALID INVOICE DATE",IF(NOT(OR(D127="MX",D127="US")),"ENTITY REQUIRED",IF(NOT(OR(E127="Strategic Services",E127="Brands")),"UNIT REQUIRED",IF(F127="","BRAND / N/A REQUIRED",IF(NOT(OR(G127="USD",G127="MXN")),"CURRENCY REQUIRED",IF(NOT(ISNUMBER(H127)),"AMOUNT REQUIRED",IF(J127="","ERP SOURCE REQUIRED",IF(NOT(OR(K127="ISSUED",K127="CANCELLED")),"INVOICE STATUS REQUIRED",IF(COUNTIFS($A$2:$A$501,A127,$B$2:$B$501,B127,$D$2:$D$501,D127)&gt;1,"DUPLICATE INVOICE / PROJECT",IF(SUMPRODUCT(--(('ERP Snapshot'!$A$2:$A$101&amp;"")=(B127&amp;"")))=0,"PROJECT NOT FOUND",IF(SUMPRODUCT(--(('ERP Snapshot'!$A$2:$A$101&amp;"")=(B127&amp;"")))&gt;1,"DUPLICATE PROJECT ID",IF(OR(SUMPRODUCT(--(('ERP Snapshot'!$A$2:$A$101&amp;"")=(B127&amp;"")),--('ERP Snapshot'!$Q$2:$Q$101=E127),--('ERP Snapshot'!$R$2:$R$101=F127))&lt;&gt;1,SUMPRODUCT(--('Commercial Catalogs'!$A$2:$A$10=E127),--('Commercial Catalogs'!$B$2:$B$10=F127),--('Commercial Catalogs'!$C$2:$C$10="YES"),--('Commercial Catalogs'!$D$2:$D$10="IN SCOPE"))=0,AND(E127="Strategic Services",F127&lt;&gt;"N/A"),AND(E127="Brands",F127="N/A")),"PROJECT CLASSIFICATION MISMATCH",IF(AND(G127="MXN",NOT(AND(ISNUMBER(I127),Settings!$B$8="APPROVED",Settings!$B$9&lt;&gt;"",Settings!$B$10&lt;&gt;""))),"FX HOLD","VALID"))))))))))))))))))</x:f>
      </x:c>
      <x:c r="M127" s="57" t="str">
        <x:f>IF(ISNUMBER(C127),IF(AND(ISNUMBER(C127),C127&gt;=2,C127&lt;=2958465,C127=INT(C127)),YEAR(C127)&amp;"-"&amp;IF(MONTH(C127)&lt;10,"0","")&amp;MONTH(C127),""),"")</x:f>
      </x:c>
      <x:c r="N127" s="59" t="str">
        <x:f>IF(L127="VALID",IF(G127="USD",H127,I127),"")</x:f>
      </x:c>
      <x:c r="O127" s="57" t="n">
        <x:f>IF(L127="VALID",IF(COUNTIFS($B$2:B127,B127,$M$2:M127,M127,$L$2:L127,"VALID")=1,1,0),0)</x:f>
        <x:v>0</x:v>
      </x:c>
    </x:row>
    <x:row r="128">
      <x:c r="A128" s="47"/>
      <x:c r="B128" s="47"/>
      <x:c r="C128" s="69"/>
      <x:c r="D128" s="47"/>
      <x:c r="E128" s="47"/>
      <x:c r="F128" s="47"/>
      <x:c r="G128" s="47"/>
      <x:c r="H128" s="48"/>
      <x:c r="I128" s="48"/>
      <x:c r="J128" s="47"/>
      <x:c r="K128" s="47"/>
      <x:c r="L128" s="57" t="str">
        <x:f>IF(COUNTA(A128:K128)=0,"",IF(K128="CANCELLED","CANCELLED",IF(A128="","INVOICE ID REQUIRED",IF(B128="","PROJECT ID REQUIRED",IF(NOT(ISNUMBER(C128)),"INVALID INVOICE DATE",IF(NOT(AND(ISNUMBER(C128),C128&gt;=2,C128&lt;=2958465,C128=INT(C128))),"INVALID INVOICE DATE",IF(NOT(OR(D128="MX",D128="US")),"ENTITY REQUIRED",IF(NOT(OR(E128="Strategic Services",E128="Brands")),"UNIT REQUIRED",IF(F128="","BRAND / N/A REQUIRED",IF(NOT(OR(G128="USD",G128="MXN")),"CURRENCY REQUIRED",IF(NOT(ISNUMBER(H128)),"AMOUNT REQUIRED",IF(J128="","ERP SOURCE REQUIRED",IF(NOT(OR(K128="ISSUED",K128="CANCELLED")),"INVOICE STATUS REQUIRED",IF(COUNTIFS($A$2:$A$501,A128,$B$2:$B$501,B128,$D$2:$D$501,D128)&gt;1,"DUPLICATE INVOICE / PROJECT",IF(SUMPRODUCT(--(('ERP Snapshot'!$A$2:$A$101&amp;"")=(B128&amp;"")))=0,"PROJECT NOT FOUND",IF(SUMPRODUCT(--(('ERP Snapshot'!$A$2:$A$101&amp;"")=(B128&amp;"")))&gt;1,"DUPLICATE PROJECT ID",IF(OR(SUMPRODUCT(--(('ERP Snapshot'!$A$2:$A$101&amp;"")=(B128&amp;"")),--('ERP Snapshot'!$Q$2:$Q$101=E128),--('ERP Snapshot'!$R$2:$R$101=F128))&lt;&gt;1,SUMPRODUCT(--('Commercial Catalogs'!$A$2:$A$10=E128),--('Commercial Catalogs'!$B$2:$B$10=F128),--('Commercial Catalogs'!$C$2:$C$10="YES"),--('Commercial Catalogs'!$D$2:$D$10="IN SCOPE"))=0,AND(E128="Strategic Services",F128&lt;&gt;"N/A"),AND(E128="Brands",F128="N/A")),"PROJECT CLASSIFICATION MISMATCH",IF(AND(G128="MXN",NOT(AND(ISNUMBER(I128),Settings!$B$8="APPROVED",Settings!$B$9&lt;&gt;"",Settings!$B$10&lt;&gt;""))),"FX HOLD","VALID"))))))))))))))))))</x:f>
      </x:c>
      <x:c r="M128" s="57" t="str">
        <x:f>IF(ISNUMBER(C128),IF(AND(ISNUMBER(C128),C128&gt;=2,C128&lt;=2958465,C128=INT(C128)),YEAR(C128)&amp;"-"&amp;IF(MONTH(C128)&lt;10,"0","")&amp;MONTH(C128),""),"")</x:f>
      </x:c>
      <x:c r="N128" s="59" t="str">
        <x:f>IF(L128="VALID",IF(G128="USD",H128,I128),"")</x:f>
      </x:c>
      <x:c r="O128" s="57" t="n">
        <x:f>IF(L128="VALID",IF(COUNTIFS($B$2:B128,B128,$M$2:M128,M128,$L$2:L128,"VALID")=1,1,0),0)</x:f>
        <x:v>0</x:v>
      </x:c>
    </x:row>
    <x:row r="129">
      <x:c r="A129" s="47"/>
      <x:c r="B129" s="47"/>
      <x:c r="C129" s="69"/>
      <x:c r="D129" s="47"/>
      <x:c r="E129" s="47"/>
      <x:c r="F129" s="47"/>
      <x:c r="G129" s="47"/>
      <x:c r="H129" s="48"/>
      <x:c r="I129" s="48"/>
      <x:c r="J129" s="47"/>
      <x:c r="K129" s="47"/>
      <x:c r="L129" s="57" t="str">
        <x:f>IF(COUNTA(A129:K129)=0,"",IF(K129="CANCELLED","CANCELLED",IF(A129="","INVOICE ID REQUIRED",IF(B129="","PROJECT ID REQUIRED",IF(NOT(ISNUMBER(C129)),"INVALID INVOICE DATE",IF(NOT(AND(ISNUMBER(C129),C129&gt;=2,C129&lt;=2958465,C129=INT(C129))),"INVALID INVOICE DATE",IF(NOT(OR(D129="MX",D129="US")),"ENTITY REQUIRED",IF(NOT(OR(E129="Strategic Services",E129="Brands")),"UNIT REQUIRED",IF(F129="","BRAND / N/A REQUIRED",IF(NOT(OR(G129="USD",G129="MXN")),"CURRENCY REQUIRED",IF(NOT(ISNUMBER(H129)),"AMOUNT REQUIRED",IF(J129="","ERP SOURCE REQUIRED",IF(NOT(OR(K129="ISSUED",K129="CANCELLED")),"INVOICE STATUS REQUIRED",IF(COUNTIFS($A$2:$A$501,A129,$B$2:$B$501,B129,$D$2:$D$501,D129)&gt;1,"DUPLICATE INVOICE / PROJECT",IF(SUMPRODUCT(--(('ERP Snapshot'!$A$2:$A$101&amp;"")=(B129&amp;"")))=0,"PROJECT NOT FOUND",IF(SUMPRODUCT(--(('ERP Snapshot'!$A$2:$A$101&amp;"")=(B129&amp;"")))&gt;1,"DUPLICATE PROJECT ID",IF(OR(SUMPRODUCT(--(('ERP Snapshot'!$A$2:$A$101&amp;"")=(B129&amp;"")),--('ERP Snapshot'!$Q$2:$Q$101=E129),--('ERP Snapshot'!$R$2:$R$101=F129))&lt;&gt;1,SUMPRODUCT(--('Commercial Catalogs'!$A$2:$A$10=E129),--('Commercial Catalogs'!$B$2:$B$10=F129),--('Commercial Catalogs'!$C$2:$C$10="YES"),--('Commercial Catalogs'!$D$2:$D$10="IN SCOPE"))=0,AND(E129="Strategic Services",F129&lt;&gt;"N/A"),AND(E129="Brands",F129="N/A")),"PROJECT CLASSIFICATION MISMATCH",IF(AND(G129="MXN",NOT(AND(ISNUMBER(I129),Settings!$B$8="APPROVED",Settings!$B$9&lt;&gt;"",Settings!$B$10&lt;&gt;""))),"FX HOLD","VALID"))))))))))))))))))</x:f>
      </x:c>
      <x:c r="M129" s="57" t="str">
        <x:f>IF(ISNUMBER(C129),IF(AND(ISNUMBER(C129),C129&gt;=2,C129&lt;=2958465,C129=INT(C129)),YEAR(C129)&amp;"-"&amp;IF(MONTH(C129)&lt;10,"0","")&amp;MONTH(C129),""),"")</x:f>
      </x:c>
      <x:c r="N129" s="59" t="str">
        <x:f>IF(L129="VALID",IF(G129="USD",H129,I129),"")</x:f>
      </x:c>
      <x:c r="O129" s="57" t="n">
        <x:f>IF(L129="VALID",IF(COUNTIFS($B$2:B129,B129,$M$2:M129,M129,$L$2:L129,"VALID")=1,1,0),0)</x:f>
        <x:v>0</x:v>
      </x:c>
    </x:row>
    <x:row r="130">
      <x:c r="A130" s="47"/>
      <x:c r="B130" s="47"/>
      <x:c r="C130" s="69"/>
      <x:c r="D130" s="47"/>
      <x:c r="E130" s="47"/>
      <x:c r="F130" s="47"/>
      <x:c r="G130" s="47"/>
      <x:c r="H130" s="48"/>
      <x:c r="I130" s="48"/>
      <x:c r="J130" s="47"/>
      <x:c r="K130" s="47"/>
      <x:c r="L130" s="57" t="str">
        <x:f>IF(COUNTA(A130:K130)=0,"",IF(K130="CANCELLED","CANCELLED",IF(A130="","INVOICE ID REQUIRED",IF(B130="","PROJECT ID REQUIRED",IF(NOT(ISNUMBER(C130)),"INVALID INVOICE DATE",IF(NOT(AND(ISNUMBER(C130),C130&gt;=2,C130&lt;=2958465,C130=INT(C130))),"INVALID INVOICE DATE",IF(NOT(OR(D130="MX",D130="US")),"ENTITY REQUIRED",IF(NOT(OR(E130="Strategic Services",E130="Brands")),"UNIT REQUIRED",IF(F130="","BRAND / N/A REQUIRED",IF(NOT(OR(G130="USD",G130="MXN")),"CURRENCY REQUIRED",IF(NOT(ISNUMBER(H130)),"AMOUNT REQUIRED",IF(J130="","ERP SOURCE REQUIRED",IF(NOT(OR(K130="ISSUED",K130="CANCELLED")),"INVOICE STATUS REQUIRED",IF(COUNTIFS($A$2:$A$501,A130,$B$2:$B$501,B130,$D$2:$D$501,D130)&gt;1,"DUPLICATE INVOICE / PROJECT",IF(SUMPRODUCT(--(('ERP Snapshot'!$A$2:$A$101&amp;"")=(B130&amp;"")))=0,"PROJECT NOT FOUND",IF(SUMPRODUCT(--(('ERP Snapshot'!$A$2:$A$101&amp;"")=(B130&amp;"")))&gt;1,"DUPLICATE PROJECT ID",IF(OR(SUMPRODUCT(--(('ERP Snapshot'!$A$2:$A$101&amp;"")=(B130&amp;"")),--('ERP Snapshot'!$Q$2:$Q$101=E130),--('ERP Snapshot'!$R$2:$R$101=F130))&lt;&gt;1,SUMPRODUCT(--('Commercial Catalogs'!$A$2:$A$10=E130),--('Commercial Catalogs'!$B$2:$B$10=F130),--('Commercial Catalogs'!$C$2:$C$10="YES"),--('Commercial Catalogs'!$D$2:$D$10="IN SCOPE"))=0,AND(E130="Strategic Services",F130&lt;&gt;"N/A"),AND(E130="Brands",F130="N/A")),"PROJECT CLASSIFICATION MISMATCH",IF(AND(G130="MXN",NOT(AND(ISNUMBER(I130),Settings!$B$8="APPROVED",Settings!$B$9&lt;&gt;"",Settings!$B$10&lt;&gt;""))),"FX HOLD","VALID"))))))))))))))))))</x:f>
      </x:c>
      <x:c r="M130" s="57" t="str">
        <x:f>IF(ISNUMBER(C130),IF(AND(ISNUMBER(C130),C130&gt;=2,C130&lt;=2958465,C130=INT(C130)),YEAR(C130)&amp;"-"&amp;IF(MONTH(C130)&lt;10,"0","")&amp;MONTH(C130),""),"")</x:f>
      </x:c>
      <x:c r="N130" s="59" t="str">
        <x:f>IF(L130="VALID",IF(G130="USD",H130,I130),"")</x:f>
      </x:c>
      <x:c r="O130" s="57" t="n">
        <x:f>IF(L130="VALID",IF(COUNTIFS($B$2:B130,B130,$M$2:M130,M130,$L$2:L130,"VALID")=1,1,0),0)</x:f>
        <x:v>0</x:v>
      </x:c>
    </x:row>
    <x:row r="131">
      <x:c r="A131" s="47"/>
      <x:c r="B131" s="47"/>
      <x:c r="C131" s="69"/>
      <x:c r="D131" s="47"/>
      <x:c r="E131" s="47"/>
      <x:c r="F131" s="47"/>
      <x:c r="G131" s="47"/>
      <x:c r="H131" s="48"/>
      <x:c r="I131" s="48"/>
      <x:c r="J131" s="47"/>
      <x:c r="K131" s="47"/>
      <x:c r="L131" s="57" t="str">
        <x:f>IF(COUNTA(A131:K131)=0,"",IF(K131="CANCELLED","CANCELLED",IF(A131="","INVOICE ID REQUIRED",IF(B131="","PROJECT ID REQUIRED",IF(NOT(ISNUMBER(C131)),"INVALID INVOICE DATE",IF(NOT(AND(ISNUMBER(C131),C131&gt;=2,C131&lt;=2958465,C131=INT(C131))),"INVALID INVOICE DATE",IF(NOT(OR(D131="MX",D131="US")),"ENTITY REQUIRED",IF(NOT(OR(E131="Strategic Services",E131="Brands")),"UNIT REQUIRED",IF(F131="","BRAND / N/A REQUIRED",IF(NOT(OR(G131="USD",G131="MXN")),"CURRENCY REQUIRED",IF(NOT(ISNUMBER(H131)),"AMOUNT REQUIRED",IF(J131="","ERP SOURCE REQUIRED",IF(NOT(OR(K131="ISSUED",K131="CANCELLED")),"INVOICE STATUS REQUIRED",IF(COUNTIFS($A$2:$A$501,A131,$B$2:$B$501,B131,$D$2:$D$501,D131)&gt;1,"DUPLICATE INVOICE / PROJECT",IF(SUMPRODUCT(--(('ERP Snapshot'!$A$2:$A$101&amp;"")=(B131&amp;"")))=0,"PROJECT NOT FOUND",IF(SUMPRODUCT(--(('ERP Snapshot'!$A$2:$A$101&amp;"")=(B131&amp;"")))&gt;1,"DUPLICATE PROJECT ID",IF(OR(SUMPRODUCT(--(('ERP Snapshot'!$A$2:$A$101&amp;"")=(B131&amp;"")),--('ERP Snapshot'!$Q$2:$Q$101=E131),--('ERP Snapshot'!$R$2:$R$101=F131))&lt;&gt;1,SUMPRODUCT(--('Commercial Catalogs'!$A$2:$A$10=E131),--('Commercial Catalogs'!$B$2:$B$10=F131),--('Commercial Catalogs'!$C$2:$C$10="YES"),--('Commercial Catalogs'!$D$2:$D$10="IN SCOPE"))=0,AND(E131="Strategic Services",F131&lt;&gt;"N/A"),AND(E131="Brands",F131="N/A")),"PROJECT CLASSIFICATION MISMATCH",IF(AND(G131="MXN",NOT(AND(ISNUMBER(I131),Settings!$B$8="APPROVED",Settings!$B$9&lt;&gt;"",Settings!$B$10&lt;&gt;""))),"FX HOLD","VALID"))))))))))))))))))</x:f>
      </x:c>
      <x:c r="M131" s="57" t="str">
        <x:f>IF(ISNUMBER(C131),IF(AND(ISNUMBER(C131),C131&gt;=2,C131&lt;=2958465,C131=INT(C131)),YEAR(C131)&amp;"-"&amp;IF(MONTH(C131)&lt;10,"0","")&amp;MONTH(C131),""),"")</x:f>
      </x:c>
      <x:c r="N131" s="59" t="str">
        <x:f>IF(L131="VALID",IF(G131="USD",H131,I131),"")</x:f>
      </x:c>
      <x:c r="O131" s="57" t="n">
        <x:f>IF(L131="VALID",IF(COUNTIFS($B$2:B131,B131,$M$2:M131,M131,$L$2:L131,"VALID")=1,1,0),0)</x:f>
        <x:v>0</x:v>
      </x:c>
    </x:row>
    <x:row r="132">
      <x:c r="A132" s="47"/>
      <x:c r="B132" s="47"/>
      <x:c r="C132" s="69"/>
      <x:c r="D132" s="47"/>
      <x:c r="E132" s="47"/>
      <x:c r="F132" s="47"/>
      <x:c r="G132" s="47"/>
      <x:c r="H132" s="48"/>
      <x:c r="I132" s="48"/>
      <x:c r="J132" s="47"/>
      <x:c r="K132" s="47"/>
      <x:c r="L132" s="57" t="str">
        <x:f>IF(COUNTA(A132:K132)=0,"",IF(K132="CANCELLED","CANCELLED",IF(A132="","INVOICE ID REQUIRED",IF(B132="","PROJECT ID REQUIRED",IF(NOT(ISNUMBER(C132)),"INVALID INVOICE DATE",IF(NOT(AND(ISNUMBER(C132),C132&gt;=2,C132&lt;=2958465,C132=INT(C132))),"INVALID INVOICE DATE",IF(NOT(OR(D132="MX",D132="US")),"ENTITY REQUIRED",IF(NOT(OR(E132="Strategic Services",E132="Brands")),"UNIT REQUIRED",IF(F132="","BRAND / N/A REQUIRED",IF(NOT(OR(G132="USD",G132="MXN")),"CURRENCY REQUIRED",IF(NOT(ISNUMBER(H132)),"AMOUNT REQUIRED",IF(J132="","ERP SOURCE REQUIRED",IF(NOT(OR(K132="ISSUED",K132="CANCELLED")),"INVOICE STATUS REQUIRED",IF(COUNTIFS($A$2:$A$501,A132,$B$2:$B$501,B132,$D$2:$D$501,D132)&gt;1,"DUPLICATE INVOICE / PROJECT",IF(SUMPRODUCT(--(('ERP Snapshot'!$A$2:$A$101&amp;"")=(B132&amp;"")))=0,"PROJECT NOT FOUND",IF(SUMPRODUCT(--(('ERP Snapshot'!$A$2:$A$101&amp;"")=(B132&amp;"")))&gt;1,"DUPLICATE PROJECT ID",IF(OR(SUMPRODUCT(--(('ERP Snapshot'!$A$2:$A$101&amp;"")=(B132&amp;"")),--('ERP Snapshot'!$Q$2:$Q$101=E132),--('ERP Snapshot'!$R$2:$R$101=F132))&lt;&gt;1,SUMPRODUCT(--('Commercial Catalogs'!$A$2:$A$10=E132),--('Commercial Catalogs'!$B$2:$B$10=F132),--('Commercial Catalogs'!$C$2:$C$10="YES"),--('Commercial Catalogs'!$D$2:$D$10="IN SCOPE"))=0,AND(E132="Strategic Services",F132&lt;&gt;"N/A"),AND(E132="Brands",F132="N/A")),"PROJECT CLASSIFICATION MISMATCH",IF(AND(G132="MXN",NOT(AND(ISNUMBER(I132),Settings!$B$8="APPROVED",Settings!$B$9&lt;&gt;"",Settings!$B$10&lt;&gt;""))),"FX HOLD","VALID"))))))))))))))))))</x:f>
      </x:c>
      <x:c r="M132" s="57" t="str">
        <x:f>IF(ISNUMBER(C132),IF(AND(ISNUMBER(C132),C132&gt;=2,C132&lt;=2958465,C132=INT(C132)),YEAR(C132)&amp;"-"&amp;IF(MONTH(C132)&lt;10,"0","")&amp;MONTH(C132),""),"")</x:f>
      </x:c>
      <x:c r="N132" s="59" t="str">
        <x:f>IF(L132="VALID",IF(G132="USD",H132,I132),"")</x:f>
      </x:c>
      <x:c r="O132" s="57" t="n">
        <x:f>IF(L132="VALID",IF(COUNTIFS($B$2:B132,B132,$M$2:M132,M132,$L$2:L132,"VALID")=1,1,0),0)</x:f>
        <x:v>0</x:v>
      </x:c>
    </x:row>
    <x:row r="133">
      <x:c r="A133" s="47"/>
      <x:c r="B133" s="47"/>
      <x:c r="C133" s="69"/>
      <x:c r="D133" s="47"/>
      <x:c r="E133" s="47"/>
      <x:c r="F133" s="47"/>
      <x:c r="G133" s="47"/>
      <x:c r="H133" s="48"/>
      <x:c r="I133" s="48"/>
      <x:c r="J133" s="47"/>
      <x:c r="K133" s="47"/>
      <x:c r="L133" s="57" t="str">
        <x:f>IF(COUNTA(A133:K133)=0,"",IF(K133="CANCELLED","CANCELLED",IF(A133="","INVOICE ID REQUIRED",IF(B133="","PROJECT ID REQUIRED",IF(NOT(ISNUMBER(C133)),"INVALID INVOICE DATE",IF(NOT(AND(ISNUMBER(C133),C133&gt;=2,C133&lt;=2958465,C133=INT(C133))),"INVALID INVOICE DATE",IF(NOT(OR(D133="MX",D133="US")),"ENTITY REQUIRED",IF(NOT(OR(E133="Strategic Services",E133="Brands")),"UNIT REQUIRED",IF(F133="","BRAND / N/A REQUIRED",IF(NOT(OR(G133="USD",G133="MXN")),"CURRENCY REQUIRED",IF(NOT(ISNUMBER(H133)),"AMOUNT REQUIRED",IF(J133="","ERP SOURCE REQUIRED",IF(NOT(OR(K133="ISSUED",K133="CANCELLED")),"INVOICE STATUS REQUIRED",IF(COUNTIFS($A$2:$A$501,A133,$B$2:$B$501,B133,$D$2:$D$501,D133)&gt;1,"DUPLICATE INVOICE / PROJECT",IF(SUMPRODUCT(--(('ERP Snapshot'!$A$2:$A$101&amp;"")=(B133&amp;"")))=0,"PROJECT NOT FOUND",IF(SUMPRODUCT(--(('ERP Snapshot'!$A$2:$A$101&amp;"")=(B133&amp;"")))&gt;1,"DUPLICATE PROJECT ID",IF(OR(SUMPRODUCT(--(('ERP Snapshot'!$A$2:$A$101&amp;"")=(B133&amp;"")),--('ERP Snapshot'!$Q$2:$Q$101=E133),--('ERP Snapshot'!$R$2:$R$101=F133))&lt;&gt;1,SUMPRODUCT(--('Commercial Catalogs'!$A$2:$A$10=E133),--('Commercial Catalogs'!$B$2:$B$10=F133),--('Commercial Catalogs'!$C$2:$C$10="YES"),--('Commercial Catalogs'!$D$2:$D$10="IN SCOPE"))=0,AND(E133="Strategic Services",F133&lt;&gt;"N/A"),AND(E133="Brands",F133="N/A")),"PROJECT CLASSIFICATION MISMATCH",IF(AND(G133="MXN",NOT(AND(ISNUMBER(I133),Settings!$B$8="APPROVED",Settings!$B$9&lt;&gt;"",Settings!$B$10&lt;&gt;""))),"FX HOLD","VALID"))))))))))))))))))</x:f>
      </x:c>
      <x:c r="M133" s="57" t="str">
        <x:f>IF(ISNUMBER(C133),IF(AND(ISNUMBER(C133),C133&gt;=2,C133&lt;=2958465,C133=INT(C133)),YEAR(C133)&amp;"-"&amp;IF(MONTH(C133)&lt;10,"0","")&amp;MONTH(C133),""),"")</x:f>
      </x:c>
      <x:c r="N133" s="59" t="str">
        <x:f>IF(L133="VALID",IF(G133="USD",H133,I133),"")</x:f>
      </x:c>
      <x:c r="O133" s="57" t="n">
        <x:f>IF(L133="VALID",IF(COUNTIFS($B$2:B133,B133,$M$2:M133,M133,$L$2:L133,"VALID")=1,1,0),0)</x:f>
        <x:v>0</x:v>
      </x:c>
    </x:row>
    <x:row r="134">
      <x:c r="A134" s="47"/>
      <x:c r="B134" s="47"/>
      <x:c r="C134" s="69"/>
      <x:c r="D134" s="47"/>
      <x:c r="E134" s="47"/>
      <x:c r="F134" s="47"/>
      <x:c r="G134" s="47"/>
      <x:c r="H134" s="48"/>
      <x:c r="I134" s="48"/>
      <x:c r="J134" s="47"/>
      <x:c r="K134" s="47"/>
      <x:c r="L134" s="57" t="str">
        <x:f>IF(COUNTA(A134:K134)=0,"",IF(K134="CANCELLED","CANCELLED",IF(A134="","INVOICE ID REQUIRED",IF(B134="","PROJECT ID REQUIRED",IF(NOT(ISNUMBER(C134)),"INVALID INVOICE DATE",IF(NOT(AND(ISNUMBER(C134),C134&gt;=2,C134&lt;=2958465,C134=INT(C134))),"INVALID INVOICE DATE",IF(NOT(OR(D134="MX",D134="US")),"ENTITY REQUIRED",IF(NOT(OR(E134="Strategic Services",E134="Brands")),"UNIT REQUIRED",IF(F134="","BRAND / N/A REQUIRED",IF(NOT(OR(G134="USD",G134="MXN")),"CURRENCY REQUIRED",IF(NOT(ISNUMBER(H134)),"AMOUNT REQUIRED",IF(J134="","ERP SOURCE REQUIRED",IF(NOT(OR(K134="ISSUED",K134="CANCELLED")),"INVOICE STATUS REQUIRED",IF(COUNTIFS($A$2:$A$501,A134,$B$2:$B$501,B134,$D$2:$D$501,D134)&gt;1,"DUPLICATE INVOICE / PROJECT",IF(SUMPRODUCT(--(('ERP Snapshot'!$A$2:$A$101&amp;"")=(B134&amp;"")))=0,"PROJECT NOT FOUND",IF(SUMPRODUCT(--(('ERP Snapshot'!$A$2:$A$101&amp;"")=(B134&amp;"")))&gt;1,"DUPLICATE PROJECT ID",IF(OR(SUMPRODUCT(--(('ERP Snapshot'!$A$2:$A$101&amp;"")=(B134&amp;"")),--('ERP Snapshot'!$Q$2:$Q$101=E134),--('ERP Snapshot'!$R$2:$R$101=F134))&lt;&gt;1,SUMPRODUCT(--('Commercial Catalogs'!$A$2:$A$10=E134),--('Commercial Catalogs'!$B$2:$B$10=F134),--('Commercial Catalogs'!$C$2:$C$10="YES"),--('Commercial Catalogs'!$D$2:$D$10="IN SCOPE"))=0,AND(E134="Strategic Services",F134&lt;&gt;"N/A"),AND(E134="Brands",F134="N/A")),"PROJECT CLASSIFICATION MISMATCH",IF(AND(G134="MXN",NOT(AND(ISNUMBER(I134),Settings!$B$8="APPROVED",Settings!$B$9&lt;&gt;"",Settings!$B$10&lt;&gt;""))),"FX HOLD","VALID"))))))))))))))))))</x:f>
      </x:c>
      <x:c r="M134" s="57" t="str">
        <x:f>IF(ISNUMBER(C134),IF(AND(ISNUMBER(C134),C134&gt;=2,C134&lt;=2958465,C134=INT(C134)),YEAR(C134)&amp;"-"&amp;IF(MONTH(C134)&lt;10,"0","")&amp;MONTH(C134),""),"")</x:f>
      </x:c>
      <x:c r="N134" s="59" t="str">
        <x:f>IF(L134="VALID",IF(G134="USD",H134,I134),"")</x:f>
      </x:c>
      <x:c r="O134" s="57" t="n">
        <x:f>IF(L134="VALID",IF(COUNTIFS($B$2:B134,B134,$M$2:M134,M134,$L$2:L134,"VALID")=1,1,0),0)</x:f>
        <x:v>0</x:v>
      </x:c>
    </x:row>
    <x:row r="135">
      <x:c r="A135" s="47"/>
      <x:c r="B135" s="47"/>
      <x:c r="C135" s="69"/>
      <x:c r="D135" s="47"/>
      <x:c r="E135" s="47"/>
      <x:c r="F135" s="47"/>
      <x:c r="G135" s="47"/>
      <x:c r="H135" s="48"/>
      <x:c r="I135" s="48"/>
      <x:c r="J135" s="47"/>
      <x:c r="K135" s="47"/>
      <x:c r="L135" s="57" t="str">
        <x:f>IF(COUNTA(A135:K135)=0,"",IF(K135="CANCELLED","CANCELLED",IF(A135="","INVOICE ID REQUIRED",IF(B135="","PROJECT ID REQUIRED",IF(NOT(ISNUMBER(C135)),"INVALID INVOICE DATE",IF(NOT(AND(ISNUMBER(C135),C135&gt;=2,C135&lt;=2958465,C135=INT(C135))),"INVALID INVOICE DATE",IF(NOT(OR(D135="MX",D135="US")),"ENTITY REQUIRED",IF(NOT(OR(E135="Strategic Services",E135="Brands")),"UNIT REQUIRED",IF(F135="","BRAND / N/A REQUIRED",IF(NOT(OR(G135="USD",G135="MXN")),"CURRENCY REQUIRED",IF(NOT(ISNUMBER(H135)),"AMOUNT REQUIRED",IF(J135="","ERP SOURCE REQUIRED",IF(NOT(OR(K135="ISSUED",K135="CANCELLED")),"INVOICE STATUS REQUIRED",IF(COUNTIFS($A$2:$A$501,A135,$B$2:$B$501,B135,$D$2:$D$501,D135)&gt;1,"DUPLICATE INVOICE / PROJECT",IF(SUMPRODUCT(--(('ERP Snapshot'!$A$2:$A$101&amp;"")=(B135&amp;"")))=0,"PROJECT NOT FOUND",IF(SUMPRODUCT(--(('ERP Snapshot'!$A$2:$A$101&amp;"")=(B135&amp;"")))&gt;1,"DUPLICATE PROJECT ID",IF(OR(SUMPRODUCT(--(('ERP Snapshot'!$A$2:$A$101&amp;"")=(B135&amp;"")),--('ERP Snapshot'!$Q$2:$Q$101=E135),--('ERP Snapshot'!$R$2:$R$101=F135))&lt;&gt;1,SUMPRODUCT(--('Commercial Catalogs'!$A$2:$A$10=E135),--('Commercial Catalogs'!$B$2:$B$10=F135),--('Commercial Catalogs'!$C$2:$C$10="YES"),--('Commercial Catalogs'!$D$2:$D$10="IN SCOPE"))=0,AND(E135="Strategic Services",F135&lt;&gt;"N/A"),AND(E135="Brands",F135="N/A")),"PROJECT CLASSIFICATION MISMATCH",IF(AND(G135="MXN",NOT(AND(ISNUMBER(I135),Settings!$B$8="APPROVED",Settings!$B$9&lt;&gt;"",Settings!$B$10&lt;&gt;""))),"FX HOLD","VALID"))))))))))))))))))</x:f>
      </x:c>
      <x:c r="M135" s="57" t="str">
        <x:f>IF(ISNUMBER(C135),IF(AND(ISNUMBER(C135),C135&gt;=2,C135&lt;=2958465,C135=INT(C135)),YEAR(C135)&amp;"-"&amp;IF(MONTH(C135)&lt;10,"0","")&amp;MONTH(C135),""),"")</x:f>
      </x:c>
      <x:c r="N135" s="59" t="str">
        <x:f>IF(L135="VALID",IF(G135="USD",H135,I135),"")</x:f>
      </x:c>
      <x:c r="O135" s="57" t="n">
        <x:f>IF(L135="VALID",IF(COUNTIFS($B$2:B135,B135,$M$2:M135,M135,$L$2:L135,"VALID")=1,1,0),0)</x:f>
        <x:v>0</x:v>
      </x:c>
    </x:row>
    <x:row r="136">
      <x:c r="A136" s="47"/>
      <x:c r="B136" s="47"/>
      <x:c r="C136" s="69"/>
      <x:c r="D136" s="47"/>
      <x:c r="E136" s="47"/>
      <x:c r="F136" s="47"/>
      <x:c r="G136" s="47"/>
      <x:c r="H136" s="48"/>
      <x:c r="I136" s="48"/>
      <x:c r="J136" s="47"/>
      <x:c r="K136" s="47"/>
      <x:c r="L136" s="57" t="str">
        <x:f>IF(COUNTA(A136:K136)=0,"",IF(K136="CANCELLED","CANCELLED",IF(A136="","INVOICE ID REQUIRED",IF(B136="","PROJECT ID REQUIRED",IF(NOT(ISNUMBER(C136)),"INVALID INVOICE DATE",IF(NOT(AND(ISNUMBER(C136),C136&gt;=2,C136&lt;=2958465,C136=INT(C136))),"INVALID INVOICE DATE",IF(NOT(OR(D136="MX",D136="US")),"ENTITY REQUIRED",IF(NOT(OR(E136="Strategic Services",E136="Brands")),"UNIT REQUIRED",IF(F136="","BRAND / N/A REQUIRED",IF(NOT(OR(G136="USD",G136="MXN")),"CURRENCY REQUIRED",IF(NOT(ISNUMBER(H136)),"AMOUNT REQUIRED",IF(J136="","ERP SOURCE REQUIRED",IF(NOT(OR(K136="ISSUED",K136="CANCELLED")),"INVOICE STATUS REQUIRED",IF(COUNTIFS($A$2:$A$501,A136,$B$2:$B$501,B136,$D$2:$D$501,D136)&gt;1,"DUPLICATE INVOICE / PROJECT",IF(SUMPRODUCT(--(('ERP Snapshot'!$A$2:$A$101&amp;"")=(B136&amp;"")))=0,"PROJECT NOT FOUND",IF(SUMPRODUCT(--(('ERP Snapshot'!$A$2:$A$101&amp;"")=(B136&amp;"")))&gt;1,"DUPLICATE PROJECT ID",IF(OR(SUMPRODUCT(--(('ERP Snapshot'!$A$2:$A$101&amp;"")=(B136&amp;"")),--('ERP Snapshot'!$Q$2:$Q$101=E136),--('ERP Snapshot'!$R$2:$R$101=F136))&lt;&gt;1,SUMPRODUCT(--('Commercial Catalogs'!$A$2:$A$10=E136),--('Commercial Catalogs'!$B$2:$B$10=F136),--('Commercial Catalogs'!$C$2:$C$10="YES"),--('Commercial Catalogs'!$D$2:$D$10="IN SCOPE"))=0,AND(E136="Strategic Services",F136&lt;&gt;"N/A"),AND(E136="Brands",F136="N/A")),"PROJECT CLASSIFICATION MISMATCH",IF(AND(G136="MXN",NOT(AND(ISNUMBER(I136),Settings!$B$8="APPROVED",Settings!$B$9&lt;&gt;"",Settings!$B$10&lt;&gt;""))),"FX HOLD","VALID"))))))))))))))))))</x:f>
      </x:c>
      <x:c r="M136" s="57" t="str">
        <x:f>IF(ISNUMBER(C136),IF(AND(ISNUMBER(C136),C136&gt;=2,C136&lt;=2958465,C136=INT(C136)),YEAR(C136)&amp;"-"&amp;IF(MONTH(C136)&lt;10,"0","")&amp;MONTH(C136),""),"")</x:f>
      </x:c>
      <x:c r="N136" s="59" t="str">
        <x:f>IF(L136="VALID",IF(G136="USD",H136,I136),"")</x:f>
      </x:c>
      <x:c r="O136" s="57" t="n">
        <x:f>IF(L136="VALID",IF(COUNTIFS($B$2:B136,B136,$M$2:M136,M136,$L$2:L136,"VALID")=1,1,0),0)</x:f>
        <x:v>0</x:v>
      </x:c>
    </x:row>
    <x:row r="137">
      <x:c r="A137" s="47"/>
      <x:c r="B137" s="47"/>
      <x:c r="C137" s="69"/>
      <x:c r="D137" s="47"/>
      <x:c r="E137" s="47"/>
      <x:c r="F137" s="47"/>
      <x:c r="G137" s="47"/>
      <x:c r="H137" s="48"/>
      <x:c r="I137" s="48"/>
      <x:c r="J137" s="47"/>
      <x:c r="K137" s="47"/>
      <x:c r="L137" s="57" t="str">
        <x:f>IF(COUNTA(A137:K137)=0,"",IF(K137="CANCELLED","CANCELLED",IF(A137="","INVOICE ID REQUIRED",IF(B137="","PROJECT ID REQUIRED",IF(NOT(ISNUMBER(C137)),"INVALID INVOICE DATE",IF(NOT(AND(ISNUMBER(C137),C137&gt;=2,C137&lt;=2958465,C137=INT(C137))),"INVALID INVOICE DATE",IF(NOT(OR(D137="MX",D137="US")),"ENTITY REQUIRED",IF(NOT(OR(E137="Strategic Services",E137="Brands")),"UNIT REQUIRED",IF(F137="","BRAND / N/A REQUIRED",IF(NOT(OR(G137="USD",G137="MXN")),"CURRENCY REQUIRED",IF(NOT(ISNUMBER(H137)),"AMOUNT REQUIRED",IF(J137="","ERP SOURCE REQUIRED",IF(NOT(OR(K137="ISSUED",K137="CANCELLED")),"INVOICE STATUS REQUIRED",IF(COUNTIFS($A$2:$A$501,A137,$B$2:$B$501,B137,$D$2:$D$501,D137)&gt;1,"DUPLICATE INVOICE / PROJECT",IF(SUMPRODUCT(--(('ERP Snapshot'!$A$2:$A$101&amp;"")=(B137&amp;"")))=0,"PROJECT NOT FOUND",IF(SUMPRODUCT(--(('ERP Snapshot'!$A$2:$A$101&amp;"")=(B137&amp;"")))&gt;1,"DUPLICATE PROJECT ID",IF(OR(SUMPRODUCT(--(('ERP Snapshot'!$A$2:$A$101&amp;"")=(B137&amp;"")),--('ERP Snapshot'!$Q$2:$Q$101=E137),--('ERP Snapshot'!$R$2:$R$101=F137))&lt;&gt;1,SUMPRODUCT(--('Commercial Catalogs'!$A$2:$A$10=E137),--('Commercial Catalogs'!$B$2:$B$10=F137),--('Commercial Catalogs'!$C$2:$C$10="YES"),--('Commercial Catalogs'!$D$2:$D$10="IN SCOPE"))=0,AND(E137="Strategic Services",F137&lt;&gt;"N/A"),AND(E137="Brands",F137="N/A")),"PROJECT CLASSIFICATION MISMATCH",IF(AND(G137="MXN",NOT(AND(ISNUMBER(I137),Settings!$B$8="APPROVED",Settings!$B$9&lt;&gt;"",Settings!$B$10&lt;&gt;""))),"FX HOLD","VALID"))))))))))))))))))</x:f>
      </x:c>
      <x:c r="M137" s="57" t="str">
        <x:f>IF(ISNUMBER(C137),IF(AND(ISNUMBER(C137),C137&gt;=2,C137&lt;=2958465,C137=INT(C137)),YEAR(C137)&amp;"-"&amp;IF(MONTH(C137)&lt;10,"0","")&amp;MONTH(C137),""),"")</x:f>
      </x:c>
      <x:c r="N137" s="59" t="str">
        <x:f>IF(L137="VALID",IF(G137="USD",H137,I137),"")</x:f>
      </x:c>
      <x:c r="O137" s="57" t="n">
        <x:f>IF(L137="VALID",IF(COUNTIFS($B$2:B137,B137,$M$2:M137,M137,$L$2:L137,"VALID")=1,1,0),0)</x:f>
        <x:v>0</x:v>
      </x:c>
    </x:row>
    <x:row r="138">
      <x:c r="A138" s="47"/>
      <x:c r="B138" s="47"/>
      <x:c r="C138" s="69"/>
      <x:c r="D138" s="47"/>
      <x:c r="E138" s="47"/>
      <x:c r="F138" s="47"/>
      <x:c r="G138" s="47"/>
      <x:c r="H138" s="48"/>
      <x:c r="I138" s="48"/>
      <x:c r="J138" s="47"/>
      <x:c r="K138" s="47"/>
      <x:c r="L138" s="57" t="str">
        <x:f>IF(COUNTA(A138:K138)=0,"",IF(K138="CANCELLED","CANCELLED",IF(A138="","INVOICE ID REQUIRED",IF(B138="","PROJECT ID REQUIRED",IF(NOT(ISNUMBER(C138)),"INVALID INVOICE DATE",IF(NOT(AND(ISNUMBER(C138),C138&gt;=2,C138&lt;=2958465,C138=INT(C138))),"INVALID INVOICE DATE",IF(NOT(OR(D138="MX",D138="US")),"ENTITY REQUIRED",IF(NOT(OR(E138="Strategic Services",E138="Brands")),"UNIT REQUIRED",IF(F138="","BRAND / N/A REQUIRED",IF(NOT(OR(G138="USD",G138="MXN")),"CURRENCY REQUIRED",IF(NOT(ISNUMBER(H138)),"AMOUNT REQUIRED",IF(J138="","ERP SOURCE REQUIRED",IF(NOT(OR(K138="ISSUED",K138="CANCELLED")),"INVOICE STATUS REQUIRED",IF(COUNTIFS($A$2:$A$501,A138,$B$2:$B$501,B138,$D$2:$D$501,D138)&gt;1,"DUPLICATE INVOICE / PROJECT",IF(SUMPRODUCT(--(('ERP Snapshot'!$A$2:$A$101&amp;"")=(B138&amp;"")))=0,"PROJECT NOT FOUND",IF(SUMPRODUCT(--(('ERP Snapshot'!$A$2:$A$101&amp;"")=(B138&amp;"")))&gt;1,"DUPLICATE PROJECT ID",IF(OR(SUMPRODUCT(--(('ERP Snapshot'!$A$2:$A$101&amp;"")=(B138&amp;"")),--('ERP Snapshot'!$Q$2:$Q$101=E138),--('ERP Snapshot'!$R$2:$R$101=F138))&lt;&gt;1,SUMPRODUCT(--('Commercial Catalogs'!$A$2:$A$10=E138),--('Commercial Catalogs'!$B$2:$B$10=F138),--('Commercial Catalogs'!$C$2:$C$10="YES"),--('Commercial Catalogs'!$D$2:$D$10="IN SCOPE"))=0,AND(E138="Strategic Services",F138&lt;&gt;"N/A"),AND(E138="Brands",F138="N/A")),"PROJECT CLASSIFICATION MISMATCH",IF(AND(G138="MXN",NOT(AND(ISNUMBER(I138),Settings!$B$8="APPROVED",Settings!$B$9&lt;&gt;"",Settings!$B$10&lt;&gt;""))),"FX HOLD","VALID"))))))))))))))))))</x:f>
      </x:c>
      <x:c r="M138" s="57" t="str">
        <x:f>IF(ISNUMBER(C138),IF(AND(ISNUMBER(C138),C138&gt;=2,C138&lt;=2958465,C138=INT(C138)),YEAR(C138)&amp;"-"&amp;IF(MONTH(C138)&lt;10,"0","")&amp;MONTH(C138),""),"")</x:f>
      </x:c>
      <x:c r="N138" s="59" t="str">
        <x:f>IF(L138="VALID",IF(G138="USD",H138,I138),"")</x:f>
      </x:c>
      <x:c r="O138" s="57" t="n">
        <x:f>IF(L138="VALID",IF(COUNTIFS($B$2:B138,B138,$M$2:M138,M138,$L$2:L138,"VALID")=1,1,0),0)</x:f>
        <x:v>0</x:v>
      </x:c>
    </x:row>
    <x:row r="139">
      <x:c r="A139" s="47"/>
      <x:c r="B139" s="47"/>
      <x:c r="C139" s="69"/>
      <x:c r="D139" s="47"/>
      <x:c r="E139" s="47"/>
      <x:c r="F139" s="47"/>
      <x:c r="G139" s="47"/>
      <x:c r="H139" s="48"/>
      <x:c r="I139" s="48"/>
      <x:c r="J139" s="47"/>
      <x:c r="K139" s="47"/>
      <x:c r="L139" s="57" t="str">
        <x:f>IF(COUNTA(A139:K139)=0,"",IF(K139="CANCELLED","CANCELLED",IF(A139="","INVOICE ID REQUIRED",IF(B139="","PROJECT ID REQUIRED",IF(NOT(ISNUMBER(C139)),"INVALID INVOICE DATE",IF(NOT(AND(ISNUMBER(C139),C139&gt;=2,C139&lt;=2958465,C139=INT(C139))),"INVALID INVOICE DATE",IF(NOT(OR(D139="MX",D139="US")),"ENTITY REQUIRED",IF(NOT(OR(E139="Strategic Services",E139="Brands")),"UNIT REQUIRED",IF(F139="","BRAND / N/A REQUIRED",IF(NOT(OR(G139="USD",G139="MXN")),"CURRENCY REQUIRED",IF(NOT(ISNUMBER(H139)),"AMOUNT REQUIRED",IF(J139="","ERP SOURCE REQUIRED",IF(NOT(OR(K139="ISSUED",K139="CANCELLED")),"INVOICE STATUS REQUIRED",IF(COUNTIFS($A$2:$A$501,A139,$B$2:$B$501,B139,$D$2:$D$501,D139)&gt;1,"DUPLICATE INVOICE / PROJECT",IF(SUMPRODUCT(--(('ERP Snapshot'!$A$2:$A$101&amp;"")=(B139&amp;"")))=0,"PROJECT NOT FOUND",IF(SUMPRODUCT(--(('ERP Snapshot'!$A$2:$A$101&amp;"")=(B139&amp;"")))&gt;1,"DUPLICATE PROJECT ID",IF(OR(SUMPRODUCT(--(('ERP Snapshot'!$A$2:$A$101&amp;"")=(B139&amp;"")),--('ERP Snapshot'!$Q$2:$Q$101=E139),--('ERP Snapshot'!$R$2:$R$101=F139))&lt;&gt;1,SUMPRODUCT(--('Commercial Catalogs'!$A$2:$A$10=E139),--('Commercial Catalogs'!$B$2:$B$10=F139),--('Commercial Catalogs'!$C$2:$C$10="YES"),--('Commercial Catalogs'!$D$2:$D$10="IN SCOPE"))=0,AND(E139="Strategic Services",F139&lt;&gt;"N/A"),AND(E139="Brands",F139="N/A")),"PROJECT CLASSIFICATION MISMATCH",IF(AND(G139="MXN",NOT(AND(ISNUMBER(I139),Settings!$B$8="APPROVED",Settings!$B$9&lt;&gt;"",Settings!$B$10&lt;&gt;""))),"FX HOLD","VALID"))))))))))))))))))</x:f>
      </x:c>
      <x:c r="M139" s="57" t="str">
        <x:f>IF(ISNUMBER(C139),IF(AND(ISNUMBER(C139),C139&gt;=2,C139&lt;=2958465,C139=INT(C139)),YEAR(C139)&amp;"-"&amp;IF(MONTH(C139)&lt;10,"0","")&amp;MONTH(C139),""),"")</x:f>
      </x:c>
      <x:c r="N139" s="59" t="str">
        <x:f>IF(L139="VALID",IF(G139="USD",H139,I139),"")</x:f>
      </x:c>
      <x:c r="O139" s="57" t="n">
        <x:f>IF(L139="VALID",IF(COUNTIFS($B$2:B139,B139,$M$2:M139,M139,$L$2:L139,"VALID")=1,1,0),0)</x:f>
        <x:v>0</x:v>
      </x:c>
    </x:row>
    <x:row r="140">
      <x:c r="A140" s="47"/>
      <x:c r="B140" s="47"/>
      <x:c r="C140" s="69"/>
      <x:c r="D140" s="47"/>
      <x:c r="E140" s="47"/>
      <x:c r="F140" s="47"/>
      <x:c r="G140" s="47"/>
      <x:c r="H140" s="48"/>
      <x:c r="I140" s="48"/>
      <x:c r="J140" s="47"/>
      <x:c r="K140" s="47"/>
      <x:c r="L140" s="57" t="str">
        <x:f>IF(COUNTA(A140:K140)=0,"",IF(K140="CANCELLED","CANCELLED",IF(A140="","INVOICE ID REQUIRED",IF(B140="","PROJECT ID REQUIRED",IF(NOT(ISNUMBER(C140)),"INVALID INVOICE DATE",IF(NOT(AND(ISNUMBER(C140),C140&gt;=2,C140&lt;=2958465,C140=INT(C140))),"INVALID INVOICE DATE",IF(NOT(OR(D140="MX",D140="US")),"ENTITY REQUIRED",IF(NOT(OR(E140="Strategic Services",E140="Brands")),"UNIT REQUIRED",IF(F140="","BRAND / N/A REQUIRED",IF(NOT(OR(G140="USD",G140="MXN")),"CURRENCY REQUIRED",IF(NOT(ISNUMBER(H140)),"AMOUNT REQUIRED",IF(J140="","ERP SOURCE REQUIRED",IF(NOT(OR(K140="ISSUED",K140="CANCELLED")),"INVOICE STATUS REQUIRED",IF(COUNTIFS($A$2:$A$501,A140,$B$2:$B$501,B140,$D$2:$D$501,D140)&gt;1,"DUPLICATE INVOICE / PROJECT",IF(SUMPRODUCT(--(('ERP Snapshot'!$A$2:$A$101&amp;"")=(B140&amp;"")))=0,"PROJECT NOT FOUND",IF(SUMPRODUCT(--(('ERP Snapshot'!$A$2:$A$101&amp;"")=(B140&amp;"")))&gt;1,"DUPLICATE PROJECT ID",IF(OR(SUMPRODUCT(--(('ERP Snapshot'!$A$2:$A$101&amp;"")=(B140&amp;"")),--('ERP Snapshot'!$Q$2:$Q$101=E140),--('ERP Snapshot'!$R$2:$R$101=F140))&lt;&gt;1,SUMPRODUCT(--('Commercial Catalogs'!$A$2:$A$10=E140),--('Commercial Catalogs'!$B$2:$B$10=F140),--('Commercial Catalogs'!$C$2:$C$10="YES"),--('Commercial Catalogs'!$D$2:$D$10="IN SCOPE"))=0,AND(E140="Strategic Services",F140&lt;&gt;"N/A"),AND(E140="Brands",F140="N/A")),"PROJECT CLASSIFICATION MISMATCH",IF(AND(G140="MXN",NOT(AND(ISNUMBER(I140),Settings!$B$8="APPROVED",Settings!$B$9&lt;&gt;"",Settings!$B$10&lt;&gt;""))),"FX HOLD","VALID"))))))))))))))))))</x:f>
      </x:c>
      <x:c r="M140" s="57" t="str">
        <x:f>IF(ISNUMBER(C140),IF(AND(ISNUMBER(C140),C140&gt;=2,C140&lt;=2958465,C140=INT(C140)),YEAR(C140)&amp;"-"&amp;IF(MONTH(C140)&lt;10,"0","")&amp;MONTH(C140),""),"")</x:f>
      </x:c>
      <x:c r="N140" s="59" t="str">
        <x:f>IF(L140="VALID",IF(G140="USD",H140,I140),"")</x:f>
      </x:c>
      <x:c r="O140" s="57" t="n">
        <x:f>IF(L140="VALID",IF(COUNTIFS($B$2:B140,B140,$M$2:M140,M140,$L$2:L140,"VALID")=1,1,0),0)</x:f>
        <x:v>0</x:v>
      </x:c>
    </x:row>
    <x:row r="141">
      <x:c r="A141" s="47"/>
      <x:c r="B141" s="47"/>
      <x:c r="C141" s="69"/>
      <x:c r="D141" s="47"/>
      <x:c r="E141" s="47"/>
      <x:c r="F141" s="47"/>
      <x:c r="G141" s="47"/>
      <x:c r="H141" s="48"/>
      <x:c r="I141" s="48"/>
      <x:c r="J141" s="47"/>
      <x:c r="K141" s="47"/>
      <x:c r="L141" s="57" t="str">
        <x:f>IF(COUNTA(A141:K141)=0,"",IF(K141="CANCELLED","CANCELLED",IF(A141="","INVOICE ID REQUIRED",IF(B141="","PROJECT ID REQUIRED",IF(NOT(ISNUMBER(C141)),"INVALID INVOICE DATE",IF(NOT(AND(ISNUMBER(C141),C141&gt;=2,C141&lt;=2958465,C141=INT(C141))),"INVALID INVOICE DATE",IF(NOT(OR(D141="MX",D141="US")),"ENTITY REQUIRED",IF(NOT(OR(E141="Strategic Services",E141="Brands")),"UNIT REQUIRED",IF(F141="","BRAND / N/A REQUIRED",IF(NOT(OR(G141="USD",G141="MXN")),"CURRENCY REQUIRED",IF(NOT(ISNUMBER(H141)),"AMOUNT REQUIRED",IF(J141="","ERP SOURCE REQUIRED",IF(NOT(OR(K141="ISSUED",K141="CANCELLED")),"INVOICE STATUS REQUIRED",IF(COUNTIFS($A$2:$A$501,A141,$B$2:$B$501,B141,$D$2:$D$501,D141)&gt;1,"DUPLICATE INVOICE / PROJECT",IF(SUMPRODUCT(--(('ERP Snapshot'!$A$2:$A$101&amp;"")=(B141&amp;"")))=0,"PROJECT NOT FOUND",IF(SUMPRODUCT(--(('ERP Snapshot'!$A$2:$A$101&amp;"")=(B141&amp;"")))&gt;1,"DUPLICATE PROJECT ID",IF(OR(SUMPRODUCT(--(('ERP Snapshot'!$A$2:$A$101&amp;"")=(B141&amp;"")),--('ERP Snapshot'!$Q$2:$Q$101=E141),--('ERP Snapshot'!$R$2:$R$101=F141))&lt;&gt;1,SUMPRODUCT(--('Commercial Catalogs'!$A$2:$A$10=E141),--('Commercial Catalogs'!$B$2:$B$10=F141),--('Commercial Catalogs'!$C$2:$C$10="YES"),--('Commercial Catalogs'!$D$2:$D$10="IN SCOPE"))=0,AND(E141="Strategic Services",F141&lt;&gt;"N/A"),AND(E141="Brands",F141="N/A")),"PROJECT CLASSIFICATION MISMATCH",IF(AND(G141="MXN",NOT(AND(ISNUMBER(I141),Settings!$B$8="APPROVED",Settings!$B$9&lt;&gt;"",Settings!$B$10&lt;&gt;""))),"FX HOLD","VALID"))))))))))))))))))</x:f>
      </x:c>
      <x:c r="M141" s="57" t="str">
        <x:f>IF(ISNUMBER(C141),IF(AND(ISNUMBER(C141),C141&gt;=2,C141&lt;=2958465,C141=INT(C141)),YEAR(C141)&amp;"-"&amp;IF(MONTH(C141)&lt;10,"0","")&amp;MONTH(C141),""),"")</x:f>
      </x:c>
      <x:c r="N141" s="59" t="str">
        <x:f>IF(L141="VALID",IF(G141="USD",H141,I141),"")</x:f>
      </x:c>
      <x:c r="O141" s="57" t="n">
        <x:f>IF(L141="VALID",IF(COUNTIFS($B$2:B141,B141,$M$2:M141,M141,$L$2:L141,"VALID")=1,1,0),0)</x:f>
        <x:v>0</x:v>
      </x:c>
    </x:row>
    <x:row r="142">
      <x:c r="A142" s="47"/>
      <x:c r="B142" s="47"/>
      <x:c r="C142" s="69"/>
      <x:c r="D142" s="47"/>
      <x:c r="E142" s="47"/>
      <x:c r="F142" s="47"/>
      <x:c r="G142" s="47"/>
      <x:c r="H142" s="48"/>
      <x:c r="I142" s="48"/>
      <x:c r="J142" s="47"/>
      <x:c r="K142" s="47"/>
      <x:c r="L142" s="57" t="str">
        <x:f>IF(COUNTA(A142:K142)=0,"",IF(K142="CANCELLED","CANCELLED",IF(A142="","INVOICE ID REQUIRED",IF(B142="","PROJECT ID REQUIRED",IF(NOT(ISNUMBER(C142)),"INVALID INVOICE DATE",IF(NOT(AND(ISNUMBER(C142),C142&gt;=2,C142&lt;=2958465,C142=INT(C142))),"INVALID INVOICE DATE",IF(NOT(OR(D142="MX",D142="US")),"ENTITY REQUIRED",IF(NOT(OR(E142="Strategic Services",E142="Brands")),"UNIT REQUIRED",IF(F142="","BRAND / N/A REQUIRED",IF(NOT(OR(G142="USD",G142="MXN")),"CURRENCY REQUIRED",IF(NOT(ISNUMBER(H142)),"AMOUNT REQUIRED",IF(J142="","ERP SOURCE REQUIRED",IF(NOT(OR(K142="ISSUED",K142="CANCELLED")),"INVOICE STATUS REQUIRED",IF(COUNTIFS($A$2:$A$501,A142,$B$2:$B$501,B142,$D$2:$D$501,D142)&gt;1,"DUPLICATE INVOICE / PROJECT",IF(SUMPRODUCT(--(('ERP Snapshot'!$A$2:$A$101&amp;"")=(B142&amp;"")))=0,"PROJECT NOT FOUND",IF(SUMPRODUCT(--(('ERP Snapshot'!$A$2:$A$101&amp;"")=(B142&amp;"")))&gt;1,"DUPLICATE PROJECT ID",IF(OR(SUMPRODUCT(--(('ERP Snapshot'!$A$2:$A$101&amp;"")=(B142&amp;"")),--('ERP Snapshot'!$Q$2:$Q$101=E142),--('ERP Snapshot'!$R$2:$R$101=F142))&lt;&gt;1,SUMPRODUCT(--('Commercial Catalogs'!$A$2:$A$10=E142),--('Commercial Catalogs'!$B$2:$B$10=F142),--('Commercial Catalogs'!$C$2:$C$10="YES"),--('Commercial Catalogs'!$D$2:$D$10="IN SCOPE"))=0,AND(E142="Strategic Services",F142&lt;&gt;"N/A"),AND(E142="Brands",F142="N/A")),"PROJECT CLASSIFICATION MISMATCH",IF(AND(G142="MXN",NOT(AND(ISNUMBER(I142),Settings!$B$8="APPROVED",Settings!$B$9&lt;&gt;"",Settings!$B$10&lt;&gt;""))),"FX HOLD","VALID"))))))))))))))))))</x:f>
      </x:c>
      <x:c r="M142" s="57" t="str">
        <x:f>IF(ISNUMBER(C142),IF(AND(ISNUMBER(C142),C142&gt;=2,C142&lt;=2958465,C142=INT(C142)),YEAR(C142)&amp;"-"&amp;IF(MONTH(C142)&lt;10,"0","")&amp;MONTH(C142),""),"")</x:f>
      </x:c>
      <x:c r="N142" s="59" t="str">
        <x:f>IF(L142="VALID",IF(G142="USD",H142,I142),"")</x:f>
      </x:c>
      <x:c r="O142" s="57" t="n">
        <x:f>IF(L142="VALID",IF(COUNTIFS($B$2:B142,B142,$M$2:M142,M142,$L$2:L142,"VALID")=1,1,0),0)</x:f>
        <x:v>0</x:v>
      </x:c>
    </x:row>
    <x:row r="143">
      <x:c r="A143" s="47"/>
      <x:c r="B143" s="47"/>
      <x:c r="C143" s="69"/>
      <x:c r="D143" s="47"/>
      <x:c r="E143" s="47"/>
      <x:c r="F143" s="47"/>
      <x:c r="G143" s="47"/>
      <x:c r="H143" s="48"/>
      <x:c r="I143" s="48"/>
      <x:c r="J143" s="47"/>
      <x:c r="K143" s="47"/>
      <x:c r="L143" s="57" t="str">
        <x:f>IF(COUNTA(A143:K143)=0,"",IF(K143="CANCELLED","CANCELLED",IF(A143="","INVOICE ID REQUIRED",IF(B143="","PROJECT ID REQUIRED",IF(NOT(ISNUMBER(C143)),"INVALID INVOICE DATE",IF(NOT(AND(ISNUMBER(C143),C143&gt;=2,C143&lt;=2958465,C143=INT(C143))),"INVALID INVOICE DATE",IF(NOT(OR(D143="MX",D143="US")),"ENTITY REQUIRED",IF(NOT(OR(E143="Strategic Services",E143="Brands")),"UNIT REQUIRED",IF(F143="","BRAND / N/A REQUIRED",IF(NOT(OR(G143="USD",G143="MXN")),"CURRENCY REQUIRED",IF(NOT(ISNUMBER(H143)),"AMOUNT REQUIRED",IF(J143="","ERP SOURCE REQUIRED",IF(NOT(OR(K143="ISSUED",K143="CANCELLED")),"INVOICE STATUS REQUIRED",IF(COUNTIFS($A$2:$A$501,A143,$B$2:$B$501,B143,$D$2:$D$501,D143)&gt;1,"DUPLICATE INVOICE / PROJECT",IF(SUMPRODUCT(--(('ERP Snapshot'!$A$2:$A$101&amp;"")=(B143&amp;"")))=0,"PROJECT NOT FOUND",IF(SUMPRODUCT(--(('ERP Snapshot'!$A$2:$A$101&amp;"")=(B143&amp;"")))&gt;1,"DUPLICATE PROJECT ID",IF(OR(SUMPRODUCT(--(('ERP Snapshot'!$A$2:$A$101&amp;"")=(B143&amp;"")),--('ERP Snapshot'!$Q$2:$Q$101=E143),--('ERP Snapshot'!$R$2:$R$101=F143))&lt;&gt;1,SUMPRODUCT(--('Commercial Catalogs'!$A$2:$A$10=E143),--('Commercial Catalogs'!$B$2:$B$10=F143),--('Commercial Catalogs'!$C$2:$C$10="YES"),--('Commercial Catalogs'!$D$2:$D$10="IN SCOPE"))=0,AND(E143="Strategic Services",F143&lt;&gt;"N/A"),AND(E143="Brands",F143="N/A")),"PROJECT CLASSIFICATION MISMATCH",IF(AND(G143="MXN",NOT(AND(ISNUMBER(I143),Settings!$B$8="APPROVED",Settings!$B$9&lt;&gt;"",Settings!$B$10&lt;&gt;""))),"FX HOLD","VALID"))))))))))))))))))</x:f>
      </x:c>
      <x:c r="M143" s="57" t="str">
        <x:f>IF(ISNUMBER(C143),IF(AND(ISNUMBER(C143),C143&gt;=2,C143&lt;=2958465,C143=INT(C143)),YEAR(C143)&amp;"-"&amp;IF(MONTH(C143)&lt;10,"0","")&amp;MONTH(C143),""),"")</x:f>
      </x:c>
      <x:c r="N143" s="59" t="str">
        <x:f>IF(L143="VALID",IF(G143="USD",H143,I143),"")</x:f>
      </x:c>
      <x:c r="O143" s="57" t="n">
        <x:f>IF(L143="VALID",IF(COUNTIFS($B$2:B143,B143,$M$2:M143,M143,$L$2:L143,"VALID")=1,1,0),0)</x:f>
        <x:v>0</x:v>
      </x:c>
    </x:row>
    <x:row r="144">
      <x:c r="A144" s="47"/>
      <x:c r="B144" s="47"/>
      <x:c r="C144" s="69"/>
      <x:c r="D144" s="47"/>
      <x:c r="E144" s="47"/>
      <x:c r="F144" s="47"/>
      <x:c r="G144" s="47"/>
      <x:c r="H144" s="48"/>
      <x:c r="I144" s="48"/>
      <x:c r="J144" s="47"/>
      <x:c r="K144" s="47"/>
      <x:c r="L144" s="57" t="str">
        <x:f>IF(COUNTA(A144:K144)=0,"",IF(K144="CANCELLED","CANCELLED",IF(A144="","INVOICE ID REQUIRED",IF(B144="","PROJECT ID REQUIRED",IF(NOT(ISNUMBER(C144)),"INVALID INVOICE DATE",IF(NOT(AND(ISNUMBER(C144),C144&gt;=2,C144&lt;=2958465,C144=INT(C144))),"INVALID INVOICE DATE",IF(NOT(OR(D144="MX",D144="US")),"ENTITY REQUIRED",IF(NOT(OR(E144="Strategic Services",E144="Brands")),"UNIT REQUIRED",IF(F144="","BRAND / N/A REQUIRED",IF(NOT(OR(G144="USD",G144="MXN")),"CURRENCY REQUIRED",IF(NOT(ISNUMBER(H144)),"AMOUNT REQUIRED",IF(J144="","ERP SOURCE REQUIRED",IF(NOT(OR(K144="ISSUED",K144="CANCELLED")),"INVOICE STATUS REQUIRED",IF(COUNTIFS($A$2:$A$501,A144,$B$2:$B$501,B144,$D$2:$D$501,D144)&gt;1,"DUPLICATE INVOICE / PROJECT",IF(SUMPRODUCT(--(('ERP Snapshot'!$A$2:$A$101&amp;"")=(B144&amp;"")))=0,"PROJECT NOT FOUND",IF(SUMPRODUCT(--(('ERP Snapshot'!$A$2:$A$101&amp;"")=(B144&amp;"")))&gt;1,"DUPLICATE PROJECT ID",IF(OR(SUMPRODUCT(--(('ERP Snapshot'!$A$2:$A$101&amp;"")=(B144&amp;"")),--('ERP Snapshot'!$Q$2:$Q$101=E144),--('ERP Snapshot'!$R$2:$R$101=F144))&lt;&gt;1,SUMPRODUCT(--('Commercial Catalogs'!$A$2:$A$10=E144),--('Commercial Catalogs'!$B$2:$B$10=F144),--('Commercial Catalogs'!$C$2:$C$10="YES"),--('Commercial Catalogs'!$D$2:$D$10="IN SCOPE"))=0,AND(E144="Strategic Services",F144&lt;&gt;"N/A"),AND(E144="Brands",F144="N/A")),"PROJECT CLASSIFICATION MISMATCH",IF(AND(G144="MXN",NOT(AND(ISNUMBER(I144),Settings!$B$8="APPROVED",Settings!$B$9&lt;&gt;"",Settings!$B$10&lt;&gt;""))),"FX HOLD","VALID"))))))))))))))))))</x:f>
      </x:c>
      <x:c r="M144" s="57" t="str">
        <x:f>IF(ISNUMBER(C144),IF(AND(ISNUMBER(C144),C144&gt;=2,C144&lt;=2958465,C144=INT(C144)),YEAR(C144)&amp;"-"&amp;IF(MONTH(C144)&lt;10,"0","")&amp;MONTH(C144),""),"")</x:f>
      </x:c>
      <x:c r="N144" s="59" t="str">
        <x:f>IF(L144="VALID",IF(G144="USD",H144,I144),"")</x:f>
      </x:c>
      <x:c r="O144" s="57" t="n">
        <x:f>IF(L144="VALID",IF(COUNTIFS($B$2:B144,B144,$M$2:M144,M144,$L$2:L144,"VALID")=1,1,0),0)</x:f>
        <x:v>0</x:v>
      </x:c>
    </x:row>
    <x:row r="145">
      <x:c r="A145" s="47"/>
      <x:c r="B145" s="47"/>
      <x:c r="C145" s="69"/>
      <x:c r="D145" s="47"/>
      <x:c r="E145" s="47"/>
      <x:c r="F145" s="47"/>
      <x:c r="G145" s="47"/>
      <x:c r="H145" s="48"/>
      <x:c r="I145" s="48"/>
      <x:c r="J145" s="47"/>
      <x:c r="K145" s="47"/>
      <x:c r="L145" s="57" t="str">
        <x:f>IF(COUNTA(A145:K145)=0,"",IF(K145="CANCELLED","CANCELLED",IF(A145="","INVOICE ID REQUIRED",IF(B145="","PROJECT ID REQUIRED",IF(NOT(ISNUMBER(C145)),"INVALID INVOICE DATE",IF(NOT(AND(ISNUMBER(C145),C145&gt;=2,C145&lt;=2958465,C145=INT(C145))),"INVALID INVOICE DATE",IF(NOT(OR(D145="MX",D145="US")),"ENTITY REQUIRED",IF(NOT(OR(E145="Strategic Services",E145="Brands")),"UNIT REQUIRED",IF(F145="","BRAND / N/A REQUIRED",IF(NOT(OR(G145="USD",G145="MXN")),"CURRENCY REQUIRED",IF(NOT(ISNUMBER(H145)),"AMOUNT REQUIRED",IF(J145="","ERP SOURCE REQUIRED",IF(NOT(OR(K145="ISSUED",K145="CANCELLED")),"INVOICE STATUS REQUIRED",IF(COUNTIFS($A$2:$A$501,A145,$B$2:$B$501,B145,$D$2:$D$501,D145)&gt;1,"DUPLICATE INVOICE / PROJECT",IF(SUMPRODUCT(--(('ERP Snapshot'!$A$2:$A$101&amp;"")=(B145&amp;"")))=0,"PROJECT NOT FOUND",IF(SUMPRODUCT(--(('ERP Snapshot'!$A$2:$A$101&amp;"")=(B145&amp;"")))&gt;1,"DUPLICATE PROJECT ID",IF(OR(SUMPRODUCT(--(('ERP Snapshot'!$A$2:$A$101&amp;"")=(B145&amp;"")),--('ERP Snapshot'!$Q$2:$Q$101=E145),--('ERP Snapshot'!$R$2:$R$101=F145))&lt;&gt;1,SUMPRODUCT(--('Commercial Catalogs'!$A$2:$A$10=E145),--('Commercial Catalogs'!$B$2:$B$10=F145),--('Commercial Catalogs'!$C$2:$C$10="YES"),--('Commercial Catalogs'!$D$2:$D$10="IN SCOPE"))=0,AND(E145="Strategic Services",F145&lt;&gt;"N/A"),AND(E145="Brands",F145="N/A")),"PROJECT CLASSIFICATION MISMATCH",IF(AND(G145="MXN",NOT(AND(ISNUMBER(I145),Settings!$B$8="APPROVED",Settings!$B$9&lt;&gt;"",Settings!$B$10&lt;&gt;""))),"FX HOLD","VALID"))))))))))))))))))</x:f>
      </x:c>
      <x:c r="M145" s="57" t="str">
        <x:f>IF(ISNUMBER(C145),IF(AND(ISNUMBER(C145),C145&gt;=2,C145&lt;=2958465,C145=INT(C145)),YEAR(C145)&amp;"-"&amp;IF(MONTH(C145)&lt;10,"0","")&amp;MONTH(C145),""),"")</x:f>
      </x:c>
      <x:c r="N145" s="59" t="str">
        <x:f>IF(L145="VALID",IF(G145="USD",H145,I145),"")</x:f>
      </x:c>
      <x:c r="O145" s="57" t="n">
        <x:f>IF(L145="VALID",IF(COUNTIFS($B$2:B145,B145,$M$2:M145,M145,$L$2:L145,"VALID")=1,1,0),0)</x:f>
        <x:v>0</x:v>
      </x:c>
    </x:row>
    <x:row r="146">
      <x:c r="A146" s="47"/>
      <x:c r="B146" s="47"/>
      <x:c r="C146" s="69"/>
      <x:c r="D146" s="47"/>
      <x:c r="E146" s="47"/>
      <x:c r="F146" s="47"/>
      <x:c r="G146" s="47"/>
      <x:c r="H146" s="48"/>
      <x:c r="I146" s="48"/>
      <x:c r="J146" s="47"/>
      <x:c r="K146" s="47"/>
      <x:c r="L146" s="57" t="str">
        <x:f>IF(COUNTA(A146:K146)=0,"",IF(K146="CANCELLED","CANCELLED",IF(A146="","INVOICE ID REQUIRED",IF(B146="","PROJECT ID REQUIRED",IF(NOT(ISNUMBER(C146)),"INVALID INVOICE DATE",IF(NOT(AND(ISNUMBER(C146),C146&gt;=2,C146&lt;=2958465,C146=INT(C146))),"INVALID INVOICE DATE",IF(NOT(OR(D146="MX",D146="US")),"ENTITY REQUIRED",IF(NOT(OR(E146="Strategic Services",E146="Brands")),"UNIT REQUIRED",IF(F146="","BRAND / N/A REQUIRED",IF(NOT(OR(G146="USD",G146="MXN")),"CURRENCY REQUIRED",IF(NOT(ISNUMBER(H146)),"AMOUNT REQUIRED",IF(J146="","ERP SOURCE REQUIRED",IF(NOT(OR(K146="ISSUED",K146="CANCELLED")),"INVOICE STATUS REQUIRED",IF(COUNTIFS($A$2:$A$501,A146,$B$2:$B$501,B146,$D$2:$D$501,D146)&gt;1,"DUPLICATE INVOICE / PROJECT",IF(SUMPRODUCT(--(('ERP Snapshot'!$A$2:$A$101&amp;"")=(B146&amp;"")))=0,"PROJECT NOT FOUND",IF(SUMPRODUCT(--(('ERP Snapshot'!$A$2:$A$101&amp;"")=(B146&amp;"")))&gt;1,"DUPLICATE PROJECT ID",IF(OR(SUMPRODUCT(--(('ERP Snapshot'!$A$2:$A$101&amp;"")=(B146&amp;"")),--('ERP Snapshot'!$Q$2:$Q$101=E146),--('ERP Snapshot'!$R$2:$R$101=F146))&lt;&gt;1,SUMPRODUCT(--('Commercial Catalogs'!$A$2:$A$10=E146),--('Commercial Catalogs'!$B$2:$B$10=F146),--('Commercial Catalogs'!$C$2:$C$10="YES"),--('Commercial Catalogs'!$D$2:$D$10="IN SCOPE"))=0,AND(E146="Strategic Services",F146&lt;&gt;"N/A"),AND(E146="Brands",F146="N/A")),"PROJECT CLASSIFICATION MISMATCH",IF(AND(G146="MXN",NOT(AND(ISNUMBER(I146),Settings!$B$8="APPROVED",Settings!$B$9&lt;&gt;"",Settings!$B$10&lt;&gt;""))),"FX HOLD","VALID"))))))))))))))))))</x:f>
      </x:c>
      <x:c r="M146" s="57" t="str">
        <x:f>IF(ISNUMBER(C146),IF(AND(ISNUMBER(C146),C146&gt;=2,C146&lt;=2958465,C146=INT(C146)),YEAR(C146)&amp;"-"&amp;IF(MONTH(C146)&lt;10,"0","")&amp;MONTH(C146),""),"")</x:f>
      </x:c>
      <x:c r="N146" s="59" t="str">
        <x:f>IF(L146="VALID",IF(G146="USD",H146,I146),"")</x:f>
      </x:c>
      <x:c r="O146" s="57" t="n">
        <x:f>IF(L146="VALID",IF(COUNTIFS($B$2:B146,B146,$M$2:M146,M146,$L$2:L146,"VALID")=1,1,0),0)</x:f>
        <x:v>0</x:v>
      </x:c>
    </x:row>
    <x:row r="147">
      <x:c r="A147" s="47"/>
      <x:c r="B147" s="47"/>
      <x:c r="C147" s="69"/>
      <x:c r="D147" s="47"/>
      <x:c r="E147" s="47"/>
      <x:c r="F147" s="47"/>
      <x:c r="G147" s="47"/>
      <x:c r="H147" s="48"/>
      <x:c r="I147" s="48"/>
      <x:c r="J147" s="47"/>
      <x:c r="K147" s="47"/>
      <x:c r="L147" s="57" t="str">
        <x:f>IF(COUNTA(A147:K147)=0,"",IF(K147="CANCELLED","CANCELLED",IF(A147="","INVOICE ID REQUIRED",IF(B147="","PROJECT ID REQUIRED",IF(NOT(ISNUMBER(C147)),"INVALID INVOICE DATE",IF(NOT(AND(ISNUMBER(C147),C147&gt;=2,C147&lt;=2958465,C147=INT(C147))),"INVALID INVOICE DATE",IF(NOT(OR(D147="MX",D147="US")),"ENTITY REQUIRED",IF(NOT(OR(E147="Strategic Services",E147="Brands")),"UNIT REQUIRED",IF(F147="","BRAND / N/A REQUIRED",IF(NOT(OR(G147="USD",G147="MXN")),"CURRENCY REQUIRED",IF(NOT(ISNUMBER(H147)),"AMOUNT REQUIRED",IF(J147="","ERP SOURCE REQUIRED",IF(NOT(OR(K147="ISSUED",K147="CANCELLED")),"INVOICE STATUS REQUIRED",IF(COUNTIFS($A$2:$A$501,A147,$B$2:$B$501,B147,$D$2:$D$501,D147)&gt;1,"DUPLICATE INVOICE / PROJECT",IF(SUMPRODUCT(--(('ERP Snapshot'!$A$2:$A$101&amp;"")=(B147&amp;"")))=0,"PROJECT NOT FOUND",IF(SUMPRODUCT(--(('ERP Snapshot'!$A$2:$A$101&amp;"")=(B147&amp;"")))&gt;1,"DUPLICATE PROJECT ID",IF(OR(SUMPRODUCT(--(('ERP Snapshot'!$A$2:$A$101&amp;"")=(B147&amp;"")),--('ERP Snapshot'!$Q$2:$Q$101=E147),--('ERP Snapshot'!$R$2:$R$101=F147))&lt;&gt;1,SUMPRODUCT(--('Commercial Catalogs'!$A$2:$A$10=E147),--('Commercial Catalogs'!$B$2:$B$10=F147),--('Commercial Catalogs'!$C$2:$C$10="YES"),--('Commercial Catalogs'!$D$2:$D$10="IN SCOPE"))=0,AND(E147="Strategic Services",F147&lt;&gt;"N/A"),AND(E147="Brands",F147="N/A")),"PROJECT CLASSIFICATION MISMATCH",IF(AND(G147="MXN",NOT(AND(ISNUMBER(I147),Settings!$B$8="APPROVED",Settings!$B$9&lt;&gt;"",Settings!$B$10&lt;&gt;""))),"FX HOLD","VALID"))))))))))))))))))</x:f>
      </x:c>
      <x:c r="M147" s="57" t="str">
        <x:f>IF(ISNUMBER(C147),IF(AND(ISNUMBER(C147),C147&gt;=2,C147&lt;=2958465,C147=INT(C147)),YEAR(C147)&amp;"-"&amp;IF(MONTH(C147)&lt;10,"0","")&amp;MONTH(C147),""),"")</x:f>
      </x:c>
      <x:c r="N147" s="59" t="str">
        <x:f>IF(L147="VALID",IF(G147="USD",H147,I147),"")</x:f>
      </x:c>
      <x:c r="O147" s="57" t="n">
        <x:f>IF(L147="VALID",IF(COUNTIFS($B$2:B147,B147,$M$2:M147,M147,$L$2:L147,"VALID")=1,1,0),0)</x:f>
        <x:v>0</x:v>
      </x:c>
    </x:row>
    <x:row r="148">
      <x:c r="A148" s="47"/>
      <x:c r="B148" s="47"/>
      <x:c r="C148" s="69"/>
      <x:c r="D148" s="47"/>
      <x:c r="E148" s="47"/>
      <x:c r="F148" s="47"/>
      <x:c r="G148" s="47"/>
      <x:c r="H148" s="48"/>
      <x:c r="I148" s="48"/>
      <x:c r="J148" s="47"/>
      <x:c r="K148" s="47"/>
      <x:c r="L148" s="57" t="str">
        <x:f>IF(COUNTA(A148:K148)=0,"",IF(K148="CANCELLED","CANCELLED",IF(A148="","INVOICE ID REQUIRED",IF(B148="","PROJECT ID REQUIRED",IF(NOT(ISNUMBER(C148)),"INVALID INVOICE DATE",IF(NOT(AND(ISNUMBER(C148),C148&gt;=2,C148&lt;=2958465,C148=INT(C148))),"INVALID INVOICE DATE",IF(NOT(OR(D148="MX",D148="US")),"ENTITY REQUIRED",IF(NOT(OR(E148="Strategic Services",E148="Brands")),"UNIT REQUIRED",IF(F148="","BRAND / N/A REQUIRED",IF(NOT(OR(G148="USD",G148="MXN")),"CURRENCY REQUIRED",IF(NOT(ISNUMBER(H148)),"AMOUNT REQUIRED",IF(J148="","ERP SOURCE REQUIRED",IF(NOT(OR(K148="ISSUED",K148="CANCELLED")),"INVOICE STATUS REQUIRED",IF(COUNTIFS($A$2:$A$501,A148,$B$2:$B$501,B148,$D$2:$D$501,D148)&gt;1,"DUPLICATE INVOICE / PROJECT",IF(SUMPRODUCT(--(('ERP Snapshot'!$A$2:$A$101&amp;"")=(B148&amp;"")))=0,"PROJECT NOT FOUND",IF(SUMPRODUCT(--(('ERP Snapshot'!$A$2:$A$101&amp;"")=(B148&amp;"")))&gt;1,"DUPLICATE PROJECT ID",IF(OR(SUMPRODUCT(--(('ERP Snapshot'!$A$2:$A$101&amp;"")=(B148&amp;"")),--('ERP Snapshot'!$Q$2:$Q$101=E148),--('ERP Snapshot'!$R$2:$R$101=F148))&lt;&gt;1,SUMPRODUCT(--('Commercial Catalogs'!$A$2:$A$10=E148),--('Commercial Catalogs'!$B$2:$B$10=F148),--('Commercial Catalogs'!$C$2:$C$10="YES"),--('Commercial Catalogs'!$D$2:$D$10="IN SCOPE"))=0,AND(E148="Strategic Services",F148&lt;&gt;"N/A"),AND(E148="Brands",F148="N/A")),"PROJECT CLASSIFICATION MISMATCH",IF(AND(G148="MXN",NOT(AND(ISNUMBER(I148),Settings!$B$8="APPROVED",Settings!$B$9&lt;&gt;"",Settings!$B$10&lt;&gt;""))),"FX HOLD","VALID"))))))))))))))))))</x:f>
      </x:c>
      <x:c r="M148" s="57" t="str">
        <x:f>IF(ISNUMBER(C148),IF(AND(ISNUMBER(C148),C148&gt;=2,C148&lt;=2958465,C148=INT(C148)),YEAR(C148)&amp;"-"&amp;IF(MONTH(C148)&lt;10,"0","")&amp;MONTH(C148),""),"")</x:f>
      </x:c>
      <x:c r="N148" s="59" t="str">
        <x:f>IF(L148="VALID",IF(G148="USD",H148,I148),"")</x:f>
      </x:c>
      <x:c r="O148" s="57" t="n">
        <x:f>IF(L148="VALID",IF(COUNTIFS($B$2:B148,B148,$M$2:M148,M148,$L$2:L148,"VALID")=1,1,0),0)</x:f>
        <x:v>0</x:v>
      </x:c>
    </x:row>
    <x:row r="149">
      <x:c r="A149" s="47"/>
      <x:c r="B149" s="47"/>
      <x:c r="C149" s="69"/>
      <x:c r="D149" s="47"/>
      <x:c r="E149" s="47"/>
      <x:c r="F149" s="47"/>
      <x:c r="G149" s="47"/>
      <x:c r="H149" s="48"/>
      <x:c r="I149" s="48"/>
      <x:c r="J149" s="47"/>
      <x:c r="K149" s="47"/>
      <x:c r="L149" s="57" t="str">
        <x:f>IF(COUNTA(A149:K149)=0,"",IF(K149="CANCELLED","CANCELLED",IF(A149="","INVOICE ID REQUIRED",IF(B149="","PROJECT ID REQUIRED",IF(NOT(ISNUMBER(C149)),"INVALID INVOICE DATE",IF(NOT(AND(ISNUMBER(C149),C149&gt;=2,C149&lt;=2958465,C149=INT(C149))),"INVALID INVOICE DATE",IF(NOT(OR(D149="MX",D149="US")),"ENTITY REQUIRED",IF(NOT(OR(E149="Strategic Services",E149="Brands")),"UNIT REQUIRED",IF(F149="","BRAND / N/A REQUIRED",IF(NOT(OR(G149="USD",G149="MXN")),"CURRENCY REQUIRED",IF(NOT(ISNUMBER(H149)),"AMOUNT REQUIRED",IF(J149="","ERP SOURCE REQUIRED",IF(NOT(OR(K149="ISSUED",K149="CANCELLED")),"INVOICE STATUS REQUIRED",IF(COUNTIFS($A$2:$A$501,A149,$B$2:$B$501,B149,$D$2:$D$501,D149)&gt;1,"DUPLICATE INVOICE / PROJECT",IF(SUMPRODUCT(--(('ERP Snapshot'!$A$2:$A$101&amp;"")=(B149&amp;"")))=0,"PROJECT NOT FOUND",IF(SUMPRODUCT(--(('ERP Snapshot'!$A$2:$A$101&amp;"")=(B149&amp;"")))&gt;1,"DUPLICATE PROJECT ID",IF(OR(SUMPRODUCT(--(('ERP Snapshot'!$A$2:$A$101&amp;"")=(B149&amp;"")),--('ERP Snapshot'!$Q$2:$Q$101=E149),--('ERP Snapshot'!$R$2:$R$101=F149))&lt;&gt;1,SUMPRODUCT(--('Commercial Catalogs'!$A$2:$A$10=E149),--('Commercial Catalogs'!$B$2:$B$10=F149),--('Commercial Catalogs'!$C$2:$C$10="YES"),--('Commercial Catalogs'!$D$2:$D$10="IN SCOPE"))=0,AND(E149="Strategic Services",F149&lt;&gt;"N/A"),AND(E149="Brands",F149="N/A")),"PROJECT CLASSIFICATION MISMATCH",IF(AND(G149="MXN",NOT(AND(ISNUMBER(I149),Settings!$B$8="APPROVED",Settings!$B$9&lt;&gt;"",Settings!$B$10&lt;&gt;""))),"FX HOLD","VALID"))))))))))))))))))</x:f>
      </x:c>
      <x:c r="M149" s="57" t="str">
        <x:f>IF(ISNUMBER(C149),IF(AND(ISNUMBER(C149),C149&gt;=2,C149&lt;=2958465,C149=INT(C149)),YEAR(C149)&amp;"-"&amp;IF(MONTH(C149)&lt;10,"0","")&amp;MONTH(C149),""),"")</x:f>
      </x:c>
      <x:c r="N149" s="59" t="str">
        <x:f>IF(L149="VALID",IF(G149="USD",H149,I149),"")</x:f>
      </x:c>
      <x:c r="O149" s="57" t="n">
        <x:f>IF(L149="VALID",IF(COUNTIFS($B$2:B149,B149,$M$2:M149,M149,$L$2:L149,"VALID")=1,1,0),0)</x:f>
        <x:v>0</x:v>
      </x:c>
    </x:row>
    <x:row r="150">
      <x:c r="A150" s="47"/>
      <x:c r="B150" s="47"/>
      <x:c r="C150" s="69"/>
      <x:c r="D150" s="47"/>
      <x:c r="E150" s="47"/>
      <x:c r="F150" s="47"/>
      <x:c r="G150" s="47"/>
      <x:c r="H150" s="48"/>
      <x:c r="I150" s="48"/>
      <x:c r="J150" s="47"/>
      <x:c r="K150" s="47"/>
      <x:c r="L150" s="57" t="str">
        <x:f>IF(COUNTA(A150:K150)=0,"",IF(K150="CANCELLED","CANCELLED",IF(A150="","INVOICE ID REQUIRED",IF(B150="","PROJECT ID REQUIRED",IF(NOT(ISNUMBER(C150)),"INVALID INVOICE DATE",IF(NOT(AND(ISNUMBER(C150),C150&gt;=2,C150&lt;=2958465,C150=INT(C150))),"INVALID INVOICE DATE",IF(NOT(OR(D150="MX",D150="US")),"ENTITY REQUIRED",IF(NOT(OR(E150="Strategic Services",E150="Brands")),"UNIT REQUIRED",IF(F150="","BRAND / N/A REQUIRED",IF(NOT(OR(G150="USD",G150="MXN")),"CURRENCY REQUIRED",IF(NOT(ISNUMBER(H150)),"AMOUNT REQUIRED",IF(J150="","ERP SOURCE REQUIRED",IF(NOT(OR(K150="ISSUED",K150="CANCELLED")),"INVOICE STATUS REQUIRED",IF(COUNTIFS($A$2:$A$501,A150,$B$2:$B$501,B150,$D$2:$D$501,D150)&gt;1,"DUPLICATE INVOICE / PROJECT",IF(SUMPRODUCT(--(('ERP Snapshot'!$A$2:$A$101&amp;"")=(B150&amp;"")))=0,"PROJECT NOT FOUND",IF(SUMPRODUCT(--(('ERP Snapshot'!$A$2:$A$101&amp;"")=(B150&amp;"")))&gt;1,"DUPLICATE PROJECT ID",IF(OR(SUMPRODUCT(--(('ERP Snapshot'!$A$2:$A$101&amp;"")=(B150&amp;"")),--('ERP Snapshot'!$Q$2:$Q$101=E150),--('ERP Snapshot'!$R$2:$R$101=F150))&lt;&gt;1,SUMPRODUCT(--('Commercial Catalogs'!$A$2:$A$10=E150),--('Commercial Catalogs'!$B$2:$B$10=F150),--('Commercial Catalogs'!$C$2:$C$10="YES"),--('Commercial Catalogs'!$D$2:$D$10="IN SCOPE"))=0,AND(E150="Strategic Services",F150&lt;&gt;"N/A"),AND(E150="Brands",F150="N/A")),"PROJECT CLASSIFICATION MISMATCH",IF(AND(G150="MXN",NOT(AND(ISNUMBER(I150),Settings!$B$8="APPROVED",Settings!$B$9&lt;&gt;"",Settings!$B$10&lt;&gt;""))),"FX HOLD","VALID"))))))))))))))))))</x:f>
      </x:c>
      <x:c r="M150" s="57" t="str">
        <x:f>IF(ISNUMBER(C150),IF(AND(ISNUMBER(C150),C150&gt;=2,C150&lt;=2958465,C150=INT(C150)),YEAR(C150)&amp;"-"&amp;IF(MONTH(C150)&lt;10,"0","")&amp;MONTH(C150),""),"")</x:f>
      </x:c>
      <x:c r="N150" s="59" t="str">
        <x:f>IF(L150="VALID",IF(G150="USD",H150,I150),"")</x:f>
      </x:c>
      <x:c r="O150" s="57" t="n">
        <x:f>IF(L150="VALID",IF(COUNTIFS($B$2:B150,B150,$M$2:M150,M150,$L$2:L150,"VALID")=1,1,0),0)</x:f>
        <x:v>0</x:v>
      </x:c>
    </x:row>
    <x:row r="151">
      <x:c r="A151" s="47"/>
      <x:c r="B151" s="47"/>
      <x:c r="C151" s="69"/>
      <x:c r="D151" s="47"/>
      <x:c r="E151" s="47"/>
      <x:c r="F151" s="47"/>
      <x:c r="G151" s="47"/>
      <x:c r="H151" s="48"/>
      <x:c r="I151" s="48"/>
      <x:c r="J151" s="47"/>
      <x:c r="K151" s="47"/>
      <x:c r="L151" s="57" t="str">
        <x:f>IF(COUNTA(A151:K151)=0,"",IF(K151="CANCELLED","CANCELLED",IF(A151="","INVOICE ID REQUIRED",IF(B151="","PROJECT ID REQUIRED",IF(NOT(ISNUMBER(C151)),"INVALID INVOICE DATE",IF(NOT(AND(ISNUMBER(C151),C151&gt;=2,C151&lt;=2958465,C151=INT(C151))),"INVALID INVOICE DATE",IF(NOT(OR(D151="MX",D151="US")),"ENTITY REQUIRED",IF(NOT(OR(E151="Strategic Services",E151="Brands")),"UNIT REQUIRED",IF(F151="","BRAND / N/A REQUIRED",IF(NOT(OR(G151="USD",G151="MXN")),"CURRENCY REQUIRED",IF(NOT(ISNUMBER(H151)),"AMOUNT REQUIRED",IF(J151="","ERP SOURCE REQUIRED",IF(NOT(OR(K151="ISSUED",K151="CANCELLED")),"INVOICE STATUS REQUIRED",IF(COUNTIFS($A$2:$A$501,A151,$B$2:$B$501,B151,$D$2:$D$501,D151)&gt;1,"DUPLICATE INVOICE / PROJECT",IF(SUMPRODUCT(--(('ERP Snapshot'!$A$2:$A$101&amp;"")=(B151&amp;"")))=0,"PROJECT NOT FOUND",IF(SUMPRODUCT(--(('ERP Snapshot'!$A$2:$A$101&amp;"")=(B151&amp;"")))&gt;1,"DUPLICATE PROJECT ID",IF(OR(SUMPRODUCT(--(('ERP Snapshot'!$A$2:$A$101&amp;"")=(B151&amp;"")),--('ERP Snapshot'!$Q$2:$Q$101=E151),--('ERP Snapshot'!$R$2:$R$101=F151))&lt;&gt;1,SUMPRODUCT(--('Commercial Catalogs'!$A$2:$A$10=E151),--('Commercial Catalogs'!$B$2:$B$10=F151),--('Commercial Catalogs'!$C$2:$C$10="YES"),--('Commercial Catalogs'!$D$2:$D$10="IN SCOPE"))=0,AND(E151="Strategic Services",F151&lt;&gt;"N/A"),AND(E151="Brands",F151="N/A")),"PROJECT CLASSIFICATION MISMATCH",IF(AND(G151="MXN",NOT(AND(ISNUMBER(I151),Settings!$B$8="APPROVED",Settings!$B$9&lt;&gt;"",Settings!$B$10&lt;&gt;""))),"FX HOLD","VALID"))))))))))))))))))</x:f>
      </x:c>
      <x:c r="M151" s="57" t="str">
        <x:f>IF(ISNUMBER(C151),IF(AND(ISNUMBER(C151),C151&gt;=2,C151&lt;=2958465,C151=INT(C151)),YEAR(C151)&amp;"-"&amp;IF(MONTH(C151)&lt;10,"0","")&amp;MONTH(C151),""),"")</x:f>
      </x:c>
      <x:c r="N151" s="59" t="str">
        <x:f>IF(L151="VALID",IF(G151="USD",H151,I151),"")</x:f>
      </x:c>
      <x:c r="O151" s="57" t="n">
        <x:f>IF(L151="VALID",IF(COUNTIFS($B$2:B151,B151,$M$2:M151,M151,$L$2:L151,"VALID")=1,1,0),0)</x:f>
        <x:v>0</x:v>
      </x:c>
    </x:row>
    <x:row r="152">
      <x:c r="A152" s="47"/>
      <x:c r="B152" s="47"/>
      <x:c r="C152" s="69"/>
      <x:c r="D152" s="47"/>
      <x:c r="E152" s="47"/>
      <x:c r="F152" s="47"/>
      <x:c r="G152" s="47"/>
      <x:c r="H152" s="48"/>
      <x:c r="I152" s="48"/>
      <x:c r="J152" s="47"/>
      <x:c r="K152" s="47"/>
      <x:c r="L152" s="57" t="str">
        <x:f>IF(COUNTA(A152:K152)=0,"",IF(K152="CANCELLED","CANCELLED",IF(A152="","INVOICE ID REQUIRED",IF(B152="","PROJECT ID REQUIRED",IF(NOT(ISNUMBER(C152)),"INVALID INVOICE DATE",IF(NOT(AND(ISNUMBER(C152),C152&gt;=2,C152&lt;=2958465,C152=INT(C152))),"INVALID INVOICE DATE",IF(NOT(OR(D152="MX",D152="US")),"ENTITY REQUIRED",IF(NOT(OR(E152="Strategic Services",E152="Brands")),"UNIT REQUIRED",IF(F152="","BRAND / N/A REQUIRED",IF(NOT(OR(G152="USD",G152="MXN")),"CURRENCY REQUIRED",IF(NOT(ISNUMBER(H152)),"AMOUNT REQUIRED",IF(J152="","ERP SOURCE REQUIRED",IF(NOT(OR(K152="ISSUED",K152="CANCELLED")),"INVOICE STATUS REQUIRED",IF(COUNTIFS($A$2:$A$501,A152,$B$2:$B$501,B152,$D$2:$D$501,D152)&gt;1,"DUPLICATE INVOICE / PROJECT",IF(SUMPRODUCT(--(('ERP Snapshot'!$A$2:$A$101&amp;"")=(B152&amp;"")))=0,"PROJECT NOT FOUND",IF(SUMPRODUCT(--(('ERP Snapshot'!$A$2:$A$101&amp;"")=(B152&amp;"")))&gt;1,"DUPLICATE PROJECT ID",IF(OR(SUMPRODUCT(--(('ERP Snapshot'!$A$2:$A$101&amp;"")=(B152&amp;"")),--('ERP Snapshot'!$Q$2:$Q$101=E152),--('ERP Snapshot'!$R$2:$R$101=F152))&lt;&gt;1,SUMPRODUCT(--('Commercial Catalogs'!$A$2:$A$10=E152),--('Commercial Catalogs'!$B$2:$B$10=F152),--('Commercial Catalogs'!$C$2:$C$10="YES"),--('Commercial Catalogs'!$D$2:$D$10="IN SCOPE"))=0,AND(E152="Strategic Services",F152&lt;&gt;"N/A"),AND(E152="Brands",F152="N/A")),"PROJECT CLASSIFICATION MISMATCH",IF(AND(G152="MXN",NOT(AND(ISNUMBER(I152),Settings!$B$8="APPROVED",Settings!$B$9&lt;&gt;"",Settings!$B$10&lt;&gt;""))),"FX HOLD","VALID"))))))))))))))))))</x:f>
      </x:c>
      <x:c r="M152" s="57" t="str">
        <x:f>IF(ISNUMBER(C152),IF(AND(ISNUMBER(C152),C152&gt;=2,C152&lt;=2958465,C152=INT(C152)),YEAR(C152)&amp;"-"&amp;IF(MONTH(C152)&lt;10,"0","")&amp;MONTH(C152),""),"")</x:f>
      </x:c>
      <x:c r="N152" s="59" t="str">
        <x:f>IF(L152="VALID",IF(G152="USD",H152,I152),"")</x:f>
      </x:c>
      <x:c r="O152" s="57" t="n">
        <x:f>IF(L152="VALID",IF(COUNTIFS($B$2:B152,B152,$M$2:M152,M152,$L$2:L152,"VALID")=1,1,0),0)</x:f>
        <x:v>0</x:v>
      </x:c>
    </x:row>
    <x:row r="153">
      <x:c r="A153" s="47"/>
      <x:c r="B153" s="47"/>
      <x:c r="C153" s="69"/>
      <x:c r="D153" s="47"/>
      <x:c r="E153" s="47"/>
      <x:c r="F153" s="47"/>
      <x:c r="G153" s="47"/>
      <x:c r="H153" s="48"/>
      <x:c r="I153" s="48"/>
      <x:c r="J153" s="47"/>
      <x:c r="K153" s="47"/>
      <x:c r="L153" s="57" t="str">
        <x:f>IF(COUNTA(A153:K153)=0,"",IF(K153="CANCELLED","CANCELLED",IF(A153="","INVOICE ID REQUIRED",IF(B153="","PROJECT ID REQUIRED",IF(NOT(ISNUMBER(C153)),"INVALID INVOICE DATE",IF(NOT(AND(ISNUMBER(C153),C153&gt;=2,C153&lt;=2958465,C153=INT(C153))),"INVALID INVOICE DATE",IF(NOT(OR(D153="MX",D153="US")),"ENTITY REQUIRED",IF(NOT(OR(E153="Strategic Services",E153="Brands")),"UNIT REQUIRED",IF(F153="","BRAND / N/A REQUIRED",IF(NOT(OR(G153="USD",G153="MXN")),"CURRENCY REQUIRED",IF(NOT(ISNUMBER(H153)),"AMOUNT REQUIRED",IF(J153="","ERP SOURCE REQUIRED",IF(NOT(OR(K153="ISSUED",K153="CANCELLED")),"INVOICE STATUS REQUIRED",IF(COUNTIFS($A$2:$A$501,A153,$B$2:$B$501,B153,$D$2:$D$501,D153)&gt;1,"DUPLICATE INVOICE / PROJECT",IF(SUMPRODUCT(--(('ERP Snapshot'!$A$2:$A$101&amp;"")=(B153&amp;"")))=0,"PROJECT NOT FOUND",IF(SUMPRODUCT(--(('ERP Snapshot'!$A$2:$A$101&amp;"")=(B153&amp;"")))&gt;1,"DUPLICATE PROJECT ID",IF(OR(SUMPRODUCT(--(('ERP Snapshot'!$A$2:$A$101&amp;"")=(B153&amp;"")),--('ERP Snapshot'!$Q$2:$Q$101=E153),--('ERP Snapshot'!$R$2:$R$101=F153))&lt;&gt;1,SUMPRODUCT(--('Commercial Catalogs'!$A$2:$A$10=E153),--('Commercial Catalogs'!$B$2:$B$10=F153),--('Commercial Catalogs'!$C$2:$C$10="YES"),--('Commercial Catalogs'!$D$2:$D$10="IN SCOPE"))=0,AND(E153="Strategic Services",F153&lt;&gt;"N/A"),AND(E153="Brands",F153="N/A")),"PROJECT CLASSIFICATION MISMATCH",IF(AND(G153="MXN",NOT(AND(ISNUMBER(I153),Settings!$B$8="APPROVED",Settings!$B$9&lt;&gt;"",Settings!$B$10&lt;&gt;""))),"FX HOLD","VALID"))))))))))))))))))</x:f>
      </x:c>
      <x:c r="M153" s="57" t="str">
        <x:f>IF(ISNUMBER(C153),IF(AND(ISNUMBER(C153),C153&gt;=2,C153&lt;=2958465,C153=INT(C153)),YEAR(C153)&amp;"-"&amp;IF(MONTH(C153)&lt;10,"0","")&amp;MONTH(C153),""),"")</x:f>
      </x:c>
      <x:c r="N153" s="59" t="str">
        <x:f>IF(L153="VALID",IF(G153="USD",H153,I153),"")</x:f>
      </x:c>
      <x:c r="O153" s="57" t="n">
        <x:f>IF(L153="VALID",IF(COUNTIFS($B$2:B153,B153,$M$2:M153,M153,$L$2:L153,"VALID")=1,1,0),0)</x:f>
        <x:v>0</x:v>
      </x:c>
    </x:row>
    <x:row r="154">
      <x:c r="A154" s="47"/>
      <x:c r="B154" s="47"/>
      <x:c r="C154" s="69"/>
      <x:c r="D154" s="47"/>
      <x:c r="E154" s="47"/>
      <x:c r="F154" s="47"/>
      <x:c r="G154" s="47"/>
      <x:c r="H154" s="48"/>
      <x:c r="I154" s="48"/>
      <x:c r="J154" s="47"/>
      <x:c r="K154" s="47"/>
      <x:c r="L154" s="57" t="str">
        <x:f>IF(COUNTA(A154:K154)=0,"",IF(K154="CANCELLED","CANCELLED",IF(A154="","INVOICE ID REQUIRED",IF(B154="","PROJECT ID REQUIRED",IF(NOT(ISNUMBER(C154)),"INVALID INVOICE DATE",IF(NOT(AND(ISNUMBER(C154),C154&gt;=2,C154&lt;=2958465,C154=INT(C154))),"INVALID INVOICE DATE",IF(NOT(OR(D154="MX",D154="US")),"ENTITY REQUIRED",IF(NOT(OR(E154="Strategic Services",E154="Brands")),"UNIT REQUIRED",IF(F154="","BRAND / N/A REQUIRED",IF(NOT(OR(G154="USD",G154="MXN")),"CURRENCY REQUIRED",IF(NOT(ISNUMBER(H154)),"AMOUNT REQUIRED",IF(J154="","ERP SOURCE REQUIRED",IF(NOT(OR(K154="ISSUED",K154="CANCELLED")),"INVOICE STATUS REQUIRED",IF(COUNTIFS($A$2:$A$501,A154,$B$2:$B$501,B154,$D$2:$D$501,D154)&gt;1,"DUPLICATE INVOICE / PROJECT",IF(SUMPRODUCT(--(('ERP Snapshot'!$A$2:$A$101&amp;"")=(B154&amp;"")))=0,"PROJECT NOT FOUND",IF(SUMPRODUCT(--(('ERP Snapshot'!$A$2:$A$101&amp;"")=(B154&amp;"")))&gt;1,"DUPLICATE PROJECT ID",IF(OR(SUMPRODUCT(--(('ERP Snapshot'!$A$2:$A$101&amp;"")=(B154&amp;"")),--('ERP Snapshot'!$Q$2:$Q$101=E154),--('ERP Snapshot'!$R$2:$R$101=F154))&lt;&gt;1,SUMPRODUCT(--('Commercial Catalogs'!$A$2:$A$10=E154),--('Commercial Catalogs'!$B$2:$B$10=F154),--('Commercial Catalogs'!$C$2:$C$10="YES"),--('Commercial Catalogs'!$D$2:$D$10="IN SCOPE"))=0,AND(E154="Strategic Services",F154&lt;&gt;"N/A"),AND(E154="Brands",F154="N/A")),"PROJECT CLASSIFICATION MISMATCH",IF(AND(G154="MXN",NOT(AND(ISNUMBER(I154),Settings!$B$8="APPROVED",Settings!$B$9&lt;&gt;"",Settings!$B$10&lt;&gt;""))),"FX HOLD","VALID"))))))))))))))))))</x:f>
      </x:c>
      <x:c r="M154" s="57" t="str">
        <x:f>IF(ISNUMBER(C154),IF(AND(ISNUMBER(C154),C154&gt;=2,C154&lt;=2958465,C154=INT(C154)),YEAR(C154)&amp;"-"&amp;IF(MONTH(C154)&lt;10,"0","")&amp;MONTH(C154),""),"")</x:f>
      </x:c>
      <x:c r="N154" s="59" t="str">
        <x:f>IF(L154="VALID",IF(G154="USD",H154,I154),"")</x:f>
      </x:c>
      <x:c r="O154" s="57" t="n">
        <x:f>IF(L154="VALID",IF(COUNTIFS($B$2:B154,B154,$M$2:M154,M154,$L$2:L154,"VALID")=1,1,0),0)</x:f>
        <x:v>0</x:v>
      </x:c>
    </x:row>
    <x:row r="155">
      <x:c r="A155" s="47"/>
      <x:c r="B155" s="47"/>
      <x:c r="C155" s="69"/>
      <x:c r="D155" s="47"/>
      <x:c r="E155" s="47"/>
      <x:c r="F155" s="47"/>
      <x:c r="G155" s="47"/>
      <x:c r="H155" s="48"/>
      <x:c r="I155" s="48"/>
      <x:c r="J155" s="47"/>
      <x:c r="K155" s="47"/>
      <x:c r="L155" s="57" t="str">
        <x:f>IF(COUNTA(A155:K155)=0,"",IF(K155="CANCELLED","CANCELLED",IF(A155="","INVOICE ID REQUIRED",IF(B155="","PROJECT ID REQUIRED",IF(NOT(ISNUMBER(C155)),"INVALID INVOICE DATE",IF(NOT(AND(ISNUMBER(C155),C155&gt;=2,C155&lt;=2958465,C155=INT(C155))),"INVALID INVOICE DATE",IF(NOT(OR(D155="MX",D155="US")),"ENTITY REQUIRED",IF(NOT(OR(E155="Strategic Services",E155="Brands")),"UNIT REQUIRED",IF(F155="","BRAND / N/A REQUIRED",IF(NOT(OR(G155="USD",G155="MXN")),"CURRENCY REQUIRED",IF(NOT(ISNUMBER(H155)),"AMOUNT REQUIRED",IF(J155="","ERP SOURCE REQUIRED",IF(NOT(OR(K155="ISSUED",K155="CANCELLED")),"INVOICE STATUS REQUIRED",IF(COUNTIFS($A$2:$A$501,A155,$B$2:$B$501,B155,$D$2:$D$501,D155)&gt;1,"DUPLICATE INVOICE / PROJECT",IF(SUMPRODUCT(--(('ERP Snapshot'!$A$2:$A$101&amp;"")=(B155&amp;"")))=0,"PROJECT NOT FOUND",IF(SUMPRODUCT(--(('ERP Snapshot'!$A$2:$A$101&amp;"")=(B155&amp;"")))&gt;1,"DUPLICATE PROJECT ID",IF(OR(SUMPRODUCT(--(('ERP Snapshot'!$A$2:$A$101&amp;"")=(B155&amp;"")),--('ERP Snapshot'!$Q$2:$Q$101=E155),--('ERP Snapshot'!$R$2:$R$101=F155))&lt;&gt;1,SUMPRODUCT(--('Commercial Catalogs'!$A$2:$A$10=E155),--('Commercial Catalogs'!$B$2:$B$10=F155),--('Commercial Catalogs'!$C$2:$C$10="YES"),--('Commercial Catalogs'!$D$2:$D$10="IN SCOPE"))=0,AND(E155="Strategic Services",F155&lt;&gt;"N/A"),AND(E155="Brands",F155="N/A")),"PROJECT CLASSIFICATION MISMATCH",IF(AND(G155="MXN",NOT(AND(ISNUMBER(I155),Settings!$B$8="APPROVED",Settings!$B$9&lt;&gt;"",Settings!$B$10&lt;&gt;""))),"FX HOLD","VALID"))))))))))))))))))</x:f>
      </x:c>
      <x:c r="M155" s="57" t="str">
        <x:f>IF(ISNUMBER(C155),IF(AND(ISNUMBER(C155),C155&gt;=2,C155&lt;=2958465,C155=INT(C155)),YEAR(C155)&amp;"-"&amp;IF(MONTH(C155)&lt;10,"0","")&amp;MONTH(C155),""),"")</x:f>
      </x:c>
      <x:c r="N155" s="59" t="str">
        <x:f>IF(L155="VALID",IF(G155="USD",H155,I155),"")</x:f>
      </x:c>
      <x:c r="O155" s="57" t="n">
        <x:f>IF(L155="VALID",IF(COUNTIFS($B$2:B155,B155,$M$2:M155,M155,$L$2:L155,"VALID")=1,1,0),0)</x:f>
        <x:v>0</x:v>
      </x:c>
    </x:row>
    <x:row r="156">
      <x:c r="A156" s="47"/>
      <x:c r="B156" s="47"/>
      <x:c r="C156" s="69"/>
      <x:c r="D156" s="47"/>
      <x:c r="E156" s="47"/>
      <x:c r="F156" s="47"/>
      <x:c r="G156" s="47"/>
      <x:c r="H156" s="48"/>
      <x:c r="I156" s="48"/>
      <x:c r="J156" s="47"/>
      <x:c r="K156" s="47"/>
      <x:c r="L156" s="57" t="str">
        <x:f>IF(COUNTA(A156:K156)=0,"",IF(K156="CANCELLED","CANCELLED",IF(A156="","INVOICE ID REQUIRED",IF(B156="","PROJECT ID REQUIRED",IF(NOT(ISNUMBER(C156)),"INVALID INVOICE DATE",IF(NOT(AND(ISNUMBER(C156),C156&gt;=2,C156&lt;=2958465,C156=INT(C156))),"INVALID INVOICE DATE",IF(NOT(OR(D156="MX",D156="US")),"ENTITY REQUIRED",IF(NOT(OR(E156="Strategic Services",E156="Brands")),"UNIT REQUIRED",IF(F156="","BRAND / N/A REQUIRED",IF(NOT(OR(G156="USD",G156="MXN")),"CURRENCY REQUIRED",IF(NOT(ISNUMBER(H156)),"AMOUNT REQUIRED",IF(J156="","ERP SOURCE REQUIRED",IF(NOT(OR(K156="ISSUED",K156="CANCELLED")),"INVOICE STATUS REQUIRED",IF(COUNTIFS($A$2:$A$501,A156,$B$2:$B$501,B156,$D$2:$D$501,D156)&gt;1,"DUPLICATE INVOICE / PROJECT",IF(SUMPRODUCT(--(('ERP Snapshot'!$A$2:$A$101&amp;"")=(B156&amp;"")))=0,"PROJECT NOT FOUND",IF(SUMPRODUCT(--(('ERP Snapshot'!$A$2:$A$101&amp;"")=(B156&amp;"")))&gt;1,"DUPLICATE PROJECT ID",IF(OR(SUMPRODUCT(--(('ERP Snapshot'!$A$2:$A$101&amp;"")=(B156&amp;"")),--('ERP Snapshot'!$Q$2:$Q$101=E156),--('ERP Snapshot'!$R$2:$R$101=F156))&lt;&gt;1,SUMPRODUCT(--('Commercial Catalogs'!$A$2:$A$10=E156),--('Commercial Catalogs'!$B$2:$B$10=F156),--('Commercial Catalogs'!$C$2:$C$10="YES"),--('Commercial Catalogs'!$D$2:$D$10="IN SCOPE"))=0,AND(E156="Strategic Services",F156&lt;&gt;"N/A"),AND(E156="Brands",F156="N/A")),"PROJECT CLASSIFICATION MISMATCH",IF(AND(G156="MXN",NOT(AND(ISNUMBER(I156),Settings!$B$8="APPROVED",Settings!$B$9&lt;&gt;"",Settings!$B$10&lt;&gt;""))),"FX HOLD","VALID"))))))))))))))))))</x:f>
      </x:c>
      <x:c r="M156" s="57" t="str">
        <x:f>IF(ISNUMBER(C156),IF(AND(ISNUMBER(C156),C156&gt;=2,C156&lt;=2958465,C156=INT(C156)),YEAR(C156)&amp;"-"&amp;IF(MONTH(C156)&lt;10,"0","")&amp;MONTH(C156),""),"")</x:f>
      </x:c>
      <x:c r="N156" s="59" t="str">
        <x:f>IF(L156="VALID",IF(G156="USD",H156,I156),"")</x:f>
      </x:c>
      <x:c r="O156" s="57" t="n">
        <x:f>IF(L156="VALID",IF(COUNTIFS($B$2:B156,B156,$M$2:M156,M156,$L$2:L156,"VALID")=1,1,0),0)</x:f>
        <x:v>0</x:v>
      </x:c>
    </x:row>
    <x:row r="157">
      <x:c r="A157" s="47"/>
      <x:c r="B157" s="47"/>
      <x:c r="C157" s="69"/>
      <x:c r="D157" s="47"/>
      <x:c r="E157" s="47"/>
      <x:c r="F157" s="47"/>
      <x:c r="G157" s="47"/>
      <x:c r="H157" s="48"/>
      <x:c r="I157" s="48"/>
      <x:c r="J157" s="47"/>
      <x:c r="K157" s="47"/>
      <x:c r="L157" s="57" t="str">
        <x:f>IF(COUNTA(A157:K157)=0,"",IF(K157="CANCELLED","CANCELLED",IF(A157="","INVOICE ID REQUIRED",IF(B157="","PROJECT ID REQUIRED",IF(NOT(ISNUMBER(C157)),"INVALID INVOICE DATE",IF(NOT(AND(ISNUMBER(C157),C157&gt;=2,C157&lt;=2958465,C157=INT(C157))),"INVALID INVOICE DATE",IF(NOT(OR(D157="MX",D157="US")),"ENTITY REQUIRED",IF(NOT(OR(E157="Strategic Services",E157="Brands")),"UNIT REQUIRED",IF(F157="","BRAND / N/A REQUIRED",IF(NOT(OR(G157="USD",G157="MXN")),"CURRENCY REQUIRED",IF(NOT(ISNUMBER(H157)),"AMOUNT REQUIRED",IF(J157="","ERP SOURCE REQUIRED",IF(NOT(OR(K157="ISSUED",K157="CANCELLED")),"INVOICE STATUS REQUIRED",IF(COUNTIFS($A$2:$A$501,A157,$B$2:$B$501,B157,$D$2:$D$501,D157)&gt;1,"DUPLICATE INVOICE / PROJECT",IF(SUMPRODUCT(--(('ERP Snapshot'!$A$2:$A$101&amp;"")=(B157&amp;"")))=0,"PROJECT NOT FOUND",IF(SUMPRODUCT(--(('ERP Snapshot'!$A$2:$A$101&amp;"")=(B157&amp;"")))&gt;1,"DUPLICATE PROJECT ID",IF(OR(SUMPRODUCT(--(('ERP Snapshot'!$A$2:$A$101&amp;"")=(B157&amp;"")),--('ERP Snapshot'!$Q$2:$Q$101=E157),--('ERP Snapshot'!$R$2:$R$101=F157))&lt;&gt;1,SUMPRODUCT(--('Commercial Catalogs'!$A$2:$A$10=E157),--('Commercial Catalogs'!$B$2:$B$10=F157),--('Commercial Catalogs'!$C$2:$C$10="YES"),--('Commercial Catalogs'!$D$2:$D$10="IN SCOPE"))=0,AND(E157="Strategic Services",F157&lt;&gt;"N/A"),AND(E157="Brands",F157="N/A")),"PROJECT CLASSIFICATION MISMATCH",IF(AND(G157="MXN",NOT(AND(ISNUMBER(I157),Settings!$B$8="APPROVED",Settings!$B$9&lt;&gt;"",Settings!$B$10&lt;&gt;""))),"FX HOLD","VALID"))))))))))))))))))</x:f>
      </x:c>
      <x:c r="M157" s="57" t="str">
        <x:f>IF(ISNUMBER(C157),IF(AND(ISNUMBER(C157),C157&gt;=2,C157&lt;=2958465,C157=INT(C157)),YEAR(C157)&amp;"-"&amp;IF(MONTH(C157)&lt;10,"0","")&amp;MONTH(C157),""),"")</x:f>
      </x:c>
      <x:c r="N157" s="59" t="str">
        <x:f>IF(L157="VALID",IF(G157="USD",H157,I157),"")</x:f>
      </x:c>
      <x:c r="O157" s="57" t="n">
        <x:f>IF(L157="VALID",IF(COUNTIFS($B$2:B157,B157,$M$2:M157,M157,$L$2:L157,"VALID")=1,1,0),0)</x:f>
        <x:v>0</x:v>
      </x:c>
    </x:row>
    <x:row r="158">
      <x:c r="A158" s="47"/>
      <x:c r="B158" s="47"/>
      <x:c r="C158" s="69"/>
      <x:c r="D158" s="47"/>
      <x:c r="E158" s="47"/>
      <x:c r="F158" s="47"/>
      <x:c r="G158" s="47"/>
      <x:c r="H158" s="48"/>
      <x:c r="I158" s="48"/>
      <x:c r="J158" s="47"/>
      <x:c r="K158" s="47"/>
      <x:c r="L158" s="57" t="str">
        <x:f>IF(COUNTA(A158:K158)=0,"",IF(K158="CANCELLED","CANCELLED",IF(A158="","INVOICE ID REQUIRED",IF(B158="","PROJECT ID REQUIRED",IF(NOT(ISNUMBER(C158)),"INVALID INVOICE DATE",IF(NOT(AND(ISNUMBER(C158),C158&gt;=2,C158&lt;=2958465,C158=INT(C158))),"INVALID INVOICE DATE",IF(NOT(OR(D158="MX",D158="US")),"ENTITY REQUIRED",IF(NOT(OR(E158="Strategic Services",E158="Brands")),"UNIT REQUIRED",IF(F158="","BRAND / N/A REQUIRED",IF(NOT(OR(G158="USD",G158="MXN")),"CURRENCY REQUIRED",IF(NOT(ISNUMBER(H158)),"AMOUNT REQUIRED",IF(J158="","ERP SOURCE REQUIRED",IF(NOT(OR(K158="ISSUED",K158="CANCELLED")),"INVOICE STATUS REQUIRED",IF(COUNTIFS($A$2:$A$501,A158,$B$2:$B$501,B158,$D$2:$D$501,D158)&gt;1,"DUPLICATE INVOICE / PROJECT",IF(SUMPRODUCT(--(('ERP Snapshot'!$A$2:$A$101&amp;"")=(B158&amp;"")))=0,"PROJECT NOT FOUND",IF(SUMPRODUCT(--(('ERP Snapshot'!$A$2:$A$101&amp;"")=(B158&amp;"")))&gt;1,"DUPLICATE PROJECT ID",IF(OR(SUMPRODUCT(--(('ERP Snapshot'!$A$2:$A$101&amp;"")=(B158&amp;"")),--('ERP Snapshot'!$Q$2:$Q$101=E158),--('ERP Snapshot'!$R$2:$R$101=F158))&lt;&gt;1,SUMPRODUCT(--('Commercial Catalogs'!$A$2:$A$10=E158),--('Commercial Catalogs'!$B$2:$B$10=F158),--('Commercial Catalogs'!$C$2:$C$10="YES"),--('Commercial Catalogs'!$D$2:$D$10="IN SCOPE"))=0,AND(E158="Strategic Services",F158&lt;&gt;"N/A"),AND(E158="Brands",F158="N/A")),"PROJECT CLASSIFICATION MISMATCH",IF(AND(G158="MXN",NOT(AND(ISNUMBER(I158),Settings!$B$8="APPROVED",Settings!$B$9&lt;&gt;"",Settings!$B$10&lt;&gt;""))),"FX HOLD","VALID"))))))))))))))))))</x:f>
      </x:c>
      <x:c r="M158" s="57" t="str">
        <x:f>IF(ISNUMBER(C158),IF(AND(ISNUMBER(C158),C158&gt;=2,C158&lt;=2958465,C158=INT(C158)),YEAR(C158)&amp;"-"&amp;IF(MONTH(C158)&lt;10,"0","")&amp;MONTH(C158),""),"")</x:f>
      </x:c>
      <x:c r="N158" s="59" t="str">
        <x:f>IF(L158="VALID",IF(G158="USD",H158,I158),"")</x:f>
      </x:c>
      <x:c r="O158" s="57" t="n">
        <x:f>IF(L158="VALID",IF(COUNTIFS($B$2:B158,B158,$M$2:M158,M158,$L$2:L158,"VALID")=1,1,0),0)</x:f>
        <x:v>0</x:v>
      </x:c>
    </x:row>
    <x:row r="159">
      <x:c r="A159" s="47"/>
      <x:c r="B159" s="47"/>
      <x:c r="C159" s="69"/>
      <x:c r="D159" s="47"/>
      <x:c r="E159" s="47"/>
      <x:c r="F159" s="47"/>
      <x:c r="G159" s="47"/>
      <x:c r="H159" s="48"/>
      <x:c r="I159" s="48"/>
      <x:c r="J159" s="47"/>
      <x:c r="K159" s="47"/>
      <x:c r="L159" s="57" t="str">
        <x:f>IF(COUNTA(A159:K159)=0,"",IF(K159="CANCELLED","CANCELLED",IF(A159="","INVOICE ID REQUIRED",IF(B159="","PROJECT ID REQUIRED",IF(NOT(ISNUMBER(C159)),"INVALID INVOICE DATE",IF(NOT(AND(ISNUMBER(C159),C159&gt;=2,C159&lt;=2958465,C159=INT(C159))),"INVALID INVOICE DATE",IF(NOT(OR(D159="MX",D159="US")),"ENTITY REQUIRED",IF(NOT(OR(E159="Strategic Services",E159="Brands")),"UNIT REQUIRED",IF(F159="","BRAND / N/A REQUIRED",IF(NOT(OR(G159="USD",G159="MXN")),"CURRENCY REQUIRED",IF(NOT(ISNUMBER(H159)),"AMOUNT REQUIRED",IF(J159="","ERP SOURCE REQUIRED",IF(NOT(OR(K159="ISSUED",K159="CANCELLED")),"INVOICE STATUS REQUIRED",IF(COUNTIFS($A$2:$A$501,A159,$B$2:$B$501,B159,$D$2:$D$501,D159)&gt;1,"DUPLICATE INVOICE / PROJECT",IF(SUMPRODUCT(--(('ERP Snapshot'!$A$2:$A$101&amp;"")=(B159&amp;"")))=0,"PROJECT NOT FOUND",IF(SUMPRODUCT(--(('ERP Snapshot'!$A$2:$A$101&amp;"")=(B159&amp;"")))&gt;1,"DUPLICATE PROJECT ID",IF(OR(SUMPRODUCT(--(('ERP Snapshot'!$A$2:$A$101&amp;"")=(B159&amp;"")),--('ERP Snapshot'!$Q$2:$Q$101=E159),--('ERP Snapshot'!$R$2:$R$101=F159))&lt;&gt;1,SUMPRODUCT(--('Commercial Catalogs'!$A$2:$A$10=E159),--('Commercial Catalogs'!$B$2:$B$10=F159),--('Commercial Catalogs'!$C$2:$C$10="YES"),--('Commercial Catalogs'!$D$2:$D$10="IN SCOPE"))=0,AND(E159="Strategic Services",F159&lt;&gt;"N/A"),AND(E159="Brands",F159="N/A")),"PROJECT CLASSIFICATION MISMATCH",IF(AND(G159="MXN",NOT(AND(ISNUMBER(I159),Settings!$B$8="APPROVED",Settings!$B$9&lt;&gt;"",Settings!$B$10&lt;&gt;""))),"FX HOLD","VALID"))))))))))))))))))</x:f>
      </x:c>
      <x:c r="M159" s="57" t="str">
        <x:f>IF(ISNUMBER(C159),IF(AND(ISNUMBER(C159),C159&gt;=2,C159&lt;=2958465,C159=INT(C159)),YEAR(C159)&amp;"-"&amp;IF(MONTH(C159)&lt;10,"0","")&amp;MONTH(C159),""),"")</x:f>
      </x:c>
      <x:c r="N159" s="59" t="str">
        <x:f>IF(L159="VALID",IF(G159="USD",H159,I159),"")</x:f>
      </x:c>
      <x:c r="O159" s="57" t="n">
        <x:f>IF(L159="VALID",IF(COUNTIFS($B$2:B159,B159,$M$2:M159,M159,$L$2:L159,"VALID")=1,1,0),0)</x:f>
        <x:v>0</x:v>
      </x:c>
    </x:row>
    <x:row r="160">
      <x:c r="A160" s="47"/>
      <x:c r="B160" s="47"/>
      <x:c r="C160" s="69"/>
      <x:c r="D160" s="47"/>
      <x:c r="E160" s="47"/>
      <x:c r="F160" s="47"/>
      <x:c r="G160" s="47"/>
      <x:c r="H160" s="48"/>
      <x:c r="I160" s="48"/>
      <x:c r="J160" s="47"/>
      <x:c r="K160" s="47"/>
      <x:c r="L160" s="57" t="str">
        <x:f>IF(COUNTA(A160:K160)=0,"",IF(K160="CANCELLED","CANCELLED",IF(A160="","INVOICE ID REQUIRED",IF(B160="","PROJECT ID REQUIRED",IF(NOT(ISNUMBER(C160)),"INVALID INVOICE DATE",IF(NOT(AND(ISNUMBER(C160),C160&gt;=2,C160&lt;=2958465,C160=INT(C160))),"INVALID INVOICE DATE",IF(NOT(OR(D160="MX",D160="US")),"ENTITY REQUIRED",IF(NOT(OR(E160="Strategic Services",E160="Brands")),"UNIT REQUIRED",IF(F160="","BRAND / N/A REQUIRED",IF(NOT(OR(G160="USD",G160="MXN")),"CURRENCY REQUIRED",IF(NOT(ISNUMBER(H160)),"AMOUNT REQUIRED",IF(J160="","ERP SOURCE REQUIRED",IF(NOT(OR(K160="ISSUED",K160="CANCELLED")),"INVOICE STATUS REQUIRED",IF(COUNTIFS($A$2:$A$501,A160,$B$2:$B$501,B160,$D$2:$D$501,D160)&gt;1,"DUPLICATE INVOICE / PROJECT",IF(SUMPRODUCT(--(('ERP Snapshot'!$A$2:$A$101&amp;"")=(B160&amp;"")))=0,"PROJECT NOT FOUND",IF(SUMPRODUCT(--(('ERP Snapshot'!$A$2:$A$101&amp;"")=(B160&amp;"")))&gt;1,"DUPLICATE PROJECT ID",IF(OR(SUMPRODUCT(--(('ERP Snapshot'!$A$2:$A$101&amp;"")=(B160&amp;"")),--('ERP Snapshot'!$Q$2:$Q$101=E160),--('ERP Snapshot'!$R$2:$R$101=F160))&lt;&gt;1,SUMPRODUCT(--('Commercial Catalogs'!$A$2:$A$10=E160),--('Commercial Catalogs'!$B$2:$B$10=F160),--('Commercial Catalogs'!$C$2:$C$10="YES"),--('Commercial Catalogs'!$D$2:$D$10="IN SCOPE"))=0,AND(E160="Strategic Services",F160&lt;&gt;"N/A"),AND(E160="Brands",F160="N/A")),"PROJECT CLASSIFICATION MISMATCH",IF(AND(G160="MXN",NOT(AND(ISNUMBER(I160),Settings!$B$8="APPROVED",Settings!$B$9&lt;&gt;"",Settings!$B$10&lt;&gt;""))),"FX HOLD","VALID"))))))))))))))))))</x:f>
      </x:c>
      <x:c r="M160" s="57" t="str">
        <x:f>IF(ISNUMBER(C160),IF(AND(ISNUMBER(C160),C160&gt;=2,C160&lt;=2958465,C160=INT(C160)),YEAR(C160)&amp;"-"&amp;IF(MONTH(C160)&lt;10,"0","")&amp;MONTH(C160),""),"")</x:f>
      </x:c>
      <x:c r="N160" s="59" t="str">
        <x:f>IF(L160="VALID",IF(G160="USD",H160,I160),"")</x:f>
      </x:c>
      <x:c r="O160" s="57" t="n">
        <x:f>IF(L160="VALID",IF(COUNTIFS($B$2:B160,B160,$M$2:M160,M160,$L$2:L160,"VALID")=1,1,0),0)</x:f>
        <x:v>0</x:v>
      </x:c>
    </x:row>
    <x:row r="161">
      <x:c r="A161" s="47"/>
      <x:c r="B161" s="47"/>
      <x:c r="C161" s="69"/>
      <x:c r="D161" s="47"/>
      <x:c r="E161" s="47"/>
      <x:c r="F161" s="47"/>
      <x:c r="G161" s="47"/>
      <x:c r="H161" s="48"/>
      <x:c r="I161" s="48"/>
      <x:c r="J161" s="47"/>
      <x:c r="K161" s="47"/>
      <x:c r="L161" s="57" t="str">
        <x:f>IF(COUNTA(A161:K161)=0,"",IF(K161="CANCELLED","CANCELLED",IF(A161="","INVOICE ID REQUIRED",IF(B161="","PROJECT ID REQUIRED",IF(NOT(ISNUMBER(C161)),"INVALID INVOICE DATE",IF(NOT(AND(ISNUMBER(C161),C161&gt;=2,C161&lt;=2958465,C161=INT(C161))),"INVALID INVOICE DATE",IF(NOT(OR(D161="MX",D161="US")),"ENTITY REQUIRED",IF(NOT(OR(E161="Strategic Services",E161="Brands")),"UNIT REQUIRED",IF(F161="","BRAND / N/A REQUIRED",IF(NOT(OR(G161="USD",G161="MXN")),"CURRENCY REQUIRED",IF(NOT(ISNUMBER(H161)),"AMOUNT REQUIRED",IF(J161="","ERP SOURCE REQUIRED",IF(NOT(OR(K161="ISSUED",K161="CANCELLED")),"INVOICE STATUS REQUIRED",IF(COUNTIFS($A$2:$A$501,A161,$B$2:$B$501,B161,$D$2:$D$501,D161)&gt;1,"DUPLICATE INVOICE / PROJECT",IF(SUMPRODUCT(--(('ERP Snapshot'!$A$2:$A$101&amp;"")=(B161&amp;"")))=0,"PROJECT NOT FOUND",IF(SUMPRODUCT(--(('ERP Snapshot'!$A$2:$A$101&amp;"")=(B161&amp;"")))&gt;1,"DUPLICATE PROJECT ID",IF(OR(SUMPRODUCT(--(('ERP Snapshot'!$A$2:$A$101&amp;"")=(B161&amp;"")),--('ERP Snapshot'!$Q$2:$Q$101=E161),--('ERP Snapshot'!$R$2:$R$101=F161))&lt;&gt;1,SUMPRODUCT(--('Commercial Catalogs'!$A$2:$A$10=E161),--('Commercial Catalogs'!$B$2:$B$10=F161),--('Commercial Catalogs'!$C$2:$C$10="YES"),--('Commercial Catalogs'!$D$2:$D$10="IN SCOPE"))=0,AND(E161="Strategic Services",F161&lt;&gt;"N/A"),AND(E161="Brands",F161="N/A")),"PROJECT CLASSIFICATION MISMATCH",IF(AND(G161="MXN",NOT(AND(ISNUMBER(I161),Settings!$B$8="APPROVED",Settings!$B$9&lt;&gt;"",Settings!$B$10&lt;&gt;""))),"FX HOLD","VALID"))))))))))))))))))</x:f>
      </x:c>
      <x:c r="M161" s="57" t="str">
        <x:f>IF(ISNUMBER(C161),IF(AND(ISNUMBER(C161),C161&gt;=2,C161&lt;=2958465,C161=INT(C161)),YEAR(C161)&amp;"-"&amp;IF(MONTH(C161)&lt;10,"0","")&amp;MONTH(C161),""),"")</x:f>
      </x:c>
      <x:c r="N161" s="59" t="str">
        <x:f>IF(L161="VALID",IF(G161="USD",H161,I161),"")</x:f>
      </x:c>
      <x:c r="O161" s="57" t="n">
        <x:f>IF(L161="VALID",IF(COUNTIFS($B$2:B161,B161,$M$2:M161,M161,$L$2:L161,"VALID")=1,1,0),0)</x:f>
        <x:v>0</x:v>
      </x:c>
    </x:row>
    <x:row r="162">
      <x:c r="A162" s="47"/>
      <x:c r="B162" s="47"/>
      <x:c r="C162" s="69"/>
      <x:c r="D162" s="47"/>
      <x:c r="E162" s="47"/>
      <x:c r="F162" s="47"/>
      <x:c r="G162" s="47"/>
      <x:c r="H162" s="48"/>
      <x:c r="I162" s="48"/>
      <x:c r="J162" s="47"/>
      <x:c r="K162" s="47"/>
      <x:c r="L162" s="57" t="str">
        <x:f>IF(COUNTA(A162:K162)=0,"",IF(K162="CANCELLED","CANCELLED",IF(A162="","INVOICE ID REQUIRED",IF(B162="","PROJECT ID REQUIRED",IF(NOT(ISNUMBER(C162)),"INVALID INVOICE DATE",IF(NOT(AND(ISNUMBER(C162),C162&gt;=2,C162&lt;=2958465,C162=INT(C162))),"INVALID INVOICE DATE",IF(NOT(OR(D162="MX",D162="US")),"ENTITY REQUIRED",IF(NOT(OR(E162="Strategic Services",E162="Brands")),"UNIT REQUIRED",IF(F162="","BRAND / N/A REQUIRED",IF(NOT(OR(G162="USD",G162="MXN")),"CURRENCY REQUIRED",IF(NOT(ISNUMBER(H162)),"AMOUNT REQUIRED",IF(J162="","ERP SOURCE REQUIRED",IF(NOT(OR(K162="ISSUED",K162="CANCELLED")),"INVOICE STATUS REQUIRED",IF(COUNTIFS($A$2:$A$501,A162,$B$2:$B$501,B162,$D$2:$D$501,D162)&gt;1,"DUPLICATE INVOICE / PROJECT",IF(SUMPRODUCT(--(('ERP Snapshot'!$A$2:$A$101&amp;"")=(B162&amp;"")))=0,"PROJECT NOT FOUND",IF(SUMPRODUCT(--(('ERP Snapshot'!$A$2:$A$101&amp;"")=(B162&amp;"")))&gt;1,"DUPLICATE PROJECT ID",IF(OR(SUMPRODUCT(--(('ERP Snapshot'!$A$2:$A$101&amp;"")=(B162&amp;"")),--('ERP Snapshot'!$Q$2:$Q$101=E162),--('ERP Snapshot'!$R$2:$R$101=F162))&lt;&gt;1,SUMPRODUCT(--('Commercial Catalogs'!$A$2:$A$10=E162),--('Commercial Catalogs'!$B$2:$B$10=F162),--('Commercial Catalogs'!$C$2:$C$10="YES"),--('Commercial Catalogs'!$D$2:$D$10="IN SCOPE"))=0,AND(E162="Strategic Services",F162&lt;&gt;"N/A"),AND(E162="Brands",F162="N/A")),"PROJECT CLASSIFICATION MISMATCH",IF(AND(G162="MXN",NOT(AND(ISNUMBER(I162),Settings!$B$8="APPROVED",Settings!$B$9&lt;&gt;"",Settings!$B$10&lt;&gt;""))),"FX HOLD","VALID"))))))))))))))))))</x:f>
      </x:c>
      <x:c r="M162" s="57" t="str">
        <x:f>IF(ISNUMBER(C162),IF(AND(ISNUMBER(C162),C162&gt;=2,C162&lt;=2958465,C162=INT(C162)),YEAR(C162)&amp;"-"&amp;IF(MONTH(C162)&lt;10,"0","")&amp;MONTH(C162),""),"")</x:f>
      </x:c>
      <x:c r="N162" s="59" t="str">
        <x:f>IF(L162="VALID",IF(G162="USD",H162,I162),"")</x:f>
      </x:c>
      <x:c r="O162" s="57" t="n">
        <x:f>IF(L162="VALID",IF(COUNTIFS($B$2:B162,B162,$M$2:M162,M162,$L$2:L162,"VALID")=1,1,0),0)</x:f>
        <x:v>0</x:v>
      </x:c>
    </x:row>
    <x:row r="163">
      <x:c r="A163" s="47"/>
      <x:c r="B163" s="47"/>
      <x:c r="C163" s="69"/>
      <x:c r="D163" s="47"/>
      <x:c r="E163" s="47"/>
      <x:c r="F163" s="47"/>
      <x:c r="G163" s="47"/>
      <x:c r="H163" s="48"/>
      <x:c r="I163" s="48"/>
      <x:c r="J163" s="47"/>
      <x:c r="K163" s="47"/>
      <x:c r="L163" s="57" t="str">
        <x:f>IF(COUNTA(A163:K163)=0,"",IF(K163="CANCELLED","CANCELLED",IF(A163="","INVOICE ID REQUIRED",IF(B163="","PROJECT ID REQUIRED",IF(NOT(ISNUMBER(C163)),"INVALID INVOICE DATE",IF(NOT(AND(ISNUMBER(C163),C163&gt;=2,C163&lt;=2958465,C163=INT(C163))),"INVALID INVOICE DATE",IF(NOT(OR(D163="MX",D163="US")),"ENTITY REQUIRED",IF(NOT(OR(E163="Strategic Services",E163="Brands")),"UNIT REQUIRED",IF(F163="","BRAND / N/A REQUIRED",IF(NOT(OR(G163="USD",G163="MXN")),"CURRENCY REQUIRED",IF(NOT(ISNUMBER(H163)),"AMOUNT REQUIRED",IF(J163="","ERP SOURCE REQUIRED",IF(NOT(OR(K163="ISSUED",K163="CANCELLED")),"INVOICE STATUS REQUIRED",IF(COUNTIFS($A$2:$A$501,A163,$B$2:$B$501,B163,$D$2:$D$501,D163)&gt;1,"DUPLICATE INVOICE / PROJECT",IF(SUMPRODUCT(--(('ERP Snapshot'!$A$2:$A$101&amp;"")=(B163&amp;"")))=0,"PROJECT NOT FOUND",IF(SUMPRODUCT(--(('ERP Snapshot'!$A$2:$A$101&amp;"")=(B163&amp;"")))&gt;1,"DUPLICATE PROJECT ID",IF(OR(SUMPRODUCT(--(('ERP Snapshot'!$A$2:$A$101&amp;"")=(B163&amp;"")),--('ERP Snapshot'!$Q$2:$Q$101=E163),--('ERP Snapshot'!$R$2:$R$101=F163))&lt;&gt;1,SUMPRODUCT(--('Commercial Catalogs'!$A$2:$A$10=E163),--('Commercial Catalogs'!$B$2:$B$10=F163),--('Commercial Catalogs'!$C$2:$C$10="YES"),--('Commercial Catalogs'!$D$2:$D$10="IN SCOPE"))=0,AND(E163="Strategic Services",F163&lt;&gt;"N/A"),AND(E163="Brands",F163="N/A")),"PROJECT CLASSIFICATION MISMATCH",IF(AND(G163="MXN",NOT(AND(ISNUMBER(I163),Settings!$B$8="APPROVED",Settings!$B$9&lt;&gt;"",Settings!$B$10&lt;&gt;""))),"FX HOLD","VALID"))))))))))))))))))</x:f>
      </x:c>
      <x:c r="M163" s="57" t="str">
        <x:f>IF(ISNUMBER(C163),IF(AND(ISNUMBER(C163),C163&gt;=2,C163&lt;=2958465,C163=INT(C163)),YEAR(C163)&amp;"-"&amp;IF(MONTH(C163)&lt;10,"0","")&amp;MONTH(C163),""),"")</x:f>
      </x:c>
      <x:c r="N163" s="59" t="str">
        <x:f>IF(L163="VALID",IF(G163="USD",H163,I163),"")</x:f>
      </x:c>
      <x:c r="O163" s="57" t="n">
        <x:f>IF(L163="VALID",IF(COUNTIFS($B$2:B163,B163,$M$2:M163,M163,$L$2:L163,"VALID")=1,1,0),0)</x:f>
        <x:v>0</x:v>
      </x:c>
    </x:row>
    <x:row r="164">
      <x:c r="A164" s="47"/>
      <x:c r="B164" s="47"/>
      <x:c r="C164" s="69"/>
      <x:c r="D164" s="47"/>
      <x:c r="E164" s="47"/>
      <x:c r="F164" s="47"/>
      <x:c r="G164" s="47"/>
      <x:c r="H164" s="48"/>
      <x:c r="I164" s="48"/>
      <x:c r="J164" s="47"/>
      <x:c r="K164" s="47"/>
      <x:c r="L164" s="57" t="str">
        <x:f>IF(COUNTA(A164:K164)=0,"",IF(K164="CANCELLED","CANCELLED",IF(A164="","INVOICE ID REQUIRED",IF(B164="","PROJECT ID REQUIRED",IF(NOT(ISNUMBER(C164)),"INVALID INVOICE DATE",IF(NOT(AND(ISNUMBER(C164),C164&gt;=2,C164&lt;=2958465,C164=INT(C164))),"INVALID INVOICE DATE",IF(NOT(OR(D164="MX",D164="US")),"ENTITY REQUIRED",IF(NOT(OR(E164="Strategic Services",E164="Brands")),"UNIT REQUIRED",IF(F164="","BRAND / N/A REQUIRED",IF(NOT(OR(G164="USD",G164="MXN")),"CURRENCY REQUIRED",IF(NOT(ISNUMBER(H164)),"AMOUNT REQUIRED",IF(J164="","ERP SOURCE REQUIRED",IF(NOT(OR(K164="ISSUED",K164="CANCELLED")),"INVOICE STATUS REQUIRED",IF(COUNTIFS($A$2:$A$501,A164,$B$2:$B$501,B164,$D$2:$D$501,D164)&gt;1,"DUPLICATE INVOICE / PROJECT",IF(SUMPRODUCT(--(('ERP Snapshot'!$A$2:$A$101&amp;"")=(B164&amp;"")))=0,"PROJECT NOT FOUND",IF(SUMPRODUCT(--(('ERP Snapshot'!$A$2:$A$101&amp;"")=(B164&amp;"")))&gt;1,"DUPLICATE PROJECT ID",IF(OR(SUMPRODUCT(--(('ERP Snapshot'!$A$2:$A$101&amp;"")=(B164&amp;"")),--('ERP Snapshot'!$Q$2:$Q$101=E164),--('ERP Snapshot'!$R$2:$R$101=F164))&lt;&gt;1,SUMPRODUCT(--('Commercial Catalogs'!$A$2:$A$10=E164),--('Commercial Catalogs'!$B$2:$B$10=F164),--('Commercial Catalogs'!$C$2:$C$10="YES"),--('Commercial Catalogs'!$D$2:$D$10="IN SCOPE"))=0,AND(E164="Strategic Services",F164&lt;&gt;"N/A"),AND(E164="Brands",F164="N/A")),"PROJECT CLASSIFICATION MISMATCH",IF(AND(G164="MXN",NOT(AND(ISNUMBER(I164),Settings!$B$8="APPROVED",Settings!$B$9&lt;&gt;"",Settings!$B$10&lt;&gt;""))),"FX HOLD","VALID"))))))))))))))))))</x:f>
      </x:c>
      <x:c r="M164" s="57" t="str">
        <x:f>IF(ISNUMBER(C164),IF(AND(ISNUMBER(C164),C164&gt;=2,C164&lt;=2958465,C164=INT(C164)),YEAR(C164)&amp;"-"&amp;IF(MONTH(C164)&lt;10,"0","")&amp;MONTH(C164),""),"")</x:f>
      </x:c>
      <x:c r="N164" s="59" t="str">
        <x:f>IF(L164="VALID",IF(G164="USD",H164,I164),"")</x:f>
      </x:c>
      <x:c r="O164" s="57" t="n">
        <x:f>IF(L164="VALID",IF(COUNTIFS($B$2:B164,B164,$M$2:M164,M164,$L$2:L164,"VALID")=1,1,0),0)</x:f>
        <x:v>0</x:v>
      </x:c>
    </x:row>
    <x:row r="165">
      <x:c r="A165" s="47"/>
      <x:c r="B165" s="47"/>
      <x:c r="C165" s="69"/>
      <x:c r="D165" s="47"/>
      <x:c r="E165" s="47"/>
      <x:c r="F165" s="47"/>
      <x:c r="G165" s="47"/>
      <x:c r="H165" s="48"/>
      <x:c r="I165" s="48"/>
      <x:c r="J165" s="47"/>
      <x:c r="K165" s="47"/>
      <x:c r="L165" s="57" t="str">
        <x:f>IF(COUNTA(A165:K165)=0,"",IF(K165="CANCELLED","CANCELLED",IF(A165="","INVOICE ID REQUIRED",IF(B165="","PROJECT ID REQUIRED",IF(NOT(ISNUMBER(C165)),"INVALID INVOICE DATE",IF(NOT(AND(ISNUMBER(C165),C165&gt;=2,C165&lt;=2958465,C165=INT(C165))),"INVALID INVOICE DATE",IF(NOT(OR(D165="MX",D165="US")),"ENTITY REQUIRED",IF(NOT(OR(E165="Strategic Services",E165="Brands")),"UNIT REQUIRED",IF(F165="","BRAND / N/A REQUIRED",IF(NOT(OR(G165="USD",G165="MXN")),"CURRENCY REQUIRED",IF(NOT(ISNUMBER(H165)),"AMOUNT REQUIRED",IF(J165="","ERP SOURCE REQUIRED",IF(NOT(OR(K165="ISSUED",K165="CANCELLED")),"INVOICE STATUS REQUIRED",IF(COUNTIFS($A$2:$A$501,A165,$B$2:$B$501,B165,$D$2:$D$501,D165)&gt;1,"DUPLICATE INVOICE / PROJECT",IF(SUMPRODUCT(--(('ERP Snapshot'!$A$2:$A$101&amp;"")=(B165&amp;"")))=0,"PROJECT NOT FOUND",IF(SUMPRODUCT(--(('ERP Snapshot'!$A$2:$A$101&amp;"")=(B165&amp;"")))&gt;1,"DUPLICATE PROJECT ID",IF(OR(SUMPRODUCT(--(('ERP Snapshot'!$A$2:$A$101&amp;"")=(B165&amp;"")),--('ERP Snapshot'!$Q$2:$Q$101=E165),--('ERP Snapshot'!$R$2:$R$101=F165))&lt;&gt;1,SUMPRODUCT(--('Commercial Catalogs'!$A$2:$A$10=E165),--('Commercial Catalogs'!$B$2:$B$10=F165),--('Commercial Catalogs'!$C$2:$C$10="YES"),--('Commercial Catalogs'!$D$2:$D$10="IN SCOPE"))=0,AND(E165="Strategic Services",F165&lt;&gt;"N/A"),AND(E165="Brands",F165="N/A")),"PROJECT CLASSIFICATION MISMATCH",IF(AND(G165="MXN",NOT(AND(ISNUMBER(I165),Settings!$B$8="APPROVED",Settings!$B$9&lt;&gt;"",Settings!$B$10&lt;&gt;""))),"FX HOLD","VALID"))))))))))))))))))</x:f>
      </x:c>
      <x:c r="M165" s="57" t="str">
        <x:f>IF(ISNUMBER(C165),IF(AND(ISNUMBER(C165),C165&gt;=2,C165&lt;=2958465,C165=INT(C165)),YEAR(C165)&amp;"-"&amp;IF(MONTH(C165)&lt;10,"0","")&amp;MONTH(C165),""),"")</x:f>
      </x:c>
      <x:c r="N165" s="59" t="str">
        <x:f>IF(L165="VALID",IF(G165="USD",H165,I165),"")</x:f>
      </x:c>
      <x:c r="O165" s="57" t="n">
        <x:f>IF(L165="VALID",IF(COUNTIFS($B$2:B165,B165,$M$2:M165,M165,$L$2:L165,"VALID")=1,1,0),0)</x:f>
        <x:v>0</x:v>
      </x:c>
    </x:row>
    <x:row r="166">
      <x:c r="A166" s="47"/>
      <x:c r="B166" s="47"/>
      <x:c r="C166" s="69"/>
      <x:c r="D166" s="47"/>
      <x:c r="E166" s="47"/>
      <x:c r="F166" s="47"/>
      <x:c r="G166" s="47"/>
      <x:c r="H166" s="48"/>
      <x:c r="I166" s="48"/>
      <x:c r="J166" s="47"/>
      <x:c r="K166" s="47"/>
      <x:c r="L166" s="57" t="str">
        <x:f>IF(COUNTA(A166:K166)=0,"",IF(K166="CANCELLED","CANCELLED",IF(A166="","INVOICE ID REQUIRED",IF(B166="","PROJECT ID REQUIRED",IF(NOT(ISNUMBER(C166)),"INVALID INVOICE DATE",IF(NOT(AND(ISNUMBER(C166),C166&gt;=2,C166&lt;=2958465,C166=INT(C166))),"INVALID INVOICE DATE",IF(NOT(OR(D166="MX",D166="US")),"ENTITY REQUIRED",IF(NOT(OR(E166="Strategic Services",E166="Brands")),"UNIT REQUIRED",IF(F166="","BRAND / N/A REQUIRED",IF(NOT(OR(G166="USD",G166="MXN")),"CURRENCY REQUIRED",IF(NOT(ISNUMBER(H166)),"AMOUNT REQUIRED",IF(J166="","ERP SOURCE REQUIRED",IF(NOT(OR(K166="ISSUED",K166="CANCELLED")),"INVOICE STATUS REQUIRED",IF(COUNTIFS($A$2:$A$501,A166,$B$2:$B$501,B166,$D$2:$D$501,D166)&gt;1,"DUPLICATE INVOICE / PROJECT",IF(SUMPRODUCT(--(('ERP Snapshot'!$A$2:$A$101&amp;"")=(B166&amp;"")))=0,"PROJECT NOT FOUND",IF(SUMPRODUCT(--(('ERP Snapshot'!$A$2:$A$101&amp;"")=(B166&amp;"")))&gt;1,"DUPLICATE PROJECT ID",IF(OR(SUMPRODUCT(--(('ERP Snapshot'!$A$2:$A$101&amp;"")=(B166&amp;"")),--('ERP Snapshot'!$Q$2:$Q$101=E166),--('ERP Snapshot'!$R$2:$R$101=F166))&lt;&gt;1,SUMPRODUCT(--('Commercial Catalogs'!$A$2:$A$10=E166),--('Commercial Catalogs'!$B$2:$B$10=F166),--('Commercial Catalogs'!$C$2:$C$10="YES"),--('Commercial Catalogs'!$D$2:$D$10="IN SCOPE"))=0,AND(E166="Strategic Services",F166&lt;&gt;"N/A"),AND(E166="Brands",F166="N/A")),"PROJECT CLASSIFICATION MISMATCH",IF(AND(G166="MXN",NOT(AND(ISNUMBER(I166),Settings!$B$8="APPROVED",Settings!$B$9&lt;&gt;"",Settings!$B$10&lt;&gt;""))),"FX HOLD","VALID"))))))))))))))))))</x:f>
      </x:c>
      <x:c r="M166" s="57" t="str">
        <x:f>IF(ISNUMBER(C166),IF(AND(ISNUMBER(C166),C166&gt;=2,C166&lt;=2958465,C166=INT(C166)),YEAR(C166)&amp;"-"&amp;IF(MONTH(C166)&lt;10,"0","")&amp;MONTH(C166),""),"")</x:f>
      </x:c>
      <x:c r="N166" s="59" t="str">
        <x:f>IF(L166="VALID",IF(G166="USD",H166,I166),"")</x:f>
      </x:c>
      <x:c r="O166" s="57" t="n">
        <x:f>IF(L166="VALID",IF(COUNTIFS($B$2:B166,B166,$M$2:M166,M166,$L$2:L166,"VALID")=1,1,0),0)</x:f>
        <x:v>0</x:v>
      </x:c>
    </x:row>
    <x:row r="167">
      <x:c r="A167" s="47"/>
      <x:c r="B167" s="47"/>
      <x:c r="C167" s="69"/>
      <x:c r="D167" s="47"/>
      <x:c r="E167" s="47"/>
      <x:c r="F167" s="47"/>
      <x:c r="G167" s="47"/>
      <x:c r="H167" s="48"/>
      <x:c r="I167" s="48"/>
      <x:c r="J167" s="47"/>
      <x:c r="K167" s="47"/>
      <x:c r="L167" s="57" t="str">
        <x:f>IF(COUNTA(A167:K167)=0,"",IF(K167="CANCELLED","CANCELLED",IF(A167="","INVOICE ID REQUIRED",IF(B167="","PROJECT ID REQUIRED",IF(NOT(ISNUMBER(C167)),"INVALID INVOICE DATE",IF(NOT(AND(ISNUMBER(C167),C167&gt;=2,C167&lt;=2958465,C167=INT(C167))),"INVALID INVOICE DATE",IF(NOT(OR(D167="MX",D167="US")),"ENTITY REQUIRED",IF(NOT(OR(E167="Strategic Services",E167="Brands")),"UNIT REQUIRED",IF(F167="","BRAND / N/A REQUIRED",IF(NOT(OR(G167="USD",G167="MXN")),"CURRENCY REQUIRED",IF(NOT(ISNUMBER(H167)),"AMOUNT REQUIRED",IF(J167="","ERP SOURCE REQUIRED",IF(NOT(OR(K167="ISSUED",K167="CANCELLED")),"INVOICE STATUS REQUIRED",IF(COUNTIFS($A$2:$A$501,A167,$B$2:$B$501,B167,$D$2:$D$501,D167)&gt;1,"DUPLICATE INVOICE / PROJECT",IF(SUMPRODUCT(--(('ERP Snapshot'!$A$2:$A$101&amp;"")=(B167&amp;"")))=0,"PROJECT NOT FOUND",IF(SUMPRODUCT(--(('ERP Snapshot'!$A$2:$A$101&amp;"")=(B167&amp;"")))&gt;1,"DUPLICATE PROJECT ID",IF(OR(SUMPRODUCT(--(('ERP Snapshot'!$A$2:$A$101&amp;"")=(B167&amp;"")),--('ERP Snapshot'!$Q$2:$Q$101=E167),--('ERP Snapshot'!$R$2:$R$101=F167))&lt;&gt;1,SUMPRODUCT(--('Commercial Catalogs'!$A$2:$A$10=E167),--('Commercial Catalogs'!$B$2:$B$10=F167),--('Commercial Catalogs'!$C$2:$C$10="YES"),--('Commercial Catalogs'!$D$2:$D$10="IN SCOPE"))=0,AND(E167="Strategic Services",F167&lt;&gt;"N/A"),AND(E167="Brands",F167="N/A")),"PROJECT CLASSIFICATION MISMATCH",IF(AND(G167="MXN",NOT(AND(ISNUMBER(I167),Settings!$B$8="APPROVED",Settings!$B$9&lt;&gt;"",Settings!$B$10&lt;&gt;""))),"FX HOLD","VALID"))))))))))))))))))</x:f>
      </x:c>
      <x:c r="M167" s="57" t="str">
        <x:f>IF(ISNUMBER(C167),IF(AND(ISNUMBER(C167),C167&gt;=2,C167&lt;=2958465,C167=INT(C167)),YEAR(C167)&amp;"-"&amp;IF(MONTH(C167)&lt;10,"0","")&amp;MONTH(C167),""),"")</x:f>
      </x:c>
      <x:c r="N167" s="59" t="str">
        <x:f>IF(L167="VALID",IF(G167="USD",H167,I167),"")</x:f>
      </x:c>
      <x:c r="O167" s="57" t="n">
        <x:f>IF(L167="VALID",IF(COUNTIFS($B$2:B167,B167,$M$2:M167,M167,$L$2:L167,"VALID")=1,1,0),0)</x:f>
        <x:v>0</x:v>
      </x:c>
    </x:row>
    <x:row r="168">
      <x:c r="A168" s="47"/>
      <x:c r="B168" s="47"/>
      <x:c r="C168" s="69"/>
      <x:c r="D168" s="47"/>
      <x:c r="E168" s="47"/>
      <x:c r="F168" s="47"/>
      <x:c r="G168" s="47"/>
      <x:c r="H168" s="48"/>
      <x:c r="I168" s="48"/>
      <x:c r="J168" s="47"/>
      <x:c r="K168" s="47"/>
      <x:c r="L168" s="57" t="str">
        <x:f>IF(COUNTA(A168:K168)=0,"",IF(K168="CANCELLED","CANCELLED",IF(A168="","INVOICE ID REQUIRED",IF(B168="","PROJECT ID REQUIRED",IF(NOT(ISNUMBER(C168)),"INVALID INVOICE DATE",IF(NOT(AND(ISNUMBER(C168),C168&gt;=2,C168&lt;=2958465,C168=INT(C168))),"INVALID INVOICE DATE",IF(NOT(OR(D168="MX",D168="US")),"ENTITY REQUIRED",IF(NOT(OR(E168="Strategic Services",E168="Brands")),"UNIT REQUIRED",IF(F168="","BRAND / N/A REQUIRED",IF(NOT(OR(G168="USD",G168="MXN")),"CURRENCY REQUIRED",IF(NOT(ISNUMBER(H168)),"AMOUNT REQUIRED",IF(J168="","ERP SOURCE REQUIRED",IF(NOT(OR(K168="ISSUED",K168="CANCELLED")),"INVOICE STATUS REQUIRED",IF(COUNTIFS($A$2:$A$501,A168,$B$2:$B$501,B168,$D$2:$D$501,D168)&gt;1,"DUPLICATE INVOICE / PROJECT",IF(SUMPRODUCT(--(('ERP Snapshot'!$A$2:$A$101&amp;"")=(B168&amp;"")))=0,"PROJECT NOT FOUND",IF(SUMPRODUCT(--(('ERP Snapshot'!$A$2:$A$101&amp;"")=(B168&amp;"")))&gt;1,"DUPLICATE PROJECT ID",IF(OR(SUMPRODUCT(--(('ERP Snapshot'!$A$2:$A$101&amp;"")=(B168&amp;"")),--('ERP Snapshot'!$Q$2:$Q$101=E168),--('ERP Snapshot'!$R$2:$R$101=F168))&lt;&gt;1,SUMPRODUCT(--('Commercial Catalogs'!$A$2:$A$10=E168),--('Commercial Catalogs'!$B$2:$B$10=F168),--('Commercial Catalogs'!$C$2:$C$10="YES"),--('Commercial Catalogs'!$D$2:$D$10="IN SCOPE"))=0,AND(E168="Strategic Services",F168&lt;&gt;"N/A"),AND(E168="Brands",F168="N/A")),"PROJECT CLASSIFICATION MISMATCH",IF(AND(G168="MXN",NOT(AND(ISNUMBER(I168),Settings!$B$8="APPROVED",Settings!$B$9&lt;&gt;"",Settings!$B$10&lt;&gt;""))),"FX HOLD","VALID"))))))))))))))))))</x:f>
      </x:c>
      <x:c r="M168" s="57" t="str">
        <x:f>IF(ISNUMBER(C168),IF(AND(ISNUMBER(C168),C168&gt;=2,C168&lt;=2958465,C168=INT(C168)),YEAR(C168)&amp;"-"&amp;IF(MONTH(C168)&lt;10,"0","")&amp;MONTH(C168),""),"")</x:f>
      </x:c>
      <x:c r="N168" s="59" t="str">
        <x:f>IF(L168="VALID",IF(G168="USD",H168,I168),"")</x:f>
      </x:c>
      <x:c r="O168" s="57" t="n">
        <x:f>IF(L168="VALID",IF(COUNTIFS($B$2:B168,B168,$M$2:M168,M168,$L$2:L168,"VALID")=1,1,0),0)</x:f>
        <x:v>0</x:v>
      </x:c>
    </x:row>
    <x:row r="169">
      <x:c r="A169" s="47"/>
      <x:c r="B169" s="47"/>
      <x:c r="C169" s="69"/>
      <x:c r="D169" s="47"/>
      <x:c r="E169" s="47"/>
      <x:c r="F169" s="47"/>
      <x:c r="G169" s="47"/>
      <x:c r="H169" s="48"/>
      <x:c r="I169" s="48"/>
      <x:c r="J169" s="47"/>
      <x:c r="K169" s="47"/>
      <x:c r="L169" s="57" t="str">
        <x:f>IF(COUNTA(A169:K169)=0,"",IF(K169="CANCELLED","CANCELLED",IF(A169="","INVOICE ID REQUIRED",IF(B169="","PROJECT ID REQUIRED",IF(NOT(ISNUMBER(C169)),"INVALID INVOICE DATE",IF(NOT(AND(ISNUMBER(C169),C169&gt;=2,C169&lt;=2958465,C169=INT(C169))),"INVALID INVOICE DATE",IF(NOT(OR(D169="MX",D169="US")),"ENTITY REQUIRED",IF(NOT(OR(E169="Strategic Services",E169="Brands")),"UNIT REQUIRED",IF(F169="","BRAND / N/A REQUIRED",IF(NOT(OR(G169="USD",G169="MXN")),"CURRENCY REQUIRED",IF(NOT(ISNUMBER(H169)),"AMOUNT REQUIRED",IF(J169="","ERP SOURCE REQUIRED",IF(NOT(OR(K169="ISSUED",K169="CANCELLED")),"INVOICE STATUS REQUIRED",IF(COUNTIFS($A$2:$A$501,A169,$B$2:$B$501,B169,$D$2:$D$501,D169)&gt;1,"DUPLICATE INVOICE / PROJECT",IF(SUMPRODUCT(--(('ERP Snapshot'!$A$2:$A$101&amp;"")=(B169&amp;"")))=0,"PROJECT NOT FOUND",IF(SUMPRODUCT(--(('ERP Snapshot'!$A$2:$A$101&amp;"")=(B169&amp;"")))&gt;1,"DUPLICATE PROJECT ID",IF(OR(SUMPRODUCT(--(('ERP Snapshot'!$A$2:$A$101&amp;"")=(B169&amp;"")),--('ERP Snapshot'!$Q$2:$Q$101=E169),--('ERP Snapshot'!$R$2:$R$101=F169))&lt;&gt;1,SUMPRODUCT(--('Commercial Catalogs'!$A$2:$A$10=E169),--('Commercial Catalogs'!$B$2:$B$10=F169),--('Commercial Catalogs'!$C$2:$C$10="YES"),--('Commercial Catalogs'!$D$2:$D$10="IN SCOPE"))=0,AND(E169="Strategic Services",F169&lt;&gt;"N/A"),AND(E169="Brands",F169="N/A")),"PROJECT CLASSIFICATION MISMATCH",IF(AND(G169="MXN",NOT(AND(ISNUMBER(I169),Settings!$B$8="APPROVED",Settings!$B$9&lt;&gt;"",Settings!$B$10&lt;&gt;""))),"FX HOLD","VALID"))))))))))))))))))</x:f>
      </x:c>
      <x:c r="M169" s="57" t="str">
        <x:f>IF(ISNUMBER(C169),IF(AND(ISNUMBER(C169),C169&gt;=2,C169&lt;=2958465,C169=INT(C169)),YEAR(C169)&amp;"-"&amp;IF(MONTH(C169)&lt;10,"0","")&amp;MONTH(C169),""),"")</x:f>
      </x:c>
      <x:c r="N169" s="59" t="str">
        <x:f>IF(L169="VALID",IF(G169="USD",H169,I169),"")</x:f>
      </x:c>
      <x:c r="O169" s="57" t="n">
        <x:f>IF(L169="VALID",IF(COUNTIFS($B$2:B169,B169,$M$2:M169,M169,$L$2:L169,"VALID")=1,1,0),0)</x:f>
        <x:v>0</x:v>
      </x:c>
    </x:row>
    <x:row r="170">
      <x:c r="A170" s="47"/>
      <x:c r="B170" s="47"/>
      <x:c r="C170" s="69"/>
      <x:c r="D170" s="47"/>
      <x:c r="E170" s="47"/>
      <x:c r="F170" s="47"/>
      <x:c r="G170" s="47"/>
      <x:c r="H170" s="48"/>
      <x:c r="I170" s="48"/>
      <x:c r="J170" s="47"/>
      <x:c r="K170" s="47"/>
      <x:c r="L170" s="57" t="str">
        <x:f>IF(COUNTA(A170:K170)=0,"",IF(K170="CANCELLED","CANCELLED",IF(A170="","INVOICE ID REQUIRED",IF(B170="","PROJECT ID REQUIRED",IF(NOT(ISNUMBER(C170)),"INVALID INVOICE DATE",IF(NOT(AND(ISNUMBER(C170),C170&gt;=2,C170&lt;=2958465,C170=INT(C170))),"INVALID INVOICE DATE",IF(NOT(OR(D170="MX",D170="US")),"ENTITY REQUIRED",IF(NOT(OR(E170="Strategic Services",E170="Brands")),"UNIT REQUIRED",IF(F170="","BRAND / N/A REQUIRED",IF(NOT(OR(G170="USD",G170="MXN")),"CURRENCY REQUIRED",IF(NOT(ISNUMBER(H170)),"AMOUNT REQUIRED",IF(J170="","ERP SOURCE REQUIRED",IF(NOT(OR(K170="ISSUED",K170="CANCELLED")),"INVOICE STATUS REQUIRED",IF(COUNTIFS($A$2:$A$501,A170,$B$2:$B$501,B170,$D$2:$D$501,D170)&gt;1,"DUPLICATE INVOICE / PROJECT",IF(SUMPRODUCT(--(('ERP Snapshot'!$A$2:$A$101&amp;"")=(B170&amp;"")))=0,"PROJECT NOT FOUND",IF(SUMPRODUCT(--(('ERP Snapshot'!$A$2:$A$101&amp;"")=(B170&amp;"")))&gt;1,"DUPLICATE PROJECT ID",IF(OR(SUMPRODUCT(--(('ERP Snapshot'!$A$2:$A$101&amp;"")=(B170&amp;"")),--('ERP Snapshot'!$Q$2:$Q$101=E170),--('ERP Snapshot'!$R$2:$R$101=F170))&lt;&gt;1,SUMPRODUCT(--('Commercial Catalogs'!$A$2:$A$10=E170),--('Commercial Catalogs'!$B$2:$B$10=F170),--('Commercial Catalogs'!$C$2:$C$10="YES"),--('Commercial Catalogs'!$D$2:$D$10="IN SCOPE"))=0,AND(E170="Strategic Services",F170&lt;&gt;"N/A"),AND(E170="Brands",F170="N/A")),"PROJECT CLASSIFICATION MISMATCH",IF(AND(G170="MXN",NOT(AND(ISNUMBER(I170),Settings!$B$8="APPROVED",Settings!$B$9&lt;&gt;"",Settings!$B$10&lt;&gt;""))),"FX HOLD","VALID"))))))))))))))))))</x:f>
      </x:c>
      <x:c r="M170" s="57" t="str">
        <x:f>IF(ISNUMBER(C170),IF(AND(ISNUMBER(C170),C170&gt;=2,C170&lt;=2958465,C170=INT(C170)),YEAR(C170)&amp;"-"&amp;IF(MONTH(C170)&lt;10,"0","")&amp;MONTH(C170),""),"")</x:f>
      </x:c>
      <x:c r="N170" s="59" t="str">
        <x:f>IF(L170="VALID",IF(G170="USD",H170,I170),"")</x:f>
      </x:c>
      <x:c r="O170" s="57" t="n">
        <x:f>IF(L170="VALID",IF(COUNTIFS($B$2:B170,B170,$M$2:M170,M170,$L$2:L170,"VALID")=1,1,0),0)</x:f>
        <x:v>0</x:v>
      </x:c>
    </x:row>
    <x:row r="171">
      <x:c r="A171" s="47"/>
      <x:c r="B171" s="47"/>
      <x:c r="C171" s="69"/>
      <x:c r="D171" s="47"/>
      <x:c r="E171" s="47"/>
      <x:c r="F171" s="47"/>
      <x:c r="G171" s="47"/>
      <x:c r="H171" s="48"/>
      <x:c r="I171" s="48"/>
      <x:c r="J171" s="47"/>
      <x:c r="K171" s="47"/>
      <x:c r="L171" s="57" t="str">
        <x:f>IF(COUNTA(A171:K171)=0,"",IF(K171="CANCELLED","CANCELLED",IF(A171="","INVOICE ID REQUIRED",IF(B171="","PROJECT ID REQUIRED",IF(NOT(ISNUMBER(C171)),"INVALID INVOICE DATE",IF(NOT(AND(ISNUMBER(C171),C171&gt;=2,C171&lt;=2958465,C171=INT(C171))),"INVALID INVOICE DATE",IF(NOT(OR(D171="MX",D171="US")),"ENTITY REQUIRED",IF(NOT(OR(E171="Strategic Services",E171="Brands")),"UNIT REQUIRED",IF(F171="","BRAND / N/A REQUIRED",IF(NOT(OR(G171="USD",G171="MXN")),"CURRENCY REQUIRED",IF(NOT(ISNUMBER(H171)),"AMOUNT REQUIRED",IF(J171="","ERP SOURCE REQUIRED",IF(NOT(OR(K171="ISSUED",K171="CANCELLED")),"INVOICE STATUS REQUIRED",IF(COUNTIFS($A$2:$A$501,A171,$B$2:$B$501,B171,$D$2:$D$501,D171)&gt;1,"DUPLICATE INVOICE / PROJECT",IF(SUMPRODUCT(--(('ERP Snapshot'!$A$2:$A$101&amp;"")=(B171&amp;"")))=0,"PROJECT NOT FOUND",IF(SUMPRODUCT(--(('ERP Snapshot'!$A$2:$A$101&amp;"")=(B171&amp;"")))&gt;1,"DUPLICATE PROJECT ID",IF(OR(SUMPRODUCT(--(('ERP Snapshot'!$A$2:$A$101&amp;"")=(B171&amp;"")),--('ERP Snapshot'!$Q$2:$Q$101=E171),--('ERP Snapshot'!$R$2:$R$101=F171))&lt;&gt;1,SUMPRODUCT(--('Commercial Catalogs'!$A$2:$A$10=E171),--('Commercial Catalogs'!$B$2:$B$10=F171),--('Commercial Catalogs'!$C$2:$C$10="YES"),--('Commercial Catalogs'!$D$2:$D$10="IN SCOPE"))=0,AND(E171="Strategic Services",F171&lt;&gt;"N/A"),AND(E171="Brands",F171="N/A")),"PROJECT CLASSIFICATION MISMATCH",IF(AND(G171="MXN",NOT(AND(ISNUMBER(I171),Settings!$B$8="APPROVED",Settings!$B$9&lt;&gt;"",Settings!$B$10&lt;&gt;""))),"FX HOLD","VALID"))))))))))))))))))</x:f>
      </x:c>
      <x:c r="M171" s="57" t="str">
        <x:f>IF(ISNUMBER(C171),IF(AND(ISNUMBER(C171),C171&gt;=2,C171&lt;=2958465,C171=INT(C171)),YEAR(C171)&amp;"-"&amp;IF(MONTH(C171)&lt;10,"0","")&amp;MONTH(C171),""),"")</x:f>
      </x:c>
      <x:c r="N171" s="59" t="str">
        <x:f>IF(L171="VALID",IF(G171="USD",H171,I171),"")</x:f>
      </x:c>
      <x:c r="O171" s="57" t="n">
        <x:f>IF(L171="VALID",IF(COUNTIFS($B$2:B171,B171,$M$2:M171,M171,$L$2:L171,"VALID")=1,1,0),0)</x:f>
        <x:v>0</x:v>
      </x:c>
    </x:row>
    <x:row r="172">
      <x:c r="A172" s="47"/>
      <x:c r="B172" s="47"/>
      <x:c r="C172" s="69"/>
      <x:c r="D172" s="47"/>
      <x:c r="E172" s="47"/>
      <x:c r="F172" s="47"/>
      <x:c r="G172" s="47"/>
      <x:c r="H172" s="48"/>
      <x:c r="I172" s="48"/>
      <x:c r="J172" s="47"/>
      <x:c r="K172" s="47"/>
      <x:c r="L172" s="57" t="str">
        <x:f>IF(COUNTA(A172:K172)=0,"",IF(K172="CANCELLED","CANCELLED",IF(A172="","INVOICE ID REQUIRED",IF(B172="","PROJECT ID REQUIRED",IF(NOT(ISNUMBER(C172)),"INVALID INVOICE DATE",IF(NOT(AND(ISNUMBER(C172),C172&gt;=2,C172&lt;=2958465,C172=INT(C172))),"INVALID INVOICE DATE",IF(NOT(OR(D172="MX",D172="US")),"ENTITY REQUIRED",IF(NOT(OR(E172="Strategic Services",E172="Brands")),"UNIT REQUIRED",IF(F172="","BRAND / N/A REQUIRED",IF(NOT(OR(G172="USD",G172="MXN")),"CURRENCY REQUIRED",IF(NOT(ISNUMBER(H172)),"AMOUNT REQUIRED",IF(J172="","ERP SOURCE REQUIRED",IF(NOT(OR(K172="ISSUED",K172="CANCELLED")),"INVOICE STATUS REQUIRED",IF(COUNTIFS($A$2:$A$501,A172,$B$2:$B$501,B172,$D$2:$D$501,D172)&gt;1,"DUPLICATE INVOICE / PROJECT",IF(SUMPRODUCT(--(('ERP Snapshot'!$A$2:$A$101&amp;"")=(B172&amp;"")))=0,"PROJECT NOT FOUND",IF(SUMPRODUCT(--(('ERP Snapshot'!$A$2:$A$101&amp;"")=(B172&amp;"")))&gt;1,"DUPLICATE PROJECT ID",IF(OR(SUMPRODUCT(--(('ERP Snapshot'!$A$2:$A$101&amp;"")=(B172&amp;"")),--('ERP Snapshot'!$Q$2:$Q$101=E172),--('ERP Snapshot'!$R$2:$R$101=F172))&lt;&gt;1,SUMPRODUCT(--('Commercial Catalogs'!$A$2:$A$10=E172),--('Commercial Catalogs'!$B$2:$B$10=F172),--('Commercial Catalogs'!$C$2:$C$10="YES"),--('Commercial Catalogs'!$D$2:$D$10="IN SCOPE"))=0,AND(E172="Strategic Services",F172&lt;&gt;"N/A"),AND(E172="Brands",F172="N/A")),"PROJECT CLASSIFICATION MISMATCH",IF(AND(G172="MXN",NOT(AND(ISNUMBER(I172),Settings!$B$8="APPROVED",Settings!$B$9&lt;&gt;"",Settings!$B$10&lt;&gt;""))),"FX HOLD","VALID"))))))))))))))))))</x:f>
      </x:c>
      <x:c r="M172" s="57" t="str">
        <x:f>IF(ISNUMBER(C172),IF(AND(ISNUMBER(C172),C172&gt;=2,C172&lt;=2958465,C172=INT(C172)),YEAR(C172)&amp;"-"&amp;IF(MONTH(C172)&lt;10,"0","")&amp;MONTH(C172),""),"")</x:f>
      </x:c>
      <x:c r="N172" s="59" t="str">
        <x:f>IF(L172="VALID",IF(G172="USD",H172,I172),"")</x:f>
      </x:c>
      <x:c r="O172" s="57" t="n">
        <x:f>IF(L172="VALID",IF(COUNTIFS($B$2:B172,B172,$M$2:M172,M172,$L$2:L172,"VALID")=1,1,0),0)</x:f>
        <x:v>0</x:v>
      </x:c>
    </x:row>
    <x:row r="173">
      <x:c r="A173" s="47"/>
      <x:c r="B173" s="47"/>
      <x:c r="C173" s="69"/>
      <x:c r="D173" s="47"/>
      <x:c r="E173" s="47"/>
      <x:c r="F173" s="47"/>
      <x:c r="G173" s="47"/>
      <x:c r="H173" s="48"/>
      <x:c r="I173" s="48"/>
      <x:c r="J173" s="47"/>
      <x:c r="K173" s="47"/>
      <x:c r="L173" s="57" t="str">
        <x:f>IF(COUNTA(A173:K173)=0,"",IF(K173="CANCELLED","CANCELLED",IF(A173="","INVOICE ID REQUIRED",IF(B173="","PROJECT ID REQUIRED",IF(NOT(ISNUMBER(C173)),"INVALID INVOICE DATE",IF(NOT(AND(ISNUMBER(C173),C173&gt;=2,C173&lt;=2958465,C173=INT(C173))),"INVALID INVOICE DATE",IF(NOT(OR(D173="MX",D173="US")),"ENTITY REQUIRED",IF(NOT(OR(E173="Strategic Services",E173="Brands")),"UNIT REQUIRED",IF(F173="","BRAND / N/A REQUIRED",IF(NOT(OR(G173="USD",G173="MXN")),"CURRENCY REQUIRED",IF(NOT(ISNUMBER(H173)),"AMOUNT REQUIRED",IF(J173="","ERP SOURCE REQUIRED",IF(NOT(OR(K173="ISSUED",K173="CANCELLED")),"INVOICE STATUS REQUIRED",IF(COUNTIFS($A$2:$A$501,A173,$B$2:$B$501,B173,$D$2:$D$501,D173)&gt;1,"DUPLICATE INVOICE / PROJECT",IF(SUMPRODUCT(--(('ERP Snapshot'!$A$2:$A$101&amp;"")=(B173&amp;"")))=0,"PROJECT NOT FOUND",IF(SUMPRODUCT(--(('ERP Snapshot'!$A$2:$A$101&amp;"")=(B173&amp;"")))&gt;1,"DUPLICATE PROJECT ID",IF(OR(SUMPRODUCT(--(('ERP Snapshot'!$A$2:$A$101&amp;"")=(B173&amp;"")),--('ERP Snapshot'!$Q$2:$Q$101=E173),--('ERP Snapshot'!$R$2:$R$101=F173))&lt;&gt;1,SUMPRODUCT(--('Commercial Catalogs'!$A$2:$A$10=E173),--('Commercial Catalogs'!$B$2:$B$10=F173),--('Commercial Catalogs'!$C$2:$C$10="YES"),--('Commercial Catalogs'!$D$2:$D$10="IN SCOPE"))=0,AND(E173="Strategic Services",F173&lt;&gt;"N/A"),AND(E173="Brands",F173="N/A")),"PROJECT CLASSIFICATION MISMATCH",IF(AND(G173="MXN",NOT(AND(ISNUMBER(I173),Settings!$B$8="APPROVED",Settings!$B$9&lt;&gt;"",Settings!$B$10&lt;&gt;""))),"FX HOLD","VALID"))))))))))))))))))</x:f>
      </x:c>
      <x:c r="M173" s="57" t="str">
        <x:f>IF(ISNUMBER(C173),IF(AND(ISNUMBER(C173),C173&gt;=2,C173&lt;=2958465,C173=INT(C173)),YEAR(C173)&amp;"-"&amp;IF(MONTH(C173)&lt;10,"0","")&amp;MONTH(C173),""),"")</x:f>
      </x:c>
      <x:c r="N173" s="59" t="str">
        <x:f>IF(L173="VALID",IF(G173="USD",H173,I173),"")</x:f>
      </x:c>
      <x:c r="O173" s="57" t="n">
        <x:f>IF(L173="VALID",IF(COUNTIFS($B$2:B173,B173,$M$2:M173,M173,$L$2:L173,"VALID")=1,1,0),0)</x:f>
        <x:v>0</x:v>
      </x:c>
    </x:row>
    <x:row r="174">
      <x:c r="A174" s="47"/>
      <x:c r="B174" s="47"/>
      <x:c r="C174" s="69"/>
      <x:c r="D174" s="47"/>
      <x:c r="E174" s="47"/>
      <x:c r="F174" s="47"/>
      <x:c r="G174" s="47"/>
      <x:c r="H174" s="48"/>
      <x:c r="I174" s="48"/>
      <x:c r="J174" s="47"/>
      <x:c r="K174" s="47"/>
      <x:c r="L174" s="57" t="str">
        <x:f>IF(COUNTA(A174:K174)=0,"",IF(K174="CANCELLED","CANCELLED",IF(A174="","INVOICE ID REQUIRED",IF(B174="","PROJECT ID REQUIRED",IF(NOT(ISNUMBER(C174)),"INVALID INVOICE DATE",IF(NOT(AND(ISNUMBER(C174),C174&gt;=2,C174&lt;=2958465,C174=INT(C174))),"INVALID INVOICE DATE",IF(NOT(OR(D174="MX",D174="US")),"ENTITY REQUIRED",IF(NOT(OR(E174="Strategic Services",E174="Brands")),"UNIT REQUIRED",IF(F174="","BRAND / N/A REQUIRED",IF(NOT(OR(G174="USD",G174="MXN")),"CURRENCY REQUIRED",IF(NOT(ISNUMBER(H174)),"AMOUNT REQUIRED",IF(J174="","ERP SOURCE REQUIRED",IF(NOT(OR(K174="ISSUED",K174="CANCELLED")),"INVOICE STATUS REQUIRED",IF(COUNTIFS($A$2:$A$501,A174,$B$2:$B$501,B174,$D$2:$D$501,D174)&gt;1,"DUPLICATE INVOICE / PROJECT",IF(SUMPRODUCT(--(('ERP Snapshot'!$A$2:$A$101&amp;"")=(B174&amp;"")))=0,"PROJECT NOT FOUND",IF(SUMPRODUCT(--(('ERP Snapshot'!$A$2:$A$101&amp;"")=(B174&amp;"")))&gt;1,"DUPLICATE PROJECT ID",IF(OR(SUMPRODUCT(--(('ERP Snapshot'!$A$2:$A$101&amp;"")=(B174&amp;"")),--('ERP Snapshot'!$Q$2:$Q$101=E174),--('ERP Snapshot'!$R$2:$R$101=F174))&lt;&gt;1,SUMPRODUCT(--('Commercial Catalogs'!$A$2:$A$10=E174),--('Commercial Catalogs'!$B$2:$B$10=F174),--('Commercial Catalogs'!$C$2:$C$10="YES"),--('Commercial Catalogs'!$D$2:$D$10="IN SCOPE"))=0,AND(E174="Strategic Services",F174&lt;&gt;"N/A"),AND(E174="Brands",F174="N/A")),"PROJECT CLASSIFICATION MISMATCH",IF(AND(G174="MXN",NOT(AND(ISNUMBER(I174),Settings!$B$8="APPROVED",Settings!$B$9&lt;&gt;"",Settings!$B$10&lt;&gt;""))),"FX HOLD","VALID"))))))))))))))))))</x:f>
      </x:c>
      <x:c r="M174" s="57" t="str">
        <x:f>IF(ISNUMBER(C174),IF(AND(ISNUMBER(C174),C174&gt;=2,C174&lt;=2958465,C174=INT(C174)),YEAR(C174)&amp;"-"&amp;IF(MONTH(C174)&lt;10,"0","")&amp;MONTH(C174),""),"")</x:f>
      </x:c>
      <x:c r="N174" s="59" t="str">
        <x:f>IF(L174="VALID",IF(G174="USD",H174,I174),"")</x:f>
      </x:c>
      <x:c r="O174" s="57" t="n">
        <x:f>IF(L174="VALID",IF(COUNTIFS($B$2:B174,B174,$M$2:M174,M174,$L$2:L174,"VALID")=1,1,0),0)</x:f>
        <x:v>0</x:v>
      </x:c>
    </x:row>
    <x:row r="175">
      <x:c r="A175" s="47"/>
      <x:c r="B175" s="47"/>
      <x:c r="C175" s="69"/>
      <x:c r="D175" s="47"/>
      <x:c r="E175" s="47"/>
      <x:c r="F175" s="47"/>
      <x:c r="G175" s="47"/>
      <x:c r="H175" s="48"/>
      <x:c r="I175" s="48"/>
      <x:c r="J175" s="47"/>
      <x:c r="K175" s="47"/>
      <x:c r="L175" s="57" t="str">
        <x:f>IF(COUNTA(A175:K175)=0,"",IF(K175="CANCELLED","CANCELLED",IF(A175="","INVOICE ID REQUIRED",IF(B175="","PROJECT ID REQUIRED",IF(NOT(ISNUMBER(C175)),"INVALID INVOICE DATE",IF(NOT(AND(ISNUMBER(C175),C175&gt;=2,C175&lt;=2958465,C175=INT(C175))),"INVALID INVOICE DATE",IF(NOT(OR(D175="MX",D175="US")),"ENTITY REQUIRED",IF(NOT(OR(E175="Strategic Services",E175="Brands")),"UNIT REQUIRED",IF(F175="","BRAND / N/A REQUIRED",IF(NOT(OR(G175="USD",G175="MXN")),"CURRENCY REQUIRED",IF(NOT(ISNUMBER(H175)),"AMOUNT REQUIRED",IF(J175="","ERP SOURCE REQUIRED",IF(NOT(OR(K175="ISSUED",K175="CANCELLED")),"INVOICE STATUS REQUIRED",IF(COUNTIFS($A$2:$A$501,A175,$B$2:$B$501,B175,$D$2:$D$501,D175)&gt;1,"DUPLICATE INVOICE / PROJECT",IF(SUMPRODUCT(--(('ERP Snapshot'!$A$2:$A$101&amp;"")=(B175&amp;"")))=0,"PROJECT NOT FOUND",IF(SUMPRODUCT(--(('ERP Snapshot'!$A$2:$A$101&amp;"")=(B175&amp;"")))&gt;1,"DUPLICATE PROJECT ID",IF(OR(SUMPRODUCT(--(('ERP Snapshot'!$A$2:$A$101&amp;"")=(B175&amp;"")),--('ERP Snapshot'!$Q$2:$Q$101=E175),--('ERP Snapshot'!$R$2:$R$101=F175))&lt;&gt;1,SUMPRODUCT(--('Commercial Catalogs'!$A$2:$A$10=E175),--('Commercial Catalogs'!$B$2:$B$10=F175),--('Commercial Catalogs'!$C$2:$C$10="YES"),--('Commercial Catalogs'!$D$2:$D$10="IN SCOPE"))=0,AND(E175="Strategic Services",F175&lt;&gt;"N/A"),AND(E175="Brands",F175="N/A")),"PROJECT CLASSIFICATION MISMATCH",IF(AND(G175="MXN",NOT(AND(ISNUMBER(I175),Settings!$B$8="APPROVED",Settings!$B$9&lt;&gt;"",Settings!$B$10&lt;&gt;""))),"FX HOLD","VALID"))))))))))))))))))</x:f>
      </x:c>
      <x:c r="M175" s="57" t="str">
        <x:f>IF(ISNUMBER(C175),IF(AND(ISNUMBER(C175),C175&gt;=2,C175&lt;=2958465,C175=INT(C175)),YEAR(C175)&amp;"-"&amp;IF(MONTH(C175)&lt;10,"0","")&amp;MONTH(C175),""),"")</x:f>
      </x:c>
      <x:c r="N175" s="59" t="str">
        <x:f>IF(L175="VALID",IF(G175="USD",H175,I175),"")</x:f>
      </x:c>
      <x:c r="O175" s="57" t="n">
        <x:f>IF(L175="VALID",IF(COUNTIFS($B$2:B175,B175,$M$2:M175,M175,$L$2:L175,"VALID")=1,1,0),0)</x:f>
        <x:v>0</x:v>
      </x:c>
    </x:row>
    <x:row r="176">
      <x:c r="A176" s="47"/>
      <x:c r="B176" s="47"/>
      <x:c r="C176" s="69"/>
      <x:c r="D176" s="47"/>
      <x:c r="E176" s="47"/>
      <x:c r="F176" s="47"/>
      <x:c r="G176" s="47"/>
      <x:c r="H176" s="48"/>
      <x:c r="I176" s="48"/>
      <x:c r="J176" s="47"/>
      <x:c r="K176" s="47"/>
      <x:c r="L176" s="57" t="str">
        <x:f>IF(COUNTA(A176:K176)=0,"",IF(K176="CANCELLED","CANCELLED",IF(A176="","INVOICE ID REQUIRED",IF(B176="","PROJECT ID REQUIRED",IF(NOT(ISNUMBER(C176)),"INVALID INVOICE DATE",IF(NOT(AND(ISNUMBER(C176),C176&gt;=2,C176&lt;=2958465,C176=INT(C176))),"INVALID INVOICE DATE",IF(NOT(OR(D176="MX",D176="US")),"ENTITY REQUIRED",IF(NOT(OR(E176="Strategic Services",E176="Brands")),"UNIT REQUIRED",IF(F176="","BRAND / N/A REQUIRED",IF(NOT(OR(G176="USD",G176="MXN")),"CURRENCY REQUIRED",IF(NOT(ISNUMBER(H176)),"AMOUNT REQUIRED",IF(J176="","ERP SOURCE REQUIRED",IF(NOT(OR(K176="ISSUED",K176="CANCELLED")),"INVOICE STATUS REQUIRED",IF(COUNTIFS($A$2:$A$501,A176,$B$2:$B$501,B176,$D$2:$D$501,D176)&gt;1,"DUPLICATE INVOICE / PROJECT",IF(SUMPRODUCT(--(('ERP Snapshot'!$A$2:$A$101&amp;"")=(B176&amp;"")))=0,"PROJECT NOT FOUND",IF(SUMPRODUCT(--(('ERP Snapshot'!$A$2:$A$101&amp;"")=(B176&amp;"")))&gt;1,"DUPLICATE PROJECT ID",IF(OR(SUMPRODUCT(--(('ERP Snapshot'!$A$2:$A$101&amp;"")=(B176&amp;"")),--('ERP Snapshot'!$Q$2:$Q$101=E176),--('ERP Snapshot'!$R$2:$R$101=F176))&lt;&gt;1,SUMPRODUCT(--('Commercial Catalogs'!$A$2:$A$10=E176),--('Commercial Catalogs'!$B$2:$B$10=F176),--('Commercial Catalogs'!$C$2:$C$10="YES"),--('Commercial Catalogs'!$D$2:$D$10="IN SCOPE"))=0,AND(E176="Strategic Services",F176&lt;&gt;"N/A"),AND(E176="Brands",F176="N/A")),"PROJECT CLASSIFICATION MISMATCH",IF(AND(G176="MXN",NOT(AND(ISNUMBER(I176),Settings!$B$8="APPROVED",Settings!$B$9&lt;&gt;"",Settings!$B$10&lt;&gt;""))),"FX HOLD","VALID"))))))))))))))))))</x:f>
      </x:c>
      <x:c r="M176" s="57" t="str">
        <x:f>IF(ISNUMBER(C176),IF(AND(ISNUMBER(C176),C176&gt;=2,C176&lt;=2958465,C176=INT(C176)),YEAR(C176)&amp;"-"&amp;IF(MONTH(C176)&lt;10,"0","")&amp;MONTH(C176),""),"")</x:f>
      </x:c>
      <x:c r="N176" s="59" t="str">
        <x:f>IF(L176="VALID",IF(G176="USD",H176,I176),"")</x:f>
      </x:c>
      <x:c r="O176" s="57" t="n">
        <x:f>IF(L176="VALID",IF(COUNTIFS($B$2:B176,B176,$M$2:M176,M176,$L$2:L176,"VALID")=1,1,0),0)</x:f>
        <x:v>0</x:v>
      </x:c>
    </x:row>
    <x:row r="177">
      <x:c r="A177" s="47"/>
      <x:c r="B177" s="47"/>
      <x:c r="C177" s="69"/>
      <x:c r="D177" s="47"/>
      <x:c r="E177" s="47"/>
      <x:c r="F177" s="47"/>
      <x:c r="G177" s="47"/>
      <x:c r="H177" s="48"/>
      <x:c r="I177" s="48"/>
      <x:c r="J177" s="47"/>
      <x:c r="K177" s="47"/>
      <x:c r="L177" s="57" t="str">
        <x:f>IF(COUNTA(A177:K177)=0,"",IF(K177="CANCELLED","CANCELLED",IF(A177="","INVOICE ID REQUIRED",IF(B177="","PROJECT ID REQUIRED",IF(NOT(ISNUMBER(C177)),"INVALID INVOICE DATE",IF(NOT(AND(ISNUMBER(C177),C177&gt;=2,C177&lt;=2958465,C177=INT(C177))),"INVALID INVOICE DATE",IF(NOT(OR(D177="MX",D177="US")),"ENTITY REQUIRED",IF(NOT(OR(E177="Strategic Services",E177="Brands")),"UNIT REQUIRED",IF(F177="","BRAND / N/A REQUIRED",IF(NOT(OR(G177="USD",G177="MXN")),"CURRENCY REQUIRED",IF(NOT(ISNUMBER(H177)),"AMOUNT REQUIRED",IF(J177="","ERP SOURCE REQUIRED",IF(NOT(OR(K177="ISSUED",K177="CANCELLED")),"INVOICE STATUS REQUIRED",IF(COUNTIFS($A$2:$A$501,A177,$B$2:$B$501,B177,$D$2:$D$501,D177)&gt;1,"DUPLICATE INVOICE / PROJECT",IF(SUMPRODUCT(--(('ERP Snapshot'!$A$2:$A$101&amp;"")=(B177&amp;"")))=0,"PROJECT NOT FOUND",IF(SUMPRODUCT(--(('ERP Snapshot'!$A$2:$A$101&amp;"")=(B177&amp;"")))&gt;1,"DUPLICATE PROJECT ID",IF(OR(SUMPRODUCT(--(('ERP Snapshot'!$A$2:$A$101&amp;"")=(B177&amp;"")),--('ERP Snapshot'!$Q$2:$Q$101=E177),--('ERP Snapshot'!$R$2:$R$101=F177))&lt;&gt;1,SUMPRODUCT(--('Commercial Catalogs'!$A$2:$A$10=E177),--('Commercial Catalogs'!$B$2:$B$10=F177),--('Commercial Catalogs'!$C$2:$C$10="YES"),--('Commercial Catalogs'!$D$2:$D$10="IN SCOPE"))=0,AND(E177="Strategic Services",F177&lt;&gt;"N/A"),AND(E177="Brands",F177="N/A")),"PROJECT CLASSIFICATION MISMATCH",IF(AND(G177="MXN",NOT(AND(ISNUMBER(I177),Settings!$B$8="APPROVED",Settings!$B$9&lt;&gt;"",Settings!$B$10&lt;&gt;""))),"FX HOLD","VALID"))))))))))))))))))</x:f>
      </x:c>
      <x:c r="M177" s="57" t="str">
        <x:f>IF(ISNUMBER(C177),IF(AND(ISNUMBER(C177),C177&gt;=2,C177&lt;=2958465,C177=INT(C177)),YEAR(C177)&amp;"-"&amp;IF(MONTH(C177)&lt;10,"0","")&amp;MONTH(C177),""),"")</x:f>
      </x:c>
      <x:c r="N177" s="59" t="str">
        <x:f>IF(L177="VALID",IF(G177="USD",H177,I177),"")</x:f>
      </x:c>
      <x:c r="O177" s="57" t="n">
        <x:f>IF(L177="VALID",IF(COUNTIFS($B$2:B177,B177,$M$2:M177,M177,$L$2:L177,"VALID")=1,1,0),0)</x:f>
        <x:v>0</x:v>
      </x:c>
    </x:row>
    <x:row r="178">
      <x:c r="A178" s="47"/>
      <x:c r="B178" s="47"/>
      <x:c r="C178" s="69"/>
      <x:c r="D178" s="47"/>
      <x:c r="E178" s="47"/>
      <x:c r="F178" s="47"/>
      <x:c r="G178" s="47"/>
      <x:c r="H178" s="48"/>
      <x:c r="I178" s="48"/>
      <x:c r="J178" s="47"/>
      <x:c r="K178" s="47"/>
      <x:c r="L178" s="57" t="str">
        <x:f>IF(COUNTA(A178:K178)=0,"",IF(K178="CANCELLED","CANCELLED",IF(A178="","INVOICE ID REQUIRED",IF(B178="","PROJECT ID REQUIRED",IF(NOT(ISNUMBER(C178)),"INVALID INVOICE DATE",IF(NOT(AND(ISNUMBER(C178),C178&gt;=2,C178&lt;=2958465,C178=INT(C178))),"INVALID INVOICE DATE",IF(NOT(OR(D178="MX",D178="US")),"ENTITY REQUIRED",IF(NOT(OR(E178="Strategic Services",E178="Brands")),"UNIT REQUIRED",IF(F178="","BRAND / N/A REQUIRED",IF(NOT(OR(G178="USD",G178="MXN")),"CURRENCY REQUIRED",IF(NOT(ISNUMBER(H178)),"AMOUNT REQUIRED",IF(J178="","ERP SOURCE REQUIRED",IF(NOT(OR(K178="ISSUED",K178="CANCELLED")),"INVOICE STATUS REQUIRED",IF(COUNTIFS($A$2:$A$501,A178,$B$2:$B$501,B178,$D$2:$D$501,D178)&gt;1,"DUPLICATE INVOICE / PROJECT",IF(SUMPRODUCT(--(('ERP Snapshot'!$A$2:$A$101&amp;"")=(B178&amp;"")))=0,"PROJECT NOT FOUND",IF(SUMPRODUCT(--(('ERP Snapshot'!$A$2:$A$101&amp;"")=(B178&amp;"")))&gt;1,"DUPLICATE PROJECT ID",IF(OR(SUMPRODUCT(--(('ERP Snapshot'!$A$2:$A$101&amp;"")=(B178&amp;"")),--('ERP Snapshot'!$Q$2:$Q$101=E178),--('ERP Snapshot'!$R$2:$R$101=F178))&lt;&gt;1,SUMPRODUCT(--('Commercial Catalogs'!$A$2:$A$10=E178),--('Commercial Catalogs'!$B$2:$B$10=F178),--('Commercial Catalogs'!$C$2:$C$10="YES"),--('Commercial Catalogs'!$D$2:$D$10="IN SCOPE"))=0,AND(E178="Strategic Services",F178&lt;&gt;"N/A"),AND(E178="Brands",F178="N/A")),"PROJECT CLASSIFICATION MISMATCH",IF(AND(G178="MXN",NOT(AND(ISNUMBER(I178),Settings!$B$8="APPROVED",Settings!$B$9&lt;&gt;"",Settings!$B$10&lt;&gt;""))),"FX HOLD","VALID"))))))))))))))))))</x:f>
      </x:c>
      <x:c r="M178" s="57" t="str">
        <x:f>IF(ISNUMBER(C178),IF(AND(ISNUMBER(C178),C178&gt;=2,C178&lt;=2958465,C178=INT(C178)),YEAR(C178)&amp;"-"&amp;IF(MONTH(C178)&lt;10,"0","")&amp;MONTH(C178),""),"")</x:f>
      </x:c>
      <x:c r="N178" s="59" t="str">
        <x:f>IF(L178="VALID",IF(G178="USD",H178,I178),"")</x:f>
      </x:c>
      <x:c r="O178" s="57" t="n">
        <x:f>IF(L178="VALID",IF(COUNTIFS($B$2:B178,B178,$M$2:M178,M178,$L$2:L178,"VALID")=1,1,0),0)</x:f>
        <x:v>0</x:v>
      </x:c>
    </x:row>
    <x:row r="179">
      <x:c r="A179" s="47"/>
      <x:c r="B179" s="47"/>
      <x:c r="C179" s="69"/>
      <x:c r="D179" s="47"/>
      <x:c r="E179" s="47"/>
      <x:c r="F179" s="47"/>
      <x:c r="G179" s="47"/>
      <x:c r="H179" s="48"/>
      <x:c r="I179" s="48"/>
      <x:c r="J179" s="47"/>
      <x:c r="K179" s="47"/>
      <x:c r="L179" s="57" t="str">
        <x:f>IF(COUNTA(A179:K179)=0,"",IF(K179="CANCELLED","CANCELLED",IF(A179="","INVOICE ID REQUIRED",IF(B179="","PROJECT ID REQUIRED",IF(NOT(ISNUMBER(C179)),"INVALID INVOICE DATE",IF(NOT(AND(ISNUMBER(C179),C179&gt;=2,C179&lt;=2958465,C179=INT(C179))),"INVALID INVOICE DATE",IF(NOT(OR(D179="MX",D179="US")),"ENTITY REQUIRED",IF(NOT(OR(E179="Strategic Services",E179="Brands")),"UNIT REQUIRED",IF(F179="","BRAND / N/A REQUIRED",IF(NOT(OR(G179="USD",G179="MXN")),"CURRENCY REQUIRED",IF(NOT(ISNUMBER(H179)),"AMOUNT REQUIRED",IF(J179="","ERP SOURCE REQUIRED",IF(NOT(OR(K179="ISSUED",K179="CANCELLED")),"INVOICE STATUS REQUIRED",IF(COUNTIFS($A$2:$A$501,A179,$B$2:$B$501,B179,$D$2:$D$501,D179)&gt;1,"DUPLICATE INVOICE / PROJECT",IF(SUMPRODUCT(--(('ERP Snapshot'!$A$2:$A$101&amp;"")=(B179&amp;"")))=0,"PROJECT NOT FOUND",IF(SUMPRODUCT(--(('ERP Snapshot'!$A$2:$A$101&amp;"")=(B179&amp;"")))&gt;1,"DUPLICATE PROJECT ID",IF(OR(SUMPRODUCT(--(('ERP Snapshot'!$A$2:$A$101&amp;"")=(B179&amp;"")),--('ERP Snapshot'!$Q$2:$Q$101=E179),--('ERP Snapshot'!$R$2:$R$101=F179))&lt;&gt;1,SUMPRODUCT(--('Commercial Catalogs'!$A$2:$A$10=E179),--('Commercial Catalogs'!$B$2:$B$10=F179),--('Commercial Catalogs'!$C$2:$C$10="YES"),--('Commercial Catalogs'!$D$2:$D$10="IN SCOPE"))=0,AND(E179="Strategic Services",F179&lt;&gt;"N/A"),AND(E179="Brands",F179="N/A")),"PROJECT CLASSIFICATION MISMATCH",IF(AND(G179="MXN",NOT(AND(ISNUMBER(I179),Settings!$B$8="APPROVED",Settings!$B$9&lt;&gt;"",Settings!$B$10&lt;&gt;""))),"FX HOLD","VALID"))))))))))))))))))</x:f>
      </x:c>
      <x:c r="M179" s="57" t="str">
        <x:f>IF(ISNUMBER(C179),IF(AND(ISNUMBER(C179),C179&gt;=2,C179&lt;=2958465,C179=INT(C179)),YEAR(C179)&amp;"-"&amp;IF(MONTH(C179)&lt;10,"0","")&amp;MONTH(C179),""),"")</x:f>
      </x:c>
      <x:c r="N179" s="59" t="str">
        <x:f>IF(L179="VALID",IF(G179="USD",H179,I179),"")</x:f>
      </x:c>
      <x:c r="O179" s="57" t="n">
        <x:f>IF(L179="VALID",IF(COUNTIFS($B$2:B179,B179,$M$2:M179,M179,$L$2:L179,"VALID")=1,1,0),0)</x:f>
        <x:v>0</x:v>
      </x:c>
    </x:row>
    <x:row r="180">
      <x:c r="A180" s="47"/>
      <x:c r="B180" s="47"/>
      <x:c r="C180" s="69"/>
      <x:c r="D180" s="47"/>
      <x:c r="E180" s="47"/>
      <x:c r="F180" s="47"/>
      <x:c r="G180" s="47"/>
      <x:c r="H180" s="48"/>
      <x:c r="I180" s="48"/>
      <x:c r="J180" s="47"/>
      <x:c r="K180" s="47"/>
      <x:c r="L180" s="57" t="str">
        <x:f>IF(COUNTA(A180:K180)=0,"",IF(K180="CANCELLED","CANCELLED",IF(A180="","INVOICE ID REQUIRED",IF(B180="","PROJECT ID REQUIRED",IF(NOT(ISNUMBER(C180)),"INVALID INVOICE DATE",IF(NOT(AND(ISNUMBER(C180),C180&gt;=2,C180&lt;=2958465,C180=INT(C180))),"INVALID INVOICE DATE",IF(NOT(OR(D180="MX",D180="US")),"ENTITY REQUIRED",IF(NOT(OR(E180="Strategic Services",E180="Brands")),"UNIT REQUIRED",IF(F180="","BRAND / N/A REQUIRED",IF(NOT(OR(G180="USD",G180="MXN")),"CURRENCY REQUIRED",IF(NOT(ISNUMBER(H180)),"AMOUNT REQUIRED",IF(J180="","ERP SOURCE REQUIRED",IF(NOT(OR(K180="ISSUED",K180="CANCELLED")),"INVOICE STATUS REQUIRED",IF(COUNTIFS($A$2:$A$501,A180,$B$2:$B$501,B180,$D$2:$D$501,D180)&gt;1,"DUPLICATE INVOICE / PROJECT",IF(SUMPRODUCT(--(('ERP Snapshot'!$A$2:$A$101&amp;"")=(B180&amp;"")))=0,"PROJECT NOT FOUND",IF(SUMPRODUCT(--(('ERP Snapshot'!$A$2:$A$101&amp;"")=(B180&amp;"")))&gt;1,"DUPLICATE PROJECT ID",IF(OR(SUMPRODUCT(--(('ERP Snapshot'!$A$2:$A$101&amp;"")=(B180&amp;"")),--('ERP Snapshot'!$Q$2:$Q$101=E180),--('ERP Snapshot'!$R$2:$R$101=F180))&lt;&gt;1,SUMPRODUCT(--('Commercial Catalogs'!$A$2:$A$10=E180),--('Commercial Catalogs'!$B$2:$B$10=F180),--('Commercial Catalogs'!$C$2:$C$10="YES"),--('Commercial Catalogs'!$D$2:$D$10="IN SCOPE"))=0,AND(E180="Strategic Services",F180&lt;&gt;"N/A"),AND(E180="Brands",F180="N/A")),"PROJECT CLASSIFICATION MISMATCH",IF(AND(G180="MXN",NOT(AND(ISNUMBER(I180),Settings!$B$8="APPROVED",Settings!$B$9&lt;&gt;"",Settings!$B$10&lt;&gt;""))),"FX HOLD","VALID"))))))))))))))))))</x:f>
      </x:c>
      <x:c r="M180" s="57" t="str">
        <x:f>IF(ISNUMBER(C180),IF(AND(ISNUMBER(C180),C180&gt;=2,C180&lt;=2958465,C180=INT(C180)),YEAR(C180)&amp;"-"&amp;IF(MONTH(C180)&lt;10,"0","")&amp;MONTH(C180),""),"")</x:f>
      </x:c>
      <x:c r="N180" s="59" t="str">
        <x:f>IF(L180="VALID",IF(G180="USD",H180,I180),"")</x:f>
      </x:c>
      <x:c r="O180" s="57" t="n">
        <x:f>IF(L180="VALID",IF(COUNTIFS($B$2:B180,B180,$M$2:M180,M180,$L$2:L180,"VALID")=1,1,0),0)</x:f>
        <x:v>0</x:v>
      </x:c>
    </x:row>
    <x:row r="181">
      <x:c r="A181" s="47"/>
      <x:c r="B181" s="47"/>
      <x:c r="C181" s="69"/>
      <x:c r="D181" s="47"/>
      <x:c r="E181" s="47"/>
      <x:c r="F181" s="47"/>
      <x:c r="G181" s="47"/>
      <x:c r="H181" s="48"/>
      <x:c r="I181" s="48"/>
      <x:c r="J181" s="47"/>
      <x:c r="K181" s="47"/>
      <x:c r="L181" s="57" t="str">
        <x:f>IF(COUNTA(A181:K181)=0,"",IF(K181="CANCELLED","CANCELLED",IF(A181="","INVOICE ID REQUIRED",IF(B181="","PROJECT ID REQUIRED",IF(NOT(ISNUMBER(C181)),"INVALID INVOICE DATE",IF(NOT(AND(ISNUMBER(C181),C181&gt;=2,C181&lt;=2958465,C181=INT(C181))),"INVALID INVOICE DATE",IF(NOT(OR(D181="MX",D181="US")),"ENTITY REQUIRED",IF(NOT(OR(E181="Strategic Services",E181="Brands")),"UNIT REQUIRED",IF(F181="","BRAND / N/A REQUIRED",IF(NOT(OR(G181="USD",G181="MXN")),"CURRENCY REQUIRED",IF(NOT(ISNUMBER(H181)),"AMOUNT REQUIRED",IF(J181="","ERP SOURCE REQUIRED",IF(NOT(OR(K181="ISSUED",K181="CANCELLED")),"INVOICE STATUS REQUIRED",IF(COUNTIFS($A$2:$A$501,A181,$B$2:$B$501,B181,$D$2:$D$501,D181)&gt;1,"DUPLICATE INVOICE / PROJECT",IF(SUMPRODUCT(--(('ERP Snapshot'!$A$2:$A$101&amp;"")=(B181&amp;"")))=0,"PROJECT NOT FOUND",IF(SUMPRODUCT(--(('ERP Snapshot'!$A$2:$A$101&amp;"")=(B181&amp;"")))&gt;1,"DUPLICATE PROJECT ID",IF(OR(SUMPRODUCT(--(('ERP Snapshot'!$A$2:$A$101&amp;"")=(B181&amp;"")),--('ERP Snapshot'!$Q$2:$Q$101=E181),--('ERP Snapshot'!$R$2:$R$101=F181))&lt;&gt;1,SUMPRODUCT(--('Commercial Catalogs'!$A$2:$A$10=E181),--('Commercial Catalogs'!$B$2:$B$10=F181),--('Commercial Catalogs'!$C$2:$C$10="YES"),--('Commercial Catalogs'!$D$2:$D$10="IN SCOPE"))=0,AND(E181="Strategic Services",F181&lt;&gt;"N/A"),AND(E181="Brands",F181="N/A")),"PROJECT CLASSIFICATION MISMATCH",IF(AND(G181="MXN",NOT(AND(ISNUMBER(I181),Settings!$B$8="APPROVED",Settings!$B$9&lt;&gt;"",Settings!$B$10&lt;&gt;""))),"FX HOLD","VALID"))))))))))))))))))</x:f>
      </x:c>
      <x:c r="M181" s="57" t="str">
        <x:f>IF(ISNUMBER(C181),IF(AND(ISNUMBER(C181),C181&gt;=2,C181&lt;=2958465,C181=INT(C181)),YEAR(C181)&amp;"-"&amp;IF(MONTH(C181)&lt;10,"0","")&amp;MONTH(C181),""),"")</x:f>
      </x:c>
      <x:c r="N181" s="59" t="str">
        <x:f>IF(L181="VALID",IF(G181="USD",H181,I181),"")</x:f>
      </x:c>
      <x:c r="O181" s="57" t="n">
        <x:f>IF(L181="VALID",IF(COUNTIFS($B$2:B181,B181,$M$2:M181,M181,$L$2:L181,"VALID")=1,1,0),0)</x:f>
        <x:v>0</x:v>
      </x:c>
    </x:row>
    <x:row r="182">
      <x:c r="A182" s="47"/>
      <x:c r="B182" s="47"/>
      <x:c r="C182" s="69"/>
      <x:c r="D182" s="47"/>
      <x:c r="E182" s="47"/>
      <x:c r="F182" s="47"/>
      <x:c r="G182" s="47"/>
      <x:c r="H182" s="48"/>
      <x:c r="I182" s="48"/>
      <x:c r="J182" s="47"/>
      <x:c r="K182" s="47"/>
      <x:c r="L182" s="57" t="str">
        <x:f>IF(COUNTA(A182:K182)=0,"",IF(K182="CANCELLED","CANCELLED",IF(A182="","INVOICE ID REQUIRED",IF(B182="","PROJECT ID REQUIRED",IF(NOT(ISNUMBER(C182)),"INVALID INVOICE DATE",IF(NOT(AND(ISNUMBER(C182),C182&gt;=2,C182&lt;=2958465,C182=INT(C182))),"INVALID INVOICE DATE",IF(NOT(OR(D182="MX",D182="US")),"ENTITY REQUIRED",IF(NOT(OR(E182="Strategic Services",E182="Brands")),"UNIT REQUIRED",IF(F182="","BRAND / N/A REQUIRED",IF(NOT(OR(G182="USD",G182="MXN")),"CURRENCY REQUIRED",IF(NOT(ISNUMBER(H182)),"AMOUNT REQUIRED",IF(J182="","ERP SOURCE REQUIRED",IF(NOT(OR(K182="ISSUED",K182="CANCELLED")),"INVOICE STATUS REQUIRED",IF(COUNTIFS($A$2:$A$501,A182,$B$2:$B$501,B182,$D$2:$D$501,D182)&gt;1,"DUPLICATE INVOICE / PROJECT",IF(SUMPRODUCT(--(('ERP Snapshot'!$A$2:$A$101&amp;"")=(B182&amp;"")))=0,"PROJECT NOT FOUND",IF(SUMPRODUCT(--(('ERP Snapshot'!$A$2:$A$101&amp;"")=(B182&amp;"")))&gt;1,"DUPLICATE PROJECT ID",IF(OR(SUMPRODUCT(--(('ERP Snapshot'!$A$2:$A$101&amp;"")=(B182&amp;"")),--('ERP Snapshot'!$Q$2:$Q$101=E182),--('ERP Snapshot'!$R$2:$R$101=F182))&lt;&gt;1,SUMPRODUCT(--('Commercial Catalogs'!$A$2:$A$10=E182),--('Commercial Catalogs'!$B$2:$B$10=F182),--('Commercial Catalogs'!$C$2:$C$10="YES"),--('Commercial Catalogs'!$D$2:$D$10="IN SCOPE"))=0,AND(E182="Strategic Services",F182&lt;&gt;"N/A"),AND(E182="Brands",F182="N/A")),"PROJECT CLASSIFICATION MISMATCH",IF(AND(G182="MXN",NOT(AND(ISNUMBER(I182),Settings!$B$8="APPROVED",Settings!$B$9&lt;&gt;"",Settings!$B$10&lt;&gt;""))),"FX HOLD","VALID"))))))))))))))))))</x:f>
      </x:c>
      <x:c r="M182" s="57" t="str">
        <x:f>IF(ISNUMBER(C182),IF(AND(ISNUMBER(C182),C182&gt;=2,C182&lt;=2958465,C182=INT(C182)),YEAR(C182)&amp;"-"&amp;IF(MONTH(C182)&lt;10,"0","")&amp;MONTH(C182),""),"")</x:f>
      </x:c>
      <x:c r="N182" s="59" t="str">
        <x:f>IF(L182="VALID",IF(G182="USD",H182,I182),"")</x:f>
      </x:c>
      <x:c r="O182" s="57" t="n">
        <x:f>IF(L182="VALID",IF(COUNTIFS($B$2:B182,B182,$M$2:M182,M182,$L$2:L182,"VALID")=1,1,0),0)</x:f>
        <x:v>0</x:v>
      </x:c>
    </x:row>
    <x:row r="183">
      <x:c r="A183" s="47"/>
      <x:c r="B183" s="47"/>
      <x:c r="C183" s="69"/>
      <x:c r="D183" s="47"/>
      <x:c r="E183" s="47"/>
      <x:c r="F183" s="47"/>
      <x:c r="G183" s="47"/>
      <x:c r="H183" s="48"/>
      <x:c r="I183" s="48"/>
      <x:c r="J183" s="47"/>
      <x:c r="K183" s="47"/>
      <x:c r="L183" s="57" t="str">
        <x:f>IF(COUNTA(A183:K183)=0,"",IF(K183="CANCELLED","CANCELLED",IF(A183="","INVOICE ID REQUIRED",IF(B183="","PROJECT ID REQUIRED",IF(NOT(ISNUMBER(C183)),"INVALID INVOICE DATE",IF(NOT(AND(ISNUMBER(C183),C183&gt;=2,C183&lt;=2958465,C183=INT(C183))),"INVALID INVOICE DATE",IF(NOT(OR(D183="MX",D183="US")),"ENTITY REQUIRED",IF(NOT(OR(E183="Strategic Services",E183="Brands")),"UNIT REQUIRED",IF(F183="","BRAND / N/A REQUIRED",IF(NOT(OR(G183="USD",G183="MXN")),"CURRENCY REQUIRED",IF(NOT(ISNUMBER(H183)),"AMOUNT REQUIRED",IF(J183="","ERP SOURCE REQUIRED",IF(NOT(OR(K183="ISSUED",K183="CANCELLED")),"INVOICE STATUS REQUIRED",IF(COUNTIFS($A$2:$A$501,A183,$B$2:$B$501,B183,$D$2:$D$501,D183)&gt;1,"DUPLICATE INVOICE / PROJECT",IF(SUMPRODUCT(--(('ERP Snapshot'!$A$2:$A$101&amp;"")=(B183&amp;"")))=0,"PROJECT NOT FOUND",IF(SUMPRODUCT(--(('ERP Snapshot'!$A$2:$A$101&amp;"")=(B183&amp;"")))&gt;1,"DUPLICATE PROJECT ID",IF(OR(SUMPRODUCT(--(('ERP Snapshot'!$A$2:$A$101&amp;"")=(B183&amp;"")),--('ERP Snapshot'!$Q$2:$Q$101=E183),--('ERP Snapshot'!$R$2:$R$101=F183))&lt;&gt;1,SUMPRODUCT(--('Commercial Catalogs'!$A$2:$A$10=E183),--('Commercial Catalogs'!$B$2:$B$10=F183),--('Commercial Catalogs'!$C$2:$C$10="YES"),--('Commercial Catalogs'!$D$2:$D$10="IN SCOPE"))=0,AND(E183="Strategic Services",F183&lt;&gt;"N/A"),AND(E183="Brands",F183="N/A")),"PROJECT CLASSIFICATION MISMATCH",IF(AND(G183="MXN",NOT(AND(ISNUMBER(I183),Settings!$B$8="APPROVED",Settings!$B$9&lt;&gt;"",Settings!$B$10&lt;&gt;""))),"FX HOLD","VALID"))))))))))))))))))</x:f>
      </x:c>
      <x:c r="M183" s="57" t="str">
        <x:f>IF(ISNUMBER(C183),IF(AND(ISNUMBER(C183),C183&gt;=2,C183&lt;=2958465,C183=INT(C183)),YEAR(C183)&amp;"-"&amp;IF(MONTH(C183)&lt;10,"0","")&amp;MONTH(C183),""),"")</x:f>
      </x:c>
      <x:c r="N183" s="59" t="str">
        <x:f>IF(L183="VALID",IF(G183="USD",H183,I183),"")</x:f>
      </x:c>
      <x:c r="O183" s="57" t="n">
        <x:f>IF(L183="VALID",IF(COUNTIFS($B$2:B183,B183,$M$2:M183,M183,$L$2:L183,"VALID")=1,1,0),0)</x:f>
        <x:v>0</x:v>
      </x:c>
    </x:row>
    <x:row r="184">
      <x:c r="A184" s="47"/>
      <x:c r="B184" s="47"/>
      <x:c r="C184" s="69"/>
      <x:c r="D184" s="47"/>
      <x:c r="E184" s="47"/>
      <x:c r="F184" s="47"/>
      <x:c r="G184" s="47"/>
      <x:c r="H184" s="48"/>
      <x:c r="I184" s="48"/>
      <x:c r="J184" s="47"/>
      <x:c r="K184" s="47"/>
      <x:c r="L184" s="57" t="str">
        <x:f>IF(COUNTA(A184:K184)=0,"",IF(K184="CANCELLED","CANCELLED",IF(A184="","INVOICE ID REQUIRED",IF(B184="","PROJECT ID REQUIRED",IF(NOT(ISNUMBER(C184)),"INVALID INVOICE DATE",IF(NOT(AND(ISNUMBER(C184),C184&gt;=2,C184&lt;=2958465,C184=INT(C184))),"INVALID INVOICE DATE",IF(NOT(OR(D184="MX",D184="US")),"ENTITY REQUIRED",IF(NOT(OR(E184="Strategic Services",E184="Brands")),"UNIT REQUIRED",IF(F184="","BRAND / N/A REQUIRED",IF(NOT(OR(G184="USD",G184="MXN")),"CURRENCY REQUIRED",IF(NOT(ISNUMBER(H184)),"AMOUNT REQUIRED",IF(J184="","ERP SOURCE REQUIRED",IF(NOT(OR(K184="ISSUED",K184="CANCELLED")),"INVOICE STATUS REQUIRED",IF(COUNTIFS($A$2:$A$501,A184,$B$2:$B$501,B184,$D$2:$D$501,D184)&gt;1,"DUPLICATE INVOICE / PROJECT",IF(SUMPRODUCT(--(('ERP Snapshot'!$A$2:$A$101&amp;"")=(B184&amp;"")))=0,"PROJECT NOT FOUND",IF(SUMPRODUCT(--(('ERP Snapshot'!$A$2:$A$101&amp;"")=(B184&amp;"")))&gt;1,"DUPLICATE PROJECT ID",IF(OR(SUMPRODUCT(--(('ERP Snapshot'!$A$2:$A$101&amp;"")=(B184&amp;"")),--('ERP Snapshot'!$Q$2:$Q$101=E184),--('ERP Snapshot'!$R$2:$R$101=F184))&lt;&gt;1,SUMPRODUCT(--('Commercial Catalogs'!$A$2:$A$10=E184),--('Commercial Catalogs'!$B$2:$B$10=F184),--('Commercial Catalogs'!$C$2:$C$10="YES"),--('Commercial Catalogs'!$D$2:$D$10="IN SCOPE"))=0,AND(E184="Strategic Services",F184&lt;&gt;"N/A"),AND(E184="Brands",F184="N/A")),"PROJECT CLASSIFICATION MISMATCH",IF(AND(G184="MXN",NOT(AND(ISNUMBER(I184),Settings!$B$8="APPROVED",Settings!$B$9&lt;&gt;"",Settings!$B$10&lt;&gt;""))),"FX HOLD","VALID"))))))))))))))))))</x:f>
      </x:c>
      <x:c r="M184" s="57" t="str">
        <x:f>IF(ISNUMBER(C184),IF(AND(ISNUMBER(C184),C184&gt;=2,C184&lt;=2958465,C184=INT(C184)),YEAR(C184)&amp;"-"&amp;IF(MONTH(C184)&lt;10,"0","")&amp;MONTH(C184),""),"")</x:f>
      </x:c>
      <x:c r="N184" s="59" t="str">
        <x:f>IF(L184="VALID",IF(G184="USD",H184,I184),"")</x:f>
      </x:c>
      <x:c r="O184" s="57" t="n">
        <x:f>IF(L184="VALID",IF(COUNTIFS($B$2:B184,B184,$M$2:M184,M184,$L$2:L184,"VALID")=1,1,0),0)</x:f>
        <x:v>0</x:v>
      </x:c>
    </x:row>
    <x:row r="185">
      <x:c r="A185" s="47"/>
      <x:c r="B185" s="47"/>
      <x:c r="C185" s="69"/>
      <x:c r="D185" s="47"/>
      <x:c r="E185" s="47"/>
      <x:c r="F185" s="47"/>
      <x:c r="G185" s="47"/>
      <x:c r="H185" s="48"/>
      <x:c r="I185" s="48"/>
      <x:c r="J185" s="47"/>
      <x:c r="K185" s="47"/>
      <x:c r="L185" s="57" t="str">
        <x:f>IF(COUNTA(A185:K185)=0,"",IF(K185="CANCELLED","CANCELLED",IF(A185="","INVOICE ID REQUIRED",IF(B185="","PROJECT ID REQUIRED",IF(NOT(ISNUMBER(C185)),"INVALID INVOICE DATE",IF(NOT(AND(ISNUMBER(C185),C185&gt;=2,C185&lt;=2958465,C185=INT(C185))),"INVALID INVOICE DATE",IF(NOT(OR(D185="MX",D185="US")),"ENTITY REQUIRED",IF(NOT(OR(E185="Strategic Services",E185="Brands")),"UNIT REQUIRED",IF(F185="","BRAND / N/A REQUIRED",IF(NOT(OR(G185="USD",G185="MXN")),"CURRENCY REQUIRED",IF(NOT(ISNUMBER(H185)),"AMOUNT REQUIRED",IF(J185="","ERP SOURCE REQUIRED",IF(NOT(OR(K185="ISSUED",K185="CANCELLED")),"INVOICE STATUS REQUIRED",IF(COUNTIFS($A$2:$A$501,A185,$B$2:$B$501,B185,$D$2:$D$501,D185)&gt;1,"DUPLICATE INVOICE / PROJECT",IF(SUMPRODUCT(--(('ERP Snapshot'!$A$2:$A$101&amp;"")=(B185&amp;"")))=0,"PROJECT NOT FOUND",IF(SUMPRODUCT(--(('ERP Snapshot'!$A$2:$A$101&amp;"")=(B185&amp;"")))&gt;1,"DUPLICATE PROJECT ID",IF(OR(SUMPRODUCT(--(('ERP Snapshot'!$A$2:$A$101&amp;"")=(B185&amp;"")),--('ERP Snapshot'!$Q$2:$Q$101=E185),--('ERP Snapshot'!$R$2:$R$101=F185))&lt;&gt;1,SUMPRODUCT(--('Commercial Catalogs'!$A$2:$A$10=E185),--('Commercial Catalogs'!$B$2:$B$10=F185),--('Commercial Catalogs'!$C$2:$C$10="YES"),--('Commercial Catalogs'!$D$2:$D$10="IN SCOPE"))=0,AND(E185="Strategic Services",F185&lt;&gt;"N/A"),AND(E185="Brands",F185="N/A")),"PROJECT CLASSIFICATION MISMATCH",IF(AND(G185="MXN",NOT(AND(ISNUMBER(I185),Settings!$B$8="APPROVED",Settings!$B$9&lt;&gt;"",Settings!$B$10&lt;&gt;""))),"FX HOLD","VALID"))))))))))))))))))</x:f>
      </x:c>
      <x:c r="M185" s="57" t="str">
        <x:f>IF(ISNUMBER(C185),IF(AND(ISNUMBER(C185),C185&gt;=2,C185&lt;=2958465,C185=INT(C185)),YEAR(C185)&amp;"-"&amp;IF(MONTH(C185)&lt;10,"0","")&amp;MONTH(C185),""),"")</x:f>
      </x:c>
      <x:c r="N185" s="59" t="str">
        <x:f>IF(L185="VALID",IF(G185="USD",H185,I185),"")</x:f>
      </x:c>
      <x:c r="O185" s="57" t="n">
        <x:f>IF(L185="VALID",IF(COUNTIFS($B$2:B185,B185,$M$2:M185,M185,$L$2:L185,"VALID")=1,1,0),0)</x:f>
        <x:v>0</x:v>
      </x:c>
    </x:row>
    <x:row r="186">
      <x:c r="A186" s="47"/>
      <x:c r="B186" s="47"/>
      <x:c r="C186" s="69"/>
      <x:c r="D186" s="47"/>
      <x:c r="E186" s="47"/>
      <x:c r="F186" s="47"/>
      <x:c r="G186" s="47"/>
      <x:c r="H186" s="48"/>
      <x:c r="I186" s="48"/>
      <x:c r="J186" s="47"/>
      <x:c r="K186" s="47"/>
      <x:c r="L186" s="57" t="str">
        <x:f>IF(COUNTA(A186:K186)=0,"",IF(K186="CANCELLED","CANCELLED",IF(A186="","INVOICE ID REQUIRED",IF(B186="","PROJECT ID REQUIRED",IF(NOT(ISNUMBER(C186)),"INVALID INVOICE DATE",IF(NOT(AND(ISNUMBER(C186),C186&gt;=2,C186&lt;=2958465,C186=INT(C186))),"INVALID INVOICE DATE",IF(NOT(OR(D186="MX",D186="US")),"ENTITY REQUIRED",IF(NOT(OR(E186="Strategic Services",E186="Brands")),"UNIT REQUIRED",IF(F186="","BRAND / N/A REQUIRED",IF(NOT(OR(G186="USD",G186="MXN")),"CURRENCY REQUIRED",IF(NOT(ISNUMBER(H186)),"AMOUNT REQUIRED",IF(J186="","ERP SOURCE REQUIRED",IF(NOT(OR(K186="ISSUED",K186="CANCELLED")),"INVOICE STATUS REQUIRED",IF(COUNTIFS($A$2:$A$501,A186,$B$2:$B$501,B186,$D$2:$D$501,D186)&gt;1,"DUPLICATE INVOICE / PROJECT",IF(SUMPRODUCT(--(('ERP Snapshot'!$A$2:$A$101&amp;"")=(B186&amp;"")))=0,"PROJECT NOT FOUND",IF(SUMPRODUCT(--(('ERP Snapshot'!$A$2:$A$101&amp;"")=(B186&amp;"")))&gt;1,"DUPLICATE PROJECT ID",IF(OR(SUMPRODUCT(--(('ERP Snapshot'!$A$2:$A$101&amp;"")=(B186&amp;"")),--('ERP Snapshot'!$Q$2:$Q$101=E186),--('ERP Snapshot'!$R$2:$R$101=F186))&lt;&gt;1,SUMPRODUCT(--('Commercial Catalogs'!$A$2:$A$10=E186),--('Commercial Catalogs'!$B$2:$B$10=F186),--('Commercial Catalogs'!$C$2:$C$10="YES"),--('Commercial Catalogs'!$D$2:$D$10="IN SCOPE"))=0,AND(E186="Strategic Services",F186&lt;&gt;"N/A"),AND(E186="Brands",F186="N/A")),"PROJECT CLASSIFICATION MISMATCH",IF(AND(G186="MXN",NOT(AND(ISNUMBER(I186),Settings!$B$8="APPROVED",Settings!$B$9&lt;&gt;"",Settings!$B$10&lt;&gt;""))),"FX HOLD","VALID"))))))))))))))))))</x:f>
      </x:c>
      <x:c r="M186" s="57" t="str">
        <x:f>IF(ISNUMBER(C186),IF(AND(ISNUMBER(C186),C186&gt;=2,C186&lt;=2958465,C186=INT(C186)),YEAR(C186)&amp;"-"&amp;IF(MONTH(C186)&lt;10,"0","")&amp;MONTH(C186),""),"")</x:f>
      </x:c>
      <x:c r="N186" s="59" t="str">
        <x:f>IF(L186="VALID",IF(G186="USD",H186,I186),"")</x:f>
      </x:c>
      <x:c r="O186" s="57" t="n">
        <x:f>IF(L186="VALID",IF(COUNTIFS($B$2:B186,B186,$M$2:M186,M186,$L$2:L186,"VALID")=1,1,0),0)</x:f>
        <x:v>0</x:v>
      </x:c>
    </x:row>
    <x:row r="187">
      <x:c r="A187" s="47"/>
      <x:c r="B187" s="47"/>
      <x:c r="C187" s="69"/>
      <x:c r="D187" s="47"/>
      <x:c r="E187" s="47"/>
      <x:c r="F187" s="47"/>
      <x:c r="G187" s="47"/>
      <x:c r="H187" s="48"/>
      <x:c r="I187" s="48"/>
      <x:c r="J187" s="47"/>
      <x:c r="K187" s="47"/>
      <x:c r="L187" s="57" t="str">
        <x:f>IF(COUNTA(A187:K187)=0,"",IF(K187="CANCELLED","CANCELLED",IF(A187="","INVOICE ID REQUIRED",IF(B187="","PROJECT ID REQUIRED",IF(NOT(ISNUMBER(C187)),"INVALID INVOICE DATE",IF(NOT(AND(ISNUMBER(C187),C187&gt;=2,C187&lt;=2958465,C187=INT(C187))),"INVALID INVOICE DATE",IF(NOT(OR(D187="MX",D187="US")),"ENTITY REQUIRED",IF(NOT(OR(E187="Strategic Services",E187="Brands")),"UNIT REQUIRED",IF(F187="","BRAND / N/A REQUIRED",IF(NOT(OR(G187="USD",G187="MXN")),"CURRENCY REQUIRED",IF(NOT(ISNUMBER(H187)),"AMOUNT REQUIRED",IF(J187="","ERP SOURCE REQUIRED",IF(NOT(OR(K187="ISSUED",K187="CANCELLED")),"INVOICE STATUS REQUIRED",IF(COUNTIFS($A$2:$A$501,A187,$B$2:$B$501,B187,$D$2:$D$501,D187)&gt;1,"DUPLICATE INVOICE / PROJECT",IF(SUMPRODUCT(--(('ERP Snapshot'!$A$2:$A$101&amp;"")=(B187&amp;"")))=0,"PROJECT NOT FOUND",IF(SUMPRODUCT(--(('ERP Snapshot'!$A$2:$A$101&amp;"")=(B187&amp;"")))&gt;1,"DUPLICATE PROJECT ID",IF(OR(SUMPRODUCT(--(('ERP Snapshot'!$A$2:$A$101&amp;"")=(B187&amp;"")),--('ERP Snapshot'!$Q$2:$Q$101=E187),--('ERP Snapshot'!$R$2:$R$101=F187))&lt;&gt;1,SUMPRODUCT(--('Commercial Catalogs'!$A$2:$A$10=E187),--('Commercial Catalogs'!$B$2:$B$10=F187),--('Commercial Catalogs'!$C$2:$C$10="YES"),--('Commercial Catalogs'!$D$2:$D$10="IN SCOPE"))=0,AND(E187="Strategic Services",F187&lt;&gt;"N/A"),AND(E187="Brands",F187="N/A")),"PROJECT CLASSIFICATION MISMATCH",IF(AND(G187="MXN",NOT(AND(ISNUMBER(I187),Settings!$B$8="APPROVED",Settings!$B$9&lt;&gt;"",Settings!$B$10&lt;&gt;""))),"FX HOLD","VALID"))))))))))))))))))</x:f>
      </x:c>
      <x:c r="M187" s="57" t="str">
        <x:f>IF(ISNUMBER(C187),IF(AND(ISNUMBER(C187),C187&gt;=2,C187&lt;=2958465,C187=INT(C187)),YEAR(C187)&amp;"-"&amp;IF(MONTH(C187)&lt;10,"0","")&amp;MONTH(C187),""),"")</x:f>
      </x:c>
      <x:c r="N187" s="59" t="str">
        <x:f>IF(L187="VALID",IF(G187="USD",H187,I187),"")</x:f>
      </x:c>
      <x:c r="O187" s="57" t="n">
        <x:f>IF(L187="VALID",IF(COUNTIFS($B$2:B187,B187,$M$2:M187,M187,$L$2:L187,"VALID")=1,1,0),0)</x:f>
        <x:v>0</x:v>
      </x:c>
    </x:row>
    <x:row r="188">
      <x:c r="A188" s="47"/>
      <x:c r="B188" s="47"/>
      <x:c r="C188" s="69"/>
      <x:c r="D188" s="47"/>
      <x:c r="E188" s="47"/>
      <x:c r="F188" s="47"/>
      <x:c r="G188" s="47"/>
      <x:c r="H188" s="48"/>
      <x:c r="I188" s="48"/>
      <x:c r="J188" s="47"/>
      <x:c r="K188" s="47"/>
      <x:c r="L188" s="57" t="str">
        <x:f>IF(COUNTA(A188:K188)=0,"",IF(K188="CANCELLED","CANCELLED",IF(A188="","INVOICE ID REQUIRED",IF(B188="","PROJECT ID REQUIRED",IF(NOT(ISNUMBER(C188)),"INVALID INVOICE DATE",IF(NOT(AND(ISNUMBER(C188),C188&gt;=2,C188&lt;=2958465,C188=INT(C188))),"INVALID INVOICE DATE",IF(NOT(OR(D188="MX",D188="US")),"ENTITY REQUIRED",IF(NOT(OR(E188="Strategic Services",E188="Brands")),"UNIT REQUIRED",IF(F188="","BRAND / N/A REQUIRED",IF(NOT(OR(G188="USD",G188="MXN")),"CURRENCY REQUIRED",IF(NOT(ISNUMBER(H188)),"AMOUNT REQUIRED",IF(J188="","ERP SOURCE REQUIRED",IF(NOT(OR(K188="ISSUED",K188="CANCELLED")),"INVOICE STATUS REQUIRED",IF(COUNTIFS($A$2:$A$501,A188,$B$2:$B$501,B188,$D$2:$D$501,D188)&gt;1,"DUPLICATE INVOICE / PROJECT",IF(SUMPRODUCT(--(('ERP Snapshot'!$A$2:$A$101&amp;"")=(B188&amp;"")))=0,"PROJECT NOT FOUND",IF(SUMPRODUCT(--(('ERP Snapshot'!$A$2:$A$101&amp;"")=(B188&amp;"")))&gt;1,"DUPLICATE PROJECT ID",IF(OR(SUMPRODUCT(--(('ERP Snapshot'!$A$2:$A$101&amp;"")=(B188&amp;"")),--('ERP Snapshot'!$Q$2:$Q$101=E188),--('ERP Snapshot'!$R$2:$R$101=F188))&lt;&gt;1,SUMPRODUCT(--('Commercial Catalogs'!$A$2:$A$10=E188),--('Commercial Catalogs'!$B$2:$B$10=F188),--('Commercial Catalogs'!$C$2:$C$10="YES"),--('Commercial Catalogs'!$D$2:$D$10="IN SCOPE"))=0,AND(E188="Strategic Services",F188&lt;&gt;"N/A"),AND(E188="Brands",F188="N/A")),"PROJECT CLASSIFICATION MISMATCH",IF(AND(G188="MXN",NOT(AND(ISNUMBER(I188),Settings!$B$8="APPROVED",Settings!$B$9&lt;&gt;"",Settings!$B$10&lt;&gt;""))),"FX HOLD","VALID"))))))))))))))))))</x:f>
      </x:c>
      <x:c r="M188" s="57" t="str">
        <x:f>IF(ISNUMBER(C188),IF(AND(ISNUMBER(C188),C188&gt;=2,C188&lt;=2958465,C188=INT(C188)),YEAR(C188)&amp;"-"&amp;IF(MONTH(C188)&lt;10,"0","")&amp;MONTH(C188),""),"")</x:f>
      </x:c>
      <x:c r="N188" s="59" t="str">
        <x:f>IF(L188="VALID",IF(G188="USD",H188,I188),"")</x:f>
      </x:c>
      <x:c r="O188" s="57" t="n">
        <x:f>IF(L188="VALID",IF(COUNTIFS($B$2:B188,B188,$M$2:M188,M188,$L$2:L188,"VALID")=1,1,0),0)</x:f>
        <x:v>0</x:v>
      </x:c>
    </x:row>
    <x:row r="189">
      <x:c r="A189" s="47"/>
      <x:c r="B189" s="47"/>
      <x:c r="C189" s="69"/>
      <x:c r="D189" s="47"/>
      <x:c r="E189" s="47"/>
      <x:c r="F189" s="47"/>
      <x:c r="G189" s="47"/>
      <x:c r="H189" s="48"/>
      <x:c r="I189" s="48"/>
      <x:c r="J189" s="47"/>
      <x:c r="K189" s="47"/>
      <x:c r="L189" s="57" t="str">
        <x:f>IF(COUNTA(A189:K189)=0,"",IF(K189="CANCELLED","CANCELLED",IF(A189="","INVOICE ID REQUIRED",IF(B189="","PROJECT ID REQUIRED",IF(NOT(ISNUMBER(C189)),"INVALID INVOICE DATE",IF(NOT(AND(ISNUMBER(C189),C189&gt;=2,C189&lt;=2958465,C189=INT(C189))),"INVALID INVOICE DATE",IF(NOT(OR(D189="MX",D189="US")),"ENTITY REQUIRED",IF(NOT(OR(E189="Strategic Services",E189="Brands")),"UNIT REQUIRED",IF(F189="","BRAND / N/A REQUIRED",IF(NOT(OR(G189="USD",G189="MXN")),"CURRENCY REQUIRED",IF(NOT(ISNUMBER(H189)),"AMOUNT REQUIRED",IF(J189="","ERP SOURCE REQUIRED",IF(NOT(OR(K189="ISSUED",K189="CANCELLED")),"INVOICE STATUS REQUIRED",IF(COUNTIFS($A$2:$A$501,A189,$B$2:$B$501,B189,$D$2:$D$501,D189)&gt;1,"DUPLICATE INVOICE / PROJECT",IF(SUMPRODUCT(--(('ERP Snapshot'!$A$2:$A$101&amp;"")=(B189&amp;"")))=0,"PROJECT NOT FOUND",IF(SUMPRODUCT(--(('ERP Snapshot'!$A$2:$A$101&amp;"")=(B189&amp;"")))&gt;1,"DUPLICATE PROJECT ID",IF(OR(SUMPRODUCT(--(('ERP Snapshot'!$A$2:$A$101&amp;"")=(B189&amp;"")),--('ERP Snapshot'!$Q$2:$Q$101=E189),--('ERP Snapshot'!$R$2:$R$101=F189))&lt;&gt;1,SUMPRODUCT(--('Commercial Catalogs'!$A$2:$A$10=E189),--('Commercial Catalogs'!$B$2:$B$10=F189),--('Commercial Catalogs'!$C$2:$C$10="YES"),--('Commercial Catalogs'!$D$2:$D$10="IN SCOPE"))=0,AND(E189="Strategic Services",F189&lt;&gt;"N/A"),AND(E189="Brands",F189="N/A")),"PROJECT CLASSIFICATION MISMATCH",IF(AND(G189="MXN",NOT(AND(ISNUMBER(I189),Settings!$B$8="APPROVED",Settings!$B$9&lt;&gt;"",Settings!$B$10&lt;&gt;""))),"FX HOLD","VALID"))))))))))))))))))</x:f>
      </x:c>
      <x:c r="M189" s="57" t="str">
        <x:f>IF(ISNUMBER(C189),IF(AND(ISNUMBER(C189),C189&gt;=2,C189&lt;=2958465,C189=INT(C189)),YEAR(C189)&amp;"-"&amp;IF(MONTH(C189)&lt;10,"0","")&amp;MONTH(C189),""),"")</x:f>
      </x:c>
      <x:c r="N189" s="59" t="str">
        <x:f>IF(L189="VALID",IF(G189="USD",H189,I189),"")</x:f>
      </x:c>
      <x:c r="O189" s="57" t="n">
        <x:f>IF(L189="VALID",IF(COUNTIFS($B$2:B189,B189,$M$2:M189,M189,$L$2:L189,"VALID")=1,1,0),0)</x:f>
        <x:v>0</x:v>
      </x:c>
    </x:row>
    <x:row r="190">
      <x:c r="A190" s="47"/>
      <x:c r="B190" s="47"/>
      <x:c r="C190" s="69"/>
      <x:c r="D190" s="47"/>
      <x:c r="E190" s="47"/>
      <x:c r="F190" s="47"/>
      <x:c r="G190" s="47"/>
      <x:c r="H190" s="48"/>
      <x:c r="I190" s="48"/>
      <x:c r="J190" s="47"/>
      <x:c r="K190" s="47"/>
      <x:c r="L190" s="57" t="str">
        <x:f>IF(COUNTA(A190:K190)=0,"",IF(K190="CANCELLED","CANCELLED",IF(A190="","INVOICE ID REQUIRED",IF(B190="","PROJECT ID REQUIRED",IF(NOT(ISNUMBER(C190)),"INVALID INVOICE DATE",IF(NOT(AND(ISNUMBER(C190),C190&gt;=2,C190&lt;=2958465,C190=INT(C190))),"INVALID INVOICE DATE",IF(NOT(OR(D190="MX",D190="US")),"ENTITY REQUIRED",IF(NOT(OR(E190="Strategic Services",E190="Brands")),"UNIT REQUIRED",IF(F190="","BRAND / N/A REQUIRED",IF(NOT(OR(G190="USD",G190="MXN")),"CURRENCY REQUIRED",IF(NOT(ISNUMBER(H190)),"AMOUNT REQUIRED",IF(J190="","ERP SOURCE REQUIRED",IF(NOT(OR(K190="ISSUED",K190="CANCELLED")),"INVOICE STATUS REQUIRED",IF(COUNTIFS($A$2:$A$501,A190,$B$2:$B$501,B190,$D$2:$D$501,D190)&gt;1,"DUPLICATE INVOICE / PROJECT",IF(SUMPRODUCT(--(('ERP Snapshot'!$A$2:$A$101&amp;"")=(B190&amp;"")))=0,"PROJECT NOT FOUND",IF(SUMPRODUCT(--(('ERP Snapshot'!$A$2:$A$101&amp;"")=(B190&amp;"")))&gt;1,"DUPLICATE PROJECT ID",IF(OR(SUMPRODUCT(--(('ERP Snapshot'!$A$2:$A$101&amp;"")=(B190&amp;"")),--('ERP Snapshot'!$Q$2:$Q$101=E190),--('ERP Snapshot'!$R$2:$R$101=F190))&lt;&gt;1,SUMPRODUCT(--('Commercial Catalogs'!$A$2:$A$10=E190),--('Commercial Catalogs'!$B$2:$B$10=F190),--('Commercial Catalogs'!$C$2:$C$10="YES"),--('Commercial Catalogs'!$D$2:$D$10="IN SCOPE"))=0,AND(E190="Strategic Services",F190&lt;&gt;"N/A"),AND(E190="Brands",F190="N/A")),"PROJECT CLASSIFICATION MISMATCH",IF(AND(G190="MXN",NOT(AND(ISNUMBER(I190),Settings!$B$8="APPROVED",Settings!$B$9&lt;&gt;"",Settings!$B$10&lt;&gt;""))),"FX HOLD","VALID"))))))))))))))))))</x:f>
      </x:c>
      <x:c r="M190" s="57" t="str">
        <x:f>IF(ISNUMBER(C190),IF(AND(ISNUMBER(C190),C190&gt;=2,C190&lt;=2958465,C190=INT(C190)),YEAR(C190)&amp;"-"&amp;IF(MONTH(C190)&lt;10,"0","")&amp;MONTH(C190),""),"")</x:f>
      </x:c>
      <x:c r="N190" s="59" t="str">
        <x:f>IF(L190="VALID",IF(G190="USD",H190,I190),"")</x:f>
      </x:c>
      <x:c r="O190" s="57" t="n">
        <x:f>IF(L190="VALID",IF(COUNTIFS($B$2:B190,B190,$M$2:M190,M190,$L$2:L190,"VALID")=1,1,0),0)</x:f>
        <x:v>0</x:v>
      </x:c>
    </x:row>
    <x:row r="191">
      <x:c r="A191" s="47"/>
      <x:c r="B191" s="47"/>
      <x:c r="C191" s="69"/>
      <x:c r="D191" s="47"/>
      <x:c r="E191" s="47"/>
      <x:c r="F191" s="47"/>
      <x:c r="G191" s="47"/>
      <x:c r="H191" s="48"/>
      <x:c r="I191" s="48"/>
      <x:c r="J191" s="47"/>
      <x:c r="K191" s="47"/>
      <x:c r="L191" s="57" t="str">
        <x:f>IF(COUNTA(A191:K191)=0,"",IF(K191="CANCELLED","CANCELLED",IF(A191="","INVOICE ID REQUIRED",IF(B191="","PROJECT ID REQUIRED",IF(NOT(ISNUMBER(C191)),"INVALID INVOICE DATE",IF(NOT(AND(ISNUMBER(C191),C191&gt;=2,C191&lt;=2958465,C191=INT(C191))),"INVALID INVOICE DATE",IF(NOT(OR(D191="MX",D191="US")),"ENTITY REQUIRED",IF(NOT(OR(E191="Strategic Services",E191="Brands")),"UNIT REQUIRED",IF(F191="","BRAND / N/A REQUIRED",IF(NOT(OR(G191="USD",G191="MXN")),"CURRENCY REQUIRED",IF(NOT(ISNUMBER(H191)),"AMOUNT REQUIRED",IF(J191="","ERP SOURCE REQUIRED",IF(NOT(OR(K191="ISSUED",K191="CANCELLED")),"INVOICE STATUS REQUIRED",IF(COUNTIFS($A$2:$A$501,A191,$B$2:$B$501,B191,$D$2:$D$501,D191)&gt;1,"DUPLICATE INVOICE / PROJECT",IF(SUMPRODUCT(--(('ERP Snapshot'!$A$2:$A$101&amp;"")=(B191&amp;"")))=0,"PROJECT NOT FOUND",IF(SUMPRODUCT(--(('ERP Snapshot'!$A$2:$A$101&amp;"")=(B191&amp;"")))&gt;1,"DUPLICATE PROJECT ID",IF(OR(SUMPRODUCT(--(('ERP Snapshot'!$A$2:$A$101&amp;"")=(B191&amp;"")),--('ERP Snapshot'!$Q$2:$Q$101=E191),--('ERP Snapshot'!$R$2:$R$101=F191))&lt;&gt;1,SUMPRODUCT(--('Commercial Catalogs'!$A$2:$A$10=E191),--('Commercial Catalogs'!$B$2:$B$10=F191),--('Commercial Catalogs'!$C$2:$C$10="YES"),--('Commercial Catalogs'!$D$2:$D$10="IN SCOPE"))=0,AND(E191="Strategic Services",F191&lt;&gt;"N/A"),AND(E191="Brands",F191="N/A")),"PROJECT CLASSIFICATION MISMATCH",IF(AND(G191="MXN",NOT(AND(ISNUMBER(I191),Settings!$B$8="APPROVED",Settings!$B$9&lt;&gt;"",Settings!$B$10&lt;&gt;""))),"FX HOLD","VALID"))))))))))))))))))</x:f>
      </x:c>
      <x:c r="M191" s="57" t="str">
        <x:f>IF(ISNUMBER(C191),IF(AND(ISNUMBER(C191),C191&gt;=2,C191&lt;=2958465,C191=INT(C191)),YEAR(C191)&amp;"-"&amp;IF(MONTH(C191)&lt;10,"0","")&amp;MONTH(C191),""),"")</x:f>
      </x:c>
      <x:c r="N191" s="59" t="str">
        <x:f>IF(L191="VALID",IF(G191="USD",H191,I191),"")</x:f>
      </x:c>
      <x:c r="O191" s="57" t="n">
        <x:f>IF(L191="VALID",IF(COUNTIFS($B$2:B191,B191,$M$2:M191,M191,$L$2:L191,"VALID")=1,1,0),0)</x:f>
        <x:v>0</x:v>
      </x:c>
    </x:row>
    <x:row r="192">
      <x:c r="A192" s="47"/>
      <x:c r="B192" s="47"/>
      <x:c r="C192" s="69"/>
      <x:c r="D192" s="47"/>
      <x:c r="E192" s="47"/>
      <x:c r="F192" s="47"/>
      <x:c r="G192" s="47"/>
      <x:c r="H192" s="48"/>
      <x:c r="I192" s="48"/>
      <x:c r="J192" s="47"/>
      <x:c r="K192" s="47"/>
      <x:c r="L192" s="57" t="str">
        <x:f>IF(COUNTA(A192:K192)=0,"",IF(K192="CANCELLED","CANCELLED",IF(A192="","INVOICE ID REQUIRED",IF(B192="","PROJECT ID REQUIRED",IF(NOT(ISNUMBER(C192)),"INVALID INVOICE DATE",IF(NOT(AND(ISNUMBER(C192),C192&gt;=2,C192&lt;=2958465,C192=INT(C192))),"INVALID INVOICE DATE",IF(NOT(OR(D192="MX",D192="US")),"ENTITY REQUIRED",IF(NOT(OR(E192="Strategic Services",E192="Brands")),"UNIT REQUIRED",IF(F192="","BRAND / N/A REQUIRED",IF(NOT(OR(G192="USD",G192="MXN")),"CURRENCY REQUIRED",IF(NOT(ISNUMBER(H192)),"AMOUNT REQUIRED",IF(J192="","ERP SOURCE REQUIRED",IF(NOT(OR(K192="ISSUED",K192="CANCELLED")),"INVOICE STATUS REQUIRED",IF(COUNTIFS($A$2:$A$501,A192,$B$2:$B$501,B192,$D$2:$D$501,D192)&gt;1,"DUPLICATE INVOICE / PROJECT",IF(SUMPRODUCT(--(('ERP Snapshot'!$A$2:$A$101&amp;"")=(B192&amp;"")))=0,"PROJECT NOT FOUND",IF(SUMPRODUCT(--(('ERP Snapshot'!$A$2:$A$101&amp;"")=(B192&amp;"")))&gt;1,"DUPLICATE PROJECT ID",IF(OR(SUMPRODUCT(--(('ERP Snapshot'!$A$2:$A$101&amp;"")=(B192&amp;"")),--('ERP Snapshot'!$Q$2:$Q$101=E192),--('ERP Snapshot'!$R$2:$R$101=F192))&lt;&gt;1,SUMPRODUCT(--('Commercial Catalogs'!$A$2:$A$10=E192),--('Commercial Catalogs'!$B$2:$B$10=F192),--('Commercial Catalogs'!$C$2:$C$10="YES"),--('Commercial Catalogs'!$D$2:$D$10="IN SCOPE"))=0,AND(E192="Strategic Services",F192&lt;&gt;"N/A"),AND(E192="Brands",F192="N/A")),"PROJECT CLASSIFICATION MISMATCH",IF(AND(G192="MXN",NOT(AND(ISNUMBER(I192),Settings!$B$8="APPROVED",Settings!$B$9&lt;&gt;"",Settings!$B$10&lt;&gt;""))),"FX HOLD","VALID"))))))))))))))))))</x:f>
      </x:c>
      <x:c r="M192" s="57" t="str">
        <x:f>IF(ISNUMBER(C192),IF(AND(ISNUMBER(C192),C192&gt;=2,C192&lt;=2958465,C192=INT(C192)),YEAR(C192)&amp;"-"&amp;IF(MONTH(C192)&lt;10,"0","")&amp;MONTH(C192),""),"")</x:f>
      </x:c>
      <x:c r="N192" s="59" t="str">
        <x:f>IF(L192="VALID",IF(G192="USD",H192,I192),"")</x:f>
      </x:c>
      <x:c r="O192" s="57" t="n">
        <x:f>IF(L192="VALID",IF(COUNTIFS($B$2:B192,B192,$M$2:M192,M192,$L$2:L192,"VALID")=1,1,0),0)</x:f>
        <x:v>0</x:v>
      </x:c>
    </x:row>
    <x:row r="193">
      <x:c r="A193" s="47"/>
      <x:c r="B193" s="47"/>
      <x:c r="C193" s="69"/>
      <x:c r="D193" s="47"/>
      <x:c r="E193" s="47"/>
      <x:c r="F193" s="47"/>
      <x:c r="G193" s="47"/>
      <x:c r="H193" s="48"/>
      <x:c r="I193" s="48"/>
      <x:c r="J193" s="47"/>
      <x:c r="K193" s="47"/>
      <x:c r="L193" s="57" t="str">
        <x:f>IF(COUNTA(A193:K193)=0,"",IF(K193="CANCELLED","CANCELLED",IF(A193="","INVOICE ID REQUIRED",IF(B193="","PROJECT ID REQUIRED",IF(NOT(ISNUMBER(C193)),"INVALID INVOICE DATE",IF(NOT(AND(ISNUMBER(C193),C193&gt;=2,C193&lt;=2958465,C193=INT(C193))),"INVALID INVOICE DATE",IF(NOT(OR(D193="MX",D193="US")),"ENTITY REQUIRED",IF(NOT(OR(E193="Strategic Services",E193="Brands")),"UNIT REQUIRED",IF(F193="","BRAND / N/A REQUIRED",IF(NOT(OR(G193="USD",G193="MXN")),"CURRENCY REQUIRED",IF(NOT(ISNUMBER(H193)),"AMOUNT REQUIRED",IF(J193="","ERP SOURCE REQUIRED",IF(NOT(OR(K193="ISSUED",K193="CANCELLED")),"INVOICE STATUS REQUIRED",IF(COUNTIFS($A$2:$A$501,A193,$B$2:$B$501,B193,$D$2:$D$501,D193)&gt;1,"DUPLICATE INVOICE / PROJECT",IF(SUMPRODUCT(--(('ERP Snapshot'!$A$2:$A$101&amp;"")=(B193&amp;"")))=0,"PROJECT NOT FOUND",IF(SUMPRODUCT(--(('ERP Snapshot'!$A$2:$A$101&amp;"")=(B193&amp;"")))&gt;1,"DUPLICATE PROJECT ID",IF(OR(SUMPRODUCT(--(('ERP Snapshot'!$A$2:$A$101&amp;"")=(B193&amp;"")),--('ERP Snapshot'!$Q$2:$Q$101=E193),--('ERP Snapshot'!$R$2:$R$101=F193))&lt;&gt;1,SUMPRODUCT(--('Commercial Catalogs'!$A$2:$A$10=E193),--('Commercial Catalogs'!$B$2:$B$10=F193),--('Commercial Catalogs'!$C$2:$C$10="YES"),--('Commercial Catalogs'!$D$2:$D$10="IN SCOPE"))=0,AND(E193="Strategic Services",F193&lt;&gt;"N/A"),AND(E193="Brands",F193="N/A")),"PROJECT CLASSIFICATION MISMATCH",IF(AND(G193="MXN",NOT(AND(ISNUMBER(I193),Settings!$B$8="APPROVED",Settings!$B$9&lt;&gt;"",Settings!$B$10&lt;&gt;""))),"FX HOLD","VALID"))))))))))))))))))</x:f>
      </x:c>
      <x:c r="M193" s="57" t="str">
        <x:f>IF(ISNUMBER(C193),IF(AND(ISNUMBER(C193),C193&gt;=2,C193&lt;=2958465,C193=INT(C193)),YEAR(C193)&amp;"-"&amp;IF(MONTH(C193)&lt;10,"0","")&amp;MONTH(C193),""),"")</x:f>
      </x:c>
      <x:c r="N193" s="59" t="str">
        <x:f>IF(L193="VALID",IF(G193="USD",H193,I193),"")</x:f>
      </x:c>
      <x:c r="O193" s="57" t="n">
        <x:f>IF(L193="VALID",IF(COUNTIFS($B$2:B193,B193,$M$2:M193,M193,$L$2:L193,"VALID")=1,1,0),0)</x:f>
        <x:v>0</x:v>
      </x:c>
    </x:row>
    <x:row r="194">
      <x:c r="A194" s="47"/>
      <x:c r="B194" s="47"/>
      <x:c r="C194" s="69"/>
      <x:c r="D194" s="47"/>
      <x:c r="E194" s="47"/>
      <x:c r="F194" s="47"/>
      <x:c r="G194" s="47"/>
      <x:c r="H194" s="48"/>
      <x:c r="I194" s="48"/>
      <x:c r="J194" s="47"/>
      <x:c r="K194" s="47"/>
      <x:c r="L194" s="57" t="str">
        <x:f>IF(COUNTA(A194:K194)=0,"",IF(K194="CANCELLED","CANCELLED",IF(A194="","INVOICE ID REQUIRED",IF(B194="","PROJECT ID REQUIRED",IF(NOT(ISNUMBER(C194)),"INVALID INVOICE DATE",IF(NOT(AND(ISNUMBER(C194),C194&gt;=2,C194&lt;=2958465,C194=INT(C194))),"INVALID INVOICE DATE",IF(NOT(OR(D194="MX",D194="US")),"ENTITY REQUIRED",IF(NOT(OR(E194="Strategic Services",E194="Brands")),"UNIT REQUIRED",IF(F194="","BRAND / N/A REQUIRED",IF(NOT(OR(G194="USD",G194="MXN")),"CURRENCY REQUIRED",IF(NOT(ISNUMBER(H194)),"AMOUNT REQUIRED",IF(J194="","ERP SOURCE REQUIRED",IF(NOT(OR(K194="ISSUED",K194="CANCELLED")),"INVOICE STATUS REQUIRED",IF(COUNTIFS($A$2:$A$501,A194,$B$2:$B$501,B194,$D$2:$D$501,D194)&gt;1,"DUPLICATE INVOICE / PROJECT",IF(SUMPRODUCT(--(('ERP Snapshot'!$A$2:$A$101&amp;"")=(B194&amp;"")))=0,"PROJECT NOT FOUND",IF(SUMPRODUCT(--(('ERP Snapshot'!$A$2:$A$101&amp;"")=(B194&amp;"")))&gt;1,"DUPLICATE PROJECT ID",IF(OR(SUMPRODUCT(--(('ERP Snapshot'!$A$2:$A$101&amp;"")=(B194&amp;"")),--('ERP Snapshot'!$Q$2:$Q$101=E194),--('ERP Snapshot'!$R$2:$R$101=F194))&lt;&gt;1,SUMPRODUCT(--('Commercial Catalogs'!$A$2:$A$10=E194),--('Commercial Catalogs'!$B$2:$B$10=F194),--('Commercial Catalogs'!$C$2:$C$10="YES"),--('Commercial Catalogs'!$D$2:$D$10="IN SCOPE"))=0,AND(E194="Strategic Services",F194&lt;&gt;"N/A"),AND(E194="Brands",F194="N/A")),"PROJECT CLASSIFICATION MISMATCH",IF(AND(G194="MXN",NOT(AND(ISNUMBER(I194),Settings!$B$8="APPROVED",Settings!$B$9&lt;&gt;"",Settings!$B$10&lt;&gt;""))),"FX HOLD","VALID"))))))))))))))))))</x:f>
      </x:c>
      <x:c r="M194" s="57" t="str">
        <x:f>IF(ISNUMBER(C194),IF(AND(ISNUMBER(C194),C194&gt;=2,C194&lt;=2958465,C194=INT(C194)),YEAR(C194)&amp;"-"&amp;IF(MONTH(C194)&lt;10,"0","")&amp;MONTH(C194),""),"")</x:f>
      </x:c>
      <x:c r="N194" s="59" t="str">
        <x:f>IF(L194="VALID",IF(G194="USD",H194,I194),"")</x:f>
      </x:c>
      <x:c r="O194" s="57" t="n">
        <x:f>IF(L194="VALID",IF(COUNTIFS($B$2:B194,B194,$M$2:M194,M194,$L$2:L194,"VALID")=1,1,0),0)</x:f>
        <x:v>0</x:v>
      </x:c>
    </x:row>
    <x:row r="195">
      <x:c r="A195" s="47"/>
      <x:c r="B195" s="47"/>
      <x:c r="C195" s="69"/>
      <x:c r="D195" s="47"/>
      <x:c r="E195" s="47"/>
      <x:c r="F195" s="47"/>
      <x:c r="G195" s="47"/>
      <x:c r="H195" s="48"/>
      <x:c r="I195" s="48"/>
      <x:c r="J195" s="47"/>
      <x:c r="K195" s="47"/>
      <x:c r="L195" s="57" t="str">
        <x:f>IF(COUNTA(A195:K195)=0,"",IF(K195="CANCELLED","CANCELLED",IF(A195="","INVOICE ID REQUIRED",IF(B195="","PROJECT ID REQUIRED",IF(NOT(ISNUMBER(C195)),"INVALID INVOICE DATE",IF(NOT(AND(ISNUMBER(C195),C195&gt;=2,C195&lt;=2958465,C195=INT(C195))),"INVALID INVOICE DATE",IF(NOT(OR(D195="MX",D195="US")),"ENTITY REQUIRED",IF(NOT(OR(E195="Strategic Services",E195="Brands")),"UNIT REQUIRED",IF(F195="","BRAND / N/A REQUIRED",IF(NOT(OR(G195="USD",G195="MXN")),"CURRENCY REQUIRED",IF(NOT(ISNUMBER(H195)),"AMOUNT REQUIRED",IF(J195="","ERP SOURCE REQUIRED",IF(NOT(OR(K195="ISSUED",K195="CANCELLED")),"INVOICE STATUS REQUIRED",IF(COUNTIFS($A$2:$A$501,A195,$B$2:$B$501,B195,$D$2:$D$501,D195)&gt;1,"DUPLICATE INVOICE / PROJECT",IF(SUMPRODUCT(--(('ERP Snapshot'!$A$2:$A$101&amp;"")=(B195&amp;"")))=0,"PROJECT NOT FOUND",IF(SUMPRODUCT(--(('ERP Snapshot'!$A$2:$A$101&amp;"")=(B195&amp;"")))&gt;1,"DUPLICATE PROJECT ID",IF(OR(SUMPRODUCT(--(('ERP Snapshot'!$A$2:$A$101&amp;"")=(B195&amp;"")),--('ERP Snapshot'!$Q$2:$Q$101=E195),--('ERP Snapshot'!$R$2:$R$101=F195))&lt;&gt;1,SUMPRODUCT(--('Commercial Catalogs'!$A$2:$A$10=E195),--('Commercial Catalogs'!$B$2:$B$10=F195),--('Commercial Catalogs'!$C$2:$C$10="YES"),--('Commercial Catalogs'!$D$2:$D$10="IN SCOPE"))=0,AND(E195="Strategic Services",F195&lt;&gt;"N/A"),AND(E195="Brands",F195="N/A")),"PROJECT CLASSIFICATION MISMATCH",IF(AND(G195="MXN",NOT(AND(ISNUMBER(I195),Settings!$B$8="APPROVED",Settings!$B$9&lt;&gt;"",Settings!$B$10&lt;&gt;""))),"FX HOLD","VALID"))))))))))))))))))</x:f>
      </x:c>
      <x:c r="M195" s="57" t="str">
        <x:f>IF(ISNUMBER(C195),IF(AND(ISNUMBER(C195),C195&gt;=2,C195&lt;=2958465,C195=INT(C195)),YEAR(C195)&amp;"-"&amp;IF(MONTH(C195)&lt;10,"0","")&amp;MONTH(C195),""),"")</x:f>
      </x:c>
      <x:c r="N195" s="59" t="str">
        <x:f>IF(L195="VALID",IF(G195="USD",H195,I195),"")</x:f>
      </x:c>
      <x:c r="O195" s="57" t="n">
        <x:f>IF(L195="VALID",IF(COUNTIFS($B$2:B195,B195,$M$2:M195,M195,$L$2:L195,"VALID")=1,1,0),0)</x:f>
        <x:v>0</x:v>
      </x:c>
    </x:row>
    <x:row r="196">
      <x:c r="A196" s="47"/>
      <x:c r="B196" s="47"/>
      <x:c r="C196" s="69"/>
      <x:c r="D196" s="47"/>
      <x:c r="E196" s="47"/>
      <x:c r="F196" s="47"/>
      <x:c r="G196" s="47"/>
      <x:c r="H196" s="48"/>
      <x:c r="I196" s="48"/>
      <x:c r="J196" s="47"/>
      <x:c r="K196" s="47"/>
      <x:c r="L196" s="57" t="str">
        <x:f>IF(COUNTA(A196:K196)=0,"",IF(K196="CANCELLED","CANCELLED",IF(A196="","INVOICE ID REQUIRED",IF(B196="","PROJECT ID REQUIRED",IF(NOT(ISNUMBER(C196)),"INVALID INVOICE DATE",IF(NOT(AND(ISNUMBER(C196),C196&gt;=2,C196&lt;=2958465,C196=INT(C196))),"INVALID INVOICE DATE",IF(NOT(OR(D196="MX",D196="US")),"ENTITY REQUIRED",IF(NOT(OR(E196="Strategic Services",E196="Brands")),"UNIT REQUIRED",IF(F196="","BRAND / N/A REQUIRED",IF(NOT(OR(G196="USD",G196="MXN")),"CURRENCY REQUIRED",IF(NOT(ISNUMBER(H196)),"AMOUNT REQUIRED",IF(J196="","ERP SOURCE REQUIRED",IF(NOT(OR(K196="ISSUED",K196="CANCELLED")),"INVOICE STATUS REQUIRED",IF(COUNTIFS($A$2:$A$501,A196,$B$2:$B$501,B196,$D$2:$D$501,D196)&gt;1,"DUPLICATE INVOICE / PROJECT",IF(SUMPRODUCT(--(('ERP Snapshot'!$A$2:$A$101&amp;"")=(B196&amp;"")))=0,"PROJECT NOT FOUND",IF(SUMPRODUCT(--(('ERP Snapshot'!$A$2:$A$101&amp;"")=(B196&amp;"")))&gt;1,"DUPLICATE PROJECT ID",IF(OR(SUMPRODUCT(--(('ERP Snapshot'!$A$2:$A$101&amp;"")=(B196&amp;"")),--('ERP Snapshot'!$Q$2:$Q$101=E196),--('ERP Snapshot'!$R$2:$R$101=F196))&lt;&gt;1,SUMPRODUCT(--('Commercial Catalogs'!$A$2:$A$10=E196),--('Commercial Catalogs'!$B$2:$B$10=F196),--('Commercial Catalogs'!$C$2:$C$10="YES"),--('Commercial Catalogs'!$D$2:$D$10="IN SCOPE"))=0,AND(E196="Strategic Services",F196&lt;&gt;"N/A"),AND(E196="Brands",F196="N/A")),"PROJECT CLASSIFICATION MISMATCH",IF(AND(G196="MXN",NOT(AND(ISNUMBER(I196),Settings!$B$8="APPROVED",Settings!$B$9&lt;&gt;"",Settings!$B$10&lt;&gt;""))),"FX HOLD","VALID"))))))))))))))))))</x:f>
      </x:c>
      <x:c r="M196" s="57" t="str">
        <x:f>IF(ISNUMBER(C196),IF(AND(ISNUMBER(C196),C196&gt;=2,C196&lt;=2958465,C196=INT(C196)),YEAR(C196)&amp;"-"&amp;IF(MONTH(C196)&lt;10,"0","")&amp;MONTH(C196),""),"")</x:f>
      </x:c>
      <x:c r="N196" s="59" t="str">
        <x:f>IF(L196="VALID",IF(G196="USD",H196,I196),"")</x:f>
      </x:c>
      <x:c r="O196" s="57" t="n">
        <x:f>IF(L196="VALID",IF(COUNTIFS($B$2:B196,B196,$M$2:M196,M196,$L$2:L196,"VALID")=1,1,0),0)</x:f>
        <x:v>0</x:v>
      </x:c>
    </x:row>
    <x:row r="197">
      <x:c r="A197" s="47"/>
      <x:c r="B197" s="47"/>
      <x:c r="C197" s="69"/>
      <x:c r="D197" s="47"/>
      <x:c r="E197" s="47"/>
      <x:c r="F197" s="47"/>
      <x:c r="G197" s="47"/>
      <x:c r="H197" s="48"/>
      <x:c r="I197" s="48"/>
      <x:c r="J197" s="47"/>
      <x:c r="K197" s="47"/>
      <x:c r="L197" s="57" t="str">
        <x:f>IF(COUNTA(A197:K197)=0,"",IF(K197="CANCELLED","CANCELLED",IF(A197="","INVOICE ID REQUIRED",IF(B197="","PROJECT ID REQUIRED",IF(NOT(ISNUMBER(C197)),"INVALID INVOICE DATE",IF(NOT(AND(ISNUMBER(C197),C197&gt;=2,C197&lt;=2958465,C197=INT(C197))),"INVALID INVOICE DATE",IF(NOT(OR(D197="MX",D197="US")),"ENTITY REQUIRED",IF(NOT(OR(E197="Strategic Services",E197="Brands")),"UNIT REQUIRED",IF(F197="","BRAND / N/A REQUIRED",IF(NOT(OR(G197="USD",G197="MXN")),"CURRENCY REQUIRED",IF(NOT(ISNUMBER(H197)),"AMOUNT REQUIRED",IF(J197="","ERP SOURCE REQUIRED",IF(NOT(OR(K197="ISSUED",K197="CANCELLED")),"INVOICE STATUS REQUIRED",IF(COUNTIFS($A$2:$A$501,A197,$B$2:$B$501,B197,$D$2:$D$501,D197)&gt;1,"DUPLICATE INVOICE / PROJECT",IF(SUMPRODUCT(--(('ERP Snapshot'!$A$2:$A$101&amp;"")=(B197&amp;"")))=0,"PROJECT NOT FOUND",IF(SUMPRODUCT(--(('ERP Snapshot'!$A$2:$A$101&amp;"")=(B197&amp;"")))&gt;1,"DUPLICATE PROJECT ID",IF(OR(SUMPRODUCT(--(('ERP Snapshot'!$A$2:$A$101&amp;"")=(B197&amp;"")),--('ERP Snapshot'!$Q$2:$Q$101=E197),--('ERP Snapshot'!$R$2:$R$101=F197))&lt;&gt;1,SUMPRODUCT(--('Commercial Catalogs'!$A$2:$A$10=E197),--('Commercial Catalogs'!$B$2:$B$10=F197),--('Commercial Catalogs'!$C$2:$C$10="YES"),--('Commercial Catalogs'!$D$2:$D$10="IN SCOPE"))=0,AND(E197="Strategic Services",F197&lt;&gt;"N/A"),AND(E197="Brands",F197="N/A")),"PROJECT CLASSIFICATION MISMATCH",IF(AND(G197="MXN",NOT(AND(ISNUMBER(I197),Settings!$B$8="APPROVED",Settings!$B$9&lt;&gt;"",Settings!$B$10&lt;&gt;""))),"FX HOLD","VALID"))))))))))))))))))</x:f>
      </x:c>
      <x:c r="M197" s="57" t="str">
        <x:f>IF(ISNUMBER(C197),IF(AND(ISNUMBER(C197),C197&gt;=2,C197&lt;=2958465,C197=INT(C197)),YEAR(C197)&amp;"-"&amp;IF(MONTH(C197)&lt;10,"0","")&amp;MONTH(C197),""),"")</x:f>
      </x:c>
      <x:c r="N197" s="59" t="str">
        <x:f>IF(L197="VALID",IF(G197="USD",H197,I197),"")</x:f>
      </x:c>
      <x:c r="O197" s="57" t="n">
        <x:f>IF(L197="VALID",IF(COUNTIFS($B$2:B197,B197,$M$2:M197,M197,$L$2:L197,"VALID")=1,1,0),0)</x:f>
        <x:v>0</x:v>
      </x:c>
    </x:row>
    <x:row r="198">
      <x:c r="A198" s="47"/>
      <x:c r="B198" s="47"/>
      <x:c r="C198" s="69"/>
      <x:c r="D198" s="47"/>
      <x:c r="E198" s="47"/>
      <x:c r="F198" s="47"/>
      <x:c r="G198" s="47"/>
      <x:c r="H198" s="48"/>
      <x:c r="I198" s="48"/>
      <x:c r="J198" s="47"/>
      <x:c r="K198" s="47"/>
      <x:c r="L198" s="57" t="str">
        <x:f>IF(COUNTA(A198:K198)=0,"",IF(K198="CANCELLED","CANCELLED",IF(A198="","INVOICE ID REQUIRED",IF(B198="","PROJECT ID REQUIRED",IF(NOT(ISNUMBER(C198)),"INVALID INVOICE DATE",IF(NOT(AND(ISNUMBER(C198),C198&gt;=2,C198&lt;=2958465,C198=INT(C198))),"INVALID INVOICE DATE",IF(NOT(OR(D198="MX",D198="US")),"ENTITY REQUIRED",IF(NOT(OR(E198="Strategic Services",E198="Brands")),"UNIT REQUIRED",IF(F198="","BRAND / N/A REQUIRED",IF(NOT(OR(G198="USD",G198="MXN")),"CURRENCY REQUIRED",IF(NOT(ISNUMBER(H198)),"AMOUNT REQUIRED",IF(J198="","ERP SOURCE REQUIRED",IF(NOT(OR(K198="ISSUED",K198="CANCELLED")),"INVOICE STATUS REQUIRED",IF(COUNTIFS($A$2:$A$501,A198,$B$2:$B$501,B198,$D$2:$D$501,D198)&gt;1,"DUPLICATE INVOICE / PROJECT",IF(SUMPRODUCT(--(('ERP Snapshot'!$A$2:$A$101&amp;"")=(B198&amp;"")))=0,"PROJECT NOT FOUND",IF(SUMPRODUCT(--(('ERP Snapshot'!$A$2:$A$101&amp;"")=(B198&amp;"")))&gt;1,"DUPLICATE PROJECT ID",IF(OR(SUMPRODUCT(--(('ERP Snapshot'!$A$2:$A$101&amp;"")=(B198&amp;"")),--('ERP Snapshot'!$Q$2:$Q$101=E198),--('ERP Snapshot'!$R$2:$R$101=F198))&lt;&gt;1,SUMPRODUCT(--('Commercial Catalogs'!$A$2:$A$10=E198),--('Commercial Catalogs'!$B$2:$B$10=F198),--('Commercial Catalogs'!$C$2:$C$10="YES"),--('Commercial Catalogs'!$D$2:$D$10="IN SCOPE"))=0,AND(E198="Strategic Services",F198&lt;&gt;"N/A"),AND(E198="Brands",F198="N/A")),"PROJECT CLASSIFICATION MISMATCH",IF(AND(G198="MXN",NOT(AND(ISNUMBER(I198),Settings!$B$8="APPROVED",Settings!$B$9&lt;&gt;"",Settings!$B$10&lt;&gt;""))),"FX HOLD","VALID"))))))))))))))))))</x:f>
      </x:c>
      <x:c r="M198" s="57" t="str">
        <x:f>IF(ISNUMBER(C198),IF(AND(ISNUMBER(C198),C198&gt;=2,C198&lt;=2958465,C198=INT(C198)),YEAR(C198)&amp;"-"&amp;IF(MONTH(C198)&lt;10,"0","")&amp;MONTH(C198),""),"")</x:f>
      </x:c>
      <x:c r="N198" s="59" t="str">
        <x:f>IF(L198="VALID",IF(G198="USD",H198,I198),"")</x:f>
      </x:c>
      <x:c r="O198" s="57" t="n">
        <x:f>IF(L198="VALID",IF(COUNTIFS($B$2:B198,B198,$M$2:M198,M198,$L$2:L198,"VALID")=1,1,0),0)</x:f>
        <x:v>0</x:v>
      </x:c>
    </x:row>
    <x:row r="199">
      <x:c r="A199" s="47"/>
      <x:c r="B199" s="47"/>
      <x:c r="C199" s="69"/>
      <x:c r="D199" s="47"/>
      <x:c r="E199" s="47"/>
      <x:c r="F199" s="47"/>
      <x:c r="G199" s="47"/>
      <x:c r="H199" s="48"/>
      <x:c r="I199" s="48"/>
      <x:c r="J199" s="47"/>
      <x:c r="K199" s="47"/>
      <x:c r="L199" s="57" t="str">
        <x:f>IF(COUNTA(A199:K199)=0,"",IF(K199="CANCELLED","CANCELLED",IF(A199="","INVOICE ID REQUIRED",IF(B199="","PROJECT ID REQUIRED",IF(NOT(ISNUMBER(C199)),"INVALID INVOICE DATE",IF(NOT(AND(ISNUMBER(C199),C199&gt;=2,C199&lt;=2958465,C199=INT(C199))),"INVALID INVOICE DATE",IF(NOT(OR(D199="MX",D199="US")),"ENTITY REQUIRED",IF(NOT(OR(E199="Strategic Services",E199="Brands")),"UNIT REQUIRED",IF(F199="","BRAND / N/A REQUIRED",IF(NOT(OR(G199="USD",G199="MXN")),"CURRENCY REQUIRED",IF(NOT(ISNUMBER(H199)),"AMOUNT REQUIRED",IF(J199="","ERP SOURCE REQUIRED",IF(NOT(OR(K199="ISSUED",K199="CANCELLED")),"INVOICE STATUS REQUIRED",IF(COUNTIFS($A$2:$A$501,A199,$B$2:$B$501,B199,$D$2:$D$501,D199)&gt;1,"DUPLICATE INVOICE / PROJECT",IF(SUMPRODUCT(--(('ERP Snapshot'!$A$2:$A$101&amp;"")=(B199&amp;"")))=0,"PROJECT NOT FOUND",IF(SUMPRODUCT(--(('ERP Snapshot'!$A$2:$A$101&amp;"")=(B199&amp;"")))&gt;1,"DUPLICATE PROJECT ID",IF(OR(SUMPRODUCT(--(('ERP Snapshot'!$A$2:$A$101&amp;"")=(B199&amp;"")),--('ERP Snapshot'!$Q$2:$Q$101=E199),--('ERP Snapshot'!$R$2:$R$101=F199))&lt;&gt;1,SUMPRODUCT(--('Commercial Catalogs'!$A$2:$A$10=E199),--('Commercial Catalogs'!$B$2:$B$10=F199),--('Commercial Catalogs'!$C$2:$C$10="YES"),--('Commercial Catalogs'!$D$2:$D$10="IN SCOPE"))=0,AND(E199="Strategic Services",F199&lt;&gt;"N/A"),AND(E199="Brands",F199="N/A")),"PROJECT CLASSIFICATION MISMATCH",IF(AND(G199="MXN",NOT(AND(ISNUMBER(I199),Settings!$B$8="APPROVED",Settings!$B$9&lt;&gt;"",Settings!$B$10&lt;&gt;""))),"FX HOLD","VALID"))))))))))))))))))</x:f>
      </x:c>
      <x:c r="M199" s="57" t="str">
        <x:f>IF(ISNUMBER(C199),IF(AND(ISNUMBER(C199),C199&gt;=2,C199&lt;=2958465,C199=INT(C199)),YEAR(C199)&amp;"-"&amp;IF(MONTH(C199)&lt;10,"0","")&amp;MONTH(C199),""),"")</x:f>
      </x:c>
      <x:c r="N199" s="59" t="str">
        <x:f>IF(L199="VALID",IF(G199="USD",H199,I199),"")</x:f>
      </x:c>
      <x:c r="O199" s="57" t="n">
        <x:f>IF(L199="VALID",IF(COUNTIFS($B$2:B199,B199,$M$2:M199,M199,$L$2:L199,"VALID")=1,1,0),0)</x:f>
        <x:v>0</x:v>
      </x:c>
    </x:row>
    <x:row r="200">
      <x:c r="A200" s="47"/>
      <x:c r="B200" s="47"/>
      <x:c r="C200" s="69"/>
      <x:c r="D200" s="47"/>
      <x:c r="E200" s="47"/>
      <x:c r="F200" s="47"/>
      <x:c r="G200" s="47"/>
      <x:c r="H200" s="48"/>
      <x:c r="I200" s="48"/>
      <x:c r="J200" s="47"/>
      <x:c r="K200" s="47"/>
      <x:c r="L200" s="57" t="str">
        <x:f>IF(COUNTA(A200:K200)=0,"",IF(K200="CANCELLED","CANCELLED",IF(A200="","INVOICE ID REQUIRED",IF(B200="","PROJECT ID REQUIRED",IF(NOT(ISNUMBER(C200)),"INVALID INVOICE DATE",IF(NOT(AND(ISNUMBER(C200),C200&gt;=2,C200&lt;=2958465,C200=INT(C200))),"INVALID INVOICE DATE",IF(NOT(OR(D200="MX",D200="US")),"ENTITY REQUIRED",IF(NOT(OR(E200="Strategic Services",E200="Brands")),"UNIT REQUIRED",IF(F200="","BRAND / N/A REQUIRED",IF(NOT(OR(G200="USD",G200="MXN")),"CURRENCY REQUIRED",IF(NOT(ISNUMBER(H200)),"AMOUNT REQUIRED",IF(J200="","ERP SOURCE REQUIRED",IF(NOT(OR(K200="ISSUED",K200="CANCELLED")),"INVOICE STATUS REQUIRED",IF(COUNTIFS($A$2:$A$501,A200,$B$2:$B$501,B200,$D$2:$D$501,D200)&gt;1,"DUPLICATE INVOICE / PROJECT",IF(SUMPRODUCT(--(('ERP Snapshot'!$A$2:$A$101&amp;"")=(B200&amp;"")))=0,"PROJECT NOT FOUND",IF(SUMPRODUCT(--(('ERP Snapshot'!$A$2:$A$101&amp;"")=(B200&amp;"")))&gt;1,"DUPLICATE PROJECT ID",IF(OR(SUMPRODUCT(--(('ERP Snapshot'!$A$2:$A$101&amp;"")=(B200&amp;"")),--('ERP Snapshot'!$Q$2:$Q$101=E200),--('ERP Snapshot'!$R$2:$R$101=F200))&lt;&gt;1,SUMPRODUCT(--('Commercial Catalogs'!$A$2:$A$10=E200),--('Commercial Catalogs'!$B$2:$B$10=F200),--('Commercial Catalogs'!$C$2:$C$10="YES"),--('Commercial Catalogs'!$D$2:$D$10="IN SCOPE"))=0,AND(E200="Strategic Services",F200&lt;&gt;"N/A"),AND(E200="Brands",F200="N/A")),"PROJECT CLASSIFICATION MISMATCH",IF(AND(G200="MXN",NOT(AND(ISNUMBER(I200),Settings!$B$8="APPROVED",Settings!$B$9&lt;&gt;"",Settings!$B$10&lt;&gt;""))),"FX HOLD","VALID"))))))))))))))))))</x:f>
      </x:c>
      <x:c r="M200" s="57" t="str">
        <x:f>IF(ISNUMBER(C200),IF(AND(ISNUMBER(C200),C200&gt;=2,C200&lt;=2958465,C200=INT(C200)),YEAR(C200)&amp;"-"&amp;IF(MONTH(C200)&lt;10,"0","")&amp;MONTH(C200),""),"")</x:f>
      </x:c>
      <x:c r="N200" s="59" t="str">
        <x:f>IF(L200="VALID",IF(G200="USD",H200,I200),"")</x:f>
      </x:c>
      <x:c r="O200" s="57" t="n">
        <x:f>IF(L200="VALID",IF(COUNTIFS($B$2:B200,B200,$M$2:M200,M200,$L$2:L200,"VALID")=1,1,0),0)</x:f>
        <x:v>0</x:v>
      </x:c>
    </x:row>
    <x:row r="201">
      <x:c r="A201" s="47"/>
      <x:c r="B201" s="47"/>
      <x:c r="C201" s="69"/>
      <x:c r="D201" s="47"/>
      <x:c r="E201" s="47"/>
      <x:c r="F201" s="47"/>
      <x:c r="G201" s="47"/>
      <x:c r="H201" s="48"/>
      <x:c r="I201" s="48"/>
      <x:c r="J201" s="47"/>
      <x:c r="K201" s="47"/>
      <x:c r="L201" s="57" t="str">
        <x:f>IF(COUNTA(A201:K201)=0,"",IF(K201="CANCELLED","CANCELLED",IF(A201="","INVOICE ID REQUIRED",IF(B201="","PROJECT ID REQUIRED",IF(NOT(ISNUMBER(C201)),"INVALID INVOICE DATE",IF(NOT(AND(ISNUMBER(C201),C201&gt;=2,C201&lt;=2958465,C201=INT(C201))),"INVALID INVOICE DATE",IF(NOT(OR(D201="MX",D201="US")),"ENTITY REQUIRED",IF(NOT(OR(E201="Strategic Services",E201="Brands")),"UNIT REQUIRED",IF(F201="","BRAND / N/A REQUIRED",IF(NOT(OR(G201="USD",G201="MXN")),"CURRENCY REQUIRED",IF(NOT(ISNUMBER(H201)),"AMOUNT REQUIRED",IF(J201="","ERP SOURCE REQUIRED",IF(NOT(OR(K201="ISSUED",K201="CANCELLED")),"INVOICE STATUS REQUIRED",IF(COUNTIFS($A$2:$A$501,A201,$B$2:$B$501,B201,$D$2:$D$501,D201)&gt;1,"DUPLICATE INVOICE / PROJECT",IF(SUMPRODUCT(--(('ERP Snapshot'!$A$2:$A$101&amp;"")=(B201&amp;"")))=0,"PROJECT NOT FOUND",IF(SUMPRODUCT(--(('ERP Snapshot'!$A$2:$A$101&amp;"")=(B201&amp;"")))&gt;1,"DUPLICATE PROJECT ID",IF(OR(SUMPRODUCT(--(('ERP Snapshot'!$A$2:$A$101&amp;"")=(B201&amp;"")),--('ERP Snapshot'!$Q$2:$Q$101=E201),--('ERP Snapshot'!$R$2:$R$101=F201))&lt;&gt;1,SUMPRODUCT(--('Commercial Catalogs'!$A$2:$A$10=E201),--('Commercial Catalogs'!$B$2:$B$10=F201),--('Commercial Catalogs'!$C$2:$C$10="YES"),--('Commercial Catalogs'!$D$2:$D$10="IN SCOPE"))=0,AND(E201="Strategic Services",F201&lt;&gt;"N/A"),AND(E201="Brands",F201="N/A")),"PROJECT CLASSIFICATION MISMATCH",IF(AND(G201="MXN",NOT(AND(ISNUMBER(I201),Settings!$B$8="APPROVED",Settings!$B$9&lt;&gt;"",Settings!$B$10&lt;&gt;""))),"FX HOLD","VALID"))))))))))))))))))</x:f>
      </x:c>
      <x:c r="M201" s="57" t="str">
        <x:f>IF(ISNUMBER(C201),IF(AND(ISNUMBER(C201),C201&gt;=2,C201&lt;=2958465,C201=INT(C201)),YEAR(C201)&amp;"-"&amp;IF(MONTH(C201)&lt;10,"0","")&amp;MONTH(C201),""),"")</x:f>
      </x:c>
      <x:c r="N201" s="59" t="str">
        <x:f>IF(L201="VALID",IF(G201="USD",H201,I201),"")</x:f>
      </x:c>
      <x:c r="O201" s="57" t="n">
        <x:f>IF(L201="VALID",IF(COUNTIFS($B$2:B201,B201,$M$2:M201,M201,$L$2:L201,"VALID")=1,1,0),0)</x:f>
        <x:v>0</x:v>
      </x:c>
    </x:row>
    <x:row r="202">
      <x:c r="A202" s="47"/>
      <x:c r="B202" s="47"/>
      <x:c r="C202" s="69"/>
      <x:c r="D202" s="47"/>
      <x:c r="E202" s="47"/>
      <x:c r="F202" s="47"/>
      <x:c r="G202" s="47"/>
      <x:c r="H202" s="48"/>
      <x:c r="I202" s="48"/>
      <x:c r="J202" s="47"/>
      <x:c r="K202" s="47"/>
      <x:c r="L202" s="57" t="str">
        <x:f>IF(COUNTA(A202:K202)=0,"",IF(K202="CANCELLED","CANCELLED",IF(A202="","INVOICE ID REQUIRED",IF(B202="","PROJECT ID REQUIRED",IF(NOT(ISNUMBER(C202)),"INVALID INVOICE DATE",IF(NOT(AND(ISNUMBER(C202),C202&gt;=2,C202&lt;=2958465,C202=INT(C202))),"INVALID INVOICE DATE",IF(NOT(OR(D202="MX",D202="US")),"ENTITY REQUIRED",IF(NOT(OR(E202="Strategic Services",E202="Brands")),"UNIT REQUIRED",IF(F202="","BRAND / N/A REQUIRED",IF(NOT(OR(G202="USD",G202="MXN")),"CURRENCY REQUIRED",IF(NOT(ISNUMBER(H202)),"AMOUNT REQUIRED",IF(J202="","ERP SOURCE REQUIRED",IF(NOT(OR(K202="ISSUED",K202="CANCELLED")),"INVOICE STATUS REQUIRED",IF(COUNTIFS($A$2:$A$501,A202,$B$2:$B$501,B202,$D$2:$D$501,D202)&gt;1,"DUPLICATE INVOICE / PROJECT",IF(SUMPRODUCT(--(('ERP Snapshot'!$A$2:$A$101&amp;"")=(B202&amp;"")))=0,"PROJECT NOT FOUND",IF(SUMPRODUCT(--(('ERP Snapshot'!$A$2:$A$101&amp;"")=(B202&amp;"")))&gt;1,"DUPLICATE PROJECT ID",IF(OR(SUMPRODUCT(--(('ERP Snapshot'!$A$2:$A$101&amp;"")=(B202&amp;"")),--('ERP Snapshot'!$Q$2:$Q$101=E202),--('ERP Snapshot'!$R$2:$R$101=F202))&lt;&gt;1,SUMPRODUCT(--('Commercial Catalogs'!$A$2:$A$10=E202),--('Commercial Catalogs'!$B$2:$B$10=F202),--('Commercial Catalogs'!$C$2:$C$10="YES"),--('Commercial Catalogs'!$D$2:$D$10="IN SCOPE"))=0,AND(E202="Strategic Services",F202&lt;&gt;"N/A"),AND(E202="Brands",F202="N/A")),"PROJECT CLASSIFICATION MISMATCH",IF(AND(G202="MXN",NOT(AND(ISNUMBER(I202),Settings!$B$8="APPROVED",Settings!$B$9&lt;&gt;"",Settings!$B$10&lt;&gt;""))),"FX HOLD","VALID"))))))))))))))))))</x:f>
      </x:c>
      <x:c r="M202" s="57" t="str">
        <x:f>IF(ISNUMBER(C202),IF(AND(ISNUMBER(C202),C202&gt;=2,C202&lt;=2958465,C202=INT(C202)),YEAR(C202)&amp;"-"&amp;IF(MONTH(C202)&lt;10,"0","")&amp;MONTH(C202),""),"")</x:f>
      </x:c>
      <x:c r="N202" s="59" t="str">
        <x:f>IF(L202="VALID",IF(G202="USD",H202,I202),"")</x:f>
      </x:c>
      <x:c r="O202" s="57" t="n">
        <x:f>IF(L202="VALID",IF(COUNTIFS($B$2:B202,B202,$M$2:M202,M202,$L$2:L202,"VALID")=1,1,0),0)</x:f>
        <x:v>0</x:v>
      </x:c>
    </x:row>
    <x:row r="203">
      <x:c r="A203" s="47"/>
      <x:c r="B203" s="47"/>
      <x:c r="C203" s="69"/>
      <x:c r="D203" s="47"/>
      <x:c r="E203" s="47"/>
      <x:c r="F203" s="47"/>
      <x:c r="G203" s="47"/>
      <x:c r="H203" s="48"/>
      <x:c r="I203" s="48"/>
      <x:c r="J203" s="47"/>
      <x:c r="K203" s="47"/>
      <x:c r="L203" s="57" t="str">
        <x:f>IF(COUNTA(A203:K203)=0,"",IF(K203="CANCELLED","CANCELLED",IF(A203="","INVOICE ID REQUIRED",IF(B203="","PROJECT ID REQUIRED",IF(NOT(ISNUMBER(C203)),"INVALID INVOICE DATE",IF(NOT(AND(ISNUMBER(C203),C203&gt;=2,C203&lt;=2958465,C203=INT(C203))),"INVALID INVOICE DATE",IF(NOT(OR(D203="MX",D203="US")),"ENTITY REQUIRED",IF(NOT(OR(E203="Strategic Services",E203="Brands")),"UNIT REQUIRED",IF(F203="","BRAND / N/A REQUIRED",IF(NOT(OR(G203="USD",G203="MXN")),"CURRENCY REQUIRED",IF(NOT(ISNUMBER(H203)),"AMOUNT REQUIRED",IF(J203="","ERP SOURCE REQUIRED",IF(NOT(OR(K203="ISSUED",K203="CANCELLED")),"INVOICE STATUS REQUIRED",IF(COUNTIFS($A$2:$A$501,A203,$B$2:$B$501,B203,$D$2:$D$501,D203)&gt;1,"DUPLICATE INVOICE / PROJECT",IF(SUMPRODUCT(--(('ERP Snapshot'!$A$2:$A$101&amp;"")=(B203&amp;"")))=0,"PROJECT NOT FOUND",IF(SUMPRODUCT(--(('ERP Snapshot'!$A$2:$A$101&amp;"")=(B203&amp;"")))&gt;1,"DUPLICATE PROJECT ID",IF(OR(SUMPRODUCT(--(('ERP Snapshot'!$A$2:$A$101&amp;"")=(B203&amp;"")),--('ERP Snapshot'!$Q$2:$Q$101=E203),--('ERP Snapshot'!$R$2:$R$101=F203))&lt;&gt;1,SUMPRODUCT(--('Commercial Catalogs'!$A$2:$A$10=E203),--('Commercial Catalogs'!$B$2:$B$10=F203),--('Commercial Catalogs'!$C$2:$C$10="YES"),--('Commercial Catalogs'!$D$2:$D$10="IN SCOPE"))=0,AND(E203="Strategic Services",F203&lt;&gt;"N/A"),AND(E203="Brands",F203="N/A")),"PROJECT CLASSIFICATION MISMATCH",IF(AND(G203="MXN",NOT(AND(ISNUMBER(I203),Settings!$B$8="APPROVED",Settings!$B$9&lt;&gt;"",Settings!$B$10&lt;&gt;""))),"FX HOLD","VALID"))))))))))))))))))</x:f>
      </x:c>
      <x:c r="M203" s="57" t="str">
        <x:f>IF(ISNUMBER(C203),IF(AND(ISNUMBER(C203),C203&gt;=2,C203&lt;=2958465,C203=INT(C203)),YEAR(C203)&amp;"-"&amp;IF(MONTH(C203)&lt;10,"0","")&amp;MONTH(C203),""),"")</x:f>
      </x:c>
      <x:c r="N203" s="59" t="str">
        <x:f>IF(L203="VALID",IF(G203="USD",H203,I203),"")</x:f>
      </x:c>
      <x:c r="O203" s="57" t="n">
        <x:f>IF(L203="VALID",IF(COUNTIFS($B$2:B203,B203,$M$2:M203,M203,$L$2:L203,"VALID")=1,1,0),0)</x:f>
        <x:v>0</x:v>
      </x:c>
    </x:row>
    <x:row r="204">
      <x:c r="A204" s="47"/>
      <x:c r="B204" s="47"/>
      <x:c r="C204" s="69"/>
      <x:c r="D204" s="47"/>
      <x:c r="E204" s="47"/>
      <x:c r="F204" s="47"/>
      <x:c r="G204" s="47"/>
      <x:c r="H204" s="48"/>
      <x:c r="I204" s="48"/>
      <x:c r="J204" s="47"/>
      <x:c r="K204" s="47"/>
      <x:c r="L204" s="57" t="str">
        <x:f>IF(COUNTA(A204:K204)=0,"",IF(K204="CANCELLED","CANCELLED",IF(A204="","INVOICE ID REQUIRED",IF(B204="","PROJECT ID REQUIRED",IF(NOT(ISNUMBER(C204)),"INVALID INVOICE DATE",IF(NOT(AND(ISNUMBER(C204),C204&gt;=2,C204&lt;=2958465,C204=INT(C204))),"INVALID INVOICE DATE",IF(NOT(OR(D204="MX",D204="US")),"ENTITY REQUIRED",IF(NOT(OR(E204="Strategic Services",E204="Brands")),"UNIT REQUIRED",IF(F204="","BRAND / N/A REQUIRED",IF(NOT(OR(G204="USD",G204="MXN")),"CURRENCY REQUIRED",IF(NOT(ISNUMBER(H204)),"AMOUNT REQUIRED",IF(J204="","ERP SOURCE REQUIRED",IF(NOT(OR(K204="ISSUED",K204="CANCELLED")),"INVOICE STATUS REQUIRED",IF(COUNTIFS($A$2:$A$501,A204,$B$2:$B$501,B204,$D$2:$D$501,D204)&gt;1,"DUPLICATE INVOICE / PROJECT",IF(SUMPRODUCT(--(('ERP Snapshot'!$A$2:$A$101&amp;"")=(B204&amp;"")))=0,"PROJECT NOT FOUND",IF(SUMPRODUCT(--(('ERP Snapshot'!$A$2:$A$101&amp;"")=(B204&amp;"")))&gt;1,"DUPLICATE PROJECT ID",IF(OR(SUMPRODUCT(--(('ERP Snapshot'!$A$2:$A$101&amp;"")=(B204&amp;"")),--('ERP Snapshot'!$Q$2:$Q$101=E204),--('ERP Snapshot'!$R$2:$R$101=F204))&lt;&gt;1,SUMPRODUCT(--('Commercial Catalogs'!$A$2:$A$10=E204),--('Commercial Catalogs'!$B$2:$B$10=F204),--('Commercial Catalogs'!$C$2:$C$10="YES"),--('Commercial Catalogs'!$D$2:$D$10="IN SCOPE"))=0,AND(E204="Strategic Services",F204&lt;&gt;"N/A"),AND(E204="Brands",F204="N/A")),"PROJECT CLASSIFICATION MISMATCH",IF(AND(G204="MXN",NOT(AND(ISNUMBER(I204),Settings!$B$8="APPROVED",Settings!$B$9&lt;&gt;"",Settings!$B$10&lt;&gt;""))),"FX HOLD","VALID"))))))))))))))))))</x:f>
      </x:c>
      <x:c r="M204" s="57" t="str">
        <x:f>IF(ISNUMBER(C204),IF(AND(ISNUMBER(C204),C204&gt;=2,C204&lt;=2958465,C204=INT(C204)),YEAR(C204)&amp;"-"&amp;IF(MONTH(C204)&lt;10,"0","")&amp;MONTH(C204),""),"")</x:f>
      </x:c>
      <x:c r="N204" s="59" t="str">
        <x:f>IF(L204="VALID",IF(G204="USD",H204,I204),"")</x:f>
      </x:c>
      <x:c r="O204" s="57" t="n">
        <x:f>IF(L204="VALID",IF(COUNTIFS($B$2:B204,B204,$M$2:M204,M204,$L$2:L204,"VALID")=1,1,0),0)</x:f>
        <x:v>0</x:v>
      </x:c>
    </x:row>
    <x:row r="205">
      <x:c r="A205" s="47"/>
      <x:c r="B205" s="47"/>
      <x:c r="C205" s="69"/>
      <x:c r="D205" s="47"/>
      <x:c r="E205" s="47"/>
      <x:c r="F205" s="47"/>
      <x:c r="G205" s="47"/>
      <x:c r="H205" s="48"/>
      <x:c r="I205" s="48"/>
      <x:c r="J205" s="47"/>
      <x:c r="K205" s="47"/>
      <x:c r="L205" s="57" t="str">
        <x:f>IF(COUNTA(A205:K205)=0,"",IF(K205="CANCELLED","CANCELLED",IF(A205="","INVOICE ID REQUIRED",IF(B205="","PROJECT ID REQUIRED",IF(NOT(ISNUMBER(C205)),"INVALID INVOICE DATE",IF(NOT(AND(ISNUMBER(C205),C205&gt;=2,C205&lt;=2958465,C205=INT(C205))),"INVALID INVOICE DATE",IF(NOT(OR(D205="MX",D205="US")),"ENTITY REQUIRED",IF(NOT(OR(E205="Strategic Services",E205="Brands")),"UNIT REQUIRED",IF(F205="","BRAND / N/A REQUIRED",IF(NOT(OR(G205="USD",G205="MXN")),"CURRENCY REQUIRED",IF(NOT(ISNUMBER(H205)),"AMOUNT REQUIRED",IF(J205="","ERP SOURCE REQUIRED",IF(NOT(OR(K205="ISSUED",K205="CANCELLED")),"INVOICE STATUS REQUIRED",IF(COUNTIFS($A$2:$A$501,A205,$B$2:$B$501,B205,$D$2:$D$501,D205)&gt;1,"DUPLICATE INVOICE / PROJECT",IF(SUMPRODUCT(--(('ERP Snapshot'!$A$2:$A$101&amp;"")=(B205&amp;"")))=0,"PROJECT NOT FOUND",IF(SUMPRODUCT(--(('ERP Snapshot'!$A$2:$A$101&amp;"")=(B205&amp;"")))&gt;1,"DUPLICATE PROJECT ID",IF(OR(SUMPRODUCT(--(('ERP Snapshot'!$A$2:$A$101&amp;"")=(B205&amp;"")),--('ERP Snapshot'!$Q$2:$Q$101=E205),--('ERP Snapshot'!$R$2:$R$101=F205))&lt;&gt;1,SUMPRODUCT(--('Commercial Catalogs'!$A$2:$A$10=E205),--('Commercial Catalogs'!$B$2:$B$10=F205),--('Commercial Catalogs'!$C$2:$C$10="YES"),--('Commercial Catalogs'!$D$2:$D$10="IN SCOPE"))=0,AND(E205="Strategic Services",F205&lt;&gt;"N/A"),AND(E205="Brands",F205="N/A")),"PROJECT CLASSIFICATION MISMATCH",IF(AND(G205="MXN",NOT(AND(ISNUMBER(I205),Settings!$B$8="APPROVED",Settings!$B$9&lt;&gt;"",Settings!$B$10&lt;&gt;""))),"FX HOLD","VALID"))))))))))))))))))</x:f>
      </x:c>
      <x:c r="M205" s="57" t="str">
        <x:f>IF(ISNUMBER(C205),IF(AND(ISNUMBER(C205),C205&gt;=2,C205&lt;=2958465,C205=INT(C205)),YEAR(C205)&amp;"-"&amp;IF(MONTH(C205)&lt;10,"0","")&amp;MONTH(C205),""),"")</x:f>
      </x:c>
      <x:c r="N205" s="59" t="str">
        <x:f>IF(L205="VALID",IF(G205="USD",H205,I205),"")</x:f>
      </x:c>
      <x:c r="O205" s="57" t="n">
        <x:f>IF(L205="VALID",IF(COUNTIFS($B$2:B205,B205,$M$2:M205,M205,$L$2:L205,"VALID")=1,1,0),0)</x:f>
        <x:v>0</x:v>
      </x:c>
    </x:row>
    <x:row r="206">
      <x:c r="A206" s="47"/>
      <x:c r="B206" s="47"/>
      <x:c r="C206" s="69"/>
      <x:c r="D206" s="47"/>
      <x:c r="E206" s="47"/>
      <x:c r="F206" s="47"/>
      <x:c r="G206" s="47"/>
      <x:c r="H206" s="48"/>
      <x:c r="I206" s="48"/>
      <x:c r="J206" s="47"/>
      <x:c r="K206" s="47"/>
      <x:c r="L206" s="57" t="str">
        <x:f>IF(COUNTA(A206:K206)=0,"",IF(K206="CANCELLED","CANCELLED",IF(A206="","INVOICE ID REQUIRED",IF(B206="","PROJECT ID REQUIRED",IF(NOT(ISNUMBER(C206)),"INVALID INVOICE DATE",IF(NOT(AND(ISNUMBER(C206),C206&gt;=2,C206&lt;=2958465,C206=INT(C206))),"INVALID INVOICE DATE",IF(NOT(OR(D206="MX",D206="US")),"ENTITY REQUIRED",IF(NOT(OR(E206="Strategic Services",E206="Brands")),"UNIT REQUIRED",IF(F206="","BRAND / N/A REQUIRED",IF(NOT(OR(G206="USD",G206="MXN")),"CURRENCY REQUIRED",IF(NOT(ISNUMBER(H206)),"AMOUNT REQUIRED",IF(J206="","ERP SOURCE REQUIRED",IF(NOT(OR(K206="ISSUED",K206="CANCELLED")),"INVOICE STATUS REQUIRED",IF(COUNTIFS($A$2:$A$501,A206,$B$2:$B$501,B206,$D$2:$D$501,D206)&gt;1,"DUPLICATE INVOICE / PROJECT",IF(SUMPRODUCT(--(('ERP Snapshot'!$A$2:$A$101&amp;"")=(B206&amp;"")))=0,"PROJECT NOT FOUND",IF(SUMPRODUCT(--(('ERP Snapshot'!$A$2:$A$101&amp;"")=(B206&amp;"")))&gt;1,"DUPLICATE PROJECT ID",IF(OR(SUMPRODUCT(--(('ERP Snapshot'!$A$2:$A$101&amp;"")=(B206&amp;"")),--('ERP Snapshot'!$Q$2:$Q$101=E206),--('ERP Snapshot'!$R$2:$R$101=F206))&lt;&gt;1,SUMPRODUCT(--('Commercial Catalogs'!$A$2:$A$10=E206),--('Commercial Catalogs'!$B$2:$B$10=F206),--('Commercial Catalogs'!$C$2:$C$10="YES"),--('Commercial Catalogs'!$D$2:$D$10="IN SCOPE"))=0,AND(E206="Strategic Services",F206&lt;&gt;"N/A"),AND(E206="Brands",F206="N/A")),"PROJECT CLASSIFICATION MISMATCH",IF(AND(G206="MXN",NOT(AND(ISNUMBER(I206),Settings!$B$8="APPROVED",Settings!$B$9&lt;&gt;"",Settings!$B$10&lt;&gt;""))),"FX HOLD","VALID"))))))))))))))))))</x:f>
      </x:c>
      <x:c r="M206" s="57" t="str">
        <x:f>IF(ISNUMBER(C206),IF(AND(ISNUMBER(C206),C206&gt;=2,C206&lt;=2958465,C206=INT(C206)),YEAR(C206)&amp;"-"&amp;IF(MONTH(C206)&lt;10,"0","")&amp;MONTH(C206),""),"")</x:f>
      </x:c>
      <x:c r="N206" s="59" t="str">
        <x:f>IF(L206="VALID",IF(G206="USD",H206,I206),"")</x:f>
      </x:c>
      <x:c r="O206" s="57" t="n">
        <x:f>IF(L206="VALID",IF(COUNTIFS($B$2:B206,B206,$M$2:M206,M206,$L$2:L206,"VALID")=1,1,0),0)</x:f>
        <x:v>0</x:v>
      </x:c>
    </x:row>
    <x:row r="207">
      <x:c r="A207" s="47"/>
      <x:c r="B207" s="47"/>
      <x:c r="C207" s="69"/>
      <x:c r="D207" s="47"/>
      <x:c r="E207" s="47"/>
      <x:c r="F207" s="47"/>
      <x:c r="G207" s="47"/>
      <x:c r="H207" s="48"/>
      <x:c r="I207" s="48"/>
      <x:c r="J207" s="47"/>
      <x:c r="K207" s="47"/>
      <x:c r="L207" s="57" t="str">
        <x:f>IF(COUNTA(A207:K207)=0,"",IF(K207="CANCELLED","CANCELLED",IF(A207="","INVOICE ID REQUIRED",IF(B207="","PROJECT ID REQUIRED",IF(NOT(ISNUMBER(C207)),"INVALID INVOICE DATE",IF(NOT(AND(ISNUMBER(C207),C207&gt;=2,C207&lt;=2958465,C207=INT(C207))),"INVALID INVOICE DATE",IF(NOT(OR(D207="MX",D207="US")),"ENTITY REQUIRED",IF(NOT(OR(E207="Strategic Services",E207="Brands")),"UNIT REQUIRED",IF(F207="","BRAND / N/A REQUIRED",IF(NOT(OR(G207="USD",G207="MXN")),"CURRENCY REQUIRED",IF(NOT(ISNUMBER(H207)),"AMOUNT REQUIRED",IF(J207="","ERP SOURCE REQUIRED",IF(NOT(OR(K207="ISSUED",K207="CANCELLED")),"INVOICE STATUS REQUIRED",IF(COUNTIFS($A$2:$A$501,A207,$B$2:$B$501,B207,$D$2:$D$501,D207)&gt;1,"DUPLICATE INVOICE / PROJECT",IF(SUMPRODUCT(--(('ERP Snapshot'!$A$2:$A$101&amp;"")=(B207&amp;"")))=0,"PROJECT NOT FOUND",IF(SUMPRODUCT(--(('ERP Snapshot'!$A$2:$A$101&amp;"")=(B207&amp;"")))&gt;1,"DUPLICATE PROJECT ID",IF(OR(SUMPRODUCT(--(('ERP Snapshot'!$A$2:$A$101&amp;"")=(B207&amp;"")),--('ERP Snapshot'!$Q$2:$Q$101=E207),--('ERP Snapshot'!$R$2:$R$101=F207))&lt;&gt;1,SUMPRODUCT(--('Commercial Catalogs'!$A$2:$A$10=E207),--('Commercial Catalogs'!$B$2:$B$10=F207),--('Commercial Catalogs'!$C$2:$C$10="YES"),--('Commercial Catalogs'!$D$2:$D$10="IN SCOPE"))=0,AND(E207="Strategic Services",F207&lt;&gt;"N/A"),AND(E207="Brands",F207="N/A")),"PROJECT CLASSIFICATION MISMATCH",IF(AND(G207="MXN",NOT(AND(ISNUMBER(I207),Settings!$B$8="APPROVED",Settings!$B$9&lt;&gt;"",Settings!$B$10&lt;&gt;""))),"FX HOLD","VALID"))))))))))))))))))</x:f>
      </x:c>
      <x:c r="M207" s="57" t="str">
        <x:f>IF(ISNUMBER(C207),IF(AND(ISNUMBER(C207),C207&gt;=2,C207&lt;=2958465,C207=INT(C207)),YEAR(C207)&amp;"-"&amp;IF(MONTH(C207)&lt;10,"0","")&amp;MONTH(C207),""),"")</x:f>
      </x:c>
      <x:c r="N207" s="59" t="str">
        <x:f>IF(L207="VALID",IF(G207="USD",H207,I207),"")</x:f>
      </x:c>
      <x:c r="O207" s="57" t="n">
        <x:f>IF(L207="VALID",IF(COUNTIFS($B$2:B207,B207,$M$2:M207,M207,$L$2:L207,"VALID")=1,1,0),0)</x:f>
        <x:v>0</x:v>
      </x:c>
    </x:row>
    <x:row r="208">
      <x:c r="A208" s="47"/>
      <x:c r="B208" s="47"/>
      <x:c r="C208" s="69"/>
      <x:c r="D208" s="47"/>
      <x:c r="E208" s="47"/>
      <x:c r="F208" s="47"/>
      <x:c r="G208" s="47"/>
      <x:c r="H208" s="48"/>
      <x:c r="I208" s="48"/>
      <x:c r="J208" s="47"/>
      <x:c r="K208" s="47"/>
      <x:c r="L208" s="57" t="str">
        <x:f>IF(COUNTA(A208:K208)=0,"",IF(K208="CANCELLED","CANCELLED",IF(A208="","INVOICE ID REQUIRED",IF(B208="","PROJECT ID REQUIRED",IF(NOT(ISNUMBER(C208)),"INVALID INVOICE DATE",IF(NOT(AND(ISNUMBER(C208),C208&gt;=2,C208&lt;=2958465,C208=INT(C208))),"INVALID INVOICE DATE",IF(NOT(OR(D208="MX",D208="US")),"ENTITY REQUIRED",IF(NOT(OR(E208="Strategic Services",E208="Brands")),"UNIT REQUIRED",IF(F208="","BRAND / N/A REQUIRED",IF(NOT(OR(G208="USD",G208="MXN")),"CURRENCY REQUIRED",IF(NOT(ISNUMBER(H208)),"AMOUNT REQUIRED",IF(J208="","ERP SOURCE REQUIRED",IF(NOT(OR(K208="ISSUED",K208="CANCELLED")),"INVOICE STATUS REQUIRED",IF(COUNTIFS($A$2:$A$501,A208,$B$2:$B$501,B208,$D$2:$D$501,D208)&gt;1,"DUPLICATE INVOICE / PROJECT",IF(SUMPRODUCT(--(('ERP Snapshot'!$A$2:$A$101&amp;"")=(B208&amp;"")))=0,"PROJECT NOT FOUND",IF(SUMPRODUCT(--(('ERP Snapshot'!$A$2:$A$101&amp;"")=(B208&amp;"")))&gt;1,"DUPLICATE PROJECT ID",IF(OR(SUMPRODUCT(--(('ERP Snapshot'!$A$2:$A$101&amp;"")=(B208&amp;"")),--('ERP Snapshot'!$Q$2:$Q$101=E208),--('ERP Snapshot'!$R$2:$R$101=F208))&lt;&gt;1,SUMPRODUCT(--('Commercial Catalogs'!$A$2:$A$10=E208),--('Commercial Catalogs'!$B$2:$B$10=F208),--('Commercial Catalogs'!$C$2:$C$10="YES"),--('Commercial Catalogs'!$D$2:$D$10="IN SCOPE"))=0,AND(E208="Strategic Services",F208&lt;&gt;"N/A"),AND(E208="Brands",F208="N/A")),"PROJECT CLASSIFICATION MISMATCH",IF(AND(G208="MXN",NOT(AND(ISNUMBER(I208),Settings!$B$8="APPROVED",Settings!$B$9&lt;&gt;"",Settings!$B$10&lt;&gt;""))),"FX HOLD","VALID"))))))))))))))))))</x:f>
      </x:c>
      <x:c r="M208" s="57" t="str">
        <x:f>IF(ISNUMBER(C208),IF(AND(ISNUMBER(C208),C208&gt;=2,C208&lt;=2958465,C208=INT(C208)),YEAR(C208)&amp;"-"&amp;IF(MONTH(C208)&lt;10,"0","")&amp;MONTH(C208),""),"")</x:f>
      </x:c>
      <x:c r="N208" s="59" t="str">
        <x:f>IF(L208="VALID",IF(G208="USD",H208,I208),"")</x:f>
      </x:c>
      <x:c r="O208" s="57" t="n">
        <x:f>IF(L208="VALID",IF(COUNTIFS($B$2:B208,B208,$M$2:M208,M208,$L$2:L208,"VALID")=1,1,0),0)</x:f>
        <x:v>0</x:v>
      </x:c>
    </x:row>
    <x:row r="209">
      <x:c r="A209" s="47"/>
      <x:c r="B209" s="47"/>
      <x:c r="C209" s="69"/>
      <x:c r="D209" s="47"/>
      <x:c r="E209" s="47"/>
      <x:c r="F209" s="47"/>
      <x:c r="G209" s="47"/>
      <x:c r="H209" s="48"/>
      <x:c r="I209" s="48"/>
      <x:c r="J209" s="47"/>
      <x:c r="K209" s="47"/>
      <x:c r="L209" s="57" t="str">
        <x:f>IF(COUNTA(A209:K209)=0,"",IF(K209="CANCELLED","CANCELLED",IF(A209="","INVOICE ID REQUIRED",IF(B209="","PROJECT ID REQUIRED",IF(NOT(ISNUMBER(C209)),"INVALID INVOICE DATE",IF(NOT(AND(ISNUMBER(C209),C209&gt;=2,C209&lt;=2958465,C209=INT(C209))),"INVALID INVOICE DATE",IF(NOT(OR(D209="MX",D209="US")),"ENTITY REQUIRED",IF(NOT(OR(E209="Strategic Services",E209="Brands")),"UNIT REQUIRED",IF(F209="","BRAND / N/A REQUIRED",IF(NOT(OR(G209="USD",G209="MXN")),"CURRENCY REQUIRED",IF(NOT(ISNUMBER(H209)),"AMOUNT REQUIRED",IF(J209="","ERP SOURCE REQUIRED",IF(NOT(OR(K209="ISSUED",K209="CANCELLED")),"INVOICE STATUS REQUIRED",IF(COUNTIFS($A$2:$A$501,A209,$B$2:$B$501,B209,$D$2:$D$501,D209)&gt;1,"DUPLICATE INVOICE / PROJECT",IF(SUMPRODUCT(--(('ERP Snapshot'!$A$2:$A$101&amp;"")=(B209&amp;"")))=0,"PROJECT NOT FOUND",IF(SUMPRODUCT(--(('ERP Snapshot'!$A$2:$A$101&amp;"")=(B209&amp;"")))&gt;1,"DUPLICATE PROJECT ID",IF(OR(SUMPRODUCT(--(('ERP Snapshot'!$A$2:$A$101&amp;"")=(B209&amp;"")),--('ERP Snapshot'!$Q$2:$Q$101=E209),--('ERP Snapshot'!$R$2:$R$101=F209))&lt;&gt;1,SUMPRODUCT(--('Commercial Catalogs'!$A$2:$A$10=E209),--('Commercial Catalogs'!$B$2:$B$10=F209),--('Commercial Catalogs'!$C$2:$C$10="YES"),--('Commercial Catalogs'!$D$2:$D$10="IN SCOPE"))=0,AND(E209="Strategic Services",F209&lt;&gt;"N/A"),AND(E209="Brands",F209="N/A")),"PROJECT CLASSIFICATION MISMATCH",IF(AND(G209="MXN",NOT(AND(ISNUMBER(I209),Settings!$B$8="APPROVED",Settings!$B$9&lt;&gt;"",Settings!$B$10&lt;&gt;""))),"FX HOLD","VALID"))))))))))))))))))</x:f>
      </x:c>
      <x:c r="M209" s="57" t="str">
        <x:f>IF(ISNUMBER(C209),IF(AND(ISNUMBER(C209),C209&gt;=2,C209&lt;=2958465,C209=INT(C209)),YEAR(C209)&amp;"-"&amp;IF(MONTH(C209)&lt;10,"0","")&amp;MONTH(C209),""),"")</x:f>
      </x:c>
      <x:c r="N209" s="59" t="str">
        <x:f>IF(L209="VALID",IF(G209="USD",H209,I209),"")</x:f>
      </x:c>
      <x:c r="O209" s="57" t="n">
        <x:f>IF(L209="VALID",IF(COUNTIFS($B$2:B209,B209,$M$2:M209,M209,$L$2:L209,"VALID")=1,1,0),0)</x:f>
        <x:v>0</x:v>
      </x:c>
    </x:row>
    <x:row r="210">
      <x:c r="A210" s="47"/>
      <x:c r="B210" s="47"/>
      <x:c r="C210" s="69"/>
      <x:c r="D210" s="47"/>
      <x:c r="E210" s="47"/>
      <x:c r="F210" s="47"/>
      <x:c r="G210" s="47"/>
      <x:c r="H210" s="48"/>
      <x:c r="I210" s="48"/>
      <x:c r="J210" s="47"/>
      <x:c r="K210" s="47"/>
      <x:c r="L210" s="57" t="str">
        <x:f>IF(COUNTA(A210:K210)=0,"",IF(K210="CANCELLED","CANCELLED",IF(A210="","INVOICE ID REQUIRED",IF(B210="","PROJECT ID REQUIRED",IF(NOT(ISNUMBER(C210)),"INVALID INVOICE DATE",IF(NOT(AND(ISNUMBER(C210),C210&gt;=2,C210&lt;=2958465,C210=INT(C210))),"INVALID INVOICE DATE",IF(NOT(OR(D210="MX",D210="US")),"ENTITY REQUIRED",IF(NOT(OR(E210="Strategic Services",E210="Brands")),"UNIT REQUIRED",IF(F210="","BRAND / N/A REQUIRED",IF(NOT(OR(G210="USD",G210="MXN")),"CURRENCY REQUIRED",IF(NOT(ISNUMBER(H210)),"AMOUNT REQUIRED",IF(J210="","ERP SOURCE REQUIRED",IF(NOT(OR(K210="ISSUED",K210="CANCELLED")),"INVOICE STATUS REQUIRED",IF(COUNTIFS($A$2:$A$501,A210,$B$2:$B$501,B210,$D$2:$D$501,D210)&gt;1,"DUPLICATE INVOICE / PROJECT",IF(SUMPRODUCT(--(('ERP Snapshot'!$A$2:$A$101&amp;"")=(B210&amp;"")))=0,"PROJECT NOT FOUND",IF(SUMPRODUCT(--(('ERP Snapshot'!$A$2:$A$101&amp;"")=(B210&amp;"")))&gt;1,"DUPLICATE PROJECT ID",IF(OR(SUMPRODUCT(--(('ERP Snapshot'!$A$2:$A$101&amp;"")=(B210&amp;"")),--('ERP Snapshot'!$Q$2:$Q$101=E210),--('ERP Snapshot'!$R$2:$R$101=F210))&lt;&gt;1,SUMPRODUCT(--('Commercial Catalogs'!$A$2:$A$10=E210),--('Commercial Catalogs'!$B$2:$B$10=F210),--('Commercial Catalogs'!$C$2:$C$10="YES"),--('Commercial Catalogs'!$D$2:$D$10="IN SCOPE"))=0,AND(E210="Strategic Services",F210&lt;&gt;"N/A"),AND(E210="Brands",F210="N/A")),"PROJECT CLASSIFICATION MISMATCH",IF(AND(G210="MXN",NOT(AND(ISNUMBER(I210),Settings!$B$8="APPROVED",Settings!$B$9&lt;&gt;"",Settings!$B$10&lt;&gt;""))),"FX HOLD","VALID"))))))))))))))))))</x:f>
      </x:c>
      <x:c r="M210" s="57" t="str">
        <x:f>IF(ISNUMBER(C210),IF(AND(ISNUMBER(C210),C210&gt;=2,C210&lt;=2958465,C210=INT(C210)),YEAR(C210)&amp;"-"&amp;IF(MONTH(C210)&lt;10,"0","")&amp;MONTH(C210),""),"")</x:f>
      </x:c>
      <x:c r="N210" s="59" t="str">
        <x:f>IF(L210="VALID",IF(G210="USD",H210,I210),"")</x:f>
      </x:c>
      <x:c r="O210" s="57" t="n">
        <x:f>IF(L210="VALID",IF(COUNTIFS($B$2:B210,B210,$M$2:M210,M210,$L$2:L210,"VALID")=1,1,0),0)</x:f>
        <x:v>0</x:v>
      </x:c>
    </x:row>
    <x:row r="211">
      <x:c r="A211" s="47"/>
      <x:c r="B211" s="47"/>
      <x:c r="C211" s="69"/>
      <x:c r="D211" s="47"/>
      <x:c r="E211" s="47"/>
      <x:c r="F211" s="47"/>
      <x:c r="G211" s="47"/>
      <x:c r="H211" s="48"/>
      <x:c r="I211" s="48"/>
      <x:c r="J211" s="47"/>
      <x:c r="K211" s="47"/>
      <x:c r="L211" s="57" t="str">
        <x:f>IF(COUNTA(A211:K211)=0,"",IF(K211="CANCELLED","CANCELLED",IF(A211="","INVOICE ID REQUIRED",IF(B211="","PROJECT ID REQUIRED",IF(NOT(ISNUMBER(C211)),"INVALID INVOICE DATE",IF(NOT(AND(ISNUMBER(C211),C211&gt;=2,C211&lt;=2958465,C211=INT(C211))),"INVALID INVOICE DATE",IF(NOT(OR(D211="MX",D211="US")),"ENTITY REQUIRED",IF(NOT(OR(E211="Strategic Services",E211="Brands")),"UNIT REQUIRED",IF(F211="","BRAND / N/A REQUIRED",IF(NOT(OR(G211="USD",G211="MXN")),"CURRENCY REQUIRED",IF(NOT(ISNUMBER(H211)),"AMOUNT REQUIRED",IF(J211="","ERP SOURCE REQUIRED",IF(NOT(OR(K211="ISSUED",K211="CANCELLED")),"INVOICE STATUS REQUIRED",IF(COUNTIFS($A$2:$A$501,A211,$B$2:$B$501,B211,$D$2:$D$501,D211)&gt;1,"DUPLICATE INVOICE / PROJECT",IF(SUMPRODUCT(--(('ERP Snapshot'!$A$2:$A$101&amp;"")=(B211&amp;"")))=0,"PROJECT NOT FOUND",IF(SUMPRODUCT(--(('ERP Snapshot'!$A$2:$A$101&amp;"")=(B211&amp;"")))&gt;1,"DUPLICATE PROJECT ID",IF(OR(SUMPRODUCT(--(('ERP Snapshot'!$A$2:$A$101&amp;"")=(B211&amp;"")),--('ERP Snapshot'!$Q$2:$Q$101=E211),--('ERP Snapshot'!$R$2:$R$101=F211))&lt;&gt;1,SUMPRODUCT(--('Commercial Catalogs'!$A$2:$A$10=E211),--('Commercial Catalogs'!$B$2:$B$10=F211),--('Commercial Catalogs'!$C$2:$C$10="YES"),--('Commercial Catalogs'!$D$2:$D$10="IN SCOPE"))=0,AND(E211="Strategic Services",F211&lt;&gt;"N/A"),AND(E211="Brands",F211="N/A")),"PROJECT CLASSIFICATION MISMATCH",IF(AND(G211="MXN",NOT(AND(ISNUMBER(I211),Settings!$B$8="APPROVED",Settings!$B$9&lt;&gt;"",Settings!$B$10&lt;&gt;""))),"FX HOLD","VALID"))))))))))))))))))</x:f>
      </x:c>
      <x:c r="M211" s="57" t="str">
        <x:f>IF(ISNUMBER(C211),IF(AND(ISNUMBER(C211),C211&gt;=2,C211&lt;=2958465,C211=INT(C211)),YEAR(C211)&amp;"-"&amp;IF(MONTH(C211)&lt;10,"0","")&amp;MONTH(C211),""),"")</x:f>
      </x:c>
      <x:c r="N211" s="59" t="str">
        <x:f>IF(L211="VALID",IF(G211="USD",H211,I211),"")</x:f>
      </x:c>
      <x:c r="O211" s="57" t="n">
        <x:f>IF(L211="VALID",IF(COUNTIFS($B$2:B211,B211,$M$2:M211,M211,$L$2:L211,"VALID")=1,1,0),0)</x:f>
        <x:v>0</x:v>
      </x:c>
    </x:row>
    <x:row r="212">
      <x:c r="A212" s="47"/>
      <x:c r="B212" s="47"/>
      <x:c r="C212" s="69"/>
      <x:c r="D212" s="47"/>
      <x:c r="E212" s="47"/>
      <x:c r="F212" s="47"/>
      <x:c r="G212" s="47"/>
      <x:c r="H212" s="48"/>
      <x:c r="I212" s="48"/>
      <x:c r="J212" s="47"/>
      <x:c r="K212" s="47"/>
      <x:c r="L212" s="57" t="str">
        <x:f>IF(COUNTA(A212:K212)=0,"",IF(K212="CANCELLED","CANCELLED",IF(A212="","INVOICE ID REQUIRED",IF(B212="","PROJECT ID REQUIRED",IF(NOT(ISNUMBER(C212)),"INVALID INVOICE DATE",IF(NOT(AND(ISNUMBER(C212),C212&gt;=2,C212&lt;=2958465,C212=INT(C212))),"INVALID INVOICE DATE",IF(NOT(OR(D212="MX",D212="US")),"ENTITY REQUIRED",IF(NOT(OR(E212="Strategic Services",E212="Brands")),"UNIT REQUIRED",IF(F212="","BRAND / N/A REQUIRED",IF(NOT(OR(G212="USD",G212="MXN")),"CURRENCY REQUIRED",IF(NOT(ISNUMBER(H212)),"AMOUNT REQUIRED",IF(J212="","ERP SOURCE REQUIRED",IF(NOT(OR(K212="ISSUED",K212="CANCELLED")),"INVOICE STATUS REQUIRED",IF(COUNTIFS($A$2:$A$501,A212,$B$2:$B$501,B212,$D$2:$D$501,D212)&gt;1,"DUPLICATE INVOICE / PROJECT",IF(SUMPRODUCT(--(('ERP Snapshot'!$A$2:$A$101&amp;"")=(B212&amp;"")))=0,"PROJECT NOT FOUND",IF(SUMPRODUCT(--(('ERP Snapshot'!$A$2:$A$101&amp;"")=(B212&amp;"")))&gt;1,"DUPLICATE PROJECT ID",IF(OR(SUMPRODUCT(--(('ERP Snapshot'!$A$2:$A$101&amp;"")=(B212&amp;"")),--('ERP Snapshot'!$Q$2:$Q$101=E212),--('ERP Snapshot'!$R$2:$R$101=F212))&lt;&gt;1,SUMPRODUCT(--('Commercial Catalogs'!$A$2:$A$10=E212),--('Commercial Catalogs'!$B$2:$B$10=F212),--('Commercial Catalogs'!$C$2:$C$10="YES"),--('Commercial Catalogs'!$D$2:$D$10="IN SCOPE"))=0,AND(E212="Strategic Services",F212&lt;&gt;"N/A"),AND(E212="Brands",F212="N/A")),"PROJECT CLASSIFICATION MISMATCH",IF(AND(G212="MXN",NOT(AND(ISNUMBER(I212),Settings!$B$8="APPROVED",Settings!$B$9&lt;&gt;"",Settings!$B$10&lt;&gt;""))),"FX HOLD","VALID"))))))))))))))))))</x:f>
      </x:c>
      <x:c r="M212" s="57" t="str">
        <x:f>IF(ISNUMBER(C212),IF(AND(ISNUMBER(C212),C212&gt;=2,C212&lt;=2958465,C212=INT(C212)),YEAR(C212)&amp;"-"&amp;IF(MONTH(C212)&lt;10,"0","")&amp;MONTH(C212),""),"")</x:f>
      </x:c>
      <x:c r="N212" s="59" t="str">
        <x:f>IF(L212="VALID",IF(G212="USD",H212,I212),"")</x:f>
      </x:c>
      <x:c r="O212" s="57" t="n">
        <x:f>IF(L212="VALID",IF(COUNTIFS($B$2:B212,B212,$M$2:M212,M212,$L$2:L212,"VALID")=1,1,0),0)</x:f>
        <x:v>0</x:v>
      </x:c>
    </x:row>
    <x:row r="213">
      <x:c r="A213" s="47"/>
      <x:c r="B213" s="47"/>
      <x:c r="C213" s="69"/>
      <x:c r="D213" s="47"/>
      <x:c r="E213" s="47"/>
      <x:c r="F213" s="47"/>
      <x:c r="G213" s="47"/>
      <x:c r="H213" s="48"/>
      <x:c r="I213" s="48"/>
      <x:c r="J213" s="47"/>
      <x:c r="K213" s="47"/>
      <x:c r="L213" s="57" t="str">
        <x:f>IF(COUNTA(A213:K213)=0,"",IF(K213="CANCELLED","CANCELLED",IF(A213="","INVOICE ID REQUIRED",IF(B213="","PROJECT ID REQUIRED",IF(NOT(ISNUMBER(C213)),"INVALID INVOICE DATE",IF(NOT(AND(ISNUMBER(C213),C213&gt;=2,C213&lt;=2958465,C213=INT(C213))),"INVALID INVOICE DATE",IF(NOT(OR(D213="MX",D213="US")),"ENTITY REQUIRED",IF(NOT(OR(E213="Strategic Services",E213="Brands")),"UNIT REQUIRED",IF(F213="","BRAND / N/A REQUIRED",IF(NOT(OR(G213="USD",G213="MXN")),"CURRENCY REQUIRED",IF(NOT(ISNUMBER(H213)),"AMOUNT REQUIRED",IF(J213="","ERP SOURCE REQUIRED",IF(NOT(OR(K213="ISSUED",K213="CANCELLED")),"INVOICE STATUS REQUIRED",IF(COUNTIFS($A$2:$A$501,A213,$B$2:$B$501,B213,$D$2:$D$501,D213)&gt;1,"DUPLICATE INVOICE / PROJECT",IF(SUMPRODUCT(--(('ERP Snapshot'!$A$2:$A$101&amp;"")=(B213&amp;"")))=0,"PROJECT NOT FOUND",IF(SUMPRODUCT(--(('ERP Snapshot'!$A$2:$A$101&amp;"")=(B213&amp;"")))&gt;1,"DUPLICATE PROJECT ID",IF(OR(SUMPRODUCT(--(('ERP Snapshot'!$A$2:$A$101&amp;"")=(B213&amp;"")),--('ERP Snapshot'!$Q$2:$Q$101=E213),--('ERP Snapshot'!$R$2:$R$101=F213))&lt;&gt;1,SUMPRODUCT(--('Commercial Catalogs'!$A$2:$A$10=E213),--('Commercial Catalogs'!$B$2:$B$10=F213),--('Commercial Catalogs'!$C$2:$C$10="YES"),--('Commercial Catalogs'!$D$2:$D$10="IN SCOPE"))=0,AND(E213="Strategic Services",F213&lt;&gt;"N/A"),AND(E213="Brands",F213="N/A")),"PROJECT CLASSIFICATION MISMATCH",IF(AND(G213="MXN",NOT(AND(ISNUMBER(I213),Settings!$B$8="APPROVED",Settings!$B$9&lt;&gt;"",Settings!$B$10&lt;&gt;""))),"FX HOLD","VALID"))))))))))))))))))</x:f>
      </x:c>
      <x:c r="M213" s="57" t="str">
        <x:f>IF(ISNUMBER(C213),IF(AND(ISNUMBER(C213),C213&gt;=2,C213&lt;=2958465,C213=INT(C213)),YEAR(C213)&amp;"-"&amp;IF(MONTH(C213)&lt;10,"0","")&amp;MONTH(C213),""),"")</x:f>
      </x:c>
      <x:c r="N213" s="59" t="str">
        <x:f>IF(L213="VALID",IF(G213="USD",H213,I213),"")</x:f>
      </x:c>
      <x:c r="O213" s="57" t="n">
        <x:f>IF(L213="VALID",IF(COUNTIFS($B$2:B213,B213,$M$2:M213,M213,$L$2:L213,"VALID")=1,1,0),0)</x:f>
        <x:v>0</x:v>
      </x:c>
    </x:row>
    <x:row r="214">
      <x:c r="A214" s="47"/>
      <x:c r="B214" s="47"/>
      <x:c r="C214" s="69"/>
      <x:c r="D214" s="47"/>
      <x:c r="E214" s="47"/>
      <x:c r="F214" s="47"/>
      <x:c r="G214" s="47"/>
      <x:c r="H214" s="48"/>
      <x:c r="I214" s="48"/>
      <x:c r="J214" s="47"/>
      <x:c r="K214" s="47"/>
      <x:c r="L214" s="57" t="str">
        <x:f>IF(COUNTA(A214:K214)=0,"",IF(K214="CANCELLED","CANCELLED",IF(A214="","INVOICE ID REQUIRED",IF(B214="","PROJECT ID REQUIRED",IF(NOT(ISNUMBER(C214)),"INVALID INVOICE DATE",IF(NOT(AND(ISNUMBER(C214),C214&gt;=2,C214&lt;=2958465,C214=INT(C214))),"INVALID INVOICE DATE",IF(NOT(OR(D214="MX",D214="US")),"ENTITY REQUIRED",IF(NOT(OR(E214="Strategic Services",E214="Brands")),"UNIT REQUIRED",IF(F214="","BRAND / N/A REQUIRED",IF(NOT(OR(G214="USD",G214="MXN")),"CURRENCY REQUIRED",IF(NOT(ISNUMBER(H214)),"AMOUNT REQUIRED",IF(J214="","ERP SOURCE REQUIRED",IF(NOT(OR(K214="ISSUED",K214="CANCELLED")),"INVOICE STATUS REQUIRED",IF(COUNTIFS($A$2:$A$501,A214,$B$2:$B$501,B214,$D$2:$D$501,D214)&gt;1,"DUPLICATE INVOICE / PROJECT",IF(SUMPRODUCT(--(('ERP Snapshot'!$A$2:$A$101&amp;"")=(B214&amp;"")))=0,"PROJECT NOT FOUND",IF(SUMPRODUCT(--(('ERP Snapshot'!$A$2:$A$101&amp;"")=(B214&amp;"")))&gt;1,"DUPLICATE PROJECT ID",IF(OR(SUMPRODUCT(--(('ERP Snapshot'!$A$2:$A$101&amp;"")=(B214&amp;"")),--('ERP Snapshot'!$Q$2:$Q$101=E214),--('ERP Snapshot'!$R$2:$R$101=F214))&lt;&gt;1,SUMPRODUCT(--('Commercial Catalogs'!$A$2:$A$10=E214),--('Commercial Catalogs'!$B$2:$B$10=F214),--('Commercial Catalogs'!$C$2:$C$10="YES"),--('Commercial Catalogs'!$D$2:$D$10="IN SCOPE"))=0,AND(E214="Strategic Services",F214&lt;&gt;"N/A"),AND(E214="Brands",F214="N/A")),"PROJECT CLASSIFICATION MISMATCH",IF(AND(G214="MXN",NOT(AND(ISNUMBER(I214),Settings!$B$8="APPROVED",Settings!$B$9&lt;&gt;"",Settings!$B$10&lt;&gt;""))),"FX HOLD","VALID"))))))))))))))))))</x:f>
      </x:c>
      <x:c r="M214" s="57" t="str">
        <x:f>IF(ISNUMBER(C214),IF(AND(ISNUMBER(C214),C214&gt;=2,C214&lt;=2958465,C214=INT(C214)),YEAR(C214)&amp;"-"&amp;IF(MONTH(C214)&lt;10,"0","")&amp;MONTH(C214),""),"")</x:f>
      </x:c>
      <x:c r="N214" s="59" t="str">
        <x:f>IF(L214="VALID",IF(G214="USD",H214,I214),"")</x:f>
      </x:c>
      <x:c r="O214" s="57" t="n">
        <x:f>IF(L214="VALID",IF(COUNTIFS($B$2:B214,B214,$M$2:M214,M214,$L$2:L214,"VALID")=1,1,0),0)</x:f>
        <x:v>0</x:v>
      </x:c>
    </x:row>
    <x:row r="215">
      <x:c r="A215" s="47"/>
      <x:c r="B215" s="47"/>
      <x:c r="C215" s="69"/>
      <x:c r="D215" s="47"/>
      <x:c r="E215" s="47"/>
      <x:c r="F215" s="47"/>
      <x:c r="G215" s="47"/>
      <x:c r="H215" s="48"/>
      <x:c r="I215" s="48"/>
      <x:c r="J215" s="47"/>
      <x:c r="K215" s="47"/>
      <x:c r="L215" s="57" t="str">
        <x:f>IF(COUNTA(A215:K215)=0,"",IF(K215="CANCELLED","CANCELLED",IF(A215="","INVOICE ID REQUIRED",IF(B215="","PROJECT ID REQUIRED",IF(NOT(ISNUMBER(C215)),"INVALID INVOICE DATE",IF(NOT(AND(ISNUMBER(C215),C215&gt;=2,C215&lt;=2958465,C215=INT(C215))),"INVALID INVOICE DATE",IF(NOT(OR(D215="MX",D215="US")),"ENTITY REQUIRED",IF(NOT(OR(E215="Strategic Services",E215="Brands")),"UNIT REQUIRED",IF(F215="","BRAND / N/A REQUIRED",IF(NOT(OR(G215="USD",G215="MXN")),"CURRENCY REQUIRED",IF(NOT(ISNUMBER(H215)),"AMOUNT REQUIRED",IF(J215="","ERP SOURCE REQUIRED",IF(NOT(OR(K215="ISSUED",K215="CANCELLED")),"INVOICE STATUS REQUIRED",IF(COUNTIFS($A$2:$A$501,A215,$B$2:$B$501,B215,$D$2:$D$501,D215)&gt;1,"DUPLICATE INVOICE / PROJECT",IF(SUMPRODUCT(--(('ERP Snapshot'!$A$2:$A$101&amp;"")=(B215&amp;"")))=0,"PROJECT NOT FOUND",IF(SUMPRODUCT(--(('ERP Snapshot'!$A$2:$A$101&amp;"")=(B215&amp;"")))&gt;1,"DUPLICATE PROJECT ID",IF(OR(SUMPRODUCT(--(('ERP Snapshot'!$A$2:$A$101&amp;"")=(B215&amp;"")),--('ERP Snapshot'!$Q$2:$Q$101=E215),--('ERP Snapshot'!$R$2:$R$101=F215))&lt;&gt;1,SUMPRODUCT(--('Commercial Catalogs'!$A$2:$A$10=E215),--('Commercial Catalogs'!$B$2:$B$10=F215),--('Commercial Catalogs'!$C$2:$C$10="YES"),--('Commercial Catalogs'!$D$2:$D$10="IN SCOPE"))=0,AND(E215="Strategic Services",F215&lt;&gt;"N/A"),AND(E215="Brands",F215="N/A")),"PROJECT CLASSIFICATION MISMATCH",IF(AND(G215="MXN",NOT(AND(ISNUMBER(I215),Settings!$B$8="APPROVED",Settings!$B$9&lt;&gt;"",Settings!$B$10&lt;&gt;""))),"FX HOLD","VALID"))))))))))))))))))</x:f>
      </x:c>
      <x:c r="M215" s="57" t="str">
        <x:f>IF(ISNUMBER(C215),IF(AND(ISNUMBER(C215),C215&gt;=2,C215&lt;=2958465,C215=INT(C215)),YEAR(C215)&amp;"-"&amp;IF(MONTH(C215)&lt;10,"0","")&amp;MONTH(C215),""),"")</x:f>
      </x:c>
      <x:c r="N215" s="59" t="str">
        <x:f>IF(L215="VALID",IF(G215="USD",H215,I215),"")</x:f>
      </x:c>
      <x:c r="O215" s="57" t="n">
        <x:f>IF(L215="VALID",IF(COUNTIFS($B$2:B215,B215,$M$2:M215,M215,$L$2:L215,"VALID")=1,1,0),0)</x:f>
        <x:v>0</x:v>
      </x:c>
    </x:row>
    <x:row r="216">
      <x:c r="A216" s="47"/>
      <x:c r="B216" s="47"/>
      <x:c r="C216" s="69"/>
      <x:c r="D216" s="47"/>
      <x:c r="E216" s="47"/>
      <x:c r="F216" s="47"/>
      <x:c r="G216" s="47"/>
      <x:c r="H216" s="48"/>
      <x:c r="I216" s="48"/>
      <x:c r="J216" s="47"/>
      <x:c r="K216" s="47"/>
      <x:c r="L216" s="57" t="str">
        <x:f>IF(COUNTA(A216:K216)=0,"",IF(K216="CANCELLED","CANCELLED",IF(A216="","INVOICE ID REQUIRED",IF(B216="","PROJECT ID REQUIRED",IF(NOT(ISNUMBER(C216)),"INVALID INVOICE DATE",IF(NOT(AND(ISNUMBER(C216),C216&gt;=2,C216&lt;=2958465,C216=INT(C216))),"INVALID INVOICE DATE",IF(NOT(OR(D216="MX",D216="US")),"ENTITY REQUIRED",IF(NOT(OR(E216="Strategic Services",E216="Brands")),"UNIT REQUIRED",IF(F216="","BRAND / N/A REQUIRED",IF(NOT(OR(G216="USD",G216="MXN")),"CURRENCY REQUIRED",IF(NOT(ISNUMBER(H216)),"AMOUNT REQUIRED",IF(J216="","ERP SOURCE REQUIRED",IF(NOT(OR(K216="ISSUED",K216="CANCELLED")),"INVOICE STATUS REQUIRED",IF(COUNTIFS($A$2:$A$501,A216,$B$2:$B$501,B216,$D$2:$D$501,D216)&gt;1,"DUPLICATE INVOICE / PROJECT",IF(SUMPRODUCT(--(('ERP Snapshot'!$A$2:$A$101&amp;"")=(B216&amp;"")))=0,"PROJECT NOT FOUND",IF(SUMPRODUCT(--(('ERP Snapshot'!$A$2:$A$101&amp;"")=(B216&amp;"")))&gt;1,"DUPLICATE PROJECT ID",IF(OR(SUMPRODUCT(--(('ERP Snapshot'!$A$2:$A$101&amp;"")=(B216&amp;"")),--('ERP Snapshot'!$Q$2:$Q$101=E216),--('ERP Snapshot'!$R$2:$R$101=F216))&lt;&gt;1,SUMPRODUCT(--('Commercial Catalogs'!$A$2:$A$10=E216),--('Commercial Catalogs'!$B$2:$B$10=F216),--('Commercial Catalogs'!$C$2:$C$10="YES"),--('Commercial Catalogs'!$D$2:$D$10="IN SCOPE"))=0,AND(E216="Strategic Services",F216&lt;&gt;"N/A"),AND(E216="Brands",F216="N/A")),"PROJECT CLASSIFICATION MISMATCH",IF(AND(G216="MXN",NOT(AND(ISNUMBER(I216),Settings!$B$8="APPROVED",Settings!$B$9&lt;&gt;"",Settings!$B$10&lt;&gt;""))),"FX HOLD","VALID"))))))))))))))))))</x:f>
      </x:c>
      <x:c r="M216" s="57" t="str">
        <x:f>IF(ISNUMBER(C216),IF(AND(ISNUMBER(C216),C216&gt;=2,C216&lt;=2958465,C216=INT(C216)),YEAR(C216)&amp;"-"&amp;IF(MONTH(C216)&lt;10,"0","")&amp;MONTH(C216),""),"")</x:f>
      </x:c>
      <x:c r="N216" s="59" t="str">
        <x:f>IF(L216="VALID",IF(G216="USD",H216,I216),"")</x:f>
      </x:c>
      <x:c r="O216" s="57" t="n">
        <x:f>IF(L216="VALID",IF(COUNTIFS($B$2:B216,B216,$M$2:M216,M216,$L$2:L216,"VALID")=1,1,0),0)</x:f>
        <x:v>0</x:v>
      </x:c>
    </x:row>
    <x:row r="217">
      <x:c r="A217" s="47"/>
      <x:c r="B217" s="47"/>
      <x:c r="C217" s="69"/>
      <x:c r="D217" s="47"/>
      <x:c r="E217" s="47"/>
      <x:c r="F217" s="47"/>
      <x:c r="G217" s="47"/>
      <x:c r="H217" s="48"/>
      <x:c r="I217" s="48"/>
      <x:c r="J217" s="47"/>
      <x:c r="K217" s="47"/>
      <x:c r="L217" s="57" t="str">
        <x:f>IF(COUNTA(A217:K217)=0,"",IF(K217="CANCELLED","CANCELLED",IF(A217="","INVOICE ID REQUIRED",IF(B217="","PROJECT ID REQUIRED",IF(NOT(ISNUMBER(C217)),"INVALID INVOICE DATE",IF(NOT(AND(ISNUMBER(C217),C217&gt;=2,C217&lt;=2958465,C217=INT(C217))),"INVALID INVOICE DATE",IF(NOT(OR(D217="MX",D217="US")),"ENTITY REQUIRED",IF(NOT(OR(E217="Strategic Services",E217="Brands")),"UNIT REQUIRED",IF(F217="","BRAND / N/A REQUIRED",IF(NOT(OR(G217="USD",G217="MXN")),"CURRENCY REQUIRED",IF(NOT(ISNUMBER(H217)),"AMOUNT REQUIRED",IF(J217="","ERP SOURCE REQUIRED",IF(NOT(OR(K217="ISSUED",K217="CANCELLED")),"INVOICE STATUS REQUIRED",IF(COUNTIFS($A$2:$A$501,A217,$B$2:$B$501,B217,$D$2:$D$501,D217)&gt;1,"DUPLICATE INVOICE / PROJECT",IF(SUMPRODUCT(--(('ERP Snapshot'!$A$2:$A$101&amp;"")=(B217&amp;"")))=0,"PROJECT NOT FOUND",IF(SUMPRODUCT(--(('ERP Snapshot'!$A$2:$A$101&amp;"")=(B217&amp;"")))&gt;1,"DUPLICATE PROJECT ID",IF(OR(SUMPRODUCT(--(('ERP Snapshot'!$A$2:$A$101&amp;"")=(B217&amp;"")),--('ERP Snapshot'!$Q$2:$Q$101=E217),--('ERP Snapshot'!$R$2:$R$101=F217))&lt;&gt;1,SUMPRODUCT(--('Commercial Catalogs'!$A$2:$A$10=E217),--('Commercial Catalogs'!$B$2:$B$10=F217),--('Commercial Catalogs'!$C$2:$C$10="YES"),--('Commercial Catalogs'!$D$2:$D$10="IN SCOPE"))=0,AND(E217="Strategic Services",F217&lt;&gt;"N/A"),AND(E217="Brands",F217="N/A")),"PROJECT CLASSIFICATION MISMATCH",IF(AND(G217="MXN",NOT(AND(ISNUMBER(I217),Settings!$B$8="APPROVED",Settings!$B$9&lt;&gt;"",Settings!$B$10&lt;&gt;""))),"FX HOLD","VALID"))))))))))))))))))</x:f>
      </x:c>
      <x:c r="M217" s="57" t="str">
        <x:f>IF(ISNUMBER(C217),IF(AND(ISNUMBER(C217),C217&gt;=2,C217&lt;=2958465,C217=INT(C217)),YEAR(C217)&amp;"-"&amp;IF(MONTH(C217)&lt;10,"0","")&amp;MONTH(C217),""),"")</x:f>
      </x:c>
      <x:c r="N217" s="59" t="str">
        <x:f>IF(L217="VALID",IF(G217="USD",H217,I217),"")</x:f>
      </x:c>
      <x:c r="O217" s="57" t="n">
        <x:f>IF(L217="VALID",IF(COUNTIFS($B$2:B217,B217,$M$2:M217,M217,$L$2:L217,"VALID")=1,1,0),0)</x:f>
        <x:v>0</x:v>
      </x:c>
    </x:row>
    <x:row r="218">
      <x:c r="A218" s="47"/>
      <x:c r="B218" s="47"/>
      <x:c r="C218" s="69"/>
      <x:c r="D218" s="47"/>
      <x:c r="E218" s="47"/>
      <x:c r="F218" s="47"/>
      <x:c r="G218" s="47"/>
      <x:c r="H218" s="48"/>
      <x:c r="I218" s="48"/>
      <x:c r="J218" s="47"/>
      <x:c r="K218" s="47"/>
      <x:c r="L218" s="57" t="str">
        <x:f>IF(COUNTA(A218:K218)=0,"",IF(K218="CANCELLED","CANCELLED",IF(A218="","INVOICE ID REQUIRED",IF(B218="","PROJECT ID REQUIRED",IF(NOT(ISNUMBER(C218)),"INVALID INVOICE DATE",IF(NOT(AND(ISNUMBER(C218),C218&gt;=2,C218&lt;=2958465,C218=INT(C218))),"INVALID INVOICE DATE",IF(NOT(OR(D218="MX",D218="US")),"ENTITY REQUIRED",IF(NOT(OR(E218="Strategic Services",E218="Brands")),"UNIT REQUIRED",IF(F218="","BRAND / N/A REQUIRED",IF(NOT(OR(G218="USD",G218="MXN")),"CURRENCY REQUIRED",IF(NOT(ISNUMBER(H218)),"AMOUNT REQUIRED",IF(J218="","ERP SOURCE REQUIRED",IF(NOT(OR(K218="ISSUED",K218="CANCELLED")),"INVOICE STATUS REQUIRED",IF(COUNTIFS($A$2:$A$501,A218,$B$2:$B$501,B218,$D$2:$D$501,D218)&gt;1,"DUPLICATE INVOICE / PROJECT",IF(SUMPRODUCT(--(('ERP Snapshot'!$A$2:$A$101&amp;"")=(B218&amp;"")))=0,"PROJECT NOT FOUND",IF(SUMPRODUCT(--(('ERP Snapshot'!$A$2:$A$101&amp;"")=(B218&amp;"")))&gt;1,"DUPLICATE PROJECT ID",IF(OR(SUMPRODUCT(--(('ERP Snapshot'!$A$2:$A$101&amp;"")=(B218&amp;"")),--('ERP Snapshot'!$Q$2:$Q$101=E218),--('ERP Snapshot'!$R$2:$R$101=F218))&lt;&gt;1,SUMPRODUCT(--('Commercial Catalogs'!$A$2:$A$10=E218),--('Commercial Catalogs'!$B$2:$B$10=F218),--('Commercial Catalogs'!$C$2:$C$10="YES"),--('Commercial Catalogs'!$D$2:$D$10="IN SCOPE"))=0,AND(E218="Strategic Services",F218&lt;&gt;"N/A"),AND(E218="Brands",F218="N/A")),"PROJECT CLASSIFICATION MISMATCH",IF(AND(G218="MXN",NOT(AND(ISNUMBER(I218),Settings!$B$8="APPROVED",Settings!$B$9&lt;&gt;"",Settings!$B$10&lt;&gt;""))),"FX HOLD","VALID"))))))))))))))))))</x:f>
      </x:c>
      <x:c r="M218" s="57" t="str">
        <x:f>IF(ISNUMBER(C218),IF(AND(ISNUMBER(C218),C218&gt;=2,C218&lt;=2958465,C218=INT(C218)),YEAR(C218)&amp;"-"&amp;IF(MONTH(C218)&lt;10,"0","")&amp;MONTH(C218),""),"")</x:f>
      </x:c>
      <x:c r="N218" s="59" t="str">
        <x:f>IF(L218="VALID",IF(G218="USD",H218,I218),"")</x:f>
      </x:c>
      <x:c r="O218" s="57" t="n">
        <x:f>IF(L218="VALID",IF(COUNTIFS($B$2:B218,B218,$M$2:M218,M218,$L$2:L218,"VALID")=1,1,0),0)</x:f>
        <x:v>0</x:v>
      </x:c>
    </x:row>
    <x:row r="219">
      <x:c r="A219" s="47"/>
      <x:c r="B219" s="47"/>
      <x:c r="C219" s="69"/>
      <x:c r="D219" s="47"/>
      <x:c r="E219" s="47"/>
      <x:c r="F219" s="47"/>
      <x:c r="G219" s="47"/>
      <x:c r="H219" s="48"/>
      <x:c r="I219" s="48"/>
      <x:c r="J219" s="47"/>
      <x:c r="K219" s="47"/>
      <x:c r="L219" s="57" t="str">
        <x:f>IF(COUNTA(A219:K219)=0,"",IF(K219="CANCELLED","CANCELLED",IF(A219="","INVOICE ID REQUIRED",IF(B219="","PROJECT ID REQUIRED",IF(NOT(ISNUMBER(C219)),"INVALID INVOICE DATE",IF(NOT(AND(ISNUMBER(C219),C219&gt;=2,C219&lt;=2958465,C219=INT(C219))),"INVALID INVOICE DATE",IF(NOT(OR(D219="MX",D219="US")),"ENTITY REQUIRED",IF(NOT(OR(E219="Strategic Services",E219="Brands")),"UNIT REQUIRED",IF(F219="","BRAND / N/A REQUIRED",IF(NOT(OR(G219="USD",G219="MXN")),"CURRENCY REQUIRED",IF(NOT(ISNUMBER(H219)),"AMOUNT REQUIRED",IF(J219="","ERP SOURCE REQUIRED",IF(NOT(OR(K219="ISSUED",K219="CANCELLED")),"INVOICE STATUS REQUIRED",IF(COUNTIFS($A$2:$A$501,A219,$B$2:$B$501,B219,$D$2:$D$501,D219)&gt;1,"DUPLICATE INVOICE / PROJECT",IF(SUMPRODUCT(--(('ERP Snapshot'!$A$2:$A$101&amp;"")=(B219&amp;"")))=0,"PROJECT NOT FOUND",IF(SUMPRODUCT(--(('ERP Snapshot'!$A$2:$A$101&amp;"")=(B219&amp;"")))&gt;1,"DUPLICATE PROJECT ID",IF(OR(SUMPRODUCT(--(('ERP Snapshot'!$A$2:$A$101&amp;"")=(B219&amp;"")),--('ERP Snapshot'!$Q$2:$Q$101=E219),--('ERP Snapshot'!$R$2:$R$101=F219))&lt;&gt;1,SUMPRODUCT(--('Commercial Catalogs'!$A$2:$A$10=E219),--('Commercial Catalogs'!$B$2:$B$10=F219),--('Commercial Catalogs'!$C$2:$C$10="YES"),--('Commercial Catalogs'!$D$2:$D$10="IN SCOPE"))=0,AND(E219="Strategic Services",F219&lt;&gt;"N/A"),AND(E219="Brands",F219="N/A")),"PROJECT CLASSIFICATION MISMATCH",IF(AND(G219="MXN",NOT(AND(ISNUMBER(I219),Settings!$B$8="APPROVED",Settings!$B$9&lt;&gt;"",Settings!$B$10&lt;&gt;""))),"FX HOLD","VALID"))))))))))))))))))</x:f>
      </x:c>
      <x:c r="M219" s="57" t="str">
        <x:f>IF(ISNUMBER(C219),IF(AND(ISNUMBER(C219),C219&gt;=2,C219&lt;=2958465,C219=INT(C219)),YEAR(C219)&amp;"-"&amp;IF(MONTH(C219)&lt;10,"0","")&amp;MONTH(C219),""),"")</x:f>
      </x:c>
      <x:c r="N219" s="59" t="str">
        <x:f>IF(L219="VALID",IF(G219="USD",H219,I219),"")</x:f>
      </x:c>
      <x:c r="O219" s="57" t="n">
        <x:f>IF(L219="VALID",IF(COUNTIFS($B$2:B219,B219,$M$2:M219,M219,$L$2:L219,"VALID")=1,1,0),0)</x:f>
        <x:v>0</x:v>
      </x:c>
    </x:row>
    <x:row r="220">
      <x:c r="A220" s="47"/>
      <x:c r="B220" s="47"/>
      <x:c r="C220" s="69"/>
      <x:c r="D220" s="47"/>
      <x:c r="E220" s="47"/>
      <x:c r="F220" s="47"/>
      <x:c r="G220" s="47"/>
      <x:c r="H220" s="48"/>
      <x:c r="I220" s="48"/>
      <x:c r="J220" s="47"/>
      <x:c r="K220" s="47"/>
      <x:c r="L220" s="57" t="str">
        <x:f>IF(COUNTA(A220:K220)=0,"",IF(K220="CANCELLED","CANCELLED",IF(A220="","INVOICE ID REQUIRED",IF(B220="","PROJECT ID REQUIRED",IF(NOT(ISNUMBER(C220)),"INVALID INVOICE DATE",IF(NOT(AND(ISNUMBER(C220),C220&gt;=2,C220&lt;=2958465,C220=INT(C220))),"INVALID INVOICE DATE",IF(NOT(OR(D220="MX",D220="US")),"ENTITY REQUIRED",IF(NOT(OR(E220="Strategic Services",E220="Brands")),"UNIT REQUIRED",IF(F220="","BRAND / N/A REQUIRED",IF(NOT(OR(G220="USD",G220="MXN")),"CURRENCY REQUIRED",IF(NOT(ISNUMBER(H220)),"AMOUNT REQUIRED",IF(J220="","ERP SOURCE REQUIRED",IF(NOT(OR(K220="ISSUED",K220="CANCELLED")),"INVOICE STATUS REQUIRED",IF(COUNTIFS($A$2:$A$501,A220,$B$2:$B$501,B220,$D$2:$D$501,D220)&gt;1,"DUPLICATE INVOICE / PROJECT",IF(SUMPRODUCT(--(('ERP Snapshot'!$A$2:$A$101&amp;"")=(B220&amp;"")))=0,"PROJECT NOT FOUND",IF(SUMPRODUCT(--(('ERP Snapshot'!$A$2:$A$101&amp;"")=(B220&amp;"")))&gt;1,"DUPLICATE PROJECT ID",IF(OR(SUMPRODUCT(--(('ERP Snapshot'!$A$2:$A$101&amp;"")=(B220&amp;"")),--('ERP Snapshot'!$Q$2:$Q$101=E220),--('ERP Snapshot'!$R$2:$R$101=F220))&lt;&gt;1,SUMPRODUCT(--('Commercial Catalogs'!$A$2:$A$10=E220),--('Commercial Catalogs'!$B$2:$B$10=F220),--('Commercial Catalogs'!$C$2:$C$10="YES"),--('Commercial Catalogs'!$D$2:$D$10="IN SCOPE"))=0,AND(E220="Strategic Services",F220&lt;&gt;"N/A"),AND(E220="Brands",F220="N/A")),"PROJECT CLASSIFICATION MISMATCH",IF(AND(G220="MXN",NOT(AND(ISNUMBER(I220),Settings!$B$8="APPROVED",Settings!$B$9&lt;&gt;"",Settings!$B$10&lt;&gt;""))),"FX HOLD","VALID"))))))))))))))))))</x:f>
      </x:c>
      <x:c r="M220" s="57" t="str">
        <x:f>IF(ISNUMBER(C220),IF(AND(ISNUMBER(C220),C220&gt;=2,C220&lt;=2958465,C220=INT(C220)),YEAR(C220)&amp;"-"&amp;IF(MONTH(C220)&lt;10,"0","")&amp;MONTH(C220),""),"")</x:f>
      </x:c>
      <x:c r="N220" s="59" t="str">
        <x:f>IF(L220="VALID",IF(G220="USD",H220,I220),"")</x:f>
      </x:c>
      <x:c r="O220" s="57" t="n">
        <x:f>IF(L220="VALID",IF(COUNTIFS($B$2:B220,B220,$M$2:M220,M220,$L$2:L220,"VALID")=1,1,0),0)</x:f>
        <x:v>0</x:v>
      </x:c>
    </x:row>
    <x:row r="221">
      <x:c r="A221" s="47"/>
      <x:c r="B221" s="47"/>
      <x:c r="C221" s="69"/>
      <x:c r="D221" s="47"/>
      <x:c r="E221" s="47"/>
      <x:c r="F221" s="47"/>
      <x:c r="G221" s="47"/>
      <x:c r="H221" s="48"/>
      <x:c r="I221" s="48"/>
      <x:c r="J221" s="47"/>
      <x:c r="K221" s="47"/>
      <x:c r="L221" s="57" t="str">
        <x:f>IF(COUNTA(A221:K221)=0,"",IF(K221="CANCELLED","CANCELLED",IF(A221="","INVOICE ID REQUIRED",IF(B221="","PROJECT ID REQUIRED",IF(NOT(ISNUMBER(C221)),"INVALID INVOICE DATE",IF(NOT(AND(ISNUMBER(C221),C221&gt;=2,C221&lt;=2958465,C221=INT(C221))),"INVALID INVOICE DATE",IF(NOT(OR(D221="MX",D221="US")),"ENTITY REQUIRED",IF(NOT(OR(E221="Strategic Services",E221="Brands")),"UNIT REQUIRED",IF(F221="","BRAND / N/A REQUIRED",IF(NOT(OR(G221="USD",G221="MXN")),"CURRENCY REQUIRED",IF(NOT(ISNUMBER(H221)),"AMOUNT REQUIRED",IF(J221="","ERP SOURCE REQUIRED",IF(NOT(OR(K221="ISSUED",K221="CANCELLED")),"INVOICE STATUS REQUIRED",IF(COUNTIFS($A$2:$A$501,A221,$B$2:$B$501,B221,$D$2:$D$501,D221)&gt;1,"DUPLICATE INVOICE / PROJECT",IF(SUMPRODUCT(--(('ERP Snapshot'!$A$2:$A$101&amp;"")=(B221&amp;"")))=0,"PROJECT NOT FOUND",IF(SUMPRODUCT(--(('ERP Snapshot'!$A$2:$A$101&amp;"")=(B221&amp;"")))&gt;1,"DUPLICATE PROJECT ID",IF(OR(SUMPRODUCT(--(('ERP Snapshot'!$A$2:$A$101&amp;"")=(B221&amp;"")),--('ERP Snapshot'!$Q$2:$Q$101=E221),--('ERP Snapshot'!$R$2:$R$101=F221))&lt;&gt;1,SUMPRODUCT(--('Commercial Catalogs'!$A$2:$A$10=E221),--('Commercial Catalogs'!$B$2:$B$10=F221),--('Commercial Catalogs'!$C$2:$C$10="YES"),--('Commercial Catalogs'!$D$2:$D$10="IN SCOPE"))=0,AND(E221="Strategic Services",F221&lt;&gt;"N/A"),AND(E221="Brands",F221="N/A")),"PROJECT CLASSIFICATION MISMATCH",IF(AND(G221="MXN",NOT(AND(ISNUMBER(I221),Settings!$B$8="APPROVED",Settings!$B$9&lt;&gt;"",Settings!$B$10&lt;&gt;""))),"FX HOLD","VALID"))))))))))))))))))</x:f>
      </x:c>
      <x:c r="M221" s="57" t="str">
        <x:f>IF(ISNUMBER(C221),IF(AND(ISNUMBER(C221),C221&gt;=2,C221&lt;=2958465,C221=INT(C221)),YEAR(C221)&amp;"-"&amp;IF(MONTH(C221)&lt;10,"0","")&amp;MONTH(C221),""),"")</x:f>
      </x:c>
      <x:c r="N221" s="59" t="str">
        <x:f>IF(L221="VALID",IF(G221="USD",H221,I221),"")</x:f>
      </x:c>
      <x:c r="O221" s="57" t="n">
        <x:f>IF(L221="VALID",IF(COUNTIFS($B$2:B221,B221,$M$2:M221,M221,$L$2:L221,"VALID")=1,1,0),0)</x:f>
        <x:v>0</x:v>
      </x:c>
    </x:row>
    <x:row r="222">
      <x:c r="A222" s="47"/>
      <x:c r="B222" s="47"/>
      <x:c r="C222" s="69"/>
      <x:c r="D222" s="47"/>
      <x:c r="E222" s="47"/>
      <x:c r="F222" s="47"/>
      <x:c r="G222" s="47"/>
      <x:c r="H222" s="48"/>
      <x:c r="I222" s="48"/>
      <x:c r="J222" s="47"/>
      <x:c r="K222" s="47"/>
      <x:c r="L222" s="57" t="str">
        <x:f>IF(COUNTA(A222:K222)=0,"",IF(K222="CANCELLED","CANCELLED",IF(A222="","INVOICE ID REQUIRED",IF(B222="","PROJECT ID REQUIRED",IF(NOT(ISNUMBER(C222)),"INVALID INVOICE DATE",IF(NOT(AND(ISNUMBER(C222),C222&gt;=2,C222&lt;=2958465,C222=INT(C222))),"INVALID INVOICE DATE",IF(NOT(OR(D222="MX",D222="US")),"ENTITY REQUIRED",IF(NOT(OR(E222="Strategic Services",E222="Brands")),"UNIT REQUIRED",IF(F222="","BRAND / N/A REQUIRED",IF(NOT(OR(G222="USD",G222="MXN")),"CURRENCY REQUIRED",IF(NOT(ISNUMBER(H222)),"AMOUNT REQUIRED",IF(J222="","ERP SOURCE REQUIRED",IF(NOT(OR(K222="ISSUED",K222="CANCELLED")),"INVOICE STATUS REQUIRED",IF(COUNTIFS($A$2:$A$501,A222,$B$2:$B$501,B222,$D$2:$D$501,D222)&gt;1,"DUPLICATE INVOICE / PROJECT",IF(SUMPRODUCT(--(('ERP Snapshot'!$A$2:$A$101&amp;"")=(B222&amp;"")))=0,"PROJECT NOT FOUND",IF(SUMPRODUCT(--(('ERP Snapshot'!$A$2:$A$101&amp;"")=(B222&amp;"")))&gt;1,"DUPLICATE PROJECT ID",IF(OR(SUMPRODUCT(--(('ERP Snapshot'!$A$2:$A$101&amp;"")=(B222&amp;"")),--('ERP Snapshot'!$Q$2:$Q$101=E222),--('ERP Snapshot'!$R$2:$R$101=F222))&lt;&gt;1,SUMPRODUCT(--('Commercial Catalogs'!$A$2:$A$10=E222),--('Commercial Catalogs'!$B$2:$B$10=F222),--('Commercial Catalogs'!$C$2:$C$10="YES"),--('Commercial Catalogs'!$D$2:$D$10="IN SCOPE"))=0,AND(E222="Strategic Services",F222&lt;&gt;"N/A"),AND(E222="Brands",F222="N/A")),"PROJECT CLASSIFICATION MISMATCH",IF(AND(G222="MXN",NOT(AND(ISNUMBER(I222),Settings!$B$8="APPROVED",Settings!$B$9&lt;&gt;"",Settings!$B$10&lt;&gt;""))),"FX HOLD","VALID"))))))))))))))))))</x:f>
      </x:c>
      <x:c r="M222" s="57" t="str">
        <x:f>IF(ISNUMBER(C222),IF(AND(ISNUMBER(C222),C222&gt;=2,C222&lt;=2958465,C222=INT(C222)),YEAR(C222)&amp;"-"&amp;IF(MONTH(C222)&lt;10,"0","")&amp;MONTH(C222),""),"")</x:f>
      </x:c>
      <x:c r="N222" s="59" t="str">
        <x:f>IF(L222="VALID",IF(G222="USD",H222,I222),"")</x:f>
      </x:c>
      <x:c r="O222" s="57" t="n">
        <x:f>IF(L222="VALID",IF(COUNTIFS($B$2:B222,B222,$M$2:M222,M222,$L$2:L222,"VALID")=1,1,0),0)</x:f>
        <x:v>0</x:v>
      </x:c>
    </x:row>
    <x:row r="223">
      <x:c r="A223" s="47"/>
      <x:c r="B223" s="47"/>
      <x:c r="C223" s="69"/>
      <x:c r="D223" s="47"/>
      <x:c r="E223" s="47"/>
      <x:c r="F223" s="47"/>
      <x:c r="G223" s="47"/>
      <x:c r="H223" s="48"/>
      <x:c r="I223" s="48"/>
      <x:c r="J223" s="47"/>
      <x:c r="K223" s="47"/>
      <x:c r="L223" s="57" t="str">
        <x:f>IF(COUNTA(A223:K223)=0,"",IF(K223="CANCELLED","CANCELLED",IF(A223="","INVOICE ID REQUIRED",IF(B223="","PROJECT ID REQUIRED",IF(NOT(ISNUMBER(C223)),"INVALID INVOICE DATE",IF(NOT(AND(ISNUMBER(C223),C223&gt;=2,C223&lt;=2958465,C223=INT(C223))),"INVALID INVOICE DATE",IF(NOT(OR(D223="MX",D223="US")),"ENTITY REQUIRED",IF(NOT(OR(E223="Strategic Services",E223="Brands")),"UNIT REQUIRED",IF(F223="","BRAND / N/A REQUIRED",IF(NOT(OR(G223="USD",G223="MXN")),"CURRENCY REQUIRED",IF(NOT(ISNUMBER(H223)),"AMOUNT REQUIRED",IF(J223="","ERP SOURCE REQUIRED",IF(NOT(OR(K223="ISSUED",K223="CANCELLED")),"INVOICE STATUS REQUIRED",IF(COUNTIFS($A$2:$A$501,A223,$B$2:$B$501,B223,$D$2:$D$501,D223)&gt;1,"DUPLICATE INVOICE / PROJECT",IF(SUMPRODUCT(--(('ERP Snapshot'!$A$2:$A$101&amp;"")=(B223&amp;"")))=0,"PROJECT NOT FOUND",IF(SUMPRODUCT(--(('ERP Snapshot'!$A$2:$A$101&amp;"")=(B223&amp;"")))&gt;1,"DUPLICATE PROJECT ID",IF(OR(SUMPRODUCT(--(('ERP Snapshot'!$A$2:$A$101&amp;"")=(B223&amp;"")),--('ERP Snapshot'!$Q$2:$Q$101=E223),--('ERP Snapshot'!$R$2:$R$101=F223))&lt;&gt;1,SUMPRODUCT(--('Commercial Catalogs'!$A$2:$A$10=E223),--('Commercial Catalogs'!$B$2:$B$10=F223),--('Commercial Catalogs'!$C$2:$C$10="YES"),--('Commercial Catalogs'!$D$2:$D$10="IN SCOPE"))=0,AND(E223="Strategic Services",F223&lt;&gt;"N/A"),AND(E223="Brands",F223="N/A")),"PROJECT CLASSIFICATION MISMATCH",IF(AND(G223="MXN",NOT(AND(ISNUMBER(I223),Settings!$B$8="APPROVED",Settings!$B$9&lt;&gt;"",Settings!$B$10&lt;&gt;""))),"FX HOLD","VALID"))))))))))))))))))</x:f>
      </x:c>
      <x:c r="M223" s="57" t="str">
        <x:f>IF(ISNUMBER(C223),IF(AND(ISNUMBER(C223),C223&gt;=2,C223&lt;=2958465,C223=INT(C223)),YEAR(C223)&amp;"-"&amp;IF(MONTH(C223)&lt;10,"0","")&amp;MONTH(C223),""),"")</x:f>
      </x:c>
      <x:c r="N223" s="59" t="str">
        <x:f>IF(L223="VALID",IF(G223="USD",H223,I223),"")</x:f>
      </x:c>
      <x:c r="O223" s="57" t="n">
        <x:f>IF(L223="VALID",IF(COUNTIFS($B$2:B223,B223,$M$2:M223,M223,$L$2:L223,"VALID")=1,1,0),0)</x:f>
        <x:v>0</x:v>
      </x:c>
    </x:row>
    <x:row r="224">
      <x:c r="A224" s="47"/>
      <x:c r="B224" s="47"/>
      <x:c r="C224" s="69"/>
      <x:c r="D224" s="47"/>
      <x:c r="E224" s="47"/>
      <x:c r="F224" s="47"/>
      <x:c r="G224" s="47"/>
      <x:c r="H224" s="48"/>
      <x:c r="I224" s="48"/>
      <x:c r="J224" s="47"/>
      <x:c r="K224" s="47"/>
      <x:c r="L224" s="57" t="str">
        <x:f>IF(COUNTA(A224:K224)=0,"",IF(K224="CANCELLED","CANCELLED",IF(A224="","INVOICE ID REQUIRED",IF(B224="","PROJECT ID REQUIRED",IF(NOT(ISNUMBER(C224)),"INVALID INVOICE DATE",IF(NOT(AND(ISNUMBER(C224),C224&gt;=2,C224&lt;=2958465,C224=INT(C224))),"INVALID INVOICE DATE",IF(NOT(OR(D224="MX",D224="US")),"ENTITY REQUIRED",IF(NOT(OR(E224="Strategic Services",E224="Brands")),"UNIT REQUIRED",IF(F224="","BRAND / N/A REQUIRED",IF(NOT(OR(G224="USD",G224="MXN")),"CURRENCY REQUIRED",IF(NOT(ISNUMBER(H224)),"AMOUNT REQUIRED",IF(J224="","ERP SOURCE REQUIRED",IF(NOT(OR(K224="ISSUED",K224="CANCELLED")),"INVOICE STATUS REQUIRED",IF(COUNTIFS($A$2:$A$501,A224,$B$2:$B$501,B224,$D$2:$D$501,D224)&gt;1,"DUPLICATE INVOICE / PROJECT",IF(SUMPRODUCT(--(('ERP Snapshot'!$A$2:$A$101&amp;"")=(B224&amp;"")))=0,"PROJECT NOT FOUND",IF(SUMPRODUCT(--(('ERP Snapshot'!$A$2:$A$101&amp;"")=(B224&amp;"")))&gt;1,"DUPLICATE PROJECT ID",IF(OR(SUMPRODUCT(--(('ERP Snapshot'!$A$2:$A$101&amp;"")=(B224&amp;"")),--('ERP Snapshot'!$Q$2:$Q$101=E224),--('ERP Snapshot'!$R$2:$R$101=F224))&lt;&gt;1,SUMPRODUCT(--('Commercial Catalogs'!$A$2:$A$10=E224),--('Commercial Catalogs'!$B$2:$B$10=F224),--('Commercial Catalogs'!$C$2:$C$10="YES"),--('Commercial Catalogs'!$D$2:$D$10="IN SCOPE"))=0,AND(E224="Strategic Services",F224&lt;&gt;"N/A"),AND(E224="Brands",F224="N/A")),"PROJECT CLASSIFICATION MISMATCH",IF(AND(G224="MXN",NOT(AND(ISNUMBER(I224),Settings!$B$8="APPROVED",Settings!$B$9&lt;&gt;"",Settings!$B$10&lt;&gt;""))),"FX HOLD","VALID"))))))))))))))))))</x:f>
      </x:c>
      <x:c r="M224" s="57" t="str">
        <x:f>IF(ISNUMBER(C224),IF(AND(ISNUMBER(C224),C224&gt;=2,C224&lt;=2958465,C224=INT(C224)),YEAR(C224)&amp;"-"&amp;IF(MONTH(C224)&lt;10,"0","")&amp;MONTH(C224),""),"")</x:f>
      </x:c>
      <x:c r="N224" s="59" t="str">
        <x:f>IF(L224="VALID",IF(G224="USD",H224,I224),"")</x:f>
      </x:c>
      <x:c r="O224" s="57" t="n">
        <x:f>IF(L224="VALID",IF(COUNTIFS($B$2:B224,B224,$M$2:M224,M224,$L$2:L224,"VALID")=1,1,0),0)</x:f>
        <x:v>0</x:v>
      </x:c>
    </x:row>
    <x:row r="225">
      <x:c r="A225" s="47"/>
      <x:c r="B225" s="47"/>
      <x:c r="C225" s="69"/>
      <x:c r="D225" s="47"/>
      <x:c r="E225" s="47"/>
      <x:c r="F225" s="47"/>
      <x:c r="G225" s="47"/>
      <x:c r="H225" s="48"/>
      <x:c r="I225" s="48"/>
      <x:c r="J225" s="47"/>
      <x:c r="K225" s="47"/>
      <x:c r="L225" s="57" t="str">
        <x:f>IF(COUNTA(A225:K225)=0,"",IF(K225="CANCELLED","CANCELLED",IF(A225="","INVOICE ID REQUIRED",IF(B225="","PROJECT ID REQUIRED",IF(NOT(ISNUMBER(C225)),"INVALID INVOICE DATE",IF(NOT(AND(ISNUMBER(C225),C225&gt;=2,C225&lt;=2958465,C225=INT(C225))),"INVALID INVOICE DATE",IF(NOT(OR(D225="MX",D225="US")),"ENTITY REQUIRED",IF(NOT(OR(E225="Strategic Services",E225="Brands")),"UNIT REQUIRED",IF(F225="","BRAND / N/A REQUIRED",IF(NOT(OR(G225="USD",G225="MXN")),"CURRENCY REQUIRED",IF(NOT(ISNUMBER(H225)),"AMOUNT REQUIRED",IF(J225="","ERP SOURCE REQUIRED",IF(NOT(OR(K225="ISSUED",K225="CANCELLED")),"INVOICE STATUS REQUIRED",IF(COUNTIFS($A$2:$A$501,A225,$B$2:$B$501,B225,$D$2:$D$501,D225)&gt;1,"DUPLICATE INVOICE / PROJECT",IF(SUMPRODUCT(--(('ERP Snapshot'!$A$2:$A$101&amp;"")=(B225&amp;"")))=0,"PROJECT NOT FOUND",IF(SUMPRODUCT(--(('ERP Snapshot'!$A$2:$A$101&amp;"")=(B225&amp;"")))&gt;1,"DUPLICATE PROJECT ID",IF(OR(SUMPRODUCT(--(('ERP Snapshot'!$A$2:$A$101&amp;"")=(B225&amp;"")),--('ERP Snapshot'!$Q$2:$Q$101=E225),--('ERP Snapshot'!$R$2:$R$101=F225))&lt;&gt;1,SUMPRODUCT(--('Commercial Catalogs'!$A$2:$A$10=E225),--('Commercial Catalogs'!$B$2:$B$10=F225),--('Commercial Catalogs'!$C$2:$C$10="YES"),--('Commercial Catalogs'!$D$2:$D$10="IN SCOPE"))=0,AND(E225="Strategic Services",F225&lt;&gt;"N/A"),AND(E225="Brands",F225="N/A")),"PROJECT CLASSIFICATION MISMATCH",IF(AND(G225="MXN",NOT(AND(ISNUMBER(I225),Settings!$B$8="APPROVED",Settings!$B$9&lt;&gt;"",Settings!$B$10&lt;&gt;""))),"FX HOLD","VALID"))))))))))))))))))</x:f>
      </x:c>
      <x:c r="M225" s="57" t="str">
        <x:f>IF(ISNUMBER(C225),IF(AND(ISNUMBER(C225),C225&gt;=2,C225&lt;=2958465,C225=INT(C225)),YEAR(C225)&amp;"-"&amp;IF(MONTH(C225)&lt;10,"0","")&amp;MONTH(C225),""),"")</x:f>
      </x:c>
      <x:c r="N225" s="59" t="str">
        <x:f>IF(L225="VALID",IF(G225="USD",H225,I225),"")</x:f>
      </x:c>
      <x:c r="O225" s="57" t="n">
        <x:f>IF(L225="VALID",IF(COUNTIFS($B$2:B225,B225,$M$2:M225,M225,$L$2:L225,"VALID")=1,1,0),0)</x:f>
        <x:v>0</x:v>
      </x:c>
    </x:row>
    <x:row r="226">
      <x:c r="A226" s="47"/>
      <x:c r="B226" s="47"/>
      <x:c r="C226" s="69"/>
      <x:c r="D226" s="47"/>
      <x:c r="E226" s="47"/>
      <x:c r="F226" s="47"/>
      <x:c r="G226" s="47"/>
      <x:c r="H226" s="48"/>
      <x:c r="I226" s="48"/>
      <x:c r="J226" s="47"/>
      <x:c r="K226" s="47"/>
      <x:c r="L226" s="57" t="str">
        <x:f>IF(COUNTA(A226:K226)=0,"",IF(K226="CANCELLED","CANCELLED",IF(A226="","INVOICE ID REQUIRED",IF(B226="","PROJECT ID REQUIRED",IF(NOT(ISNUMBER(C226)),"INVALID INVOICE DATE",IF(NOT(AND(ISNUMBER(C226),C226&gt;=2,C226&lt;=2958465,C226=INT(C226))),"INVALID INVOICE DATE",IF(NOT(OR(D226="MX",D226="US")),"ENTITY REQUIRED",IF(NOT(OR(E226="Strategic Services",E226="Brands")),"UNIT REQUIRED",IF(F226="","BRAND / N/A REQUIRED",IF(NOT(OR(G226="USD",G226="MXN")),"CURRENCY REQUIRED",IF(NOT(ISNUMBER(H226)),"AMOUNT REQUIRED",IF(J226="","ERP SOURCE REQUIRED",IF(NOT(OR(K226="ISSUED",K226="CANCELLED")),"INVOICE STATUS REQUIRED",IF(COUNTIFS($A$2:$A$501,A226,$B$2:$B$501,B226,$D$2:$D$501,D226)&gt;1,"DUPLICATE INVOICE / PROJECT",IF(SUMPRODUCT(--(('ERP Snapshot'!$A$2:$A$101&amp;"")=(B226&amp;"")))=0,"PROJECT NOT FOUND",IF(SUMPRODUCT(--(('ERP Snapshot'!$A$2:$A$101&amp;"")=(B226&amp;"")))&gt;1,"DUPLICATE PROJECT ID",IF(OR(SUMPRODUCT(--(('ERP Snapshot'!$A$2:$A$101&amp;"")=(B226&amp;"")),--('ERP Snapshot'!$Q$2:$Q$101=E226),--('ERP Snapshot'!$R$2:$R$101=F226))&lt;&gt;1,SUMPRODUCT(--('Commercial Catalogs'!$A$2:$A$10=E226),--('Commercial Catalogs'!$B$2:$B$10=F226),--('Commercial Catalogs'!$C$2:$C$10="YES"),--('Commercial Catalogs'!$D$2:$D$10="IN SCOPE"))=0,AND(E226="Strategic Services",F226&lt;&gt;"N/A"),AND(E226="Brands",F226="N/A")),"PROJECT CLASSIFICATION MISMATCH",IF(AND(G226="MXN",NOT(AND(ISNUMBER(I226),Settings!$B$8="APPROVED",Settings!$B$9&lt;&gt;"",Settings!$B$10&lt;&gt;""))),"FX HOLD","VALID"))))))))))))))))))</x:f>
      </x:c>
      <x:c r="M226" s="57" t="str">
        <x:f>IF(ISNUMBER(C226),IF(AND(ISNUMBER(C226),C226&gt;=2,C226&lt;=2958465,C226=INT(C226)),YEAR(C226)&amp;"-"&amp;IF(MONTH(C226)&lt;10,"0","")&amp;MONTH(C226),""),"")</x:f>
      </x:c>
      <x:c r="N226" s="59" t="str">
        <x:f>IF(L226="VALID",IF(G226="USD",H226,I226),"")</x:f>
      </x:c>
      <x:c r="O226" s="57" t="n">
        <x:f>IF(L226="VALID",IF(COUNTIFS($B$2:B226,B226,$M$2:M226,M226,$L$2:L226,"VALID")=1,1,0),0)</x:f>
        <x:v>0</x:v>
      </x:c>
    </x:row>
    <x:row r="227">
      <x:c r="A227" s="47"/>
      <x:c r="B227" s="47"/>
      <x:c r="C227" s="69"/>
      <x:c r="D227" s="47"/>
      <x:c r="E227" s="47"/>
      <x:c r="F227" s="47"/>
      <x:c r="G227" s="47"/>
      <x:c r="H227" s="48"/>
      <x:c r="I227" s="48"/>
      <x:c r="J227" s="47"/>
      <x:c r="K227" s="47"/>
      <x:c r="L227" s="57" t="str">
        <x:f>IF(COUNTA(A227:K227)=0,"",IF(K227="CANCELLED","CANCELLED",IF(A227="","INVOICE ID REQUIRED",IF(B227="","PROJECT ID REQUIRED",IF(NOT(ISNUMBER(C227)),"INVALID INVOICE DATE",IF(NOT(AND(ISNUMBER(C227),C227&gt;=2,C227&lt;=2958465,C227=INT(C227))),"INVALID INVOICE DATE",IF(NOT(OR(D227="MX",D227="US")),"ENTITY REQUIRED",IF(NOT(OR(E227="Strategic Services",E227="Brands")),"UNIT REQUIRED",IF(F227="","BRAND / N/A REQUIRED",IF(NOT(OR(G227="USD",G227="MXN")),"CURRENCY REQUIRED",IF(NOT(ISNUMBER(H227)),"AMOUNT REQUIRED",IF(J227="","ERP SOURCE REQUIRED",IF(NOT(OR(K227="ISSUED",K227="CANCELLED")),"INVOICE STATUS REQUIRED",IF(COUNTIFS($A$2:$A$501,A227,$B$2:$B$501,B227,$D$2:$D$501,D227)&gt;1,"DUPLICATE INVOICE / PROJECT",IF(SUMPRODUCT(--(('ERP Snapshot'!$A$2:$A$101&amp;"")=(B227&amp;"")))=0,"PROJECT NOT FOUND",IF(SUMPRODUCT(--(('ERP Snapshot'!$A$2:$A$101&amp;"")=(B227&amp;"")))&gt;1,"DUPLICATE PROJECT ID",IF(OR(SUMPRODUCT(--(('ERP Snapshot'!$A$2:$A$101&amp;"")=(B227&amp;"")),--('ERP Snapshot'!$Q$2:$Q$101=E227),--('ERP Snapshot'!$R$2:$R$101=F227))&lt;&gt;1,SUMPRODUCT(--('Commercial Catalogs'!$A$2:$A$10=E227),--('Commercial Catalogs'!$B$2:$B$10=F227),--('Commercial Catalogs'!$C$2:$C$10="YES"),--('Commercial Catalogs'!$D$2:$D$10="IN SCOPE"))=0,AND(E227="Strategic Services",F227&lt;&gt;"N/A"),AND(E227="Brands",F227="N/A")),"PROJECT CLASSIFICATION MISMATCH",IF(AND(G227="MXN",NOT(AND(ISNUMBER(I227),Settings!$B$8="APPROVED",Settings!$B$9&lt;&gt;"",Settings!$B$10&lt;&gt;""))),"FX HOLD","VALID"))))))))))))))))))</x:f>
      </x:c>
      <x:c r="M227" s="57" t="str">
        <x:f>IF(ISNUMBER(C227),IF(AND(ISNUMBER(C227),C227&gt;=2,C227&lt;=2958465,C227=INT(C227)),YEAR(C227)&amp;"-"&amp;IF(MONTH(C227)&lt;10,"0","")&amp;MONTH(C227),""),"")</x:f>
      </x:c>
      <x:c r="N227" s="59" t="str">
        <x:f>IF(L227="VALID",IF(G227="USD",H227,I227),"")</x:f>
      </x:c>
      <x:c r="O227" s="57" t="n">
        <x:f>IF(L227="VALID",IF(COUNTIFS($B$2:B227,B227,$M$2:M227,M227,$L$2:L227,"VALID")=1,1,0),0)</x:f>
        <x:v>0</x:v>
      </x:c>
    </x:row>
    <x:row r="228">
      <x:c r="A228" s="47"/>
      <x:c r="B228" s="47"/>
      <x:c r="C228" s="69"/>
      <x:c r="D228" s="47"/>
      <x:c r="E228" s="47"/>
      <x:c r="F228" s="47"/>
      <x:c r="G228" s="47"/>
      <x:c r="H228" s="48"/>
      <x:c r="I228" s="48"/>
      <x:c r="J228" s="47"/>
      <x:c r="K228" s="47"/>
      <x:c r="L228" s="57" t="str">
        <x:f>IF(COUNTA(A228:K228)=0,"",IF(K228="CANCELLED","CANCELLED",IF(A228="","INVOICE ID REQUIRED",IF(B228="","PROJECT ID REQUIRED",IF(NOT(ISNUMBER(C228)),"INVALID INVOICE DATE",IF(NOT(AND(ISNUMBER(C228),C228&gt;=2,C228&lt;=2958465,C228=INT(C228))),"INVALID INVOICE DATE",IF(NOT(OR(D228="MX",D228="US")),"ENTITY REQUIRED",IF(NOT(OR(E228="Strategic Services",E228="Brands")),"UNIT REQUIRED",IF(F228="","BRAND / N/A REQUIRED",IF(NOT(OR(G228="USD",G228="MXN")),"CURRENCY REQUIRED",IF(NOT(ISNUMBER(H228)),"AMOUNT REQUIRED",IF(J228="","ERP SOURCE REQUIRED",IF(NOT(OR(K228="ISSUED",K228="CANCELLED")),"INVOICE STATUS REQUIRED",IF(COUNTIFS($A$2:$A$501,A228,$B$2:$B$501,B228,$D$2:$D$501,D228)&gt;1,"DUPLICATE INVOICE / PROJECT",IF(SUMPRODUCT(--(('ERP Snapshot'!$A$2:$A$101&amp;"")=(B228&amp;"")))=0,"PROJECT NOT FOUND",IF(SUMPRODUCT(--(('ERP Snapshot'!$A$2:$A$101&amp;"")=(B228&amp;"")))&gt;1,"DUPLICATE PROJECT ID",IF(OR(SUMPRODUCT(--(('ERP Snapshot'!$A$2:$A$101&amp;"")=(B228&amp;"")),--('ERP Snapshot'!$Q$2:$Q$101=E228),--('ERP Snapshot'!$R$2:$R$101=F228))&lt;&gt;1,SUMPRODUCT(--('Commercial Catalogs'!$A$2:$A$10=E228),--('Commercial Catalogs'!$B$2:$B$10=F228),--('Commercial Catalogs'!$C$2:$C$10="YES"),--('Commercial Catalogs'!$D$2:$D$10="IN SCOPE"))=0,AND(E228="Strategic Services",F228&lt;&gt;"N/A"),AND(E228="Brands",F228="N/A")),"PROJECT CLASSIFICATION MISMATCH",IF(AND(G228="MXN",NOT(AND(ISNUMBER(I228),Settings!$B$8="APPROVED",Settings!$B$9&lt;&gt;"",Settings!$B$10&lt;&gt;""))),"FX HOLD","VALID"))))))))))))))))))</x:f>
      </x:c>
      <x:c r="M228" s="57" t="str">
        <x:f>IF(ISNUMBER(C228),IF(AND(ISNUMBER(C228),C228&gt;=2,C228&lt;=2958465,C228=INT(C228)),YEAR(C228)&amp;"-"&amp;IF(MONTH(C228)&lt;10,"0","")&amp;MONTH(C228),""),"")</x:f>
      </x:c>
      <x:c r="N228" s="59" t="str">
        <x:f>IF(L228="VALID",IF(G228="USD",H228,I228),"")</x:f>
      </x:c>
      <x:c r="O228" s="57" t="n">
        <x:f>IF(L228="VALID",IF(COUNTIFS($B$2:B228,B228,$M$2:M228,M228,$L$2:L228,"VALID")=1,1,0),0)</x:f>
        <x:v>0</x:v>
      </x:c>
    </x:row>
    <x:row r="229">
      <x:c r="A229" s="47"/>
      <x:c r="B229" s="47"/>
      <x:c r="C229" s="69"/>
      <x:c r="D229" s="47"/>
      <x:c r="E229" s="47"/>
      <x:c r="F229" s="47"/>
      <x:c r="G229" s="47"/>
      <x:c r="H229" s="48"/>
      <x:c r="I229" s="48"/>
      <x:c r="J229" s="47"/>
      <x:c r="K229" s="47"/>
      <x:c r="L229" s="57" t="str">
        <x:f>IF(COUNTA(A229:K229)=0,"",IF(K229="CANCELLED","CANCELLED",IF(A229="","INVOICE ID REQUIRED",IF(B229="","PROJECT ID REQUIRED",IF(NOT(ISNUMBER(C229)),"INVALID INVOICE DATE",IF(NOT(AND(ISNUMBER(C229),C229&gt;=2,C229&lt;=2958465,C229=INT(C229))),"INVALID INVOICE DATE",IF(NOT(OR(D229="MX",D229="US")),"ENTITY REQUIRED",IF(NOT(OR(E229="Strategic Services",E229="Brands")),"UNIT REQUIRED",IF(F229="","BRAND / N/A REQUIRED",IF(NOT(OR(G229="USD",G229="MXN")),"CURRENCY REQUIRED",IF(NOT(ISNUMBER(H229)),"AMOUNT REQUIRED",IF(J229="","ERP SOURCE REQUIRED",IF(NOT(OR(K229="ISSUED",K229="CANCELLED")),"INVOICE STATUS REQUIRED",IF(COUNTIFS($A$2:$A$501,A229,$B$2:$B$501,B229,$D$2:$D$501,D229)&gt;1,"DUPLICATE INVOICE / PROJECT",IF(SUMPRODUCT(--(('ERP Snapshot'!$A$2:$A$101&amp;"")=(B229&amp;"")))=0,"PROJECT NOT FOUND",IF(SUMPRODUCT(--(('ERP Snapshot'!$A$2:$A$101&amp;"")=(B229&amp;"")))&gt;1,"DUPLICATE PROJECT ID",IF(OR(SUMPRODUCT(--(('ERP Snapshot'!$A$2:$A$101&amp;"")=(B229&amp;"")),--('ERP Snapshot'!$Q$2:$Q$101=E229),--('ERP Snapshot'!$R$2:$R$101=F229))&lt;&gt;1,SUMPRODUCT(--('Commercial Catalogs'!$A$2:$A$10=E229),--('Commercial Catalogs'!$B$2:$B$10=F229),--('Commercial Catalogs'!$C$2:$C$10="YES"),--('Commercial Catalogs'!$D$2:$D$10="IN SCOPE"))=0,AND(E229="Strategic Services",F229&lt;&gt;"N/A"),AND(E229="Brands",F229="N/A")),"PROJECT CLASSIFICATION MISMATCH",IF(AND(G229="MXN",NOT(AND(ISNUMBER(I229),Settings!$B$8="APPROVED",Settings!$B$9&lt;&gt;"",Settings!$B$10&lt;&gt;""))),"FX HOLD","VALID"))))))))))))))))))</x:f>
      </x:c>
      <x:c r="M229" s="57" t="str">
        <x:f>IF(ISNUMBER(C229),IF(AND(ISNUMBER(C229),C229&gt;=2,C229&lt;=2958465,C229=INT(C229)),YEAR(C229)&amp;"-"&amp;IF(MONTH(C229)&lt;10,"0","")&amp;MONTH(C229),""),"")</x:f>
      </x:c>
      <x:c r="N229" s="59" t="str">
        <x:f>IF(L229="VALID",IF(G229="USD",H229,I229),"")</x:f>
      </x:c>
      <x:c r="O229" s="57" t="n">
        <x:f>IF(L229="VALID",IF(COUNTIFS($B$2:B229,B229,$M$2:M229,M229,$L$2:L229,"VALID")=1,1,0),0)</x:f>
        <x:v>0</x:v>
      </x:c>
    </x:row>
    <x:row r="230">
      <x:c r="A230" s="47"/>
      <x:c r="B230" s="47"/>
      <x:c r="C230" s="69"/>
      <x:c r="D230" s="47"/>
      <x:c r="E230" s="47"/>
      <x:c r="F230" s="47"/>
      <x:c r="G230" s="47"/>
      <x:c r="H230" s="48"/>
      <x:c r="I230" s="48"/>
      <x:c r="J230" s="47"/>
      <x:c r="K230" s="47"/>
      <x:c r="L230" s="57" t="str">
        <x:f>IF(COUNTA(A230:K230)=0,"",IF(K230="CANCELLED","CANCELLED",IF(A230="","INVOICE ID REQUIRED",IF(B230="","PROJECT ID REQUIRED",IF(NOT(ISNUMBER(C230)),"INVALID INVOICE DATE",IF(NOT(AND(ISNUMBER(C230),C230&gt;=2,C230&lt;=2958465,C230=INT(C230))),"INVALID INVOICE DATE",IF(NOT(OR(D230="MX",D230="US")),"ENTITY REQUIRED",IF(NOT(OR(E230="Strategic Services",E230="Brands")),"UNIT REQUIRED",IF(F230="","BRAND / N/A REQUIRED",IF(NOT(OR(G230="USD",G230="MXN")),"CURRENCY REQUIRED",IF(NOT(ISNUMBER(H230)),"AMOUNT REQUIRED",IF(J230="","ERP SOURCE REQUIRED",IF(NOT(OR(K230="ISSUED",K230="CANCELLED")),"INVOICE STATUS REQUIRED",IF(COUNTIFS($A$2:$A$501,A230,$B$2:$B$501,B230,$D$2:$D$501,D230)&gt;1,"DUPLICATE INVOICE / PROJECT",IF(SUMPRODUCT(--(('ERP Snapshot'!$A$2:$A$101&amp;"")=(B230&amp;"")))=0,"PROJECT NOT FOUND",IF(SUMPRODUCT(--(('ERP Snapshot'!$A$2:$A$101&amp;"")=(B230&amp;"")))&gt;1,"DUPLICATE PROJECT ID",IF(OR(SUMPRODUCT(--(('ERP Snapshot'!$A$2:$A$101&amp;"")=(B230&amp;"")),--('ERP Snapshot'!$Q$2:$Q$101=E230),--('ERP Snapshot'!$R$2:$R$101=F230))&lt;&gt;1,SUMPRODUCT(--('Commercial Catalogs'!$A$2:$A$10=E230),--('Commercial Catalogs'!$B$2:$B$10=F230),--('Commercial Catalogs'!$C$2:$C$10="YES"),--('Commercial Catalogs'!$D$2:$D$10="IN SCOPE"))=0,AND(E230="Strategic Services",F230&lt;&gt;"N/A"),AND(E230="Brands",F230="N/A")),"PROJECT CLASSIFICATION MISMATCH",IF(AND(G230="MXN",NOT(AND(ISNUMBER(I230),Settings!$B$8="APPROVED",Settings!$B$9&lt;&gt;"",Settings!$B$10&lt;&gt;""))),"FX HOLD","VALID"))))))))))))))))))</x:f>
      </x:c>
      <x:c r="M230" s="57" t="str">
        <x:f>IF(ISNUMBER(C230),IF(AND(ISNUMBER(C230),C230&gt;=2,C230&lt;=2958465,C230=INT(C230)),YEAR(C230)&amp;"-"&amp;IF(MONTH(C230)&lt;10,"0","")&amp;MONTH(C230),""),"")</x:f>
      </x:c>
      <x:c r="N230" s="59" t="str">
        <x:f>IF(L230="VALID",IF(G230="USD",H230,I230),"")</x:f>
      </x:c>
      <x:c r="O230" s="57" t="n">
        <x:f>IF(L230="VALID",IF(COUNTIFS($B$2:B230,B230,$M$2:M230,M230,$L$2:L230,"VALID")=1,1,0),0)</x:f>
        <x:v>0</x:v>
      </x:c>
    </x:row>
    <x:row r="231">
      <x:c r="A231" s="47"/>
      <x:c r="B231" s="47"/>
      <x:c r="C231" s="69"/>
      <x:c r="D231" s="47"/>
      <x:c r="E231" s="47"/>
      <x:c r="F231" s="47"/>
      <x:c r="G231" s="47"/>
      <x:c r="H231" s="48"/>
      <x:c r="I231" s="48"/>
      <x:c r="J231" s="47"/>
      <x:c r="K231" s="47"/>
      <x:c r="L231" s="57" t="str">
        <x:f>IF(COUNTA(A231:K231)=0,"",IF(K231="CANCELLED","CANCELLED",IF(A231="","INVOICE ID REQUIRED",IF(B231="","PROJECT ID REQUIRED",IF(NOT(ISNUMBER(C231)),"INVALID INVOICE DATE",IF(NOT(AND(ISNUMBER(C231),C231&gt;=2,C231&lt;=2958465,C231=INT(C231))),"INVALID INVOICE DATE",IF(NOT(OR(D231="MX",D231="US")),"ENTITY REQUIRED",IF(NOT(OR(E231="Strategic Services",E231="Brands")),"UNIT REQUIRED",IF(F231="","BRAND / N/A REQUIRED",IF(NOT(OR(G231="USD",G231="MXN")),"CURRENCY REQUIRED",IF(NOT(ISNUMBER(H231)),"AMOUNT REQUIRED",IF(J231="","ERP SOURCE REQUIRED",IF(NOT(OR(K231="ISSUED",K231="CANCELLED")),"INVOICE STATUS REQUIRED",IF(COUNTIFS($A$2:$A$501,A231,$B$2:$B$501,B231,$D$2:$D$501,D231)&gt;1,"DUPLICATE INVOICE / PROJECT",IF(SUMPRODUCT(--(('ERP Snapshot'!$A$2:$A$101&amp;"")=(B231&amp;"")))=0,"PROJECT NOT FOUND",IF(SUMPRODUCT(--(('ERP Snapshot'!$A$2:$A$101&amp;"")=(B231&amp;"")))&gt;1,"DUPLICATE PROJECT ID",IF(OR(SUMPRODUCT(--(('ERP Snapshot'!$A$2:$A$101&amp;"")=(B231&amp;"")),--('ERP Snapshot'!$Q$2:$Q$101=E231),--('ERP Snapshot'!$R$2:$R$101=F231))&lt;&gt;1,SUMPRODUCT(--('Commercial Catalogs'!$A$2:$A$10=E231),--('Commercial Catalogs'!$B$2:$B$10=F231),--('Commercial Catalogs'!$C$2:$C$10="YES"),--('Commercial Catalogs'!$D$2:$D$10="IN SCOPE"))=0,AND(E231="Strategic Services",F231&lt;&gt;"N/A"),AND(E231="Brands",F231="N/A")),"PROJECT CLASSIFICATION MISMATCH",IF(AND(G231="MXN",NOT(AND(ISNUMBER(I231),Settings!$B$8="APPROVED",Settings!$B$9&lt;&gt;"",Settings!$B$10&lt;&gt;""))),"FX HOLD","VALID"))))))))))))))))))</x:f>
      </x:c>
      <x:c r="M231" s="57" t="str">
        <x:f>IF(ISNUMBER(C231),IF(AND(ISNUMBER(C231),C231&gt;=2,C231&lt;=2958465,C231=INT(C231)),YEAR(C231)&amp;"-"&amp;IF(MONTH(C231)&lt;10,"0","")&amp;MONTH(C231),""),"")</x:f>
      </x:c>
      <x:c r="N231" s="59" t="str">
        <x:f>IF(L231="VALID",IF(G231="USD",H231,I231),"")</x:f>
      </x:c>
      <x:c r="O231" s="57" t="n">
        <x:f>IF(L231="VALID",IF(COUNTIFS($B$2:B231,B231,$M$2:M231,M231,$L$2:L231,"VALID")=1,1,0),0)</x:f>
        <x:v>0</x:v>
      </x:c>
    </x:row>
    <x:row r="232">
      <x:c r="A232" s="47"/>
      <x:c r="B232" s="47"/>
      <x:c r="C232" s="69"/>
      <x:c r="D232" s="47"/>
      <x:c r="E232" s="47"/>
      <x:c r="F232" s="47"/>
      <x:c r="G232" s="47"/>
      <x:c r="H232" s="48"/>
      <x:c r="I232" s="48"/>
      <x:c r="J232" s="47"/>
      <x:c r="K232" s="47"/>
      <x:c r="L232" s="57" t="str">
        <x:f>IF(COUNTA(A232:K232)=0,"",IF(K232="CANCELLED","CANCELLED",IF(A232="","INVOICE ID REQUIRED",IF(B232="","PROJECT ID REQUIRED",IF(NOT(ISNUMBER(C232)),"INVALID INVOICE DATE",IF(NOT(AND(ISNUMBER(C232),C232&gt;=2,C232&lt;=2958465,C232=INT(C232))),"INVALID INVOICE DATE",IF(NOT(OR(D232="MX",D232="US")),"ENTITY REQUIRED",IF(NOT(OR(E232="Strategic Services",E232="Brands")),"UNIT REQUIRED",IF(F232="","BRAND / N/A REQUIRED",IF(NOT(OR(G232="USD",G232="MXN")),"CURRENCY REQUIRED",IF(NOT(ISNUMBER(H232)),"AMOUNT REQUIRED",IF(J232="","ERP SOURCE REQUIRED",IF(NOT(OR(K232="ISSUED",K232="CANCELLED")),"INVOICE STATUS REQUIRED",IF(COUNTIFS($A$2:$A$501,A232,$B$2:$B$501,B232,$D$2:$D$501,D232)&gt;1,"DUPLICATE INVOICE / PROJECT",IF(SUMPRODUCT(--(('ERP Snapshot'!$A$2:$A$101&amp;"")=(B232&amp;"")))=0,"PROJECT NOT FOUND",IF(SUMPRODUCT(--(('ERP Snapshot'!$A$2:$A$101&amp;"")=(B232&amp;"")))&gt;1,"DUPLICATE PROJECT ID",IF(OR(SUMPRODUCT(--(('ERP Snapshot'!$A$2:$A$101&amp;"")=(B232&amp;"")),--('ERP Snapshot'!$Q$2:$Q$101=E232),--('ERP Snapshot'!$R$2:$R$101=F232))&lt;&gt;1,SUMPRODUCT(--('Commercial Catalogs'!$A$2:$A$10=E232),--('Commercial Catalogs'!$B$2:$B$10=F232),--('Commercial Catalogs'!$C$2:$C$10="YES"),--('Commercial Catalogs'!$D$2:$D$10="IN SCOPE"))=0,AND(E232="Strategic Services",F232&lt;&gt;"N/A"),AND(E232="Brands",F232="N/A")),"PROJECT CLASSIFICATION MISMATCH",IF(AND(G232="MXN",NOT(AND(ISNUMBER(I232),Settings!$B$8="APPROVED",Settings!$B$9&lt;&gt;"",Settings!$B$10&lt;&gt;""))),"FX HOLD","VALID"))))))))))))))))))</x:f>
      </x:c>
      <x:c r="M232" s="57" t="str">
        <x:f>IF(ISNUMBER(C232),IF(AND(ISNUMBER(C232),C232&gt;=2,C232&lt;=2958465,C232=INT(C232)),YEAR(C232)&amp;"-"&amp;IF(MONTH(C232)&lt;10,"0","")&amp;MONTH(C232),""),"")</x:f>
      </x:c>
      <x:c r="N232" s="59" t="str">
        <x:f>IF(L232="VALID",IF(G232="USD",H232,I232),"")</x:f>
      </x:c>
      <x:c r="O232" s="57" t="n">
        <x:f>IF(L232="VALID",IF(COUNTIFS($B$2:B232,B232,$M$2:M232,M232,$L$2:L232,"VALID")=1,1,0),0)</x:f>
        <x:v>0</x:v>
      </x:c>
    </x:row>
    <x:row r="233">
      <x:c r="A233" s="47"/>
      <x:c r="B233" s="47"/>
      <x:c r="C233" s="69"/>
      <x:c r="D233" s="47"/>
      <x:c r="E233" s="47"/>
      <x:c r="F233" s="47"/>
      <x:c r="G233" s="47"/>
      <x:c r="H233" s="48"/>
      <x:c r="I233" s="48"/>
      <x:c r="J233" s="47"/>
      <x:c r="K233" s="47"/>
      <x:c r="L233" s="57" t="str">
        <x:f>IF(COUNTA(A233:K233)=0,"",IF(K233="CANCELLED","CANCELLED",IF(A233="","INVOICE ID REQUIRED",IF(B233="","PROJECT ID REQUIRED",IF(NOT(ISNUMBER(C233)),"INVALID INVOICE DATE",IF(NOT(AND(ISNUMBER(C233),C233&gt;=2,C233&lt;=2958465,C233=INT(C233))),"INVALID INVOICE DATE",IF(NOT(OR(D233="MX",D233="US")),"ENTITY REQUIRED",IF(NOT(OR(E233="Strategic Services",E233="Brands")),"UNIT REQUIRED",IF(F233="","BRAND / N/A REQUIRED",IF(NOT(OR(G233="USD",G233="MXN")),"CURRENCY REQUIRED",IF(NOT(ISNUMBER(H233)),"AMOUNT REQUIRED",IF(J233="","ERP SOURCE REQUIRED",IF(NOT(OR(K233="ISSUED",K233="CANCELLED")),"INVOICE STATUS REQUIRED",IF(COUNTIFS($A$2:$A$501,A233,$B$2:$B$501,B233,$D$2:$D$501,D233)&gt;1,"DUPLICATE INVOICE / PROJECT",IF(SUMPRODUCT(--(('ERP Snapshot'!$A$2:$A$101&amp;"")=(B233&amp;"")))=0,"PROJECT NOT FOUND",IF(SUMPRODUCT(--(('ERP Snapshot'!$A$2:$A$101&amp;"")=(B233&amp;"")))&gt;1,"DUPLICATE PROJECT ID",IF(OR(SUMPRODUCT(--(('ERP Snapshot'!$A$2:$A$101&amp;"")=(B233&amp;"")),--('ERP Snapshot'!$Q$2:$Q$101=E233),--('ERP Snapshot'!$R$2:$R$101=F233))&lt;&gt;1,SUMPRODUCT(--('Commercial Catalogs'!$A$2:$A$10=E233),--('Commercial Catalogs'!$B$2:$B$10=F233),--('Commercial Catalogs'!$C$2:$C$10="YES"),--('Commercial Catalogs'!$D$2:$D$10="IN SCOPE"))=0,AND(E233="Strategic Services",F233&lt;&gt;"N/A"),AND(E233="Brands",F233="N/A")),"PROJECT CLASSIFICATION MISMATCH",IF(AND(G233="MXN",NOT(AND(ISNUMBER(I233),Settings!$B$8="APPROVED",Settings!$B$9&lt;&gt;"",Settings!$B$10&lt;&gt;""))),"FX HOLD","VALID"))))))))))))))))))</x:f>
      </x:c>
      <x:c r="M233" s="57" t="str">
        <x:f>IF(ISNUMBER(C233),IF(AND(ISNUMBER(C233),C233&gt;=2,C233&lt;=2958465,C233=INT(C233)),YEAR(C233)&amp;"-"&amp;IF(MONTH(C233)&lt;10,"0","")&amp;MONTH(C233),""),"")</x:f>
      </x:c>
      <x:c r="N233" s="59" t="str">
        <x:f>IF(L233="VALID",IF(G233="USD",H233,I233),"")</x:f>
      </x:c>
      <x:c r="O233" s="57" t="n">
        <x:f>IF(L233="VALID",IF(COUNTIFS($B$2:B233,B233,$M$2:M233,M233,$L$2:L233,"VALID")=1,1,0),0)</x:f>
        <x:v>0</x:v>
      </x:c>
    </x:row>
    <x:row r="234">
      <x:c r="A234" s="47"/>
      <x:c r="B234" s="47"/>
      <x:c r="C234" s="69"/>
      <x:c r="D234" s="47"/>
      <x:c r="E234" s="47"/>
      <x:c r="F234" s="47"/>
      <x:c r="G234" s="47"/>
      <x:c r="H234" s="48"/>
      <x:c r="I234" s="48"/>
      <x:c r="J234" s="47"/>
      <x:c r="K234" s="47"/>
      <x:c r="L234" s="57" t="str">
        <x:f>IF(COUNTA(A234:K234)=0,"",IF(K234="CANCELLED","CANCELLED",IF(A234="","INVOICE ID REQUIRED",IF(B234="","PROJECT ID REQUIRED",IF(NOT(ISNUMBER(C234)),"INVALID INVOICE DATE",IF(NOT(AND(ISNUMBER(C234),C234&gt;=2,C234&lt;=2958465,C234=INT(C234))),"INVALID INVOICE DATE",IF(NOT(OR(D234="MX",D234="US")),"ENTITY REQUIRED",IF(NOT(OR(E234="Strategic Services",E234="Brands")),"UNIT REQUIRED",IF(F234="","BRAND / N/A REQUIRED",IF(NOT(OR(G234="USD",G234="MXN")),"CURRENCY REQUIRED",IF(NOT(ISNUMBER(H234)),"AMOUNT REQUIRED",IF(J234="","ERP SOURCE REQUIRED",IF(NOT(OR(K234="ISSUED",K234="CANCELLED")),"INVOICE STATUS REQUIRED",IF(COUNTIFS($A$2:$A$501,A234,$B$2:$B$501,B234,$D$2:$D$501,D234)&gt;1,"DUPLICATE INVOICE / PROJECT",IF(SUMPRODUCT(--(('ERP Snapshot'!$A$2:$A$101&amp;"")=(B234&amp;"")))=0,"PROJECT NOT FOUND",IF(SUMPRODUCT(--(('ERP Snapshot'!$A$2:$A$101&amp;"")=(B234&amp;"")))&gt;1,"DUPLICATE PROJECT ID",IF(OR(SUMPRODUCT(--(('ERP Snapshot'!$A$2:$A$101&amp;"")=(B234&amp;"")),--('ERP Snapshot'!$Q$2:$Q$101=E234),--('ERP Snapshot'!$R$2:$R$101=F234))&lt;&gt;1,SUMPRODUCT(--('Commercial Catalogs'!$A$2:$A$10=E234),--('Commercial Catalogs'!$B$2:$B$10=F234),--('Commercial Catalogs'!$C$2:$C$10="YES"),--('Commercial Catalogs'!$D$2:$D$10="IN SCOPE"))=0,AND(E234="Strategic Services",F234&lt;&gt;"N/A"),AND(E234="Brands",F234="N/A")),"PROJECT CLASSIFICATION MISMATCH",IF(AND(G234="MXN",NOT(AND(ISNUMBER(I234),Settings!$B$8="APPROVED",Settings!$B$9&lt;&gt;"",Settings!$B$10&lt;&gt;""))),"FX HOLD","VALID"))))))))))))))))))</x:f>
      </x:c>
      <x:c r="M234" s="57" t="str">
        <x:f>IF(ISNUMBER(C234),IF(AND(ISNUMBER(C234),C234&gt;=2,C234&lt;=2958465,C234=INT(C234)),YEAR(C234)&amp;"-"&amp;IF(MONTH(C234)&lt;10,"0","")&amp;MONTH(C234),""),"")</x:f>
      </x:c>
      <x:c r="N234" s="59" t="str">
        <x:f>IF(L234="VALID",IF(G234="USD",H234,I234),"")</x:f>
      </x:c>
      <x:c r="O234" s="57" t="n">
        <x:f>IF(L234="VALID",IF(COUNTIFS($B$2:B234,B234,$M$2:M234,M234,$L$2:L234,"VALID")=1,1,0),0)</x:f>
        <x:v>0</x:v>
      </x:c>
    </x:row>
    <x:row r="235">
      <x:c r="A235" s="47"/>
      <x:c r="B235" s="47"/>
      <x:c r="C235" s="69"/>
      <x:c r="D235" s="47"/>
      <x:c r="E235" s="47"/>
      <x:c r="F235" s="47"/>
      <x:c r="G235" s="47"/>
      <x:c r="H235" s="48"/>
      <x:c r="I235" s="48"/>
      <x:c r="J235" s="47"/>
      <x:c r="K235" s="47"/>
      <x:c r="L235" s="57" t="str">
        <x:f>IF(COUNTA(A235:K235)=0,"",IF(K235="CANCELLED","CANCELLED",IF(A235="","INVOICE ID REQUIRED",IF(B235="","PROJECT ID REQUIRED",IF(NOT(ISNUMBER(C235)),"INVALID INVOICE DATE",IF(NOT(AND(ISNUMBER(C235),C235&gt;=2,C235&lt;=2958465,C235=INT(C235))),"INVALID INVOICE DATE",IF(NOT(OR(D235="MX",D235="US")),"ENTITY REQUIRED",IF(NOT(OR(E235="Strategic Services",E235="Brands")),"UNIT REQUIRED",IF(F235="","BRAND / N/A REQUIRED",IF(NOT(OR(G235="USD",G235="MXN")),"CURRENCY REQUIRED",IF(NOT(ISNUMBER(H235)),"AMOUNT REQUIRED",IF(J235="","ERP SOURCE REQUIRED",IF(NOT(OR(K235="ISSUED",K235="CANCELLED")),"INVOICE STATUS REQUIRED",IF(COUNTIFS($A$2:$A$501,A235,$B$2:$B$501,B235,$D$2:$D$501,D235)&gt;1,"DUPLICATE INVOICE / PROJECT",IF(SUMPRODUCT(--(('ERP Snapshot'!$A$2:$A$101&amp;"")=(B235&amp;"")))=0,"PROJECT NOT FOUND",IF(SUMPRODUCT(--(('ERP Snapshot'!$A$2:$A$101&amp;"")=(B235&amp;"")))&gt;1,"DUPLICATE PROJECT ID",IF(OR(SUMPRODUCT(--(('ERP Snapshot'!$A$2:$A$101&amp;"")=(B235&amp;"")),--('ERP Snapshot'!$Q$2:$Q$101=E235),--('ERP Snapshot'!$R$2:$R$101=F235))&lt;&gt;1,SUMPRODUCT(--('Commercial Catalogs'!$A$2:$A$10=E235),--('Commercial Catalogs'!$B$2:$B$10=F235),--('Commercial Catalogs'!$C$2:$C$10="YES"),--('Commercial Catalogs'!$D$2:$D$10="IN SCOPE"))=0,AND(E235="Strategic Services",F235&lt;&gt;"N/A"),AND(E235="Brands",F235="N/A")),"PROJECT CLASSIFICATION MISMATCH",IF(AND(G235="MXN",NOT(AND(ISNUMBER(I235),Settings!$B$8="APPROVED",Settings!$B$9&lt;&gt;"",Settings!$B$10&lt;&gt;""))),"FX HOLD","VALID"))))))))))))))))))</x:f>
      </x:c>
      <x:c r="M235" s="57" t="str">
        <x:f>IF(ISNUMBER(C235),IF(AND(ISNUMBER(C235),C235&gt;=2,C235&lt;=2958465,C235=INT(C235)),YEAR(C235)&amp;"-"&amp;IF(MONTH(C235)&lt;10,"0","")&amp;MONTH(C235),""),"")</x:f>
      </x:c>
      <x:c r="N235" s="59" t="str">
        <x:f>IF(L235="VALID",IF(G235="USD",H235,I235),"")</x:f>
      </x:c>
      <x:c r="O235" s="57" t="n">
        <x:f>IF(L235="VALID",IF(COUNTIFS($B$2:B235,B235,$M$2:M235,M235,$L$2:L235,"VALID")=1,1,0),0)</x:f>
        <x:v>0</x:v>
      </x:c>
    </x:row>
    <x:row r="236">
      <x:c r="A236" s="47"/>
      <x:c r="B236" s="47"/>
      <x:c r="C236" s="69"/>
      <x:c r="D236" s="47"/>
      <x:c r="E236" s="47"/>
      <x:c r="F236" s="47"/>
      <x:c r="G236" s="47"/>
      <x:c r="H236" s="48"/>
      <x:c r="I236" s="48"/>
      <x:c r="J236" s="47"/>
      <x:c r="K236" s="47"/>
      <x:c r="L236" s="57" t="str">
        <x:f>IF(COUNTA(A236:K236)=0,"",IF(K236="CANCELLED","CANCELLED",IF(A236="","INVOICE ID REQUIRED",IF(B236="","PROJECT ID REQUIRED",IF(NOT(ISNUMBER(C236)),"INVALID INVOICE DATE",IF(NOT(AND(ISNUMBER(C236),C236&gt;=2,C236&lt;=2958465,C236=INT(C236))),"INVALID INVOICE DATE",IF(NOT(OR(D236="MX",D236="US")),"ENTITY REQUIRED",IF(NOT(OR(E236="Strategic Services",E236="Brands")),"UNIT REQUIRED",IF(F236="","BRAND / N/A REQUIRED",IF(NOT(OR(G236="USD",G236="MXN")),"CURRENCY REQUIRED",IF(NOT(ISNUMBER(H236)),"AMOUNT REQUIRED",IF(J236="","ERP SOURCE REQUIRED",IF(NOT(OR(K236="ISSUED",K236="CANCELLED")),"INVOICE STATUS REQUIRED",IF(COUNTIFS($A$2:$A$501,A236,$B$2:$B$501,B236,$D$2:$D$501,D236)&gt;1,"DUPLICATE INVOICE / PROJECT",IF(SUMPRODUCT(--(('ERP Snapshot'!$A$2:$A$101&amp;"")=(B236&amp;"")))=0,"PROJECT NOT FOUND",IF(SUMPRODUCT(--(('ERP Snapshot'!$A$2:$A$101&amp;"")=(B236&amp;"")))&gt;1,"DUPLICATE PROJECT ID",IF(OR(SUMPRODUCT(--(('ERP Snapshot'!$A$2:$A$101&amp;"")=(B236&amp;"")),--('ERP Snapshot'!$Q$2:$Q$101=E236),--('ERP Snapshot'!$R$2:$R$101=F236))&lt;&gt;1,SUMPRODUCT(--('Commercial Catalogs'!$A$2:$A$10=E236),--('Commercial Catalogs'!$B$2:$B$10=F236),--('Commercial Catalogs'!$C$2:$C$10="YES"),--('Commercial Catalogs'!$D$2:$D$10="IN SCOPE"))=0,AND(E236="Strategic Services",F236&lt;&gt;"N/A"),AND(E236="Brands",F236="N/A")),"PROJECT CLASSIFICATION MISMATCH",IF(AND(G236="MXN",NOT(AND(ISNUMBER(I236),Settings!$B$8="APPROVED",Settings!$B$9&lt;&gt;"",Settings!$B$10&lt;&gt;""))),"FX HOLD","VALID"))))))))))))))))))</x:f>
      </x:c>
      <x:c r="M236" s="57" t="str">
        <x:f>IF(ISNUMBER(C236),IF(AND(ISNUMBER(C236),C236&gt;=2,C236&lt;=2958465,C236=INT(C236)),YEAR(C236)&amp;"-"&amp;IF(MONTH(C236)&lt;10,"0","")&amp;MONTH(C236),""),"")</x:f>
      </x:c>
      <x:c r="N236" s="59" t="str">
        <x:f>IF(L236="VALID",IF(G236="USD",H236,I236),"")</x:f>
      </x:c>
      <x:c r="O236" s="57" t="n">
        <x:f>IF(L236="VALID",IF(COUNTIFS($B$2:B236,B236,$M$2:M236,M236,$L$2:L236,"VALID")=1,1,0),0)</x:f>
        <x:v>0</x:v>
      </x:c>
    </x:row>
    <x:row r="237">
      <x:c r="A237" s="47"/>
      <x:c r="B237" s="47"/>
      <x:c r="C237" s="69"/>
      <x:c r="D237" s="47"/>
      <x:c r="E237" s="47"/>
      <x:c r="F237" s="47"/>
      <x:c r="G237" s="47"/>
      <x:c r="H237" s="48"/>
      <x:c r="I237" s="48"/>
      <x:c r="J237" s="47"/>
      <x:c r="K237" s="47"/>
      <x:c r="L237" s="57" t="str">
        <x:f>IF(COUNTA(A237:K237)=0,"",IF(K237="CANCELLED","CANCELLED",IF(A237="","INVOICE ID REQUIRED",IF(B237="","PROJECT ID REQUIRED",IF(NOT(ISNUMBER(C237)),"INVALID INVOICE DATE",IF(NOT(AND(ISNUMBER(C237),C237&gt;=2,C237&lt;=2958465,C237=INT(C237))),"INVALID INVOICE DATE",IF(NOT(OR(D237="MX",D237="US")),"ENTITY REQUIRED",IF(NOT(OR(E237="Strategic Services",E237="Brands")),"UNIT REQUIRED",IF(F237="","BRAND / N/A REQUIRED",IF(NOT(OR(G237="USD",G237="MXN")),"CURRENCY REQUIRED",IF(NOT(ISNUMBER(H237)),"AMOUNT REQUIRED",IF(J237="","ERP SOURCE REQUIRED",IF(NOT(OR(K237="ISSUED",K237="CANCELLED")),"INVOICE STATUS REQUIRED",IF(COUNTIFS($A$2:$A$501,A237,$B$2:$B$501,B237,$D$2:$D$501,D237)&gt;1,"DUPLICATE INVOICE / PROJECT",IF(SUMPRODUCT(--(('ERP Snapshot'!$A$2:$A$101&amp;"")=(B237&amp;"")))=0,"PROJECT NOT FOUND",IF(SUMPRODUCT(--(('ERP Snapshot'!$A$2:$A$101&amp;"")=(B237&amp;"")))&gt;1,"DUPLICATE PROJECT ID",IF(OR(SUMPRODUCT(--(('ERP Snapshot'!$A$2:$A$101&amp;"")=(B237&amp;"")),--('ERP Snapshot'!$Q$2:$Q$101=E237),--('ERP Snapshot'!$R$2:$R$101=F237))&lt;&gt;1,SUMPRODUCT(--('Commercial Catalogs'!$A$2:$A$10=E237),--('Commercial Catalogs'!$B$2:$B$10=F237),--('Commercial Catalogs'!$C$2:$C$10="YES"),--('Commercial Catalogs'!$D$2:$D$10="IN SCOPE"))=0,AND(E237="Strategic Services",F237&lt;&gt;"N/A"),AND(E237="Brands",F237="N/A")),"PROJECT CLASSIFICATION MISMATCH",IF(AND(G237="MXN",NOT(AND(ISNUMBER(I237),Settings!$B$8="APPROVED",Settings!$B$9&lt;&gt;"",Settings!$B$10&lt;&gt;""))),"FX HOLD","VALID"))))))))))))))))))</x:f>
      </x:c>
      <x:c r="M237" s="57" t="str">
        <x:f>IF(ISNUMBER(C237),IF(AND(ISNUMBER(C237),C237&gt;=2,C237&lt;=2958465,C237=INT(C237)),YEAR(C237)&amp;"-"&amp;IF(MONTH(C237)&lt;10,"0","")&amp;MONTH(C237),""),"")</x:f>
      </x:c>
      <x:c r="N237" s="59" t="str">
        <x:f>IF(L237="VALID",IF(G237="USD",H237,I237),"")</x:f>
      </x:c>
      <x:c r="O237" s="57" t="n">
        <x:f>IF(L237="VALID",IF(COUNTIFS($B$2:B237,B237,$M$2:M237,M237,$L$2:L237,"VALID")=1,1,0),0)</x:f>
        <x:v>0</x:v>
      </x:c>
    </x:row>
    <x:row r="238">
      <x:c r="A238" s="47"/>
      <x:c r="B238" s="47"/>
      <x:c r="C238" s="69"/>
      <x:c r="D238" s="47"/>
      <x:c r="E238" s="47"/>
      <x:c r="F238" s="47"/>
      <x:c r="G238" s="47"/>
      <x:c r="H238" s="48"/>
      <x:c r="I238" s="48"/>
      <x:c r="J238" s="47"/>
      <x:c r="K238" s="47"/>
      <x:c r="L238" s="57" t="str">
        <x:f>IF(COUNTA(A238:K238)=0,"",IF(K238="CANCELLED","CANCELLED",IF(A238="","INVOICE ID REQUIRED",IF(B238="","PROJECT ID REQUIRED",IF(NOT(ISNUMBER(C238)),"INVALID INVOICE DATE",IF(NOT(AND(ISNUMBER(C238),C238&gt;=2,C238&lt;=2958465,C238=INT(C238))),"INVALID INVOICE DATE",IF(NOT(OR(D238="MX",D238="US")),"ENTITY REQUIRED",IF(NOT(OR(E238="Strategic Services",E238="Brands")),"UNIT REQUIRED",IF(F238="","BRAND / N/A REQUIRED",IF(NOT(OR(G238="USD",G238="MXN")),"CURRENCY REQUIRED",IF(NOT(ISNUMBER(H238)),"AMOUNT REQUIRED",IF(J238="","ERP SOURCE REQUIRED",IF(NOT(OR(K238="ISSUED",K238="CANCELLED")),"INVOICE STATUS REQUIRED",IF(COUNTIFS($A$2:$A$501,A238,$B$2:$B$501,B238,$D$2:$D$501,D238)&gt;1,"DUPLICATE INVOICE / PROJECT",IF(SUMPRODUCT(--(('ERP Snapshot'!$A$2:$A$101&amp;"")=(B238&amp;"")))=0,"PROJECT NOT FOUND",IF(SUMPRODUCT(--(('ERP Snapshot'!$A$2:$A$101&amp;"")=(B238&amp;"")))&gt;1,"DUPLICATE PROJECT ID",IF(OR(SUMPRODUCT(--(('ERP Snapshot'!$A$2:$A$101&amp;"")=(B238&amp;"")),--('ERP Snapshot'!$Q$2:$Q$101=E238),--('ERP Snapshot'!$R$2:$R$101=F238))&lt;&gt;1,SUMPRODUCT(--('Commercial Catalogs'!$A$2:$A$10=E238),--('Commercial Catalogs'!$B$2:$B$10=F238),--('Commercial Catalogs'!$C$2:$C$10="YES"),--('Commercial Catalogs'!$D$2:$D$10="IN SCOPE"))=0,AND(E238="Strategic Services",F238&lt;&gt;"N/A"),AND(E238="Brands",F238="N/A")),"PROJECT CLASSIFICATION MISMATCH",IF(AND(G238="MXN",NOT(AND(ISNUMBER(I238),Settings!$B$8="APPROVED",Settings!$B$9&lt;&gt;"",Settings!$B$10&lt;&gt;""))),"FX HOLD","VALID"))))))))))))))))))</x:f>
      </x:c>
      <x:c r="M238" s="57" t="str">
        <x:f>IF(ISNUMBER(C238),IF(AND(ISNUMBER(C238),C238&gt;=2,C238&lt;=2958465,C238=INT(C238)),YEAR(C238)&amp;"-"&amp;IF(MONTH(C238)&lt;10,"0","")&amp;MONTH(C238),""),"")</x:f>
      </x:c>
      <x:c r="N238" s="59" t="str">
        <x:f>IF(L238="VALID",IF(G238="USD",H238,I238),"")</x:f>
      </x:c>
      <x:c r="O238" s="57" t="n">
        <x:f>IF(L238="VALID",IF(COUNTIFS($B$2:B238,B238,$M$2:M238,M238,$L$2:L238,"VALID")=1,1,0),0)</x:f>
        <x:v>0</x:v>
      </x:c>
    </x:row>
    <x:row r="239">
      <x:c r="A239" s="47"/>
      <x:c r="B239" s="47"/>
      <x:c r="C239" s="69"/>
      <x:c r="D239" s="47"/>
      <x:c r="E239" s="47"/>
      <x:c r="F239" s="47"/>
      <x:c r="G239" s="47"/>
      <x:c r="H239" s="48"/>
      <x:c r="I239" s="48"/>
      <x:c r="J239" s="47"/>
      <x:c r="K239" s="47"/>
      <x:c r="L239" s="57" t="str">
        <x:f>IF(COUNTA(A239:K239)=0,"",IF(K239="CANCELLED","CANCELLED",IF(A239="","INVOICE ID REQUIRED",IF(B239="","PROJECT ID REQUIRED",IF(NOT(ISNUMBER(C239)),"INVALID INVOICE DATE",IF(NOT(AND(ISNUMBER(C239),C239&gt;=2,C239&lt;=2958465,C239=INT(C239))),"INVALID INVOICE DATE",IF(NOT(OR(D239="MX",D239="US")),"ENTITY REQUIRED",IF(NOT(OR(E239="Strategic Services",E239="Brands")),"UNIT REQUIRED",IF(F239="","BRAND / N/A REQUIRED",IF(NOT(OR(G239="USD",G239="MXN")),"CURRENCY REQUIRED",IF(NOT(ISNUMBER(H239)),"AMOUNT REQUIRED",IF(J239="","ERP SOURCE REQUIRED",IF(NOT(OR(K239="ISSUED",K239="CANCELLED")),"INVOICE STATUS REQUIRED",IF(COUNTIFS($A$2:$A$501,A239,$B$2:$B$501,B239,$D$2:$D$501,D239)&gt;1,"DUPLICATE INVOICE / PROJECT",IF(SUMPRODUCT(--(('ERP Snapshot'!$A$2:$A$101&amp;"")=(B239&amp;"")))=0,"PROJECT NOT FOUND",IF(SUMPRODUCT(--(('ERP Snapshot'!$A$2:$A$101&amp;"")=(B239&amp;"")))&gt;1,"DUPLICATE PROJECT ID",IF(OR(SUMPRODUCT(--(('ERP Snapshot'!$A$2:$A$101&amp;"")=(B239&amp;"")),--('ERP Snapshot'!$Q$2:$Q$101=E239),--('ERP Snapshot'!$R$2:$R$101=F239))&lt;&gt;1,SUMPRODUCT(--('Commercial Catalogs'!$A$2:$A$10=E239),--('Commercial Catalogs'!$B$2:$B$10=F239),--('Commercial Catalogs'!$C$2:$C$10="YES"),--('Commercial Catalogs'!$D$2:$D$10="IN SCOPE"))=0,AND(E239="Strategic Services",F239&lt;&gt;"N/A"),AND(E239="Brands",F239="N/A")),"PROJECT CLASSIFICATION MISMATCH",IF(AND(G239="MXN",NOT(AND(ISNUMBER(I239),Settings!$B$8="APPROVED",Settings!$B$9&lt;&gt;"",Settings!$B$10&lt;&gt;""))),"FX HOLD","VALID"))))))))))))))))))</x:f>
      </x:c>
      <x:c r="M239" s="57" t="str">
        <x:f>IF(ISNUMBER(C239),IF(AND(ISNUMBER(C239),C239&gt;=2,C239&lt;=2958465,C239=INT(C239)),YEAR(C239)&amp;"-"&amp;IF(MONTH(C239)&lt;10,"0","")&amp;MONTH(C239),""),"")</x:f>
      </x:c>
      <x:c r="N239" s="59" t="str">
        <x:f>IF(L239="VALID",IF(G239="USD",H239,I239),"")</x:f>
      </x:c>
      <x:c r="O239" s="57" t="n">
        <x:f>IF(L239="VALID",IF(COUNTIFS($B$2:B239,B239,$M$2:M239,M239,$L$2:L239,"VALID")=1,1,0),0)</x:f>
        <x:v>0</x:v>
      </x:c>
    </x:row>
    <x:row r="240">
      <x:c r="A240" s="47"/>
      <x:c r="B240" s="47"/>
      <x:c r="C240" s="69"/>
      <x:c r="D240" s="47"/>
      <x:c r="E240" s="47"/>
      <x:c r="F240" s="47"/>
      <x:c r="G240" s="47"/>
      <x:c r="H240" s="48"/>
      <x:c r="I240" s="48"/>
      <x:c r="J240" s="47"/>
      <x:c r="K240" s="47"/>
      <x:c r="L240" s="57" t="str">
        <x:f>IF(COUNTA(A240:K240)=0,"",IF(K240="CANCELLED","CANCELLED",IF(A240="","INVOICE ID REQUIRED",IF(B240="","PROJECT ID REQUIRED",IF(NOT(ISNUMBER(C240)),"INVALID INVOICE DATE",IF(NOT(AND(ISNUMBER(C240),C240&gt;=2,C240&lt;=2958465,C240=INT(C240))),"INVALID INVOICE DATE",IF(NOT(OR(D240="MX",D240="US")),"ENTITY REQUIRED",IF(NOT(OR(E240="Strategic Services",E240="Brands")),"UNIT REQUIRED",IF(F240="","BRAND / N/A REQUIRED",IF(NOT(OR(G240="USD",G240="MXN")),"CURRENCY REQUIRED",IF(NOT(ISNUMBER(H240)),"AMOUNT REQUIRED",IF(J240="","ERP SOURCE REQUIRED",IF(NOT(OR(K240="ISSUED",K240="CANCELLED")),"INVOICE STATUS REQUIRED",IF(COUNTIFS($A$2:$A$501,A240,$B$2:$B$501,B240,$D$2:$D$501,D240)&gt;1,"DUPLICATE INVOICE / PROJECT",IF(SUMPRODUCT(--(('ERP Snapshot'!$A$2:$A$101&amp;"")=(B240&amp;"")))=0,"PROJECT NOT FOUND",IF(SUMPRODUCT(--(('ERP Snapshot'!$A$2:$A$101&amp;"")=(B240&amp;"")))&gt;1,"DUPLICATE PROJECT ID",IF(OR(SUMPRODUCT(--(('ERP Snapshot'!$A$2:$A$101&amp;"")=(B240&amp;"")),--('ERP Snapshot'!$Q$2:$Q$101=E240),--('ERP Snapshot'!$R$2:$R$101=F240))&lt;&gt;1,SUMPRODUCT(--('Commercial Catalogs'!$A$2:$A$10=E240),--('Commercial Catalogs'!$B$2:$B$10=F240),--('Commercial Catalogs'!$C$2:$C$10="YES"),--('Commercial Catalogs'!$D$2:$D$10="IN SCOPE"))=0,AND(E240="Strategic Services",F240&lt;&gt;"N/A"),AND(E240="Brands",F240="N/A")),"PROJECT CLASSIFICATION MISMATCH",IF(AND(G240="MXN",NOT(AND(ISNUMBER(I240),Settings!$B$8="APPROVED",Settings!$B$9&lt;&gt;"",Settings!$B$10&lt;&gt;""))),"FX HOLD","VALID"))))))))))))))))))</x:f>
      </x:c>
      <x:c r="M240" s="57" t="str">
        <x:f>IF(ISNUMBER(C240),IF(AND(ISNUMBER(C240),C240&gt;=2,C240&lt;=2958465,C240=INT(C240)),YEAR(C240)&amp;"-"&amp;IF(MONTH(C240)&lt;10,"0","")&amp;MONTH(C240),""),"")</x:f>
      </x:c>
      <x:c r="N240" s="59" t="str">
        <x:f>IF(L240="VALID",IF(G240="USD",H240,I240),"")</x:f>
      </x:c>
      <x:c r="O240" s="57" t="n">
        <x:f>IF(L240="VALID",IF(COUNTIFS($B$2:B240,B240,$M$2:M240,M240,$L$2:L240,"VALID")=1,1,0),0)</x:f>
        <x:v>0</x:v>
      </x:c>
    </x:row>
    <x:row r="241">
      <x:c r="A241" s="47"/>
      <x:c r="B241" s="47"/>
      <x:c r="C241" s="69"/>
      <x:c r="D241" s="47"/>
      <x:c r="E241" s="47"/>
      <x:c r="F241" s="47"/>
      <x:c r="G241" s="47"/>
      <x:c r="H241" s="48"/>
      <x:c r="I241" s="48"/>
      <x:c r="J241" s="47"/>
      <x:c r="K241" s="47"/>
      <x:c r="L241" s="57" t="str">
        <x:f>IF(COUNTA(A241:K241)=0,"",IF(K241="CANCELLED","CANCELLED",IF(A241="","INVOICE ID REQUIRED",IF(B241="","PROJECT ID REQUIRED",IF(NOT(ISNUMBER(C241)),"INVALID INVOICE DATE",IF(NOT(AND(ISNUMBER(C241),C241&gt;=2,C241&lt;=2958465,C241=INT(C241))),"INVALID INVOICE DATE",IF(NOT(OR(D241="MX",D241="US")),"ENTITY REQUIRED",IF(NOT(OR(E241="Strategic Services",E241="Brands")),"UNIT REQUIRED",IF(F241="","BRAND / N/A REQUIRED",IF(NOT(OR(G241="USD",G241="MXN")),"CURRENCY REQUIRED",IF(NOT(ISNUMBER(H241)),"AMOUNT REQUIRED",IF(J241="","ERP SOURCE REQUIRED",IF(NOT(OR(K241="ISSUED",K241="CANCELLED")),"INVOICE STATUS REQUIRED",IF(COUNTIFS($A$2:$A$501,A241,$B$2:$B$501,B241,$D$2:$D$501,D241)&gt;1,"DUPLICATE INVOICE / PROJECT",IF(SUMPRODUCT(--(('ERP Snapshot'!$A$2:$A$101&amp;"")=(B241&amp;"")))=0,"PROJECT NOT FOUND",IF(SUMPRODUCT(--(('ERP Snapshot'!$A$2:$A$101&amp;"")=(B241&amp;"")))&gt;1,"DUPLICATE PROJECT ID",IF(OR(SUMPRODUCT(--(('ERP Snapshot'!$A$2:$A$101&amp;"")=(B241&amp;"")),--('ERP Snapshot'!$Q$2:$Q$101=E241),--('ERP Snapshot'!$R$2:$R$101=F241))&lt;&gt;1,SUMPRODUCT(--('Commercial Catalogs'!$A$2:$A$10=E241),--('Commercial Catalogs'!$B$2:$B$10=F241),--('Commercial Catalogs'!$C$2:$C$10="YES"),--('Commercial Catalogs'!$D$2:$D$10="IN SCOPE"))=0,AND(E241="Strategic Services",F241&lt;&gt;"N/A"),AND(E241="Brands",F241="N/A")),"PROJECT CLASSIFICATION MISMATCH",IF(AND(G241="MXN",NOT(AND(ISNUMBER(I241),Settings!$B$8="APPROVED",Settings!$B$9&lt;&gt;"",Settings!$B$10&lt;&gt;""))),"FX HOLD","VALID"))))))))))))))))))</x:f>
      </x:c>
      <x:c r="M241" s="57" t="str">
        <x:f>IF(ISNUMBER(C241),IF(AND(ISNUMBER(C241),C241&gt;=2,C241&lt;=2958465,C241=INT(C241)),YEAR(C241)&amp;"-"&amp;IF(MONTH(C241)&lt;10,"0","")&amp;MONTH(C241),""),"")</x:f>
      </x:c>
      <x:c r="N241" s="59" t="str">
        <x:f>IF(L241="VALID",IF(G241="USD",H241,I241),"")</x:f>
      </x:c>
      <x:c r="O241" s="57" t="n">
        <x:f>IF(L241="VALID",IF(COUNTIFS($B$2:B241,B241,$M$2:M241,M241,$L$2:L241,"VALID")=1,1,0),0)</x:f>
        <x:v>0</x:v>
      </x:c>
    </x:row>
    <x:row r="242">
      <x:c r="A242" s="47"/>
      <x:c r="B242" s="47"/>
      <x:c r="C242" s="69"/>
      <x:c r="D242" s="47"/>
      <x:c r="E242" s="47"/>
      <x:c r="F242" s="47"/>
      <x:c r="G242" s="47"/>
      <x:c r="H242" s="48"/>
      <x:c r="I242" s="48"/>
      <x:c r="J242" s="47"/>
      <x:c r="K242" s="47"/>
      <x:c r="L242" s="57" t="str">
        <x:f>IF(COUNTA(A242:K242)=0,"",IF(K242="CANCELLED","CANCELLED",IF(A242="","INVOICE ID REQUIRED",IF(B242="","PROJECT ID REQUIRED",IF(NOT(ISNUMBER(C242)),"INVALID INVOICE DATE",IF(NOT(AND(ISNUMBER(C242),C242&gt;=2,C242&lt;=2958465,C242=INT(C242))),"INVALID INVOICE DATE",IF(NOT(OR(D242="MX",D242="US")),"ENTITY REQUIRED",IF(NOT(OR(E242="Strategic Services",E242="Brands")),"UNIT REQUIRED",IF(F242="","BRAND / N/A REQUIRED",IF(NOT(OR(G242="USD",G242="MXN")),"CURRENCY REQUIRED",IF(NOT(ISNUMBER(H242)),"AMOUNT REQUIRED",IF(J242="","ERP SOURCE REQUIRED",IF(NOT(OR(K242="ISSUED",K242="CANCELLED")),"INVOICE STATUS REQUIRED",IF(COUNTIFS($A$2:$A$501,A242,$B$2:$B$501,B242,$D$2:$D$501,D242)&gt;1,"DUPLICATE INVOICE / PROJECT",IF(SUMPRODUCT(--(('ERP Snapshot'!$A$2:$A$101&amp;"")=(B242&amp;"")))=0,"PROJECT NOT FOUND",IF(SUMPRODUCT(--(('ERP Snapshot'!$A$2:$A$101&amp;"")=(B242&amp;"")))&gt;1,"DUPLICATE PROJECT ID",IF(OR(SUMPRODUCT(--(('ERP Snapshot'!$A$2:$A$101&amp;"")=(B242&amp;"")),--('ERP Snapshot'!$Q$2:$Q$101=E242),--('ERP Snapshot'!$R$2:$R$101=F242))&lt;&gt;1,SUMPRODUCT(--('Commercial Catalogs'!$A$2:$A$10=E242),--('Commercial Catalogs'!$B$2:$B$10=F242),--('Commercial Catalogs'!$C$2:$C$10="YES"),--('Commercial Catalogs'!$D$2:$D$10="IN SCOPE"))=0,AND(E242="Strategic Services",F242&lt;&gt;"N/A"),AND(E242="Brands",F242="N/A")),"PROJECT CLASSIFICATION MISMATCH",IF(AND(G242="MXN",NOT(AND(ISNUMBER(I242),Settings!$B$8="APPROVED",Settings!$B$9&lt;&gt;"",Settings!$B$10&lt;&gt;""))),"FX HOLD","VALID"))))))))))))))))))</x:f>
      </x:c>
      <x:c r="M242" s="57" t="str">
        <x:f>IF(ISNUMBER(C242),IF(AND(ISNUMBER(C242),C242&gt;=2,C242&lt;=2958465,C242=INT(C242)),YEAR(C242)&amp;"-"&amp;IF(MONTH(C242)&lt;10,"0","")&amp;MONTH(C242),""),"")</x:f>
      </x:c>
      <x:c r="N242" s="59" t="str">
        <x:f>IF(L242="VALID",IF(G242="USD",H242,I242),"")</x:f>
      </x:c>
      <x:c r="O242" s="57" t="n">
        <x:f>IF(L242="VALID",IF(COUNTIFS($B$2:B242,B242,$M$2:M242,M242,$L$2:L242,"VALID")=1,1,0),0)</x:f>
        <x:v>0</x:v>
      </x:c>
    </x:row>
    <x:row r="243">
      <x:c r="A243" s="47"/>
      <x:c r="B243" s="47"/>
      <x:c r="C243" s="69"/>
      <x:c r="D243" s="47"/>
      <x:c r="E243" s="47"/>
      <x:c r="F243" s="47"/>
      <x:c r="G243" s="47"/>
      <x:c r="H243" s="48"/>
      <x:c r="I243" s="48"/>
      <x:c r="J243" s="47"/>
      <x:c r="K243" s="47"/>
      <x:c r="L243" s="57" t="str">
        <x:f>IF(COUNTA(A243:K243)=0,"",IF(K243="CANCELLED","CANCELLED",IF(A243="","INVOICE ID REQUIRED",IF(B243="","PROJECT ID REQUIRED",IF(NOT(ISNUMBER(C243)),"INVALID INVOICE DATE",IF(NOT(AND(ISNUMBER(C243),C243&gt;=2,C243&lt;=2958465,C243=INT(C243))),"INVALID INVOICE DATE",IF(NOT(OR(D243="MX",D243="US")),"ENTITY REQUIRED",IF(NOT(OR(E243="Strategic Services",E243="Brands")),"UNIT REQUIRED",IF(F243="","BRAND / N/A REQUIRED",IF(NOT(OR(G243="USD",G243="MXN")),"CURRENCY REQUIRED",IF(NOT(ISNUMBER(H243)),"AMOUNT REQUIRED",IF(J243="","ERP SOURCE REQUIRED",IF(NOT(OR(K243="ISSUED",K243="CANCELLED")),"INVOICE STATUS REQUIRED",IF(COUNTIFS($A$2:$A$501,A243,$B$2:$B$501,B243,$D$2:$D$501,D243)&gt;1,"DUPLICATE INVOICE / PROJECT",IF(SUMPRODUCT(--(('ERP Snapshot'!$A$2:$A$101&amp;"")=(B243&amp;"")))=0,"PROJECT NOT FOUND",IF(SUMPRODUCT(--(('ERP Snapshot'!$A$2:$A$101&amp;"")=(B243&amp;"")))&gt;1,"DUPLICATE PROJECT ID",IF(OR(SUMPRODUCT(--(('ERP Snapshot'!$A$2:$A$101&amp;"")=(B243&amp;"")),--('ERP Snapshot'!$Q$2:$Q$101=E243),--('ERP Snapshot'!$R$2:$R$101=F243))&lt;&gt;1,SUMPRODUCT(--('Commercial Catalogs'!$A$2:$A$10=E243),--('Commercial Catalogs'!$B$2:$B$10=F243),--('Commercial Catalogs'!$C$2:$C$10="YES"),--('Commercial Catalogs'!$D$2:$D$10="IN SCOPE"))=0,AND(E243="Strategic Services",F243&lt;&gt;"N/A"),AND(E243="Brands",F243="N/A")),"PROJECT CLASSIFICATION MISMATCH",IF(AND(G243="MXN",NOT(AND(ISNUMBER(I243),Settings!$B$8="APPROVED",Settings!$B$9&lt;&gt;"",Settings!$B$10&lt;&gt;""))),"FX HOLD","VALID"))))))))))))))))))</x:f>
      </x:c>
      <x:c r="M243" s="57" t="str">
        <x:f>IF(ISNUMBER(C243),IF(AND(ISNUMBER(C243),C243&gt;=2,C243&lt;=2958465,C243=INT(C243)),YEAR(C243)&amp;"-"&amp;IF(MONTH(C243)&lt;10,"0","")&amp;MONTH(C243),""),"")</x:f>
      </x:c>
      <x:c r="N243" s="59" t="str">
        <x:f>IF(L243="VALID",IF(G243="USD",H243,I243),"")</x:f>
      </x:c>
      <x:c r="O243" s="57" t="n">
        <x:f>IF(L243="VALID",IF(COUNTIFS($B$2:B243,B243,$M$2:M243,M243,$L$2:L243,"VALID")=1,1,0),0)</x:f>
        <x:v>0</x:v>
      </x:c>
    </x:row>
    <x:row r="244">
      <x:c r="A244" s="47"/>
      <x:c r="B244" s="47"/>
      <x:c r="C244" s="69"/>
      <x:c r="D244" s="47"/>
      <x:c r="E244" s="47"/>
      <x:c r="F244" s="47"/>
      <x:c r="G244" s="47"/>
      <x:c r="H244" s="48"/>
      <x:c r="I244" s="48"/>
      <x:c r="J244" s="47"/>
      <x:c r="K244" s="47"/>
      <x:c r="L244" s="57" t="str">
        <x:f>IF(COUNTA(A244:K244)=0,"",IF(K244="CANCELLED","CANCELLED",IF(A244="","INVOICE ID REQUIRED",IF(B244="","PROJECT ID REQUIRED",IF(NOT(ISNUMBER(C244)),"INVALID INVOICE DATE",IF(NOT(AND(ISNUMBER(C244),C244&gt;=2,C244&lt;=2958465,C244=INT(C244))),"INVALID INVOICE DATE",IF(NOT(OR(D244="MX",D244="US")),"ENTITY REQUIRED",IF(NOT(OR(E244="Strategic Services",E244="Brands")),"UNIT REQUIRED",IF(F244="","BRAND / N/A REQUIRED",IF(NOT(OR(G244="USD",G244="MXN")),"CURRENCY REQUIRED",IF(NOT(ISNUMBER(H244)),"AMOUNT REQUIRED",IF(J244="","ERP SOURCE REQUIRED",IF(NOT(OR(K244="ISSUED",K244="CANCELLED")),"INVOICE STATUS REQUIRED",IF(COUNTIFS($A$2:$A$501,A244,$B$2:$B$501,B244,$D$2:$D$501,D244)&gt;1,"DUPLICATE INVOICE / PROJECT",IF(SUMPRODUCT(--(('ERP Snapshot'!$A$2:$A$101&amp;"")=(B244&amp;"")))=0,"PROJECT NOT FOUND",IF(SUMPRODUCT(--(('ERP Snapshot'!$A$2:$A$101&amp;"")=(B244&amp;"")))&gt;1,"DUPLICATE PROJECT ID",IF(OR(SUMPRODUCT(--(('ERP Snapshot'!$A$2:$A$101&amp;"")=(B244&amp;"")),--('ERP Snapshot'!$Q$2:$Q$101=E244),--('ERP Snapshot'!$R$2:$R$101=F244))&lt;&gt;1,SUMPRODUCT(--('Commercial Catalogs'!$A$2:$A$10=E244),--('Commercial Catalogs'!$B$2:$B$10=F244),--('Commercial Catalogs'!$C$2:$C$10="YES"),--('Commercial Catalogs'!$D$2:$D$10="IN SCOPE"))=0,AND(E244="Strategic Services",F244&lt;&gt;"N/A"),AND(E244="Brands",F244="N/A")),"PROJECT CLASSIFICATION MISMATCH",IF(AND(G244="MXN",NOT(AND(ISNUMBER(I244),Settings!$B$8="APPROVED",Settings!$B$9&lt;&gt;"",Settings!$B$10&lt;&gt;""))),"FX HOLD","VALID"))))))))))))))))))</x:f>
      </x:c>
      <x:c r="M244" s="57" t="str">
        <x:f>IF(ISNUMBER(C244),IF(AND(ISNUMBER(C244),C244&gt;=2,C244&lt;=2958465,C244=INT(C244)),YEAR(C244)&amp;"-"&amp;IF(MONTH(C244)&lt;10,"0","")&amp;MONTH(C244),""),"")</x:f>
      </x:c>
      <x:c r="N244" s="59" t="str">
        <x:f>IF(L244="VALID",IF(G244="USD",H244,I244),"")</x:f>
      </x:c>
      <x:c r="O244" s="57" t="n">
        <x:f>IF(L244="VALID",IF(COUNTIFS($B$2:B244,B244,$M$2:M244,M244,$L$2:L244,"VALID")=1,1,0),0)</x:f>
        <x:v>0</x:v>
      </x:c>
    </x:row>
    <x:row r="245">
      <x:c r="A245" s="47"/>
      <x:c r="B245" s="47"/>
      <x:c r="C245" s="69"/>
      <x:c r="D245" s="47"/>
      <x:c r="E245" s="47"/>
      <x:c r="F245" s="47"/>
      <x:c r="G245" s="47"/>
      <x:c r="H245" s="48"/>
      <x:c r="I245" s="48"/>
      <x:c r="J245" s="47"/>
      <x:c r="K245" s="47"/>
      <x:c r="L245" s="57" t="str">
        <x:f>IF(COUNTA(A245:K245)=0,"",IF(K245="CANCELLED","CANCELLED",IF(A245="","INVOICE ID REQUIRED",IF(B245="","PROJECT ID REQUIRED",IF(NOT(ISNUMBER(C245)),"INVALID INVOICE DATE",IF(NOT(AND(ISNUMBER(C245),C245&gt;=2,C245&lt;=2958465,C245=INT(C245))),"INVALID INVOICE DATE",IF(NOT(OR(D245="MX",D245="US")),"ENTITY REQUIRED",IF(NOT(OR(E245="Strategic Services",E245="Brands")),"UNIT REQUIRED",IF(F245="","BRAND / N/A REQUIRED",IF(NOT(OR(G245="USD",G245="MXN")),"CURRENCY REQUIRED",IF(NOT(ISNUMBER(H245)),"AMOUNT REQUIRED",IF(J245="","ERP SOURCE REQUIRED",IF(NOT(OR(K245="ISSUED",K245="CANCELLED")),"INVOICE STATUS REQUIRED",IF(COUNTIFS($A$2:$A$501,A245,$B$2:$B$501,B245,$D$2:$D$501,D245)&gt;1,"DUPLICATE INVOICE / PROJECT",IF(SUMPRODUCT(--(('ERP Snapshot'!$A$2:$A$101&amp;"")=(B245&amp;"")))=0,"PROJECT NOT FOUND",IF(SUMPRODUCT(--(('ERP Snapshot'!$A$2:$A$101&amp;"")=(B245&amp;"")))&gt;1,"DUPLICATE PROJECT ID",IF(OR(SUMPRODUCT(--(('ERP Snapshot'!$A$2:$A$101&amp;"")=(B245&amp;"")),--('ERP Snapshot'!$Q$2:$Q$101=E245),--('ERP Snapshot'!$R$2:$R$101=F245))&lt;&gt;1,SUMPRODUCT(--('Commercial Catalogs'!$A$2:$A$10=E245),--('Commercial Catalogs'!$B$2:$B$10=F245),--('Commercial Catalogs'!$C$2:$C$10="YES"),--('Commercial Catalogs'!$D$2:$D$10="IN SCOPE"))=0,AND(E245="Strategic Services",F245&lt;&gt;"N/A"),AND(E245="Brands",F245="N/A")),"PROJECT CLASSIFICATION MISMATCH",IF(AND(G245="MXN",NOT(AND(ISNUMBER(I245),Settings!$B$8="APPROVED",Settings!$B$9&lt;&gt;"",Settings!$B$10&lt;&gt;""))),"FX HOLD","VALID"))))))))))))))))))</x:f>
      </x:c>
      <x:c r="M245" s="57" t="str">
        <x:f>IF(ISNUMBER(C245),IF(AND(ISNUMBER(C245),C245&gt;=2,C245&lt;=2958465,C245=INT(C245)),YEAR(C245)&amp;"-"&amp;IF(MONTH(C245)&lt;10,"0","")&amp;MONTH(C245),""),"")</x:f>
      </x:c>
      <x:c r="N245" s="59" t="str">
        <x:f>IF(L245="VALID",IF(G245="USD",H245,I245),"")</x:f>
      </x:c>
      <x:c r="O245" s="57" t="n">
        <x:f>IF(L245="VALID",IF(COUNTIFS($B$2:B245,B245,$M$2:M245,M245,$L$2:L245,"VALID")=1,1,0),0)</x:f>
        <x:v>0</x:v>
      </x:c>
    </x:row>
    <x:row r="246">
      <x:c r="A246" s="47"/>
      <x:c r="B246" s="47"/>
      <x:c r="C246" s="69"/>
      <x:c r="D246" s="47"/>
      <x:c r="E246" s="47"/>
      <x:c r="F246" s="47"/>
      <x:c r="G246" s="47"/>
      <x:c r="H246" s="48"/>
      <x:c r="I246" s="48"/>
      <x:c r="J246" s="47"/>
      <x:c r="K246" s="47"/>
      <x:c r="L246" s="57" t="str">
        <x:f>IF(COUNTA(A246:K246)=0,"",IF(K246="CANCELLED","CANCELLED",IF(A246="","INVOICE ID REQUIRED",IF(B246="","PROJECT ID REQUIRED",IF(NOT(ISNUMBER(C246)),"INVALID INVOICE DATE",IF(NOT(AND(ISNUMBER(C246),C246&gt;=2,C246&lt;=2958465,C246=INT(C246))),"INVALID INVOICE DATE",IF(NOT(OR(D246="MX",D246="US")),"ENTITY REQUIRED",IF(NOT(OR(E246="Strategic Services",E246="Brands")),"UNIT REQUIRED",IF(F246="","BRAND / N/A REQUIRED",IF(NOT(OR(G246="USD",G246="MXN")),"CURRENCY REQUIRED",IF(NOT(ISNUMBER(H246)),"AMOUNT REQUIRED",IF(J246="","ERP SOURCE REQUIRED",IF(NOT(OR(K246="ISSUED",K246="CANCELLED")),"INVOICE STATUS REQUIRED",IF(COUNTIFS($A$2:$A$501,A246,$B$2:$B$501,B246,$D$2:$D$501,D246)&gt;1,"DUPLICATE INVOICE / PROJECT",IF(SUMPRODUCT(--(('ERP Snapshot'!$A$2:$A$101&amp;"")=(B246&amp;"")))=0,"PROJECT NOT FOUND",IF(SUMPRODUCT(--(('ERP Snapshot'!$A$2:$A$101&amp;"")=(B246&amp;"")))&gt;1,"DUPLICATE PROJECT ID",IF(OR(SUMPRODUCT(--(('ERP Snapshot'!$A$2:$A$101&amp;"")=(B246&amp;"")),--('ERP Snapshot'!$Q$2:$Q$101=E246),--('ERP Snapshot'!$R$2:$R$101=F246))&lt;&gt;1,SUMPRODUCT(--('Commercial Catalogs'!$A$2:$A$10=E246),--('Commercial Catalogs'!$B$2:$B$10=F246),--('Commercial Catalogs'!$C$2:$C$10="YES"),--('Commercial Catalogs'!$D$2:$D$10="IN SCOPE"))=0,AND(E246="Strategic Services",F246&lt;&gt;"N/A"),AND(E246="Brands",F246="N/A")),"PROJECT CLASSIFICATION MISMATCH",IF(AND(G246="MXN",NOT(AND(ISNUMBER(I246),Settings!$B$8="APPROVED",Settings!$B$9&lt;&gt;"",Settings!$B$10&lt;&gt;""))),"FX HOLD","VALID"))))))))))))))))))</x:f>
      </x:c>
      <x:c r="M246" s="57" t="str">
        <x:f>IF(ISNUMBER(C246),IF(AND(ISNUMBER(C246),C246&gt;=2,C246&lt;=2958465,C246=INT(C246)),YEAR(C246)&amp;"-"&amp;IF(MONTH(C246)&lt;10,"0","")&amp;MONTH(C246),""),"")</x:f>
      </x:c>
      <x:c r="N246" s="59" t="str">
        <x:f>IF(L246="VALID",IF(G246="USD",H246,I246),"")</x:f>
      </x:c>
      <x:c r="O246" s="57" t="n">
        <x:f>IF(L246="VALID",IF(COUNTIFS($B$2:B246,B246,$M$2:M246,M246,$L$2:L246,"VALID")=1,1,0),0)</x:f>
        <x:v>0</x:v>
      </x:c>
    </x:row>
    <x:row r="247">
      <x:c r="A247" s="47"/>
      <x:c r="B247" s="47"/>
      <x:c r="C247" s="69"/>
      <x:c r="D247" s="47"/>
      <x:c r="E247" s="47"/>
      <x:c r="F247" s="47"/>
      <x:c r="G247" s="47"/>
      <x:c r="H247" s="48"/>
      <x:c r="I247" s="48"/>
      <x:c r="J247" s="47"/>
      <x:c r="K247" s="47"/>
      <x:c r="L247" s="57" t="str">
        <x:f>IF(COUNTA(A247:K247)=0,"",IF(K247="CANCELLED","CANCELLED",IF(A247="","INVOICE ID REQUIRED",IF(B247="","PROJECT ID REQUIRED",IF(NOT(ISNUMBER(C247)),"INVALID INVOICE DATE",IF(NOT(AND(ISNUMBER(C247),C247&gt;=2,C247&lt;=2958465,C247=INT(C247))),"INVALID INVOICE DATE",IF(NOT(OR(D247="MX",D247="US")),"ENTITY REQUIRED",IF(NOT(OR(E247="Strategic Services",E247="Brands")),"UNIT REQUIRED",IF(F247="","BRAND / N/A REQUIRED",IF(NOT(OR(G247="USD",G247="MXN")),"CURRENCY REQUIRED",IF(NOT(ISNUMBER(H247)),"AMOUNT REQUIRED",IF(J247="","ERP SOURCE REQUIRED",IF(NOT(OR(K247="ISSUED",K247="CANCELLED")),"INVOICE STATUS REQUIRED",IF(COUNTIFS($A$2:$A$501,A247,$B$2:$B$501,B247,$D$2:$D$501,D247)&gt;1,"DUPLICATE INVOICE / PROJECT",IF(SUMPRODUCT(--(('ERP Snapshot'!$A$2:$A$101&amp;"")=(B247&amp;"")))=0,"PROJECT NOT FOUND",IF(SUMPRODUCT(--(('ERP Snapshot'!$A$2:$A$101&amp;"")=(B247&amp;"")))&gt;1,"DUPLICATE PROJECT ID",IF(OR(SUMPRODUCT(--(('ERP Snapshot'!$A$2:$A$101&amp;"")=(B247&amp;"")),--('ERP Snapshot'!$Q$2:$Q$101=E247),--('ERP Snapshot'!$R$2:$R$101=F247))&lt;&gt;1,SUMPRODUCT(--('Commercial Catalogs'!$A$2:$A$10=E247),--('Commercial Catalogs'!$B$2:$B$10=F247),--('Commercial Catalogs'!$C$2:$C$10="YES"),--('Commercial Catalogs'!$D$2:$D$10="IN SCOPE"))=0,AND(E247="Strategic Services",F247&lt;&gt;"N/A"),AND(E247="Brands",F247="N/A")),"PROJECT CLASSIFICATION MISMATCH",IF(AND(G247="MXN",NOT(AND(ISNUMBER(I247),Settings!$B$8="APPROVED",Settings!$B$9&lt;&gt;"",Settings!$B$10&lt;&gt;""))),"FX HOLD","VALID"))))))))))))))))))</x:f>
      </x:c>
      <x:c r="M247" s="57" t="str">
        <x:f>IF(ISNUMBER(C247),IF(AND(ISNUMBER(C247),C247&gt;=2,C247&lt;=2958465,C247=INT(C247)),YEAR(C247)&amp;"-"&amp;IF(MONTH(C247)&lt;10,"0","")&amp;MONTH(C247),""),"")</x:f>
      </x:c>
      <x:c r="N247" s="59" t="str">
        <x:f>IF(L247="VALID",IF(G247="USD",H247,I247),"")</x:f>
      </x:c>
      <x:c r="O247" s="57" t="n">
        <x:f>IF(L247="VALID",IF(COUNTIFS($B$2:B247,B247,$M$2:M247,M247,$L$2:L247,"VALID")=1,1,0),0)</x:f>
        <x:v>0</x:v>
      </x:c>
    </x:row>
    <x:row r="248">
      <x:c r="A248" s="47"/>
      <x:c r="B248" s="47"/>
      <x:c r="C248" s="69"/>
      <x:c r="D248" s="47"/>
      <x:c r="E248" s="47"/>
      <x:c r="F248" s="47"/>
      <x:c r="G248" s="47"/>
      <x:c r="H248" s="48"/>
      <x:c r="I248" s="48"/>
      <x:c r="J248" s="47"/>
      <x:c r="K248" s="47"/>
      <x:c r="L248" s="57" t="str">
        <x:f>IF(COUNTA(A248:K248)=0,"",IF(K248="CANCELLED","CANCELLED",IF(A248="","INVOICE ID REQUIRED",IF(B248="","PROJECT ID REQUIRED",IF(NOT(ISNUMBER(C248)),"INVALID INVOICE DATE",IF(NOT(AND(ISNUMBER(C248),C248&gt;=2,C248&lt;=2958465,C248=INT(C248))),"INVALID INVOICE DATE",IF(NOT(OR(D248="MX",D248="US")),"ENTITY REQUIRED",IF(NOT(OR(E248="Strategic Services",E248="Brands")),"UNIT REQUIRED",IF(F248="","BRAND / N/A REQUIRED",IF(NOT(OR(G248="USD",G248="MXN")),"CURRENCY REQUIRED",IF(NOT(ISNUMBER(H248)),"AMOUNT REQUIRED",IF(J248="","ERP SOURCE REQUIRED",IF(NOT(OR(K248="ISSUED",K248="CANCELLED")),"INVOICE STATUS REQUIRED",IF(COUNTIFS($A$2:$A$501,A248,$B$2:$B$501,B248,$D$2:$D$501,D248)&gt;1,"DUPLICATE INVOICE / PROJECT",IF(SUMPRODUCT(--(('ERP Snapshot'!$A$2:$A$101&amp;"")=(B248&amp;"")))=0,"PROJECT NOT FOUND",IF(SUMPRODUCT(--(('ERP Snapshot'!$A$2:$A$101&amp;"")=(B248&amp;"")))&gt;1,"DUPLICATE PROJECT ID",IF(OR(SUMPRODUCT(--(('ERP Snapshot'!$A$2:$A$101&amp;"")=(B248&amp;"")),--('ERP Snapshot'!$Q$2:$Q$101=E248),--('ERP Snapshot'!$R$2:$R$101=F248))&lt;&gt;1,SUMPRODUCT(--('Commercial Catalogs'!$A$2:$A$10=E248),--('Commercial Catalogs'!$B$2:$B$10=F248),--('Commercial Catalogs'!$C$2:$C$10="YES"),--('Commercial Catalogs'!$D$2:$D$10="IN SCOPE"))=0,AND(E248="Strategic Services",F248&lt;&gt;"N/A"),AND(E248="Brands",F248="N/A")),"PROJECT CLASSIFICATION MISMATCH",IF(AND(G248="MXN",NOT(AND(ISNUMBER(I248),Settings!$B$8="APPROVED",Settings!$B$9&lt;&gt;"",Settings!$B$10&lt;&gt;""))),"FX HOLD","VALID"))))))))))))))))))</x:f>
      </x:c>
      <x:c r="M248" s="57" t="str">
        <x:f>IF(ISNUMBER(C248),IF(AND(ISNUMBER(C248),C248&gt;=2,C248&lt;=2958465,C248=INT(C248)),YEAR(C248)&amp;"-"&amp;IF(MONTH(C248)&lt;10,"0","")&amp;MONTH(C248),""),"")</x:f>
      </x:c>
      <x:c r="N248" s="59" t="str">
        <x:f>IF(L248="VALID",IF(G248="USD",H248,I248),"")</x:f>
      </x:c>
      <x:c r="O248" s="57" t="n">
        <x:f>IF(L248="VALID",IF(COUNTIFS($B$2:B248,B248,$M$2:M248,M248,$L$2:L248,"VALID")=1,1,0),0)</x:f>
        <x:v>0</x:v>
      </x:c>
    </x:row>
    <x:row r="249">
      <x:c r="A249" s="47"/>
      <x:c r="B249" s="47"/>
      <x:c r="C249" s="69"/>
      <x:c r="D249" s="47"/>
      <x:c r="E249" s="47"/>
      <x:c r="F249" s="47"/>
      <x:c r="G249" s="47"/>
      <x:c r="H249" s="48"/>
      <x:c r="I249" s="48"/>
      <x:c r="J249" s="47"/>
      <x:c r="K249" s="47"/>
      <x:c r="L249" s="57" t="str">
        <x:f>IF(COUNTA(A249:K249)=0,"",IF(K249="CANCELLED","CANCELLED",IF(A249="","INVOICE ID REQUIRED",IF(B249="","PROJECT ID REQUIRED",IF(NOT(ISNUMBER(C249)),"INVALID INVOICE DATE",IF(NOT(AND(ISNUMBER(C249),C249&gt;=2,C249&lt;=2958465,C249=INT(C249))),"INVALID INVOICE DATE",IF(NOT(OR(D249="MX",D249="US")),"ENTITY REQUIRED",IF(NOT(OR(E249="Strategic Services",E249="Brands")),"UNIT REQUIRED",IF(F249="","BRAND / N/A REQUIRED",IF(NOT(OR(G249="USD",G249="MXN")),"CURRENCY REQUIRED",IF(NOT(ISNUMBER(H249)),"AMOUNT REQUIRED",IF(J249="","ERP SOURCE REQUIRED",IF(NOT(OR(K249="ISSUED",K249="CANCELLED")),"INVOICE STATUS REQUIRED",IF(COUNTIFS($A$2:$A$501,A249,$B$2:$B$501,B249,$D$2:$D$501,D249)&gt;1,"DUPLICATE INVOICE / PROJECT",IF(SUMPRODUCT(--(('ERP Snapshot'!$A$2:$A$101&amp;"")=(B249&amp;"")))=0,"PROJECT NOT FOUND",IF(SUMPRODUCT(--(('ERP Snapshot'!$A$2:$A$101&amp;"")=(B249&amp;"")))&gt;1,"DUPLICATE PROJECT ID",IF(OR(SUMPRODUCT(--(('ERP Snapshot'!$A$2:$A$101&amp;"")=(B249&amp;"")),--('ERP Snapshot'!$Q$2:$Q$101=E249),--('ERP Snapshot'!$R$2:$R$101=F249))&lt;&gt;1,SUMPRODUCT(--('Commercial Catalogs'!$A$2:$A$10=E249),--('Commercial Catalogs'!$B$2:$B$10=F249),--('Commercial Catalogs'!$C$2:$C$10="YES"),--('Commercial Catalogs'!$D$2:$D$10="IN SCOPE"))=0,AND(E249="Strategic Services",F249&lt;&gt;"N/A"),AND(E249="Brands",F249="N/A")),"PROJECT CLASSIFICATION MISMATCH",IF(AND(G249="MXN",NOT(AND(ISNUMBER(I249),Settings!$B$8="APPROVED",Settings!$B$9&lt;&gt;"",Settings!$B$10&lt;&gt;""))),"FX HOLD","VALID"))))))))))))))))))</x:f>
      </x:c>
      <x:c r="M249" s="57" t="str">
        <x:f>IF(ISNUMBER(C249),IF(AND(ISNUMBER(C249),C249&gt;=2,C249&lt;=2958465,C249=INT(C249)),YEAR(C249)&amp;"-"&amp;IF(MONTH(C249)&lt;10,"0","")&amp;MONTH(C249),""),"")</x:f>
      </x:c>
      <x:c r="N249" s="59" t="str">
        <x:f>IF(L249="VALID",IF(G249="USD",H249,I249),"")</x:f>
      </x:c>
      <x:c r="O249" s="57" t="n">
        <x:f>IF(L249="VALID",IF(COUNTIFS($B$2:B249,B249,$M$2:M249,M249,$L$2:L249,"VALID")=1,1,0),0)</x:f>
        <x:v>0</x:v>
      </x:c>
    </x:row>
    <x:row r="250">
      <x:c r="A250" s="47"/>
      <x:c r="B250" s="47"/>
      <x:c r="C250" s="69"/>
      <x:c r="D250" s="47"/>
      <x:c r="E250" s="47"/>
      <x:c r="F250" s="47"/>
      <x:c r="G250" s="47"/>
      <x:c r="H250" s="48"/>
      <x:c r="I250" s="48"/>
      <x:c r="J250" s="47"/>
      <x:c r="K250" s="47"/>
      <x:c r="L250" s="57" t="str">
        <x:f>IF(COUNTA(A250:K250)=0,"",IF(K250="CANCELLED","CANCELLED",IF(A250="","INVOICE ID REQUIRED",IF(B250="","PROJECT ID REQUIRED",IF(NOT(ISNUMBER(C250)),"INVALID INVOICE DATE",IF(NOT(AND(ISNUMBER(C250),C250&gt;=2,C250&lt;=2958465,C250=INT(C250))),"INVALID INVOICE DATE",IF(NOT(OR(D250="MX",D250="US")),"ENTITY REQUIRED",IF(NOT(OR(E250="Strategic Services",E250="Brands")),"UNIT REQUIRED",IF(F250="","BRAND / N/A REQUIRED",IF(NOT(OR(G250="USD",G250="MXN")),"CURRENCY REQUIRED",IF(NOT(ISNUMBER(H250)),"AMOUNT REQUIRED",IF(J250="","ERP SOURCE REQUIRED",IF(NOT(OR(K250="ISSUED",K250="CANCELLED")),"INVOICE STATUS REQUIRED",IF(COUNTIFS($A$2:$A$501,A250,$B$2:$B$501,B250,$D$2:$D$501,D250)&gt;1,"DUPLICATE INVOICE / PROJECT",IF(SUMPRODUCT(--(('ERP Snapshot'!$A$2:$A$101&amp;"")=(B250&amp;"")))=0,"PROJECT NOT FOUND",IF(SUMPRODUCT(--(('ERP Snapshot'!$A$2:$A$101&amp;"")=(B250&amp;"")))&gt;1,"DUPLICATE PROJECT ID",IF(OR(SUMPRODUCT(--(('ERP Snapshot'!$A$2:$A$101&amp;"")=(B250&amp;"")),--('ERP Snapshot'!$Q$2:$Q$101=E250),--('ERP Snapshot'!$R$2:$R$101=F250))&lt;&gt;1,SUMPRODUCT(--('Commercial Catalogs'!$A$2:$A$10=E250),--('Commercial Catalogs'!$B$2:$B$10=F250),--('Commercial Catalogs'!$C$2:$C$10="YES"),--('Commercial Catalogs'!$D$2:$D$10="IN SCOPE"))=0,AND(E250="Strategic Services",F250&lt;&gt;"N/A"),AND(E250="Brands",F250="N/A")),"PROJECT CLASSIFICATION MISMATCH",IF(AND(G250="MXN",NOT(AND(ISNUMBER(I250),Settings!$B$8="APPROVED",Settings!$B$9&lt;&gt;"",Settings!$B$10&lt;&gt;""))),"FX HOLD","VALID"))))))))))))))))))</x:f>
      </x:c>
      <x:c r="M250" s="57" t="str">
        <x:f>IF(ISNUMBER(C250),IF(AND(ISNUMBER(C250),C250&gt;=2,C250&lt;=2958465,C250=INT(C250)),YEAR(C250)&amp;"-"&amp;IF(MONTH(C250)&lt;10,"0","")&amp;MONTH(C250),""),"")</x:f>
      </x:c>
      <x:c r="N250" s="59" t="str">
        <x:f>IF(L250="VALID",IF(G250="USD",H250,I250),"")</x:f>
      </x:c>
      <x:c r="O250" s="57" t="n">
        <x:f>IF(L250="VALID",IF(COUNTIFS($B$2:B250,B250,$M$2:M250,M250,$L$2:L250,"VALID")=1,1,0),0)</x:f>
        <x:v>0</x:v>
      </x:c>
    </x:row>
    <x:row r="251">
      <x:c r="A251" s="47"/>
      <x:c r="B251" s="47"/>
      <x:c r="C251" s="69"/>
      <x:c r="D251" s="47"/>
      <x:c r="E251" s="47"/>
      <x:c r="F251" s="47"/>
      <x:c r="G251" s="47"/>
      <x:c r="H251" s="48"/>
      <x:c r="I251" s="48"/>
      <x:c r="J251" s="47"/>
      <x:c r="K251" s="47"/>
      <x:c r="L251" s="57" t="str">
        <x:f>IF(COUNTA(A251:K251)=0,"",IF(K251="CANCELLED","CANCELLED",IF(A251="","INVOICE ID REQUIRED",IF(B251="","PROJECT ID REQUIRED",IF(NOT(ISNUMBER(C251)),"INVALID INVOICE DATE",IF(NOT(AND(ISNUMBER(C251),C251&gt;=2,C251&lt;=2958465,C251=INT(C251))),"INVALID INVOICE DATE",IF(NOT(OR(D251="MX",D251="US")),"ENTITY REQUIRED",IF(NOT(OR(E251="Strategic Services",E251="Brands")),"UNIT REQUIRED",IF(F251="","BRAND / N/A REQUIRED",IF(NOT(OR(G251="USD",G251="MXN")),"CURRENCY REQUIRED",IF(NOT(ISNUMBER(H251)),"AMOUNT REQUIRED",IF(J251="","ERP SOURCE REQUIRED",IF(NOT(OR(K251="ISSUED",K251="CANCELLED")),"INVOICE STATUS REQUIRED",IF(COUNTIFS($A$2:$A$501,A251,$B$2:$B$501,B251,$D$2:$D$501,D251)&gt;1,"DUPLICATE INVOICE / PROJECT",IF(SUMPRODUCT(--(('ERP Snapshot'!$A$2:$A$101&amp;"")=(B251&amp;"")))=0,"PROJECT NOT FOUND",IF(SUMPRODUCT(--(('ERP Snapshot'!$A$2:$A$101&amp;"")=(B251&amp;"")))&gt;1,"DUPLICATE PROJECT ID",IF(OR(SUMPRODUCT(--(('ERP Snapshot'!$A$2:$A$101&amp;"")=(B251&amp;"")),--('ERP Snapshot'!$Q$2:$Q$101=E251),--('ERP Snapshot'!$R$2:$R$101=F251))&lt;&gt;1,SUMPRODUCT(--('Commercial Catalogs'!$A$2:$A$10=E251),--('Commercial Catalogs'!$B$2:$B$10=F251),--('Commercial Catalogs'!$C$2:$C$10="YES"),--('Commercial Catalogs'!$D$2:$D$10="IN SCOPE"))=0,AND(E251="Strategic Services",F251&lt;&gt;"N/A"),AND(E251="Brands",F251="N/A")),"PROJECT CLASSIFICATION MISMATCH",IF(AND(G251="MXN",NOT(AND(ISNUMBER(I251),Settings!$B$8="APPROVED",Settings!$B$9&lt;&gt;"",Settings!$B$10&lt;&gt;""))),"FX HOLD","VALID"))))))))))))))))))</x:f>
      </x:c>
      <x:c r="M251" s="57" t="str">
        <x:f>IF(ISNUMBER(C251),IF(AND(ISNUMBER(C251),C251&gt;=2,C251&lt;=2958465,C251=INT(C251)),YEAR(C251)&amp;"-"&amp;IF(MONTH(C251)&lt;10,"0","")&amp;MONTH(C251),""),"")</x:f>
      </x:c>
      <x:c r="N251" s="59" t="str">
        <x:f>IF(L251="VALID",IF(G251="USD",H251,I251),"")</x:f>
      </x:c>
      <x:c r="O251" s="57" t="n">
        <x:f>IF(L251="VALID",IF(COUNTIFS($B$2:B251,B251,$M$2:M251,M251,$L$2:L251,"VALID")=1,1,0),0)</x:f>
        <x:v>0</x:v>
      </x:c>
    </x:row>
    <x:row r="252">
      <x:c r="A252" s="47"/>
      <x:c r="B252" s="47"/>
      <x:c r="C252" s="69"/>
      <x:c r="D252" s="47"/>
      <x:c r="E252" s="47"/>
      <x:c r="F252" s="47"/>
      <x:c r="G252" s="47"/>
      <x:c r="H252" s="48"/>
      <x:c r="I252" s="48"/>
      <x:c r="J252" s="47"/>
      <x:c r="K252" s="47"/>
      <x:c r="L252" s="57" t="str">
        <x:f>IF(COUNTA(A252:K252)=0,"",IF(K252="CANCELLED","CANCELLED",IF(A252="","INVOICE ID REQUIRED",IF(B252="","PROJECT ID REQUIRED",IF(NOT(ISNUMBER(C252)),"INVALID INVOICE DATE",IF(NOT(AND(ISNUMBER(C252),C252&gt;=2,C252&lt;=2958465,C252=INT(C252))),"INVALID INVOICE DATE",IF(NOT(OR(D252="MX",D252="US")),"ENTITY REQUIRED",IF(NOT(OR(E252="Strategic Services",E252="Brands")),"UNIT REQUIRED",IF(F252="","BRAND / N/A REQUIRED",IF(NOT(OR(G252="USD",G252="MXN")),"CURRENCY REQUIRED",IF(NOT(ISNUMBER(H252)),"AMOUNT REQUIRED",IF(J252="","ERP SOURCE REQUIRED",IF(NOT(OR(K252="ISSUED",K252="CANCELLED")),"INVOICE STATUS REQUIRED",IF(COUNTIFS($A$2:$A$501,A252,$B$2:$B$501,B252,$D$2:$D$501,D252)&gt;1,"DUPLICATE INVOICE / PROJECT",IF(SUMPRODUCT(--(('ERP Snapshot'!$A$2:$A$101&amp;"")=(B252&amp;"")))=0,"PROJECT NOT FOUND",IF(SUMPRODUCT(--(('ERP Snapshot'!$A$2:$A$101&amp;"")=(B252&amp;"")))&gt;1,"DUPLICATE PROJECT ID",IF(OR(SUMPRODUCT(--(('ERP Snapshot'!$A$2:$A$101&amp;"")=(B252&amp;"")),--('ERP Snapshot'!$Q$2:$Q$101=E252),--('ERP Snapshot'!$R$2:$R$101=F252))&lt;&gt;1,SUMPRODUCT(--('Commercial Catalogs'!$A$2:$A$10=E252),--('Commercial Catalogs'!$B$2:$B$10=F252),--('Commercial Catalogs'!$C$2:$C$10="YES"),--('Commercial Catalogs'!$D$2:$D$10="IN SCOPE"))=0,AND(E252="Strategic Services",F252&lt;&gt;"N/A"),AND(E252="Brands",F252="N/A")),"PROJECT CLASSIFICATION MISMATCH",IF(AND(G252="MXN",NOT(AND(ISNUMBER(I252),Settings!$B$8="APPROVED",Settings!$B$9&lt;&gt;"",Settings!$B$10&lt;&gt;""))),"FX HOLD","VALID"))))))))))))))))))</x:f>
      </x:c>
      <x:c r="M252" s="57" t="str">
        <x:f>IF(ISNUMBER(C252),IF(AND(ISNUMBER(C252),C252&gt;=2,C252&lt;=2958465,C252=INT(C252)),YEAR(C252)&amp;"-"&amp;IF(MONTH(C252)&lt;10,"0","")&amp;MONTH(C252),""),"")</x:f>
      </x:c>
      <x:c r="N252" s="59" t="str">
        <x:f>IF(L252="VALID",IF(G252="USD",H252,I252),"")</x:f>
      </x:c>
      <x:c r="O252" s="57" t="n">
        <x:f>IF(L252="VALID",IF(COUNTIFS($B$2:B252,B252,$M$2:M252,M252,$L$2:L252,"VALID")=1,1,0),0)</x:f>
        <x:v>0</x:v>
      </x:c>
    </x:row>
    <x:row r="253">
      <x:c r="A253" s="47"/>
      <x:c r="B253" s="47"/>
      <x:c r="C253" s="69"/>
      <x:c r="D253" s="47"/>
      <x:c r="E253" s="47"/>
      <x:c r="F253" s="47"/>
      <x:c r="G253" s="47"/>
      <x:c r="H253" s="48"/>
      <x:c r="I253" s="48"/>
      <x:c r="J253" s="47"/>
      <x:c r="K253" s="47"/>
      <x:c r="L253" s="57" t="str">
        <x:f>IF(COUNTA(A253:K253)=0,"",IF(K253="CANCELLED","CANCELLED",IF(A253="","INVOICE ID REQUIRED",IF(B253="","PROJECT ID REQUIRED",IF(NOT(ISNUMBER(C253)),"INVALID INVOICE DATE",IF(NOT(AND(ISNUMBER(C253),C253&gt;=2,C253&lt;=2958465,C253=INT(C253))),"INVALID INVOICE DATE",IF(NOT(OR(D253="MX",D253="US")),"ENTITY REQUIRED",IF(NOT(OR(E253="Strategic Services",E253="Brands")),"UNIT REQUIRED",IF(F253="","BRAND / N/A REQUIRED",IF(NOT(OR(G253="USD",G253="MXN")),"CURRENCY REQUIRED",IF(NOT(ISNUMBER(H253)),"AMOUNT REQUIRED",IF(J253="","ERP SOURCE REQUIRED",IF(NOT(OR(K253="ISSUED",K253="CANCELLED")),"INVOICE STATUS REQUIRED",IF(COUNTIFS($A$2:$A$501,A253,$B$2:$B$501,B253,$D$2:$D$501,D253)&gt;1,"DUPLICATE INVOICE / PROJECT",IF(SUMPRODUCT(--(('ERP Snapshot'!$A$2:$A$101&amp;"")=(B253&amp;"")))=0,"PROJECT NOT FOUND",IF(SUMPRODUCT(--(('ERP Snapshot'!$A$2:$A$101&amp;"")=(B253&amp;"")))&gt;1,"DUPLICATE PROJECT ID",IF(OR(SUMPRODUCT(--(('ERP Snapshot'!$A$2:$A$101&amp;"")=(B253&amp;"")),--('ERP Snapshot'!$Q$2:$Q$101=E253),--('ERP Snapshot'!$R$2:$R$101=F253))&lt;&gt;1,SUMPRODUCT(--('Commercial Catalogs'!$A$2:$A$10=E253),--('Commercial Catalogs'!$B$2:$B$10=F253),--('Commercial Catalogs'!$C$2:$C$10="YES"),--('Commercial Catalogs'!$D$2:$D$10="IN SCOPE"))=0,AND(E253="Strategic Services",F253&lt;&gt;"N/A"),AND(E253="Brands",F253="N/A")),"PROJECT CLASSIFICATION MISMATCH",IF(AND(G253="MXN",NOT(AND(ISNUMBER(I253),Settings!$B$8="APPROVED",Settings!$B$9&lt;&gt;"",Settings!$B$10&lt;&gt;""))),"FX HOLD","VALID"))))))))))))))))))</x:f>
      </x:c>
      <x:c r="M253" s="57" t="str">
        <x:f>IF(ISNUMBER(C253),IF(AND(ISNUMBER(C253),C253&gt;=2,C253&lt;=2958465,C253=INT(C253)),YEAR(C253)&amp;"-"&amp;IF(MONTH(C253)&lt;10,"0","")&amp;MONTH(C253),""),"")</x:f>
      </x:c>
      <x:c r="N253" s="59" t="str">
        <x:f>IF(L253="VALID",IF(G253="USD",H253,I253),"")</x:f>
      </x:c>
      <x:c r="O253" s="57" t="n">
        <x:f>IF(L253="VALID",IF(COUNTIFS($B$2:B253,B253,$M$2:M253,M253,$L$2:L253,"VALID")=1,1,0),0)</x:f>
        <x:v>0</x:v>
      </x:c>
    </x:row>
    <x:row r="254">
      <x:c r="A254" s="47"/>
      <x:c r="B254" s="47"/>
      <x:c r="C254" s="69"/>
      <x:c r="D254" s="47"/>
      <x:c r="E254" s="47"/>
      <x:c r="F254" s="47"/>
      <x:c r="G254" s="47"/>
      <x:c r="H254" s="48"/>
      <x:c r="I254" s="48"/>
      <x:c r="J254" s="47"/>
      <x:c r="K254" s="47"/>
      <x:c r="L254" s="57" t="str">
        <x:f>IF(COUNTA(A254:K254)=0,"",IF(K254="CANCELLED","CANCELLED",IF(A254="","INVOICE ID REQUIRED",IF(B254="","PROJECT ID REQUIRED",IF(NOT(ISNUMBER(C254)),"INVALID INVOICE DATE",IF(NOT(AND(ISNUMBER(C254),C254&gt;=2,C254&lt;=2958465,C254=INT(C254))),"INVALID INVOICE DATE",IF(NOT(OR(D254="MX",D254="US")),"ENTITY REQUIRED",IF(NOT(OR(E254="Strategic Services",E254="Brands")),"UNIT REQUIRED",IF(F254="","BRAND / N/A REQUIRED",IF(NOT(OR(G254="USD",G254="MXN")),"CURRENCY REQUIRED",IF(NOT(ISNUMBER(H254)),"AMOUNT REQUIRED",IF(J254="","ERP SOURCE REQUIRED",IF(NOT(OR(K254="ISSUED",K254="CANCELLED")),"INVOICE STATUS REQUIRED",IF(COUNTIFS($A$2:$A$501,A254,$B$2:$B$501,B254,$D$2:$D$501,D254)&gt;1,"DUPLICATE INVOICE / PROJECT",IF(SUMPRODUCT(--(('ERP Snapshot'!$A$2:$A$101&amp;"")=(B254&amp;"")))=0,"PROJECT NOT FOUND",IF(SUMPRODUCT(--(('ERP Snapshot'!$A$2:$A$101&amp;"")=(B254&amp;"")))&gt;1,"DUPLICATE PROJECT ID",IF(OR(SUMPRODUCT(--(('ERP Snapshot'!$A$2:$A$101&amp;"")=(B254&amp;"")),--('ERP Snapshot'!$Q$2:$Q$101=E254),--('ERP Snapshot'!$R$2:$R$101=F254))&lt;&gt;1,SUMPRODUCT(--('Commercial Catalogs'!$A$2:$A$10=E254),--('Commercial Catalogs'!$B$2:$B$10=F254),--('Commercial Catalogs'!$C$2:$C$10="YES"),--('Commercial Catalogs'!$D$2:$D$10="IN SCOPE"))=0,AND(E254="Strategic Services",F254&lt;&gt;"N/A"),AND(E254="Brands",F254="N/A")),"PROJECT CLASSIFICATION MISMATCH",IF(AND(G254="MXN",NOT(AND(ISNUMBER(I254),Settings!$B$8="APPROVED",Settings!$B$9&lt;&gt;"",Settings!$B$10&lt;&gt;""))),"FX HOLD","VALID"))))))))))))))))))</x:f>
      </x:c>
      <x:c r="M254" s="57" t="str">
        <x:f>IF(ISNUMBER(C254),IF(AND(ISNUMBER(C254),C254&gt;=2,C254&lt;=2958465,C254=INT(C254)),YEAR(C254)&amp;"-"&amp;IF(MONTH(C254)&lt;10,"0","")&amp;MONTH(C254),""),"")</x:f>
      </x:c>
      <x:c r="N254" s="59" t="str">
        <x:f>IF(L254="VALID",IF(G254="USD",H254,I254),"")</x:f>
      </x:c>
      <x:c r="O254" s="57" t="n">
        <x:f>IF(L254="VALID",IF(COUNTIFS($B$2:B254,B254,$M$2:M254,M254,$L$2:L254,"VALID")=1,1,0),0)</x:f>
        <x:v>0</x:v>
      </x:c>
    </x:row>
    <x:row r="255">
      <x:c r="A255" s="47"/>
      <x:c r="B255" s="47"/>
      <x:c r="C255" s="69"/>
      <x:c r="D255" s="47"/>
      <x:c r="E255" s="47"/>
      <x:c r="F255" s="47"/>
      <x:c r="G255" s="47"/>
      <x:c r="H255" s="48"/>
      <x:c r="I255" s="48"/>
      <x:c r="J255" s="47"/>
      <x:c r="K255" s="47"/>
      <x:c r="L255" s="57" t="str">
        <x:f>IF(COUNTA(A255:K255)=0,"",IF(K255="CANCELLED","CANCELLED",IF(A255="","INVOICE ID REQUIRED",IF(B255="","PROJECT ID REQUIRED",IF(NOT(ISNUMBER(C255)),"INVALID INVOICE DATE",IF(NOT(AND(ISNUMBER(C255),C255&gt;=2,C255&lt;=2958465,C255=INT(C255))),"INVALID INVOICE DATE",IF(NOT(OR(D255="MX",D255="US")),"ENTITY REQUIRED",IF(NOT(OR(E255="Strategic Services",E255="Brands")),"UNIT REQUIRED",IF(F255="","BRAND / N/A REQUIRED",IF(NOT(OR(G255="USD",G255="MXN")),"CURRENCY REQUIRED",IF(NOT(ISNUMBER(H255)),"AMOUNT REQUIRED",IF(J255="","ERP SOURCE REQUIRED",IF(NOT(OR(K255="ISSUED",K255="CANCELLED")),"INVOICE STATUS REQUIRED",IF(COUNTIFS($A$2:$A$501,A255,$B$2:$B$501,B255,$D$2:$D$501,D255)&gt;1,"DUPLICATE INVOICE / PROJECT",IF(SUMPRODUCT(--(('ERP Snapshot'!$A$2:$A$101&amp;"")=(B255&amp;"")))=0,"PROJECT NOT FOUND",IF(SUMPRODUCT(--(('ERP Snapshot'!$A$2:$A$101&amp;"")=(B255&amp;"")))&gt;1,"DUPLICATE PROJECT ID",IF(OR(SUMPRODUCT(--(('ERP Snapshot'!$A$2:$A$101&amp;"")=(B255&amp;"")),--('ERP Snapshot'!$Q$2:$Q$101=E255),--('ERP Snapshot'!$R$2:$R$101=F255))&lt;&gt;1,SUMPRODUCT(--('Commercial Catalogs'!$A$2:$A$10=E255),--('Commercial Catalogs'!$B$2:$B$10=F255),--('Commercial Catalogs'!$C$2:$C$10="YES"),--('Commercial Catalogs'!$D$2:$D$10="IN SCOPE"))=0,AND(E255="Strategic Services",F255&lt;&gt;"N/A"),AND(E255="Brands",F255="N/A")),"PROJECT CLASSIFICATION MISMATCH",IF(AND(G255="MXN",NOT(AND(ISNUMBER(I255),Settings!$B$8="APPROVED",Settings!$B$9&lt;&gt;"",Settings!$B$10&lt;&gt;""))),"FX HOLD","VALID"))))))))))))))))))</x:f>
      </x:c>
      <x:c r="M255" s="57" t="str">
        <x:f>IF(ISNUMBER(C255),IF(AND(ISNUMBER(C255),C255&gt;=2,C255&lt;=2958465,C255=INT(C255)),YEAR(C255)&amp;"-"&amp;IF(MONTH(C255)&lt;10,"0","")&amp;MONTH(C255),""),"")</x:f>
      </x:c>
      <x:c r="N255" s="59" t="str">
        <x:f>IF(L255="VALID",IF(G255="USD",H255,I255),"")</x:f>
      </x:c>
      <x:c r="O255" s="57" t="n">
        <x:f>IF(L255="VALID",IF(COUNTIFS($B$2:B255,B255,$M$2:M255,M255,$L$2:L255,"VALID")=1,1,0),0)</x:f>
        <x:v>0</x:v>
      </x:c>
    </x:row>
    <x:row r="256">
      <x:c r="A256" s="47"/>
      <x:c r="B256" s="47"/>
      <x:c r="C256" s="69"/>
      <x:c r="D256" s="47"/>
      <x:c r="E256" s="47"/>
      <x:c r="F256" s="47"/>
      <x:c r="G256" s="47"/>
      <x:c r="H256" s="48"/>
      <x:c r="I256" s="48"/>
      <x:c r="J256" s="47"/>
      <x:c r="K256" s="47"/>
      <x:c r="L256" s="57" t="str">
        <x:f>IF(COUNTA(A256:K256)=0,"",IF(K256="CANCELLED","CANCELLED",IF(A256="","INVOICE ID REQUIRED",IF(B256="","PROJECT ID REQUIRED",IF(NOT(ISNUMBER(C256)),"INVALID INVOICE DATE",IF(NOT(AND(ISNUMBER(C256),C256&gt;=2,C256&lt;=2958465,C256=INT(C256))),"INVALID INVOICE DATE",IF(NOT(OR(D256="MX",D256="US")),"ENTITY REQUIRED",IF(NOT(OR(E256="Strategic Services",E256="Brands")),"UNIT REQUIRED",IF(F256="","BRAND / N/A REQUIRED",IF(NOT(OR(G256="USD",G256="MXN")),"CURRENCY REQUIRED",IF(NOT(ISNUMBER(H256)),"AMOUNT REQUIRED",IF(J256="","ERP SOURCE REQUIRED",IF(NOT(OR(K256="ISSUED",K256="CANCELLED")),"INVOICE STATUS REQUIRED",IF(COUNTIFS($A$2:$A$501,A256,$B$2:$B$501,B256,$D$2:$D$501,D256)&gt;1,"DUPLICATE INVOICE / PROJECT",IF(SUMPRODUCT(--(('ERP Snapshot'!$A$2:$A$101&amp;"")=(B256&amp;"")))=0,"PROJECT NOT FOUND",IF(SUMPRODUCT(--(('ERP Snapshot'!$A$2:$A$101&amp;"")=(B256&amp;"")))&gt;1,"DUPLICATE PROJECT ID",IF(OR(SUMPRODUCT(--(('ERP Snapshot'!$A$2:$A$101&amp;"")=(B256&amp;"")),--('ERP Snapshot'!$Q$2:$Q$101=E256),--('ERP Snapshot'!$R$2:$R$101=F256))&lt;&gt;1,SUMPRODUCT(--('Commercial Catalogs'!$A$2:$A$10=E256),--('Commercial Catalogs'!$B$2:$B$10=F256),--('Commercial Catalogs'!$C$2:$C$10="YES"),--('Commercial Catalogs'!$D$2:$D$10="IN SCOPE"))=0,AND(E256="Strategic Services",F256&lt;&gt;"N/A"),AND(E256="Brands",F256="N/A")),"PROJECT CLASSIFICATION MISMATCH",IF(AND(G256="MXN",NOT(AND(ISNUMBER(I256),Settings!$B$8="APPROVED",Settings!$B$9&lt;&gt;"",Settings!$B$10&lt;&gt;""))),"FX HOLD","VALID"))))))))))))))))))</x:f>
      </x:c>
      <x:c r="M256" s="57" t="str">
        <x:f>IF(ISNUMBER(C256),IF(AND(ISNUMBER(C256),C256&gt;=2,C256&lt;=2958465,C256=INT(C256)),YEAR(C256)&amp;"-"&amp;IF(MONTH(C256)&lt;10,"0","")&amp;MONTH(C256),""),"")</x:f>
      </x:c>
      <x:c r="N256" s="59" t="str">
        <x:f>IF(L256="VALID",IF(G256="USD",H256,I256),"")</x:f>
      </x:c>
      <x:c r="O256" s="57" t="n">
        <x:f>IF(L256="VALID",IF(COUNTIFS($B$2:B256,B256,$M$2:M256,M256,$L$2:L256,"VALID")=1,1,0),0)</x:f>
        <x:v>0</x:v>
      </x:c>
    </x:row>
    <x:row r="257">
      <x:c r="A257" s="47"/>
      <x:c r="B257" s="47"/>
      <x:c r="C257" s="69"/>
      <x:c r="D257" s="47"/>
      <x:c r="E257" s="47"/>
      <x:c r="F257" s="47"/>
      <x:c r="G257" s="47"/>
      <x:c r="H257" s="48"/>
      <x:c r="I257" s="48"/>
      <x:c r="J257" s="47"/>
      <x:c r="K257" s="47"/>
      <x:c r="L257" s="57" t="str">
        <x:f>IF(COUNTA(A257:K257)=0,"",IF(K257="CANCELLED","CANCELLED",IF(A257="","INVOICE ID REQUIRED",IF(B257="","PROJECT ID REQUIRED",IF(NOT(ISNUMBER(C257)),"INVALID INVOICE DATE",IF(NOT(AND(ISNUMBER(C257),C257&gt;=2,C257&lt;=2958465,C257=INT(C257))),"INVALID INVOICE DATE",IF(NOT(OR(D257="MX",D257="US")),"ENTITY REQUIRED",IF(NOT(OR(E257="Strategic Services",E257="Brands")),"UNIT REQUIRED",IF(F257="","BRAND / N/A REQUIRED",IF(NOT(OR(G257="USD",G257="MXN")),"CURRENCY REQUIRED",IF(NOT(ISNUMBER(H257)),"AMOUNT REQUIRED",IF(J257="","ERP SOURCE REQUIRED",IF(NOT(OR(K257="ISSUED",K257="CANCELLED")),"INVOICE STATUS REQUIRED",IF(COUNTIFS($A$2:$A$501,A257,$B$2:$B$501,B257,$D$2:$D$501,D257)&gt;1,"DUPLICATE INVOICE / PROJECT",IF(SUMPRODUCT(--(('ERP Snapshot'!$A$2:$A$101&amp;"")=(B257&amp;"")))=0,"PROJECT NOT FOUND",IF(SUMPRODUCT(--(('ERP Snapshot'!$A$2:$A$101&amp;"")=(B257&amp;"")))&gt;1,"DUPLICATE PROJECT ID",IF(OR(SUMPRODUCT(--(('ERP Snapshot'!$A$2:$A$101&amp;"")=(B257&amp;"")),--('ERP Snapshot'!$Q$2:$Q$101=E257),--('ERP Snapshot'!$R$2:$R$101=F257))&lt;&gt;1,SUMPRODUCT(--('Commercial Catalogs'!$A$2:$A$10=E257),--('Commercial Catalogs'!$B$2:$B$10=F257),--('Commercial Catalogs'!$C$2:$C$10="YES"),--('Commercial Catalogs'!$D$2:$D$10="IN SCOPE"))=0,AND(E257="Strategic Services",F257&lt;&gt;"N/A"),AND(E257="Brands",F257="N/A")),"PROJECT CLASSIFICATION MISMATCH",IF(AND(G257="MXN",NOT(AND(ISNUMBER(I257),Settings!$B$8="APPROVED",Settings!$B$9&lt;&gt;"",Settings!$B$10&lt;&gt;""))),"FX HOLD","VALID"))))))))))))))))))</x:f>
      </x:c>
      <x:c r="M257" s="57" t="str">
        <x:f>IF(ISNUMBER(C257),IF(AND(ISNUMBER(C257),C257&gt;=2,C257&lt;=2958465,C257=INT(C257)),YEAR(C257)&amp;"-"&amp;IF(MONTH(C257)&lt;10,"0","")&amp;MONTH(C257),""),"")</x:f>
      </x:c>
      <x:c r="N257" s="59" t="str">
        <x:f>IF(L257="VALID",IF(G257="USD",H257,I257),"")</x:f>
      </x:c>
      <x:c r="O257" s="57" t="n">
        <x:f>IF(L257="VALID",IF(COUNTIFS($B$2:B257,B257,$M$2:M257,M257,$L$2:L257,"VALID")=1,1,0),0)</x:f>
        <x:v>0</x:v>
      </x:c>
    </x:row>
    <x:row r="258">
      <x:c r="A258" s="47"/>
      <x:c r="B258" s="47"/>
      <x:c r="C258" s="69"/>
      <x:c r="D258" s="47"/>
      <x:c r="E258" s="47"/>
      <x:c r="F258" s="47"/>
      <x:c r="G258" s="47"/>
      <x:c r="H258" s="48"/>
      <x:c r="I258" s="48"/>
      <x:c r="J258" s="47"/>
      <x:c r="K258" s="47"/>
      <x:c r="L258" s="57" t="str">
        <x:f>IF(COUNTA(A258:K258)=0,"",IF(K258="CANCELLED","CANCELLED",IF(A258="","INVOICE ID REQUIRED",IF(B258="","PROJECT ID REQUIRED",IF(NOT(ISNUMBER(C258)),"INVALID INVOICE DATE",IF(NOT(AND(ISNUMBER(C258),C258&gt;=2,C258&lt;=2958465,C258=INT(C258))),"INVALID INVOICE DATE",IF(NOT(OR(D258="MX",D258="US")),"ENTITY REQUIRED",IF(NOT(OR(E258="Strategic Services",E258="Brands")),"UNIT REQUIRED",IF(F258="","BRAND / N/A REQUIRED",IF(NOT(OR(G258="USD",G258="MXN")),"CURRENCY REQUIRED",IF(NOT(ISNUMBER(H258)),"AMOUNT REQUIRED",IF(J258="","ERP SOURCE REQUIRED",IF(NOT(OR(K258="ISSUED",K258="CANCELLED")),"INVOICE STATUS REQUIRED",IF(COUNTIFS($A$2:$A$501,A258,$B$2:$B$501,B258,$D$2:$D$501,D258)&gt;1,"DUPLICATE INVOICE / PROJECT",IF(SUMPRODUCT(--(('ERP Snapshot'!$A$2:$A$101&amp;"")=(B258&amp;"")))=0,"PROJECT NOT FOUND",IF(SUMPRODUCT(--(('ERP Snapshot'!$A$2:$A$101&amp;"")=(B258&amp;"")))&gt;1,"DUPLICATE PROJECT ID",IF(OR(SUMPRODUCT(--(('ERP Snapshot'!$A$2:$A$101&amp;"")=(B258&amp;"")),--('ERP Snapshot'!$Q$2:$Q$101=E258),--('ERP Snapshot'!$R$2:$R$101=F258))&lt;&gt;1,SUMPRODUCT(--('Commercial Catalogs'!$A$2:$A$10=E258),--('Commercial Catalogs'!$B$2:$B$10=F258),--('Commercial Catalogs'!$C$2:$C$10="YES"),--('Commercial Catalogs'!$D$2:$D$10="IN SCOPE"))=0,AND(E258="Strategic Services",F258&lt;&gt;"N/A"),AND(E258="Brands",F258="N/A")),"PROJECT CLASSIFICATION MISMATCH",IF(AND(G258="MXN",NOT(AND(ISNUMBER(I258),Settings!$B$8="APPROVED",Settings!$B$9&lt;&gt;"",Settings!$B$10&lt;&gt;""))),"FX HOLD","VALID"))))))))))))))))))</x:f>
      </x:c>
      <x:c r="M258" s="57" t="str">
        <x:f>IF(ISNUMBER(C258),IF(AND(ISNUMBER(C258),C258&gt;=2,C258&lt;=2958465,C258=INT(C258)),YEAR(C258)&amp;"-"&amp;IF(MONTH(C258)&lt;10,"0","")&amp;MONTH(C258),""),"")</x:f>
      </x:c>
      <x:c r="N258" s="59" t="str">
        <x:f>IF(L258="VALID",IF(G258="USD",H258,I258),"")</x:f>
      </x:c>
      <x:c r="O258" s="57" t="n">
        <x:f>IF(L258="VALID",IF(COUNTIFS($B$2:B258,B258,$M$2:M258,M258,$L$2:L258,"VALID")=1,1,0),0)</x:f>
        <x:v>0</x:v>
      </x:c>
    </x:row>
    <x:row r="259">
      <x:c r="A259" s="47"/>
      <x:c r="B259" s="47"/>
      <x:c r="C259" s="69"/>
      <x:c r="D259" s="47"/>
      <x:c r="E259" s="47"/>
      <x:c r="F259" s="47"/>
      <x:c r="G259" s="47"/>
      <x:c r="H259" s="48"/>
      <x:c r="I259" s="48"/>
      <x:c r="J259" s="47"/>
      <x:c r="K259" s="47"/>
      <x:c r="L259" s="57" t="str">
        <x:f>IF(COUNTA(A259:K259)=0,"",IF(K259="CANCELLED","CANCELLED",IF(A259="","INVOICE ID REQUIRED",IF(B259="","PROJECT ID REQUIRED",IF(NOT(ISNUMBER(C259)),"INVALID INVOICE DATE",IF(NOT(AND(ISNUMBER(C259),C259&gt;=2,C259&lt;=2958465,C259=INT(C259))),"INVALID INVOICE DATE",IF(NOT(OR(D259="MX",D259="US")),"ENTITY REQUIRED",IF(NOT(OR(E259="Strategic Services",E259="Brands")),"UNIT REQUIRED",IF(F259="","BRAND / N/A REQUIRED",IF(NOT(OR(G259="USD",G259="MXN")),"CURRENCY REQUIRED",IF(NOT(ISNUMBER(H259)),"AMOUNT REQUIRED",IF(J259="","ERP SOURCE REQUIRED",IF(NOT(OR(K259="ISSUED",K259="CANCELLED")),"INVOICE STATUS REQUIRED",IF(COUNTIFS($A$2:$A$501,A259,$B$2:$B$501,B259,$D$2:$D$501,D259)&gt;1,"DUPLICATE INVOICE / PROJECT",IF(SUMPRODUCT(--(('ERP Snapshot'!$A$2:$A$101&amp;"")=(B259&amp;"")))=0,"PROJECT NOT FOUND",IF(SUMPRODUCT(--(('ERP Snapshot'!$A$2:$A$101&amp;"")=(B259&amp;"")))&gt;1,"DUPLICATE PROJECT ID",IF(OR(SUMPRODUCT(--(('ERP Snapshot'!$A$2:$A$101&amp;"")=(B259&amp;"")),--('ERP Snapshot'!$Q$2:$Q$101=E259),--('ERP Snapshot'!$R$2:$R$101=F259))&lt;&gt;1,SUMPRODUCT(--('Commercial Catalogs'!$A$2:$A$10=E259),--('Commercial Catalogs'!$B$2:$B$10=F259),--('Commercial Catalogs'!$C$2:$C$10="YES"),--('Commercial Catalogs'!$D$2:$D$10="IN SCOPE"))=0,AND(E259="Strategic Services",F259&lt;&gt;"N/A"),AND(E259="Brands",F259="N/A")),"PROJECT CLASSIFICATION MISMATCH",IF(AND(G259="MXN",NOT(AND(ISNUMBER(I259),Settings!$B$8="APPROVED",Settings!$B$9&lt;&gt;"",Settings!$B$10&lt;&gt;""))),"FX HOLD","VALID"))))))))))))))))))</x:f>
      </x:c>
      <x:c r="M259" s="57" t="str">
        <x:f>IF(ISNUMBER(C259),IF(AND(ISNUMBER(C259),C259&gt;=2,C259&lt;=2958465,C259=INT(C259)),YEAR(C259)&amp;"-"&amp;IF(MONTH(C259)&lt;10,"0","")&amp;MONTH(C259),""),"")</x:f>
      </x:c>
      <x:c r="N259" s="59" t="str">
        <x:f>IF(L259="VALID",IF(G259="USD",H259,I259),"")</x:f>
      </x:c>
      <x:c r="O259" s="57" t="n">
        <x:f>IF(L259="VALID",IF(COUNTIFS($B$2:B259,B259,$M$2:M259,M259,$L$2:L259,"VALID")=1,1,0),0)</x:f>
        <x:v>0</x:v>
      </x:c>
    </x:row>
    <x:row r="260">
      <x:c r="A260" s="47"/>
      <x:c r="B260" s="47"/>
      <x:c r="C260" s="69"/>
      <x:c r="D260" s="47"/>
      <x:c r="E260" s="47"/>
      <x:c r="F260" s="47"/>
      <x:c r="G260" s="47"/>
      <x:c r="H260" s="48"/>
      <x:c r="I260" s="48"/>
      <x:c r="J260" s="47"/>
      <x:c r="K260" s="47"/>
      <x:c r="L260" s="57" t="str">
        <x:f>IF(COUNTA(A260:K260)=0,"",IF(K260="CANCELLED","CANCELLED",IF(A260="","INVOICE ID REQUIRED",IF(B260="","PROJECT ID REQUIRED",IF(NOT(ISNUMBER(C260)),"INVALID INVOICE DATE",IF(NOT(AND(ISNUMBER(C260),C260&gt;=2,C260&lt;=2958465,C260=INT(C260))),"INVALID INVOICE DATE",IF(NOT(OR(D260="MX",D260="US")),"ENTITY REQUIRED",IF(NOT(OR(E260="Strategic Services",E260="Brands")),"UNIT REQUIRED",IF(F260="","BRAND / N/A REQUIRED",IF(NOT(OR(G260="USD",G260="MXN")),"CURRENCY REQUIRED",IF(NOT(ISNUMBER(H260)),"AMOUNT REQUIRED",IF(J260="","ERP SOURCE REQUIRED",IF(NOT(OR(K260="ISSUED",K260="CANCELLED")),"INVOICE STATUS REQUIRED",IF(COUNTIFS($A$2:$A$501,A260,$B$2:$B$501,B260,$D$2:$D$501,D260)&gt;1,"DUPLICATE INVOICE / PROJECT",IF(SUMPRODUCT(--(('ERP Snapshot'!$A$2:$A$101&amp;"")=(B260&amp;"")))=0,"PROJECT NOT FOUND",IF(SUMPRODUCT(--(('ERP Snapshot'!$A$2:$A$101&amp;"")=(B260&amp;"")))&gt;1,"DUPLICATE PROJECT ID",IF(OR(SUMPRODUCT(--(('ERP Snapshot'!$A$2:$A$101&amp;"")=(B260&amp;"")),--('ERP Snapshot'!$Q$2:$Q$101=E260),--('ERP Snapshot'!$R$2:$R$101=F260))&lt;&gt;1,SUMPRODUCT(--('Commercial Catalogs'!$A$2:$A$10=E260),--('Commercial Catalogs'!$B$2:$B$10=F260),--('Commercial Catalogs'!$C$2:$C$10="YES"),--('Commercial Catalogs'!$D$2:$D$10="IN SCOPE"))=0,AND(E260="Strategic Services",F260&lt;&gt;"N/A"),AND(E260="Brands",F260="N/A")),"PROJECT CLASSIFICATION MISMATCH",IF(AND(G260="MXN",NOT(AND(ISNUMBER(I260),Settings!$B$8="APPROVED",Settings!$B$9&lt;&gt;"",Settings!$B$10&lt;&gt;""))),"FX HOLD","VALID"))))))))))))))))))</x:f>
      </x:c>
      <x:c r="M260" s="57" t="str">
        <x:f>IF(ISNUMBER(C260),IF(AND(ISNUMBER(C260),C260&gt;=2,C260&lt;=2958465,C260=INT(C260)),YEAR(C260)&amp;"-"&amp;IF(MONTH(C260)&lt;10,"0","")&amp;MONTH(C260),""),"")</x:f>
      </x:c>
      <x:c r="N260" s="59" t="str">
        <x:f>IF(L260="VALID",IF(G260="USD",H260,I260),"")</x:f>
      </x:c>
      <x:c r="O260" s="57" t="n">
        <x:f>IF(L260="VALID",IF(COUNTIFS($B$2:B260,B260,$M$2:M260,M260,$L$2:L260,"VALID")=1,1,0),0)</x:f>
        <x:v>0</x:v>
      </x:c>
    </x:row>
    <x:row r="261">
      <x:c r="A261" s="47"/>
      <x:c r="B261" s="47"/>
      <x:c r="C261" s="69"/>
      <x:c r="D261" s="47"/>
      <x:c r="E261" s="47"/>
      <x:c r="F261" s="47"/>
      <x:c r="G261" s="47"/>
      <x:c r="H261" s="48"/>
      <x:c r="I261" s="48"/>
      <x:c r="J261" s="47"/>
      <x:c r="K261" s="47"/>
      <x:c r="L261" s="57" t="str">
        <x:f>IF(COUNTA(A261:K261)=0,"",IF(K261="CANCELLED","CANCELLED",IF(A261="","INVOICE ID REQUIRED",IF(B261="","PROJECT ID REQUIRED",IF(NOT(ISNUMBER(C261)),"INVALID INVOICE DATE",IF(NOT(AND(ISNUMBER(C261),C261&gt;=2,C261&lt;=2958465,C261=INT(C261))),"INVALID INVOICE DATE",IF(NOT(OR(D261="MX",D261="US")),"ENTITY REQUIRED",IF(NOT(OR(E261="Strategic Services",E261="Brands")),"UNIT REQUIRED",IF(F261="","BRAND / N/A REQUIRED",IF(NOT(OR(G261="USD",G261="MXN")),"CURRENCY REQUIRED",IF(NOT(ISNUMBER(H261)),"AMOUNT REQUIRED",IF(J261="","ERP SOURCE REQUIRED",IF(NOT(OR(K261="ISSUED",K261="CANCELLED")),"INVOICE STATUS REQUIRED",IF(COUNTIFS($A$2:$A$501,A261,$B$2:$B$501,B261,$D$2:$D$501,D261)&gt;1,"DUPLICATE INVOICE / PROJECT",IF(SUMPRODUCT(--(('ERP Snapshot'!$A$2:$A$101&amp;"")=(B261&amp;"")))=0,"PROJECT NOT FOUND",IF(SUMPRODUCT(--(('ERP Snapshot'!$A$2:$A$101&amp;"")=(B261&amp;"")))&gt;1,"DUPLICATE PROJECT ID",IF(OR(SUMPRODUCT(--(('ERP Snapshot'!$A$2:$A$101&amp;"")=(B261&amp;"")),--('ERP Snapshot'!$Q$2:$Q$101=E261),--('ERP Snapshot'!$R$2:$R$101=F261))&lt;&gt;1,SUMPRODUCT(--('Commercial Catalogs'!$A$2:$A$10=E261),--('Commercial Catalogs'!$B$2:$B$10=F261),--('Commercial Catalogs'!$C$2:$C$10="YES"),--('Commercial Catalogs'!$D$2:$D$10="IN SCOPE"))=0,AND(E261="Strategic Services",F261&lt;&gt;"N/A"),AND(E261="Brands",F261="N/A")),"PROJECT CLASSIFICATION MISMATCH",IF(AND(G261="MXN",NOT(AND(ISNUMBER(I261),Settings!$B$8="APPROVED",Settings!$B$9&lt;&gt;"",Settings!$B$10&lt;&gt;""))),"FX HOLD","VALID"))))))))))))))))))</x:f>
      </x:c>
      <x:c r="M261" s="57" t="str">
        <x:f>IF(ISNUMBER(C261),IF(AND(ISNUMBER(C261),C261&gt;=2,C261&lt;=2958465,C261=INT(C261)),YEAR(C261)&amp;"-"&amp;IF(MONTH(C261)&lt;10,"0","")&amp;MONTH(C261),""),"")</x:f>
      </x:c>
      <x:c r="N261" s="59" t="str">
        <x:f>IF(L261="VALID",IF(G261="USD",H261,I261),"")</x:f>
      </x:c>
      <x:c r="O261" s="57" t="n">
        <x:f>IF(L261="VALID",IF(COUNTIFS($B$2:B261,B261,$M$2:M261,M261,$L$2:L261,"VALID")=1,1,0),0)</x:f>
        <x:v>0</x:v>
      </x:c>
    </x:row>
    <x:row r="262">
      <x:c r="A262" s="47"/>
      <x:c r="B262" s="47"/>
      <x:c r="C262" s="69"/>
      <x:c r="D262" s="47"/>
      <x:c r="E262" s="47"/>
      <x:c r="F262" s="47"/>
      <x:c r="G262" s="47"/>
      <x:c r="H262" s="48"/>
      <x:c r="I262" s="48"/>
      <x:c r="J262" s="47"/>
      <x:c r="K262" s="47"/>
      <x:c r="L262" s="57" t="str">
        <x:f>IF(COUNTA(A262:K262)=0,"",IF(K262="CANCELLED","CANCELLED",IF(A262="","INVOICE ID REQUIRED",IF(B262="","PROJECT ID REQUIRED",IF(NOT(ISNUMBER(C262)),"INVALID INVOICE DATE",IF(NOT(AND(ISNUMBER(C262),C262&gt;=2,C262&lt;=2958465,C262=INT(C262))),"INVALID INVOICE DATE",IF(NOT(OR(D262="MX",D262="US")),"ENTITY REQUIRED",IF(NOT(OR(E262="Strategic Services",E262="Brands")),"UNIT REQUIRED",IF(F262="","BRAND / N/A REQUIRED",IF(NOT(OR(G262="USD",G262="MXN")),"CURRENCY REQUIRED",IF(NOT(ISNUMBER(H262)),"AMOUNT REQUIRED",IF(J262="","ERP SOURCE REQUIRED",IF(NOT(OR(K262="ISSUED",K262="CANCELLED")),"INVOICE STATUS REQUIRED",IF(COUNTIFS($A$2:$A$501,A262,$B$2:$B$501,B262,$D$2:$D$501,D262)&gt;1,"DUPLICATE INVOICE / PROJECT",IF(SUMPRODUCT(--(('ERP Snapshot'!$A$2:$A$101&amp;"")=(B262&amp;"")))=0,"PROJECT NOT FOUND",IF(SUMPRODUCT(--(('ERP Snapshot'!$A$2:$A$101&amp;"")=(B262&amp;"")))&gt;1,"DUPLICATE PROJECT ID",IF(OR(SUMPRODUCT(--(('ERP Snapshot'!$A$2:$A$101&amp;"")=(B262&amp;"")),--('ERP Snapshot'!$Q$2:$Q$101=E262),--('ERP Snapshot'!$R$2:$R$101=F262))&lt;&gt;1,SUMPRODUCT(--('Commercial Catalogs'!$A$2:$A$10=E262),--('Commercial Catalogs'!$B$2:$B$10=F262),--('Commercial Catalogs'!$C$2:$C$10="YES"),--('Commercial Catalogs'!$D$2:$D$10="IN SCOPE"))=0,AND(E262="Strategic Services",F262&lt;&gt;"N/A"),AND(E262="Brands",F262="N/A")),"PROJECT CLASSIFICATION MISMATCH",IF(AND(G262="MXN",NOT(AND(ISNUMBER(I262),Settings!$B$8="APPROVED",Settings!$B$9&lt;&gt;"",Settings!$B$10&lt;&gt;""))),"FX HOLD","VALID"))))))))))))))))))</x:f>
      </x:c>
      <x:c r="M262" s="57" t="str">
        <x:f>IF(ISNUMBER(C262),IF(AND(ISNUMBER(C262),C262&gt;=2,C262&lt;=2958465,C262=INT(C262)),YEAR(C262)&amp;"-"&amp;IF(MONTH(C262)&lt;10,"0","")&amp;MONTH(C262),""),"")</x:f>
      </x:c>
      <x:c r="N262" s="59" t="str">
        <x:f>IF(L262="VALID",IF(G262="USD",H262,I262),"")</x:f>
      </x:c>
      <x:c r="O262" s="57" t="n">
        <x:f>IF(L262="VALID",IF(COUNTIFS($B$2:B262,B262,$M$2:M262,M262,$L$2:L262,"VALID")=1,1,0),0)</x:f>
        <x:v>0</x:v>
      </x:c>
    </x:row>
    <x:row r="263">
      <x:c r="A263" s="47"/>
      <x:c r="B263" s="47"/>
      <x:c r="C263" s="69"/>
      <x:c r="D263" s="47"/>
      <x:c r="E263" s="47"/>
      <x:c r="F263" s="47"/>
      <x:c r="G263" s="47"/>
      <x:c r="H263" s="48"/>
      <x:c r="I263" s="48"/>
      <x:c r="J263" s="47"/>
      <x:c r="K263" s="47"/>
      <x:c r="L263" s="57" t="str">
        <x:f>IF(COUNTA(A263:K263)=0,"",IF(K263="CANCELLED","CANCELLED",IF(A263="","INVOICE ID REQUIRED",IF(B263="","PROJECT ID REQUIRED",IF(NOT(ISNUMBER(C263)),"INVALID INVOICE DATE",IF(NOT(AND(ISNUMBER(C263),C263&gt;=2,C263&lt;=2958465,C263=INT(C263))),"INVALID INVOICE DATE",IF(NOT(OR(D263="MX",D263="US")),"ENTITY REQUIRED",IF(NOT(OR(E263="Strategic Services",E263="Brands")),"UNIT REQUIRED",IF(F263="","BRAND / N/A REQUIRED",IF(NOT(OR(G263="USD",G263="MXN")),"CURRENCY REQUIRED",IF(NOT(ISNUMBER(H263)),"AMOUNT REQUIRED",IF(J263="","ERP SOURCE REQUIRED",IF(NOT(OR(K263="ISSUED",K263="CANCELLED")),"INVOICE STATUS REQUIRED",IF(COUNTIFS($A$2:$A$501,A263,$B$2:$B$501,B263,$D$2:$D$501,D263)&gt;1,"DUPLICATE INVOICE / PROJECT",IF(SUMPRODUCT(--(('ERP Snapshot'!$A$2:$A$101&amp;"")=(B263&amp;"")))=0,"PROJECT NOT FOUND",IF(SUMPRODUCT(--(('ERP Snapshot'!$A$2:$A$101&amp;"")=(B263&amp;"")))&gt;1,"DUPLICATE PROJECT ID",IF(OR(SUMPRODUCT(--(('ERP Snapshot'!$A$2:$A$101&amp;"")=(B263&amp;"")),--('ERP Snapshot'!$Q$2:$Q$101=E263),--('ERP Snapshot'!$R$2:$R$101=F263))&lt;&gt;1,SUMPRODUCT(--('Commercial Catalogs'!$A$2:$A$10=E263),--('Commercial Catalogs'!$B$2:$B$10=F263),--('Commercial Catalogs'!$C$2:$C$10="YES"),--('Commercial Catalogs'!$D$2:$D$10="IN SCOPE"))=0,AND(E263="Strategic Services",F263&lt;&gt;"N/A"),AND(E263="Brands",F263="N/A")),"PROJECT CLASSIFICATION MISMATCH",IF(AND(G263="MXN",NOT(AND(ISNUMBER(I263),Settings!$B$8="APPROVED",Settings!$B$9&lt;&gt;"",Settings!$B$10&lt;&gt;""))),"FX HOLD","VALID"))))))))))))))))))</x:f>
      </x:c>
      <x:c r="M263" s="57" t="str">
        <x:f>IF(ISNUMBER(C263),IF(AND(ISNUMBER(C263),C263&gt;=2,C263&lt;=2958465,C263=INT(C263)),YEAR(C263)&amp;"-"&amp;IF(MONTH(C263)&lt;10,"0","")&amp;MONTH(C263),""),"")</x:f>
      </x:c>
      <x:c r="N263" s="59" t="str">
        <x:f>IF(L263="VALID",IF(G263="USD",H263,I263),"")</x:f>
      </x:c>
      <x:c r="O263" s="57" t="n">
        <x:f>IF(L263="VALID",IF(COUNTIFS($B$2:B263,B263,$M$2:M263,M263,$L$2:L263,"VALID")=1,1,0),0)</x:f>
        <x:v>0</x:v>
      </x:c>
    </x:row>
    <x:row r="264">
      <x:c r="A264" s="47"/>
      <x:c r="B264" s="47"/>
      <x:c r="C264" s="69"/>
      <x:c r="D264" s="47"/>
      <x:c r="E264" s="47"/>
      <x:c r="F264" s="47"/>
      <x:c r="G264" s="47"/>
      <x:c r="H264" s="48"/>
      <x:c r="I264" s="48"/>
      <x:c r="J264" s="47"/>
      <x:c r="K264" s="47"/>
      <x:c r="L264" s="57" t="str">
        <x:f>IF(COUNTA(A264:K264)=0,"",IF(K264="CANCELLED","CANCELLED",IF(A264="","INVOICE ID REQUIRED",IF(B264="","PROJECT ID REQUIRED",IF(NOT(ISNUMBER(C264)),"INVALID INVOICE DATE",IF(NOT(AND(ISNUMBER(C264),C264&gt;=2,C264&lt;=2958465,C264=INT(C264))),"INVALID INVOICE DATE",IF(NOT(OR(D264="MX",D264="US")),"ENTITY REQUIRED",IF(NOT(OR(E264="Strategic Services",E264="Brands")),"UNIT REQUIRED",IF(F264="","BRAND / N/A REQUIRED",IF(NOT(OR(G264="USD",G264="MXN")),"CURRENCY REQUIRED",IF(NOT(ISNUMBER(H264)),"AMOUNT REQUIRED",IF(J264="","ERP SOURCE REQUIRED",IF(NOT(OR(K264="ISSUED",K264="CANCELLED")),"INVOICE STATUS REQUIRED",IF(COUNTIFS($A$2:$A$501,A264,$B$2:$B$501,B264,$D$2:$D$501,D264)&gt;1,"DUPLICATE INVOICE / PROJECT",IF(SUMPRODUCT(--(('ERP Snapshot'!$A$2:$A$101&amp;"")=(B264&amp;"")))=0,"PROJECT NOT FOUND",IF(SUMPRODUCT(--(('ERP Snapshot'!$A$2:$A$101&amp;"")=(B264&amp;"")))&gt;1,"DUPLICATE PROJECT ID",IF(OR(SUMPRODUCT(--(('ERP Snapshot'!$A$2:$A$101&amp;"")=(B264&amp;"")),--('ERP Snapshot'!$Q$2:$Q$101=E264),--('ERP Snapshot'!$R$2:$R$101=F264))&lt;&gt;1,SUMPRODUCT(--('Commercial Catalogs'!$A$2:$A$10=E264),--('Commercial Catalogs'!$B$2:$B$10=F264),--('Commercial Catalogs'!$C$2:$C$10="YES"),--('Commercial Catalogs'!$D$2:$D$10="IN SCOPE"))=0,AND(E264="Strategic Services",F264&lt;&gt;"N/A"),AND(E264="Brands",F264="N/A")),"PROJECT CLASSIFICATION MISMATCH",IF(AND(G264="MXN",NOT(AND(ISNUMBER(I264),Settings!$B$8="APPROVED",Settings!$B$9&lt;&gt;"",Settings!$B$10&lt;&gt;""))),"FX HOLD","VALID"))))))))))))))))))</x:f>
      </x:c>
      <x:c r="M264" s="57" t="str">
        <x:f>IF(ISNUMBER(C264),IF(AND(ISNUMBER(C264),C264&gt;=2,C264&lt;=2958465,C264=INT(C264)),YEAR(C264)&amp;"-"&amp;IF(MONTH(C264)&lt;10,"0","")&amp;MONTH(C264),""),"")</x:f>
      </x:c>
      <x:c r="N264" s="59" t="str">
        <x:f>IF(L264="VALID",IF(G264="USD",H264,I264),"")</x:f>
      </x:c>
      <x:c r="O264" s="57" t="n">
        <x:f>IF(L264="VALID",IF(COUNTIFS($B$2:B264,B264,$M$2:M264,M264,$L$2:L264,"VALID")=1,1,0),0)</x:f>
        <x:v>0</x:v>
      </x:c>
    </x:row>
    <x:row r="265">
      <x:c r="A265" s="47"/>
      <x:c r="B265" s="47"/>
      <x:c r="C265" s="69"/>
      <x:c r="D265" s="47"/>
      <x:c r="E265" s="47"/>
      <x:c r="F265" s="47"/>
      <x:c r="G265" s="47"/>
      <x:c r="H265" s="48"/>
      <x:c r="I265" s="48"/>
      <x:c r="J265" s="47"/>
      <x:c r="K265" s="47"/>
      <x:c r="L265" s="57" t="str">
        <x:f>IF(COUNTA(A265:K265)=0,"",IF(K265="CANCELLED","CANCELLED",IF(A265="","INVOICE ID REQUIRED",IF(B265="","PROJECT ID REQUIRED",IF(NOT(ISNUMBER(C265)),"INVALID INVOICE DATE",IF(NOT(AND(ISNUMBER(C265),C265&gt;=2,C265&lt;=2958465,C265=INT(C265))),"INVALID INVOICE DATE",IF(NOT(OR(D265="MX",D265="US")),"ENTITY REQUIRED",IF(NOT(OR(E265="Strategic Services",E265="Brands")),"UNIT REQUIRED",IF(F265="","BRAND / N/A REQUIRED",IF(NOT(OR(G265="USD",G265="MXN")),"CURRENCY REQUIRED",IF(NOT(ISNUMBER(H265)),"AMOUNT REQUIRED",IF(J265="","ERP SOURCE REQUIRED",IF(NOT(OR(K265="ISSUED",K265="CANCELLED")),"INVOICE STATUS REQUIRED",IF(COUNTIFS($A$2:$A$501,A265,$B$2:$B$501,B265,$D$2:$D$501,D265)&gt;1,"DUPLICATE INVOICE / PROJECT",IF(SUMPRODUCT(--(('ERP Snapshot'!$A$2:$A$101&amp;"")=(B265&amp;"")))=0,"PROJECT NOT FOUND",IF(SUMPRODUCT(--(('ERP Snapshot'!$A$2:$A$101&amp;"")=(B265&amp;"")))&gt;1,"DUPLICATE PROJECT ID",IF(OR(SUMPRODUCT(--(('ERP Snapshot'!$A$2:$A$101&amp;"")=(B265&amp;"")),--('ERP Snapshot'!$Q$2:$Q$101=E265),--('ERP Snapshot'!$R$2:$R$101=F265))&lt;&gt;1,SUMPRODUCT(--('Commercial Catalogs'!$A$2:$A$10=E265),--('Commercial Catalogs'!$B$2:$B$10=F265),--('Commercial Catalogs'!$C$2:$C$10="YES"),--('Commercial Catalogs'!$D$2:$D$10="IN SCOPE"))=0,AND(E265="Strategic Services",F265&lt;&gt;"N/A"),AND(E265="Brands",F265="N/A")),"PROJECT CLASSIFICATION MISMATCH",IF(AND(G265="MXN",NOT(AND(ISNUMBER(I265),Settings!$B$8="APPROVED",Settings!$B$9&lt;&gt;"",Settings!$B$10&lt;&gt;""))),"FX HOLD","VALID"))))))))))))))))))</x:f>
      </x:c>
      <x:c r="M265" s="57" t="str">
        <x:f>IF(ISNUMBER(C265),IF(AND(ISNUMBER(C265),C265&gt;=2,C265&lt;=2958465,C265=INT(C265)),YEAR(C265)&amp;"-"&amp;IF(MONTH(C265)&lt;10,"0","")&amp;MONTH(C265),""),"")</x:f>
      </x:c>
      <x:c r="N265" s="59" t="str">
        <x:f>IF(L265="VALID",IF(G265="USD",H265,I265),"")</x:f>
      </x:c>
      <x:c r="O265" s="57" t="n">
        <x:f>IF(L265="VALID",IF(COUNTIFS($B$2:B265,B265,$M$2:M265,M265,$L$2:L265,"VALID")=1,1,0),0)</x:f>
        <x:v>0</x:v>
      </x:c>
    </x:row>
    <x:row r="266">
      <x:c r="A266" s="47"/>
      <x:c r="B266" s="47"/>
      <x:c r="C266" s="69"/>
      <x:c r="D266" s="47"/>
      <x:c r="E266" s="47"/>
      <x:c r="F266" s="47"/>
      <x:c r="G266" s="47"/>
      <x:c r="H266" s="48"/>
      <x:c r="I266" s="48"/>
      <x:c r="J266" s="47"/>
      <x:c r="K266" s="47"/>
      <x:c r="L266" s="57" t="str">
        <x:f>IF(COUNTA(A266:K266)=0,"",IF(K266="CANCELLED","CANCELLED",IF(A266="","INVOICE ID REQUIRED",IF(B266="","PROJECT ID REQUIRED",IF(NOT(ISNUMBER(C266)),"INVALID INVOICE DATE",IF(NOT(AND(ISNUMBER(C266),C266&gt;=2,C266&lt;=2958465,C266=INT(C266))),"INVALID INVOICE DATE",IF(NOT(OR(D266="MX",D266="US")),"ENTITY REQUIRED",IF(NOT(OR(E266="Strategic Services",E266="Brands")),"UNIT REQUIRED",IF(F266="","BRAND / N/A REQUIRED",IF(NOT(OR(G266="USD",G266="MXN")),"CURRENCY REQUIRED",IF(NOT(ISNUMBER(H266)),"AMOUNT REQUIRED",IF(J266="","ERP SOURCE REQUIRED",IF(NOT(OR(K266="ISSUED",K266="CANCELLED")),"INVOICE STATUS REQUIRED",IF(COUNTIFS($A$2:$A$501,A266,$B$2:$B$501,B266,$D$2:$D$501,D266)&gt;1,"DUPLICATE INVOICE / PROJECT",IF(SUMPRODUCT(--(('ERP Snapshot'!$A$2:$A$101&amp;"")=(B266&amp;"")))=0,"PROJECT NOT FOUND",IF(SUMPRODUCT(--(('ERP Snapshot'!$A$2:$A$101&amp;"")=(B266&amp;"")))&gt;1,"DUPLICATE PROJECT ID",IF(OR(SUMPRODUCT(--(('ERP Snapshot'!$A$2:$A$101&amp;"")=(B266&amp;"")),--('ERP Snapshot'!$Q$2:$Q$101=E266),--('ERP Snapshot'!$R$2:$R$101=F266))&lt;&gt;1,SUMPRODUCT(--('Commercial Catalogs'!$A$2:$A$10=E266),--('Commercial Catalogs'!$B$2:$B$10=F266),--('Commercial Catalogs'!$C$2:$C$10="YES"),--('Commercial Catalogs'!$D$2:$D$10="IN SCOPE"))=0,AND(E266="Strategic Services",F266&lt;&gt;"N/A"),AND(E266="Brands",F266="N/A")),"PROJECT CLASSIFICATION MISMATCH",IF(AND(G266="MXN",NOT(AND(ISNUMBER(I266),Settings!$B$8="APPROVED",Settings!$B$9&lt;&gt;"",Settings!$B$10&lt;&gt;""))),"FX HOLD","VALID"))))))))))))))))))</x:f>
      </x:c>
      <x:c r="M266" s="57" t="str">
        <x:f>IF(ISNUMBER(C266),IF(AND(ISNUMBER(C266),C266&gt;=2,C266&lt;=2958465,C266=INT(C266)),YEAR(C266)&amp;"-"&amp;IF(MONTH(C266)&lt;10,"0","")&amp;MONTH(C266),""),"")</x:f>
      </x:c>
      <x:c r="N266" s="59" t="str">
        <x:f>IF(L266="VALID",IF(G266="USD",H266,I266),"")</x:f>
      </x:c>
      <x:c r="O266" s="57" t="n">
        <x:f>IF(L266="VALID",IF(COUNTIFS($B$2:B266,B266,$M$2:M266,M266,$L$2:L266,"VALID")=1,1,0),0)</x:f>
        <x:v>0</x:v>
      </x:c>
    </x:row>
    <x:row r="267">
      <x:c r="A267" s="47"/>
      <x:c r="B267" s="47"/>
      <x:c r="C267" s="69"/>
      <x:c r="D267" s="47"/>
      <x:c r="E267" s="47"/>
      <x:c r="F267" s="47"/>
      <x:c r="G267" s="47"/>
      <x:c r="H267" s="48"/>
      <x:c r="I267" s="48"/>
      <x:c r="J267" s="47"/>
      <x:c r="K267" s="47"/>
      <x:c r="L267" s="57" t="str">
        <x:f>IF(COUNTA(A267:K267)=0,"",IF(K267="CANCELLED","CANCELLED",IF(A267="","INVOICE ID REQUIRED",IF(B267="","PROJECT ID REQUIRED",IF(NOT(ISNUMBER(C267)),"INVALID INVOICE DATE",IF(NOT(AND(ISNUMBER(C267),C267&gt;=2,C267&lt;=2958465,C267=INT(C267))),"INVALID INVOICE DATE",IF(NOT(OR(D267="MX",D267="US")),"ENTITY REQUIRED",IF(NOT(OR(E267="Strategic Services",E267="Brands")),"UNIT REQUIRED",IF(F267="","BRAND / N/A REQUIRED",IF(NOT(OR(G267="USD",G267="MXN")),"CURRENCY REQUIRED",IF(NOT(ISNUMBER(H267)),"AMOUNT REQUIRED",IF(J267="","ERP SOURCE REQUIRED",IF(NOT(OR(K267="ISSUED",K267="CANCELLED")),"INVOICE STATUS REQUIRED",IF(COUNTIFS($A$2:$A$501,A267,$B$2:$B$501,B267,$D$2:$D$501,D267)&gt;1,"DUPLICATE INVOICE / PROJECT",IF(SUMPRODUCT(--(('ERP Snapshot'!$A$2:$A$101&amp;"")=(B267&amp;"")))=0,"PROJECT NOT FOUND",IF(SUMPRODUCT(--(('ERP Snapshot'!$A$2:$A$101&amp;"")=(B267&amp;"")))&gt;1,"DUPLICATE PROJECT ID",IF(OR(SUMPRODUCT(--(('ERP Snapshot'!$A$2:$A$101&amp;"")=(B267&amp;"")),--('ERP Snapshot'!$Q$2:$Q$101=E267),--('ERP Snapshot'!$R$2:$R$101=F267))&lt;&gt;1,SUMPRODUCT(--('Commercial Catalogs'!$A$2:$A$10=E267),--('Commercial Catalogs'!$B$2:$B$10=F267),--('Commercial Catalogs'!$C$2:$C$10="YES"),--('Commercial Catalogs'!$D$2:$D$10="IN SCOPE"))=0,AND(E267="Strategic Services",F267&lt;&gt;"N/A"),AND(E267="Brands",F267="N/A")),"PROJECT CLASSIFICATION MISMATCH",IF(AND(G267="MXN",NOT(AND(ISNUMBER(I267),Settings!$B$8="APPROVED",Settings!$B$9&lt;&gt;"",Settings!$B$10&lt;&gt;""))),"FX HOLD","VALID"))))))))))))))))))</x:f>
      </x:c>
      <x:c r="M267" s="57" t="str">
        <x:f>IF(ISNUMBER(C267),IF(AND(ISNUMBER(C267),C267&gt;=2,C267&lt;=2958465,C267=INT(C267)),YEAR(C267)&amp;"-"&amp;IF(MONTH(C267)&lt;10,"0","")&amp;MONTH(C267),""),"")</x:f>
      </x:c>
      <x:c r="N267" s="59" t="str">
        <x:f>IF(L267="VALID",IF(G267="USD",H267,I267),"")</x:f>
      </x:c>
      <x:c r="O267" s="57" t="n">
        <x:f>IF(L267="VALID",IF(COUNTIFS($B$2:B267,B267,$M$2:M267,M267,$L$2:L267,"VALID")=1,1,0),0)</x:f>
        <x:v>0</x:v>
      </x:c>
    </x:row>
    <x:row r="268">
      <x:c r="A268" s="47"/>
      <x:c r="B268" s="47"/>
      <x:c r="C268" s="69"/>
      <x:c r="D268" s="47"/>
      <x:c r="E268" s="47"/>
      <x:c r="F268" s="47"/>
      <x:c r="G268" s="47"/>
      <x:c r="H268" s="48"/>
      <x:c r="I268" s="48"/>
      <x:c r="J268" s="47"/>
      <x:c r="K268" s="47"/>
      <x:c r="L268" s="57" t="str">
        <x:f>IF(COUNTA(A268:K268)=0,"",IF(K268="CANCELLED","CANCELLED",IF(A268="","INVOICE ID REQUIRED",IF(B268="","PROJECT ID REQUIRED",IF(NOT(ISNUMBER(C268)),"INVALID INVOICE DATE",IF(NOT(AND(ISNUMBER(C268),C268&gt;=2,C268&lt;=2958465,C268=INT(C268))),"INVALID INVOICE DATE",IF(NOT(OR(D268="MX",D268="US")),"ENTITY REQUIRED",IF(NOT(OR(E268="Strategic Services",E268="Brands")),"UNIT REQUIRED",IF(F268="","BRAND / N/A REQUIRED",IF(NOT(OR(G268="USD",G268="MXN")),"CURRENCY REQUIRED",IF(NOT(ISNUMBER(H268)),"AMOUNT REQUIRED",IF(J268="","ERP SOURCE REQUIRED",IF(NOT(OR(K268="ISSUED",K268="CANCELLED")),"INVOICE STATUS REQUIRED",IF(COUNTIFS($A$2:$A$501,A268,$B$2:$B$501,B268,$D$2:$D$501,D268)&gt;1,"DUPLICATE INVOICE / PROJECT",IF(SUMPRODUCT(--(('ERP Snapshot'!$A$2:$A$101&amp;"")=(B268&amp;"")))=0,"PROJECT NOT FOUND",IF(SUMPRODUCT(--(('ERP Snapshot'!$A$2:$A$101&amp;"")=(B268&amp;"")))&gt;1,"DUPLICATE PROJECT ID",IF(OR(SUMPRODUCT(--(('ERP Snapshot'!$A$2:$A$101&amp;"")=(B268&amp;"")),--('ERP Snapshot'!$Q$2:$Q$101=E268),--('ERP Snapshot'!$R$2:$R$101=F268))&lt;&gt;1,SUMPRODUCT(--('Commercial Catalogs'!$A$2:$A$10=E268),--('Commercial Catalogs'!$B$2:$B$10=F268),--('Commercial Catalogs'!$C$2:$C$10="YES"),--('Commercial Catalogs'!$D$2:$D$10="IN SCOPE"))=0,AND(E268="Strategic Services",F268&lt;&gt;"N/A"),AND(E268="Brands",F268="N/A")),"PROJECT CLASSIFICATION MISMATCH",IF(AND(G268="MXN",NOT(AND(ISNUMBER(I268),Settings!$B$8="APPROVED",Settings!$B$9&lt;&gt;"",Settings!$B$10&lt;&gt;""))),"FX HOLD","VALID"))))))))))))))))))</x:f>
      </x:c>
      <x:c r="M268" s="57" t="str">
        <x:f>IF(ISNUMBER(C268),IF(AND(ISNUMBER(C268),C268&gt;=2,C268&lt;=2958465,C268=INT(C268)),YEAR(C268)&amp;"-"&amp;IF(MONTH(C268)&lt;10,"0","")&amp;MONTH(C268),""),"")</x:f>
      </x:c>
      <x:c r="N268" s="59" t="str">
        <x:f>IF(L268="VALID",IF(G268="USD",H268,I268),"")</x:f>
      </x:c>
      <x:c r="O268" s="57" t="n">
        <x:f>IF(L268="VALID",IF(COUNTIFS($B$2:B268,B268,$M$2:M268,M268,$L$2:L268,"VALID")=1,1,0),0)</x:f>
        <x:v>0</x:v>
      </x:c>
    </x:row>
    <x:row r="269">
      <x:c r="A269" s="47"/>
      <x:c r="B269" s="47"/>
      <x:c r="C269" s="69"/>
      <x:c r="D269" s="47"/>
      <x:c r="E269" s="47"/>
      <x:c r="F269" s="47"/>
      <x:c r="G269" s="47"/>
      <x:c r="H269" s="48"/>
      <x:c r="I269" s="48"/>
      <x:c r="J269" s="47"/>
      <x:c r="K269" s="47"/>
      <x:c r="L269" s="57" t="str">
        <x:f>IF(COUNTA(A269:K269)=0,"",IF(K269="CANCELLED","CANCELLED",IF(A269="","INVOICE ID REQUIRED",IF(B269="","PROJECT ID REQUIRED",IF(NOT(ISNUMBER(C269)),"INVALID INVOICE DATE",IF(NOT(AND(ISNUMBER(C269),C269&gt;=2,C269&lt;=2958465,C269=INT(C269))),"INVALID INVOICE DATE",IF(NOT(OR(D269="MX",D269="US")),"ENTITY REQUIRED",IF(NOT(OR(E269="Strategic Services",E269="Brands")),"UNIT REQUIRED",IF(F269="","BRAND / N/A REQUIRED",IF(NOT(OR(G269="USD",G269="MXN")),"CURRENCY REQUIRED",IF(NOT(ISNUMBER(H269)),"AMOUNT REQUIRED",IF(J269="","ERP SOURCE REQUIRED",IF(NOT(OR(K269="ISSUED",K269="CANCELLED")),"INVOICE STATUS REQUIRED",IF(COUNTIFS($A$2:$A$501,A269,$B$2:$B$501,B269,$D$2:$D$501,D269)&gt;1,"DUPLICATE INVOICE / PROJECT",IF(SUMPRODUCT(--(('ERP Snapshot'!$A$2:$A$101&amp;"")=(B269&amp;"")))=0,"PROJECT NOT FOUND",IF(SUMPRODUCT(--(('ERP Snapshot'!$A$2:$A$101&amp;"")=(B269&amp;"")))&gt;1,"DUPLICATE PROJECT ID",IF(OR(SUMPRODUCT(--(('ERP Snapshot'!$A$2:$A$101&amp;"")=(B269&amp;"")),--('ERP Snapshot'!$Q$2:$Q$101=E269),--('ERP Snapshot'!$R$2:$R$101=F269))&lt;&gt;1,SUMPRODUCT(--('Commercial Catalogs'!$A$2:$A$10=E269),--('Commercial Catalogs'!$B$2:$B$10=F269),--('Commercial Catalogs'!$C$2:$C$10="YES"),--('Commercial Catalogs'!$D$2:$D$10="IN SCOPE"))=0,AND(E269="Strategic Services",F269&lt;&gt;"N/A"),AND(E269="Brands",F269="N/A")),"PROJECT CLASSIFICATION MISMATCH",IF(AND(G269="MXN",NOT(AND(ISNUMBER(I269),Settings!$B$8="APPROVED",Settings!$B$9&lt;&gt;"",Settings!$B$10&lt;&gt;""))),"FX HOLD","VALID"))))))))))))))))))</x:f>
      </x:c>
      <x:c r="M269" s="57" t="str">
        <x:f>IF(ISNUMBER(C269),IF(AND(ISNUMBER(C269),C269&gt;=2,C269&lt;=2958465,C269=INT(C269)),YEAR(C269)&amp;"-"&amp;IF(MONTH(C269)&lt;10,"0","")&amp;MONTH(C269),""),"")</x:f>
      </x:c>
      <x:c r="N269" s="59" t="str">
        <x:f>IF(L269="VALID",IF(G269="USD",H269,I269),"")</x:f>
      </x:c>
      <x:c r="O269" s="57" t="n">
        <x:f>IF(L269="VALID",IF(COUNTIFS($B$2:B269,B269,$M$2:M269,M269,$L$2:L269,"VALID")=1,1,0),0)</x:f>
        <x:v>0</x:v>
      </x:c>
    </x:row>
    <x:row r="270">
      <x:c r="A270" s="47"/>
      <x:c r="B270" s="47"/>
      <x:c r="C270" s="69"/>
      <x:c r="D270" s="47"/>
      <x:c r="E270" s="47"/>
      <x:c r="F270" s="47"/>
      <x:c r="G270" s="47"/>
      <x:c r="H270" s="48"/>
      <x:c r="I270" s="48"/>
      <x:c r="J270" s="47"/>
      <x:c r="K270" s="47"/>
      <x:c r="L270" s="57" t="str">
        <x:f>IF(COUNTA(A270:K270)=0,"",IF(K270="CANCELLED","CANCELLED",IF(A270="","INVOICE ID REQUIRED",IF(B270="","PROJECT ID REQUIRED",IF(NOT(ISNUMBER(C270)),"INVALID INVOICE DATE",IF(NOT(AND(ISNUMBER(C270),C270&gt;=2,C270&lt;=2958465,C270=INT(C270))),"INVALID INVOICE DATE",IF(NOT(OR(D270="MX",D270="US")),"ENTITY REQUIRED",IF(NOT(OR(E270="Strategic Services",E270="Brands")),"UNIT REQUIRED",IF(F270="","BRAND / N/A REQUIRED",IF(NOT(OR(G270="USD",G270="MXN")),"CURRENCY REQUIRED",IF(NOT(ISNUMBER(H270)),"AMOUNT REQUIRED",IF(J270="","ERP SOURCE REQUIRED",IF(NOT(OR(K270="ISSUED",K270="CANCELLED")),"INVOICE STATUS REQUIRED",IF(COUNTIFS($A$2:$A$501,A270,$B$2:$B$501,B270,$D$2:$D$501,D270)&gt;1,"DUPLICATE INVOICE / PROJECT",IF(SUMPRODUCT(--(('ERP Snapshot'!$A$2:$A$101&amp;"")=(B270&amp;"")))=0,"PROJECT NOT FOUND",IF(SUMPRODUCT(--(('ERP Snapshot'!$A$2:$A$101&amp;"")=(B270&amp;"")))&gt;1,"DUPLICATE PROJECT ID",IF(OR(SUMPRODUCT(--(('ERP Snapshot'!$A$2:$A$101&amp;"")=(B270&amp;"")),--('ERP Snapshot'!$Q$2:$Q$101=E270),--('ERP Snapshot'!$R$2:$R$101=F270))&lt;&gt;1,SUMPRODUCT(--('Commercial Catalogs'!$A$2:$A$10=E270),--('Commercial Catalogs'!$B$2:$B$10=F270),--('Commercial Catalogs'!$C$2:$C$10="YES"),--('Commercial Catalogs'!$D$2:$D$10="IN SCOPE"))=0,AND(E270="Strategic Services",F270&lt;&gt;"N/A"),AND(E270="Brands",F270="N/A")),"PROJECT CLASSIFICATION MISMATCH",IF(AND(G270="MXN",NOT(AND(ISNUMBER(I270),Settings!$B$8="APPROVED",Settings!$B$9&lt;&gt;"",Settings!$B$10&lt;&gt;""))),"FX HOLD","VALID"))))))))))))))))))</x:f>
      </x:c>
      <x:c r="M270" s="57" t="str">
        <x:f>IF(ISNUMBER(C270),IF(AND(ISNUMBER(C270),C270&gt;=2,C270&lt;=2958465,C270=INT(C270)),YEAR(C270)&amp;"-"&amp;IF(MONTH(C270)&lt;10,"0","")&amp;MONTH(C270),""),"")</x:f>
      </x:c>
      <x:c r="N270" s="59" t="str">
        <x:f>IF(L270="VALID",IF(G270="USD",H270,I270),"")</x:f>
      </x:c>
      <x:c r="O270" s="57" t="n">
        <x:f>IF(L270="VALID",IF(COUNTIFS($B$2:B270,B270,$M$2:M270,M270,$L$2:L270,"VALID")=1,1,0),0)</x:f>
        <x:v>0</x:v>
      </x:c>
    </x:row>
    <x:row r="271">
      <x:c r="A271" s="47"/>
      <x:c r="B271" s="47"/>
      <x:c r="C271" s="69"/>
      <x:c r="D271" s="47"/>
      <x:c r="E271" s="47"/>
      <x:c r="F271" s="47"/>
      <x:c r="G271" s="47"/>
      <x:c r="H271" s="48"/>
      <x:c r="I271" s="48"/>
      <x:c r="J271" s="47"/>
      <x:c r="K271" s="47"/>
      <x:c r="L271" s="57" t="str">
        <x:f>IF(COUNTA(A271:K271)=0,"",IF(K271="CANCELLED","CANCELLED",IF(A271="","INVOICE ID REQUIRED",IF(B271="","PROJECT ID REQUIRED",IF(NOT(ISNUMBER(C271)),"INVALID INVOICE DATE",IF(NOT(AND(ISNUMBER(C271),C271&gt;=2,C271&lt;=2958465,C271=INT(C271))),"INVALID INVOICE DATE",IF(NOT(OR(D271="MX",D271="US")),"ENTITY REQUIRED",IF(NOT(OR(E271="Strategic Services",E271="Brands")),"UNIT REQUIRED",IF(F271="","BRAND / N/A REQUIRED",IF(NOT(OR(G271="USD",G271="MXN")),"CURRENCY REQUIRED",IF(NOT(ISNUMBER(H271)),"AMOUNT REQUIRED",IF(J271="","ERP SOURCE REQUIRED",IF(NOT(OR(K271="ISSUED",K271="CANCELLED")),"INVOICE STATUS REQUIRED",IF(COUNTIFS($A$2:$A$501,A271,$B$2:$B$501,B271,$D$2:$D$501,D271)&gt;1,"DUPLICATE INVOICE / PROJECT",IF(SUMPRODUCT(--(('ERP Snapshot'!$A$2:$A$101&amp;"")=(B271&amp;"")))=0,"PROJECT NOT FOUND",IF(SUMPRODUCT(--(('ERP Snapshot'!$A$2:$A$101&amp;"")=(B271&amp;"")))&gt;1,"DUPLICATE PROJECT ID",IF(OR(SUMPRODUCT(--(('ERP Snapshot'!$A$2:$A$101&amp;"")=(B271&amp;"")),--('ERP Snapshot'!$Q$2:$Q$101=E271),--('ERP Snapshot'!$R$2:$R$101=F271))&lt;&gt;1,SUMPRODUCT(--('Commercial Catalogs'!$A$2:$A$10=E271),--('Commercial Catalogs'!$B$2:$B$10=F271),--('Commercial Catalogs'!$C$2:$C$10="YES"),--('Commercial Catalogs'!$D$2:$D$10="IN SCOPE"))=0,AND(E271="Strategic Services",F271&lt;&gt;"N/A"),AND(E271="Brands",F271="N/A")),"PROJECT CLASSIFICATION MISMATCH",IF(AND(G271="MXN",NOT(AND(ISNUMBER(I271),Settings!$B$8="APPROVED",Settings!$B$9&lt;&gt;"",Settings!$B$10&lt;&gt;""))),"FX HOLD","VALID"))))))))))))))))))</x:f>
      </x:c>
      <x:c r="M271" s="57" t="str">
        <x:f>IF(ISNUMBER(C271),IF(AND(ISNUMBER(C271),C271&gt;=2,C271&lt;=2958465,C271=INT(C271)),YEAR(C271)&amp;"-"&amp;IF(MONTH(C271)&lt;10,"0","")&amp;MONTH(C271),""),"")</x:f>
      </x:c>
      <x:c r="N271" s="59" t="str">
        <x:f>IF(L271="VALID",IF(G271="USD",H271,I271),"")</x:f>
      </x:c>
      <x:c r="O271" s="57" t="n">
        <x:f>IF(L271="VALID",IF(COUNTIFS($B$2:B271,B271,$M$2:M271,M271,$L$2:L271,"VALID")=1,1,0),0)</x:f>
        <x:v>0</x:v>
      </x:c>
    </x:row>
    <x:row r="272">
      <x:c r="A272" s="47"/>
      <x:c r="B272" s="47"/>
      <x:c r="C272" s="69"/>
      <x:c r="D272" s="47"/>
      <x:c r="E272" s="47"/>
      <x:c r="F272" s="47"/>
      <x:c r="G272" s="47"/>
      <x:c r="H272" s="48"/>
      <x:c r="I272" s="48"/>
      <x:c r="J272" s="47"/>
      <x:c r="K272" s="47"/>
      <x:c r="L272" s="57" t="str">
        <x:f>IF(COUNTA(A272:K272)=0,"",IF(K272="CANCELLED","CANCELLED",IF(A272="","INVOICE ID REQUIRED",IF(B272="","PROJECT ID REQUIRED",IF(NOT(ISNUMBER(C272)),"INVALID INVOICE DATE",IF(NOT(AND(ISNUMBER(C272),C272&gt;=2,C272&lt;=2958465,C272=INT(C272))),"INVALID INVOICE DATE",IF(NOT(OR(D272="MX",D272="US")),"ENTITY REQUIRED",IF(NOT(OR(E272="Strategic Services",E272="Brands")),"UNIT REQUIRED",IF(F272="","BRAND / N/A REQUIRED",IF(NOT(OR(G272="USD",G272="MXN")),"CURRENCY REQUIRED",IF(NOT(ISNUMBER(H272)),"AMOUNT REQUIRED",IF(J272="","ERP SOURCE REQUIRED",IF(NOT(OR(K272="ISSUED",K272="CANCELLED")),"INVOICE STATUS REQUIRED",IF(COUNTIFS($A$2:$A$501,A272,$B$2:$B$501,B272,$D$2:$D$501,D272)&gt;1,"DUPLICATE INVOICE / PROJECT",IF(SUMPRODUCT(--(('ERP Snapshot'!$A$2:$A$101&amp;"")=(B272&amp;"")))=0,"PROJECT NOT FOUND",IF(SUMPRODUCT(--(('ERP Snapshot'!$A$2:$A$101&amp;"")=(B272&amp;"")))&gt;1,"DUPLICATE PROJECT ID",IF(OR(SUMPRODUCT(--(('ERP Snapshot'!$A$2:$A$101&amp;"")=(B272&amp;"")),--('ERP Snapshot'!$Q$2:$Q$101=E272),--('ERP Snapshot'!$R$2:$R$101=F272))&lt;&gt;1,SUMPRODUCT(--('Commercial Catalogs'!$A$2:$A$10=E272),--('Commercial Catalogs'!$B$2:$B$10=F272),--('Commercial Catalogs'!$C$2:$C$10="YES"),--('Commercial Catalogs'!$D$2:$D$10="IN SCOPE"))=0,AND(E272="Strategic Services",F272&lt;&gt;"N/A"),AND(E272="Brands",F272="N/A")),"PROJECT CLASSIFICATION MISMATCH",IF(AND(G272="MXN",NOT(AND(ISNUMBER(I272),Settings!$B$8="APPROVED",Settings!$B$9&lt;&gt;"",Settings!$B$10&lt;&gt;""))),"FX HOLD","VALID"))))))))))))))))))</x:f>
      </x:c>
      <x:c r="M272" s="57" t="str">
        <x:f>IF(ISNUMBER(C272),IF(AND(ISNUMBER(C272),C272&gt;=2,C272&lt;=2958465,C272=INT(C272)),YEAR(C272)&amp;"-"&amp;IF(MONTH(C272)&lt;10,"0","")&amp;MONTH(C272),""),"")</x:f>
      </x:c>
      <x:c r="N272" s="59" t="str">
        <x:f>IF(L272="VALID",IF(G272="USD",H272,I272),"")</x:f>
      </x:c>
      <x:c r="O272" s="57" t="n">
        <x:f>IF(L272="VALID",IF(COUNTIFS($B$2:B272,B272,$M$2:M272,M272,$L$2:L272,"VALID")=1,1,0),0)</x:f>
        <x:v>0</x:v>
      </x:c>
    </x:row>
    <x:row r="273">
      <x:c r="A273" s="47"/>
      <x:c r="B273" s="47"/>
      <x:c r="C273" s="69"/>
      <x:c r="D273" s="47"/>
      <x:c r="E273" s="47"/>
      <x:c r="F273" s="47"/>
      <x:c r="G273" s="47"/>
      <x:c r="H273" s="48"/>
      <x:c r="I273" s="48"/>
      <x:c r="J273" s="47"/>
      <x:c r="K273" s="47"/>
      <x:c r="L273" s="57" t="str">
        <x:f>IF(COUNTA(A273:K273)=0,"",IF(K273="CANCELLED","CANCELLED",IF(A273="","INVOICE ID REQUIRED",IF(B273="","PROJECT ID REQUIRED",IF(NOT(ISNUMBER(C273)),"INVALID INVOICE DATE",IF(NOT(AND(ISNUMBER(C273),C273&gt;=2,C273&lt;=2958465,C273=INT(C273))),"INVALID INVOICE DATE",IF(NOT(OR(D273="MX",D273="US")),"ENTITY REQUIRED",IF(NOT(OR(E273="Strategic Services",E273="Brands")),"UNIT REQUIRED",IF(F273="","BRAND / N/A REQUIRED",IF(NOT(OR(G273="USD",G273="MXN")),"CURRENCY REQUIRED",IF(NOT(ISNUMBER(H273)),"AMOUNT REQUIRED",IF(J273="","ERP SOURCE REQUIRED",IF(NOT(OR(K273="ISSUED",K273="CANCELLED")),"INVOICE STATUS REQUIRED",IF(COUNTIFS($A$2:$A$501,A273,$B$2:$B$501,B273,$D$2:$D$501,D273)&gt;1,"DUPLICATE INVOICE / PROJECT",IF(SUMPRODUCT(--(('ERP Snapshot'!$A$2:$A$101&amp;"")=(B273&amp;"")))=0,"PROJECT NOT FOUND",IF(SUMPRODUCT(--(('ERP Snapshot'!$A$2:$A$101&amp;"")=(B273&amp;"")))&gt;1,"DUPLICATE PROJECT ID",IF(OR(SUMPRODUCT(--(('ERP Snapshot'!$A$2:$A$101&amp;"")=(B273&amp;"")),--('ERP Snapshot'!$Q$2:$Q$101=E273),--('ERP Snapshot'!$R$2:$R$101=F273))&lt;&gt;1,SUMPRODUCT(--('Commercial Catalogs'!$A$2:$A$10=E273),--('Commercial Catalogs'!$B$2:$B$10=F273),--('Commercial Catalogs'!$C$2:$C$10="YES"),--('Commercial Catalogs'!$D$2:$D$10="IN SCOPE"))=0,AND(E273="Strategic Services",F273&lt;&gt;"N/A"),AND(E273="Brands",F273="N/A")),"PROJECT CLASSIFICATION MISMATCH",IF(AND(G273="MXN",NOT(AND(ISNUMBER(I273),Settings!$B$8="APPROVED",Settings!$B$9&lt;&gt;"",Settings!$B$10&lt;&gt;""))),"FX HOLD","VALID"))))))))))))))))))</x:f>
      </x:c>
      <x:c r="M273" s="57" t="str">
        <x:f>IF(ISNUMBER(C273),IF(AND(ISNUMBER(C273),C273&gt;=2,C273&lt;=2958465,C273=INT(C273)),YEAR(C273)&amp;"-"&amp;IF(MONTH(C273)&lt;10,"0","")&amp;MONTH(C273),""),"")</x:f>
      </x:c>
      <x:c r="N273" s="59" t="str">
        <x:f>IF(L273="VALID",IF(G273="USD",H273,I273),"")</x:f>
      </x:c>
      <x:c r="O273" s="57" t="n">
        <x:f>IF(L273="VALID",IF(COUNTIFS($B$2:B273,B273,$M$2:M273,M273,$L$2:L273,"VALID")=1,1,0),0)</x:f>
        <x:v>0</x:v>
      </x:c>
    </x:row>
    <x:row r="274">
      <x:c r="A274" s="47"/>
      <x:c r="B274" s="47"/>
      <x:c r="C274" s="69"/>
      <x:c r="D274" s="47"/>
      <x:c r="E274" s="47"/>
      <x:c r="F274" s="47"/>
      <x:c r="G274" s="47"/>
      <x:c r="H274" s="48"/>
      <x:c r="I274" s="48"/>
      <x:c r="J274" s="47"/>
      <x:c r="K274" s="47"/>
      <x:c r="L274" s="57" t="str">
        <x:f>IF(COUNTA(A274:K274)=0,"",IF(K274="CANCELLED","CANCELLED",IF(A274="","INVOICE ID REQUIRED",IF(B274="","PROJECT ID REQUIRED",IF(NOT(ISNUMBER(C274)),"INVALID INVOICE DATE",IF(NOT(AND(ISNUMBER(C274),C274&gt;=2,C274&lt;=2958465,C274=INT(C274))),"INVALID INVOICE DATE",IF(NOT(OR(D274="MX",D274="US")),"ENTITY REQUIRED",IF(NOT(OR(E274="Strategic Services",E274="Brands")),"UNIT REQUIRED",IF(F274="","BRAND / N/A REQUIRED",IF(NOT(OR(G274="USD",G274="MXN")),"CURRENCY REQUIRED",IF(NOT(ISNUMBER(H274)),"AMOUNT REQUIRED",IF(J274="","ERP SOURCE REQUIRED",IF(NOT(OR(K274="ISSUED",K274="CANCELLED")),"INVOICE STATUS REQUIRED",IF(COUNTIFS($A$2:$A$501,A274,$B$2:$B$501,B274,$D$2:$D$501,D274)&gt;1,"DUPLICATE INVOICE / PROJECT",IF(SUMPRODUCT(--(('ERP Snapshot'!$A$2:$A$101&amp;"")=(B274&amp;"")))=0,"PROJECT NOT FOUND",IF(SUMPRODUCT(--(('ERP Snapshot'!$A$2:$A$101&amp;"")=(B274&amp;"")))&gt;1,"DUPLICATE PROJECT ID",IF(OR(SUMPRODUCT(--(('ERP Snapshot'!$A$2:$A$101&amp;"")=(B274&amp;"")),--('ERP Snapshot'!$Q$2:$Q$101=E274),--('ERP Snapshot'!$R$2:$R$101=F274))&lt;&gt;1,SUMPRODUCT(--('Commercial Catalogs'!$A$2:$A$10=E274),--('Commercial Catalogs'!$B$2:$B$10=F274),--('Commercial Catalogs'!$C$2:$C$10="YES"),--('Commercial Catalogs'!$D$2:$D$10="IN SCOPE"))=0,AND(E274="Strategic Services",F274&lt;&gt;"N/A"),AND(E274="Brands",F274="N/A")),"PROJECT CLASSIFICATION MISMATCH",IF(AND(G274="MXN",NOT(AND(ISNUMBER(I274),Settings!$B$8="APPROVED",Settings!$B$9&lt;&gt;"",Settings!$B$10&lt;&gt;""))),"FX HOLD","VALID"))))))))))))))))))</x:f>
      </x:c>
      <x:c r="M274" s="57" t="str">
        <x:f>IF(ISNUMBER(C274),IF(AND(ISNUMBER(C274),C274&gt;=2,C274&lt;=2958465,C274=INT(C274)),YEAR(C274)&amp;"-"&amp;IF(MONTH(C274)&lt;10,"0","")&amp;MONTH(C274),""),"")</x:f>
      </x:c>
      <x:c r="N274" s="59" t="str">
        <x:f>IF(L274="VALID",IF(G274="USD",H274,I274),"")</x:f>
      </x:c>
      <x:c r="O274" s="57" t="n">
        <x:f>IF(L274="VALID",IF(COUNTIFS($B$2:B274,B274,$M$2:M274,M274,$L$2:L274,"VALID")=1,1,0),0)</x:f>
        <x:v>0</x:v>
      </x:c>
    </x:row>
    <x:row r="275">
      <x:c r="A275" s="47"/>
      <x:c r="B275" s="47"/>
      <x:c r="C275" s="69"/>
      <x:c r="D275" s="47"/>
      <x:c r="E275" s="47"/>
      <x:c r="F275" s="47"/>
      <x:c r="G275" s="47"/>
      <x:c r="H275" s="48"/>
      <x:c r="I275" s="48"/>
      <x:c r="J275" s="47"/>
      <x:c r="K275" s="47"/>
      <x:c r="L275" s="57" t="str">
        <x:f>IF(COUNTA(A275:K275)=0,"",IF(K275="CANCELLED","CANCELLED",IF(A275="","INVOICE ID REQUIRED",IF(B275="","PROJECT ID REQUIRED",IF(NOT(ISNUMBER(C275)),"INVALID INVOICE DATE",IF(NOT(AND(ISNUMBER(C275),C275&gt;=2,C275&lt;=2958465,C275=INT(C275))),"INVALID INVOICE DATE",IF(NOT(OR(D275="MX",D275="US")),"ENTITY REQUIRED",IF(NOT(OR(E275="Strategic Services",E275="Brands")),"UNIT REQUIRED",IF(F275="","BRAND / N/A REQUIRED",IF(NOT(OR(G275="USD",G275="MXN")),"CURRENCY REQUIRED",IF(NOT(ISNUMBER(H275)),"AMOUNT REQUIRED",IF(J275="","ERP SOURCE REQUIRED",IF(NOT(OR(K275="ISSUED",K275="CANCELLED")),"INVOICE STATUS REQUIRED",IF(COUNTIFS($A$2:$A$501,A275,$B$2:$B$501,B275,$D$2:$D$501,D275)&gt;1,"DUPLICATE INVOICE / PROJECT",IF(SUMPRODUCT(--(('ERP Snapshot'!$A$2:$A$101&amp;"")=(B275&amp;"")))=0,"PROJECT NOT FOUND",IF(SUMPRODUCT(--(('ERP Snapshot'!$A$2:$A$101&amp;"")=(B275&amp;"")))&gt;1,"DUPLICATE PROJECT ID",IF(OR(SUMPRODUCT(--(('ERP Snapshot'!$A$2:$A$101&amp;"")=(B275&amp;"")),--('ERP Snapshot'!$Q$2:$Q$101=E275),--('ERP Snapshot'!$R$2:$R$101=F275))&lt;&gt;1,SUMPRODUCT(--('Commercial Catalogs'!$A$2:$A$10=E275),--('Commercial Catalogs'!$B$2:$B$10=F275),--('Commercial Catalogs'!$C$2:$C$10="YES"),--('Commercial Catalogs'!$D$2:$D$10="IN SCOPE"))=0,AND(E275="Strategic Services",F275&lt;&gt;"N/A"),AND(E275="Brands",F275="N/A")),"PROJECT CLASSIFICATION MISMATCH",IF(AND(G275="MXN",NOT(AND(ISNUMBER(I275),Settings!$B$8="APPROVED",Settings!$B$9&lt;&gt;"",Settings!$B$10&lt;&gt;""))),"FX HOLD","VALID"))))))))))))))))))</x:f>
      </x:c>
      <x:c r="M275" s="57" t="str">
        <x:f>IF(ISNUMBER(C275),IF(AND(ISNUMBER(C275),C275&gt;=2,C275&lt;=2958465,C275=INT(C275)),YEAR(C275)&amp;"-"&amp;IF(MONTH(C275)&lt;10,"0","")&amp;MONTH(C275),""),"")</x:f>
      </x:c>
      <x:c r="N275" s="59" t="str">
        <x:f>IF(L275="VALID",IF(G275="USD",H275,I275),"")</x:f>
      </x:c>
      <x:c r="O275" s="57" t="n">
        <x:f>IF(L275="VALID",IF(COUNTIFS($B$2:B275,B275,$M$2:M275,M275,$L$2:L275,"VALID")=1,1,0),0)</x:f>
        <x:v>0</x:v>
      </x:c>
    </x:row>
    <x:row r="276">
      <x:c r="A276" s="47"/>
      <x:c r="B276" s="47"/>
      <x:c r="C276" s="69"/>
      <x:c r="D276" s="47"/>
      <x:c r="E276" s="47"/>
      <x:c r="F276" s="47"/>
      <x:c r="G276" s="47"/>
      <x:c r="H276" s="48"/>
      <x:c r="I276" s="48"/>
      <x:c r="J276" s="47"/>
      <x:c r="K276" s="47"/>
      <x:c r="L276" s="57" t="str">
        <x:f>IF(COUNTA(A276:K276)=0,"",IF(K276="CANCELLED","CANCELLED",IF(A276="","INVOICE ID REQUIRED",IF(B276="","PROJECT ID REQUIRED",IF(NOT(ISNUMBER(C276)),"INVALID INVOICE DATE",IF(NOT(AND(ISNUMBER(C276),C276&gt;=2,C276&lt;=2958465,C276=INT(C276))),"INVALID INVOICE DATE",IF(NOT(OR(D276="MX",D276="US")),"ENTITY REQUIRED",IF(NOT(OR(E276="Strategic Services",E276="Brands")),"UNIT REQUIRED",IF(F276="","BRAND / N/A REQUIRED",IF(NOT(OR(G276="USD",G276="MXN")),"CURRENCY REQUIRED",IF(NOT(ISNUMBER(H276)),"AMOUNT REQUIRED",IF(J276="","ERP SOURCE REQUIRED",IF(NOT(OR(K276="ISSUED",K276="CANCELLED")),"INVOICE STATUS REQUIRED",IF(COUNTIFS($A$2:$A$501,A276,$B$2:$B$501,B276,$D$2:$D$501,D276)&gt;1,"DUPLICATE INVOICE / PROJECT",IF(SUMPRODUCT(--(('ERP Snapshot'!$A$2:$A$101&amp;"")=(B276&amp;"")))=0,"PROJECT NOT FOUND",IF(SUMPRODUCT(--(('ERP Snapshot'!$A$2:$A$101&amp;"")=(B276&amp;"")))&gt;1,"DUPLICATE PROJECT ID",IF(OR(SUMPRODUCT(--(('ERP Snapshot'!$A$2:$A$101&amp;"")=(B276&amp;"")),--('ERP Snapshot'!$Q$2:$Q$101=E276),--('ERP Snapshot'!$R$2:$R$101=F276))&lt;&gt;1,SUMPRODUCT(--('Commercial Catalogs'!$A$2:$A$10=E276),--('Commercial Catalogs'!$B$2:$B$10=F276),--('Commercial Catalogs'!$C$2:$C$10="YES"),--('Commercial Catalogs'!$D$2:$D$10="IN SCOPE"))=0,AND(E276="Strategic Services",F276&lt;&gt;"N/A"),AND(E276="Brands",F276="N/A")),"PROJECT CLASSIFICATION MISMATCH",IF(AND(G276="MXN",NOT(AND(ISNUMBER(I276),Settings!$B$8="APPROVED",Settings!$B$9&lt;&gt;"",Settings!$B$10&lt;&gt;""))),"FX HOLD","VALID"))))))))))))))))))</x:f>
      </x:c>
      <x:c r="M276" s="57" t="str">
        <x:f>IF(ISNUMBER(C276),IF(AND(ISNUMBER(C276),C276&gt;=2,C276&lt;=2958465,C276=INT(C276)),YEAR(C276)&amp;"-"&amp;IF(MONTH(C276)&lt;10,"0","")&amp;MONTH(C276),""),"")</x:f>
      </x:c>
      <x:c r="N276" s="59" t="str">
        <x:f>IF(L276="VALID",IF(G276="USD",H276,I276),"")</x:f>
      </x:c>
      <x:c r="O276" s="57" t="n">
        <x:f>IF(L276="VALID",IF(COUNTIFS($B$2:B276,B276,$M$2:M276,M276,$L$2:L276,"VALID")=1,1,0),0)</x:f>
        <x:v>0</x:v>
      </x:c>
    </x:row>
    <x:row r="277">
      <x:c r="A277" s="47"/>
      <x:c r="B277" s="47"/>
      <x:c r="C277" s="69"/>
      <x:c r="D277" s="47"/>
      <x:c r="E277" s="47"/>
      <x:c r="F277" s="47"/>
      <x:c r="G277" s="47"/>
      <x:c r="H277" s="48"/>
      <x:c r="I277" s="48"/>
      <x:c r="J277" s="47"/>
      <x:c r="K277" s="47"/>
      <x:c r="L277" s="57" t="str">
        <x:f>IF(COUNTA(A277:K277)=0,"",IF(K277="CANCELLED","CANCELLED",IF(A277="","INVOICE ID REQUIRED",IF(B277="","PROJECT ID REQUIRED",IF(NOT(ISNUMBER(C277)),"INVALID INVOICE DATE",IF(NOT(AND(ISNUMBER(C277),C277&gt;=2,C277&lt;=2958465,C277=INT(C277))),"INVALID INVOICE DATE",IF(NOT(OR(D277="MX",D277="US")),"ENTITY REQUIRED",IF(NOT(OR(E277="Strategic Services",E277="Brands")),"UNIT REQUIRED",IF(F277="","BRAND / N/A REQUIRED",IF(NOT(OR(G277="USD",G277="MXN")),"CURRENCY REQUIRED",IF(NOT(ISNUMBER(H277)),"AMOUNT REQUIRED",IF(J277="","ERP SOURCE REQUIRED",IF(NOT(OR(K277="ISSUED",K277="CANCELLED")),"INVOICE STATUS REQUIRED",IF(COUNTIFS($A$2:$A$501,A277,$B$2:$B$501,B277,$D$2:$D$501,D277)&gt;1,"DUPLICATE INVOICE / PROJECT",IF(SUMPRODUCT(--(('ERP Snapshot'!$A$2:$A$101&amp;"")=(B277&amp;"")))=0,"PROJECT NOT FOUND",IF(SUMPRODUCT(--(('ERP Snapshot'!$A$2:$A$101&amp;"")=(B277&amp;"")))&gt;1,"DUPLICATE PROJECT ID",IF(OR(SUMPRODUCT(--(('ERP Snapshot'!$A$2:$A$101&amp;"")=(B277&amp;"")),--('ERP Snapshot'!$Q$2:$Q$101=E277),--('ERP Snapshot'!$R$2:$R$101=F277))&lt;&gt;1,SUMPRODUCT(--('Commercial Catalogs'!$A$2:$A$10=E277),--('Commercial Catalogs'!$B$2:$B$10=F277),--('Commercial Catalogs'!$C$2:$C$10="YES"),--('Commercial Catalogs'!$D$2:$D$10="IN SCOPE"))=0,AND(E277="Strategic Services",F277&lt;&gt;"N/A"),AND(E277="Brands",F277="N/A")),"PROJECT CLASSIFICATION MISMATCH",IF(AND(G277="MXN",NOT(AND(ISNUMBER(I277),Settings!$B$8="APPROVED",Settings!$B$9&lt;&gt;"",Settings!$B$10&lt;&gt;""))),"FX HOLD","VALID"))))))))))))))))))</x:f>
      </x:c>
      <x:c r="M277" s="57" t="str">
        <x:f>IF(ISNUMBER(C277),IF(AND(ISNUMBER(C277),C277&gt;=2,C277&lt;=2958465,C277=INT(C277)),YEAR(C277)&amp;"-"&amp;IF(MONTH(C277)&lt;10,"0","")&amp;MONTH(C277),""),"")</x:f>
      </x:c>
      <x:c r="N277" s="59" t="str">
        <x:f>IF(L277="VALID",IF(G277="USD",H277,I277),"")</x:f>
      </x:c>
      <x:c r="O277" s="57" t="n">
        <x:f>IF(L277="VALID",IF(COUNTIFS($B$2:B277,B277,$M$2:M277,M277,$L$2:L277,"VALID")=1,1,0),0)</x:f>
        <x:v>0</x:v>
      </x:c>
    </x:row>
    <x:row r="278">
      <x:c r="A278" s="47"/>
      <x:c r="B278" s="47"/>
      <x:c r="C278" s="69"/>
      <x:c r="D278" s="47"/>
      <x:c r="E278" s="47"/>
      <x:c r="F278" s="47"/>
      <x:c r="G278" s="47"/>
      <x:c r="H278" s="48"/>
      <x:c r="I278" s="48"/>
      <x:c r="J278" s="47"/>
      <x:c r="K278" s="47"/>
      <x:c r="L278" s="57" t="str">
        <x:f>IF(COUNTA(A278:K278)=0,"",IF(K278="CANCELLED","CANCELLED",IF(A278="","INVOICE ID REQUIRED",IF(B278="","PROJECT ID REQUIRED",IF(NOT(ISNUMBER(C278)),"INVALID INVOICE DATE",IF(NOT(AND(ISNUMBER(C278),C278&gt;=2,C278&lt;=2958465,C278=INT(C278))),"INVALID INVOICE DATE",IF(NOT(OR(D278="MX",D278="US")),"ENTITY REQUIRED",IF(NOT(OR(E278="Strategic Services",E278="Brands")),"UNIT REQUIRED",IF(F278="","BRAND / N/A REQUIRED",IF(NOT(OR(G278="USD",G278="MXN")),"CURRENCY REQUIRED",IF(NOT(ISNUMBER(H278)),"AMOUNT REQUIRED",IF(J278="","ERP SOURCE REQUIRED",IF(NOT(OR(K278="ISSUED",K278="CANCELLED")),"INVOICE STATUS REQUIRED",IF(COUNTIFS($A$2:$A$501,A278,$B$2:$B$501,B278,$D$2:$D$501,D278)&gt;1,"DUPLICATE INVOICE / PROJECT",IF(SUMPRODUCT(--(('ERP Snapshot'!$A$2:$A$101&amp;"")=(B278&amp;"")))=0,"PROJECT NOT FOUND",IF(SUMPRODUCT(--(('ERP Snapshot'!$A$2:$A$101&amp;"")=(B278&amp;"")))&gt;1,"DUPLICATE PROJECT ID",IF(OR(SUMPRODUCT(--(('ERP Snapshot'!$A$2:$A$101&amp;"")=(B278&amp;"")),--('ERP Snapshot'!$Q$2:$Q$101=E278),--('ERP Snapshot'!$R$2:$R$101=F278))&lt;&gt;1,SUMPRODUCT(--('Commercial Catalogs'!$A$2:$A$10=E278),--('Commercial Catalogs'!$B$2:$B$10=F278),--('Commercial Catalogs'!$C$2:$C$10="YES"),--('Commercial Catalogs'!$D$2:$D$10="IN SCOPE"))=0,AND(E278="Strategic Services",F278&lt;&gt;"N/A"),AND(E278="Brands",F278="N/A")),"PROJECT CLASSIFICATION MISMATCH",IF(AND(G278="MXN",NOT(AND(ISNUMBER(I278),Settings!$B$8="APPROVED",Settings!$B$9&lt;&gt;"",Settings!$B$10&lt;&gt;""))),"FX HOLD","VALID"))))))))))))))))))</x:f>
      </x:c>
      <x:c r="M278" s="57" t="str">
        <x:f>IF(ISNUMBER(C278),IF(AND(ISNUMBER(C278),C278&gt;=2,C278&lt;=2958465,C278=INT(C278)),YEAR(C278)&amp;"-"&amp;IF(MONTH(C278)&lt;10,"0","")&amp;MONTH(C278),""),"")</x:f>
      </x:c>
      <x:c r="N278" s="59" t="str">
        <x:f>IF(L278="VALID",IF(G278="USD",H278,I278),"")</x:f>
      </x:c>
      <x:c r="O278" s="57" t="n">
        <x:f>IF(L278="VALID",IF(COUNTIFS($B$2:B278,B278,$M$2:M278,M278,$L$2:L278,"VALID")=1,1,0),0)</x:f>
        <x:v>0</x:v>
      </x:c>
    </x:row>
    <x:row r="279">
      <x:c r="A279" s="47"/>
      <x:c r="B279" s="47"/>
      <x:c r="C279" s="69"/>
      <x:c r="D279" s="47"/>
      <x:c r="E279" s="47"/>
      <x:c r="F279" s="47"/>
      <x:c r="G279" s="47"/>
      <x:c r="H279" s="48"/>
      <x:c r="I279" s="48"/>
      <x:c r="J279" s="47"/>
      <x:c r="K279" s="47"/>
      <x:c r="L279" s="57" t="str">
        <x:f>IF(COUNTA(A279:K279)=0,"",IF(K279="CANCELLED","CANCELLED",IF(A279="","INVOICE ID REQUIRED",IF(B279="","PROJECT ID REQUIRED",IF(NOT(ISNUMBER(C279)),"INVALID INVOICE DATE",IF(NOT(AND(ISNUMBER(C279),C279&gt;=2,C279&lt;=2958465,C279=INT(C279))),"INVALID INVOICE DATE",IF(NOT(OR(D279="MX",D279="US")),"ENTITY REQUIRED",IF(NOT(OR(E279="Strategic Services",E279="Brands")),"UNIT REQUIRED",IF(F279="","BRAND / N/A REQUIRED",IF(NOT(OR(G279="USD",G279="MXN")),"CURRENCY REQUIRED",IF(NOT(ISNUMBER(H279)),"AMOUNT REQUIRED",IF(J279="","ERP SOURCE REQUIRED",IF(NOT(OR(K279="ISSUED",K279="CANCELLED")),"INVOICE STATUS REQUIRED",IF(COUNTIFS($A$2:$A$501,A279,$B$2:$B$501,B279,$D$2:$D$501,D279)&gt;1,"DUPLICATE INVOICE / PROJECT",IF(SUMPRODUCT(--(('ERP Snapshot'!$A$2:$A$101&amp;"")=(B279&amp;"")))=0,"PROJECT NOT FOUND",IF(SUMPRODUCT(--(('ERP Snapshot'!$A$2:$A$101&amp;"")=(B279&amp;"")))&gt;1,"DUPLICATE PROJECT ID",IF(OR(SUMPRODUCT(--(('ERP Snapshot'!$A$2:$A$101&amp;"")=(B279&amp;"")),--('ERP Snapshot'!$Q$2:$Q$101=E279),--('ERP Snapshot'!$R$2:$R$101=F279))&lt;&gt;1,SUMPRODUCT(--('Commercial Catalogs'!$A$2:$A$10=E279),--('Commercial Catalogs'!$B$2:$B$10=F279),--('Commercial Catalogs'!$C$2:$C$10="YES"),--('Commercial Catalogs'!$D$2:$D$10="IN SCOPE"))=0,AND(E279="Strategic Services",F279&lt;&gt;"N/A"),AND(E279="Brands",F279="N/A")),"PROJECT CLASSIFICATION MISMATCH",IF(AND(G279="MXN",NOT(AND(ISNUMBER(I279),Settings!$B$8="APPROVED",Settings!$B$9&lt;&gt;"",Settings!$B$10&lt;&gt;""))),"FX HOLD","VALID"))))))))))))))))))</x:f>
      </x:c>
      <x:c r="M279" s="57" t="str">
        <x:f>IF(ISNUMBER(C279),IF(AND(ISNUMBER(C279),C279&gt;=2,C279&lt;=2958465,C279=INT(C279)),YEAR(C279)&amp;"-"&amp;IF(MONTH(C279)&lt;10,"0","")&amp;MONTH(C279),""),"")</x:f>
      </x:c>
      <x:c r="N279" s="59" t="str">
        <x:f>IF(L279="VALID",IF(G279="USD",H279,I279),"")</x:f>
      </x:c>
      <x:c r="O279" s="57" t="n">
        <x:f>IF(L279="VALID",IF(COUNTIFS($B$2:B279,B279,$M$2:M279,M279,$L$2:L279,"VALID")=1,1,0),0)</x:f>
        <x:v>0</x:v>
      </x:c>
    </x:row>
    <x:row r="280">
      <x:c r="A280" s="47"/>
      <x:c r="B280" s="47"/>
      <x:c r="C280" s="69"/>
      <x:c r="D280" s="47"/>
      <x:c r="E280" s="47"/>
      <x:c r="F280" s="47"/>
      <x:c r="G280" s="47"/>
      <x:c r="H280" s="48"/>
      <x:c r="I280" s="48"/>
      <x:c r="J280" s="47"/>
      <x:c r="K280" s="47"/>
      <x:c r="L280" s="57" t="str">
        <x:f>IF(COUNTA(A280:K280)=0,"",IF(K280="CANCELLED","CANCELLED",IF(A280="","INVOICE ID REQUIRED",IF(B280="","PROJECT ID REQUIRED",IF(NOT(ISNUMBER(C280)),"INVALID INVOICE DATE",IF(NOT(AND(ISNUMBER(C280),C280&gt;=2,C280&lt;=2958465,C280=INT(C280))),"INVALID INVOICE DATE",IF(NOT(OR(D280="MX",D280="US")),"ENTITY REQUIRED",IF(NOT(OR(E280="Strategic Services",E280="Brands")),"UNIT REQUIRED",IF(F280="","BRAND / N/A REQUIRED",IF(NOT(OR(G280="USD",G280="MXN")),"CURRENCY REQUIRED",IF(NOT(ISNUMBER(H280)),"AMOUNT REQUIRED",IF(J280="","ERP SOURCE REQUIRED",IF(NOT(OR(K280="ISSUED",K280="CANCELLED")),"INVOICE STATUS REQUIRED",IF(COUNTIFS($A$2:$A$501,A280,$B$2:$B$501,B280,$D$2:$D$501,D280)&gt;1,"DUPLICATE INVOICE / PROJECT",IF(SUMPRODUCT(--(('ERP Snapshot'!$A$2:$A$101&amp;"")=(B280&amp;"")))=0,"PROJECT NOT FOUND",IF(SUMPRODUCT(--(('ERP Snapshot'!$A$2:$A$101&amp;"")=(B280&amp;"")))&gt;1,"DUPLICATE PROJECT ID",IF(OR(SUMPRODUCT(--(('ERP Snapshot'!$A$2:$A$101&amp;"")=(B280&amp;"")),--('ERP Snapshot'!$Q$2:$Q$101=E280),--('ERP Snapshot'!$R$2:$R$101=F280))&lt;&gt;1,SUMPRODUCT(--('Commercial Catalogs'!$A$2:$A$10=E280),--('Commercial Catalogs'!$B$2:$B$10=F280),--('Commercial Catalogs'!$C$2:$C$10="YES"),--('Commercial Catalogs'!$D$2:$D$10="IN SCOPE"))=0,AND(E280="Strategic Services",F280&lt;&gt;"N/A"),AND(E280="Brands",F280="N/A")),"PROJECT CLASSIFICATION MISMATCH",IF(AND(G280="MXN",NOT(AND(ISNUMBER(I280),Settings!$B$8="APPROVED",Settings!$B$9&lt;&gt;"",Settings!$B$10&lt;&gt;""))),"FX HOLD","VALID"))))))))))))))))))</x:f>
      </x:c>
      <x:c r="M280" s="57" t="str">
        <x:f>IF(ISNUMBER(C280),IF(AND(ISNUMBER(C280),C280&gt;=2,C280&lt;=2958465,C280=INT(C280)),YEAR(C280)&amp;"-"&amp;IF(MONTH(C280)&lt;10,"0","")&amp;MONTH(C280),""),"")</x:f>
      </x:c>
      <x:c r="N280" s="59" t="str">
        <x:f>IF(L280="VALID",IF(G280="USD",H280,I280),"")</x:f>
      </x:c>
      <x:c r="O280" s="57" t="n">
        <x:f>IF(L280="VALID",IF(COUNTIFS($B$2:B280,B280,$M$2:M280,M280,$L$2:L280,"VALID")=1,1,0),0)</x:f>
        <x:v>0</x:v>
      </x:c>
    </x:row>
    <x:row r="281">
      <x:c r="A281" s="47"/>
      <x:c r="B281" s="47"/>
      <x:c r="C281" s="69"/>
      <x:c r="D281" s="47"/>
      <x:c r="E281" s="47"/>
      <x:c r="F281" s="47"/>
      <x:c r="G281" s="47"/>
      <x:c r="H281" s="48"/>
      <x:c r="I281" s="48"/>
      <x:c r="J281" s="47"/>
      <x:c r="K281" s="47"/>
      <x:c r="L281" s="57" t="str">
        <x:f>IF(COUNTA(A281:K281)=0,"",IF(K281="CANCELLED","CANCELLED",IF(A281="","INVOICE ID REQUIRED",IF(B281="","PROJECT ID REQUIRED",IF(NOT(ISNUMBER(C281)),"INVALID INVOICE DATE",IF(NOT(AND(ISNUMBER(C281),C281&gt;=2,C281&lt;=2958465,C281=INT(C281))),"INVALID INVOICE DATE",IF(NOT(OR(D281="MX",D281="US")),"ENTITY REQUIRED",IF(NOT(OR(E281="Strategic Services",E281="Brands")),"UNIT REQUIRED",IF(F281="","BRAND / N/A REQUIRED",IF(NOT(OR(G281="USD",G281="MXN")),"CURRENCY REQUIRED",IF(NOT(ISNUMBER(H281)),"AMOUNT REQUIRED",IF(J281="","ERP SOURCE REQUIRED",IF(NOT(OR(K281="ISSUED",K281="CANCELLED")),"INVOICE STATUS REQUIRED",IF(COUNTIFS($A$2:$A$501,A281,$B$2:$B$501,B281,$D$2:$D$501,D281)&gt;1,"DUPLICATE INVOICE / PROJECT",IF(SUMPRODUCT(--(('ERP Snapshot'!$A$2:$A$101&amp;"")=(B281&amp;"")))=0,"PROJECT NOT FOUND",IF(SUMPRODUCT(--(('ERP Snapshot'!$A$2:$A$101&amp;"")=(B281&amp;"")))&gt;1,"DUPLICATE PROJECT ID",IF(OR(SUMPRODUCT(--(('ERP Snapshot'!$A$2:$A$101&amp;"")=(B281&amp;"")),--('ERP Snapshot'!$Q$2:$Q$101=E281),--('ERP Snapshot'!$R$2:$R$101=F281))&lt;&gt;1,SUMPRODUCT(--('Commercial Catalogs'!$A$2:$A$10=E281),--('Commercial Catalogs'!$B$2:$B$10=F281),--('Commercial Catalogs'!$C$2:$C$10="YES"),--('Commercial Catalogs'!$D$2:$D$10="IN SCOPE"))=0,AND(E281="Strategic Services",F281&lt;&gt;"N/A"),AND(E281="Brands",F281="N/A")),"PROJECT CLASSIFICATION MISMATCH",IF(AND(G281="MXN",NOT(AND(ISNUMBER(I281),Settings!$B$8="APPROVED",Settings!$B$9&lt;&gt;"",Settings!$B$10&lt;&gt;""))),"FX HOLD","VALID"))))))))))))))))))</x:f>
      </x:c>
      <x:c r="M281" s="57" t="str">
        <x:f>IF(ISNUMBER(C281),IF(AND(ISNUMBER(C281),C281&gt;=2,C281&lt;=2958465,C281=INT(C281)),YEAR(C281)&amp;"-"&amp;IF(MONTH(C281)&lt;10,"0","")&amp;MONTH(C281),""),"")</x:f>
      </x:c>
      <x:c r="N281" s="59" t="str">
        <x:f>IF(L281="VALID",IF(G281="USD",H281,I281),"")</x:f>
      </x:c>
      <x:c r="O281" s="57" t="n">
        <x:f>IF(L281="VALID",IF(COUNTIFS($B$2:B281,B281,$M$2:M281,M281,$L$2:L281,"VALID")=1,1,0),0)</x:f>
        <x:v>0</x:v>
      </x:c>
    </x:row>
    <x:row r="282">
      <x:c r="A282" s="47"/>
      <x:c r="B282" s="47"/>
      <x:c r="C282" s="69"/>
      <x:c r="D282" s="47"/>
      <x:c r="E282" s="47"/>
      <x:c r="F282" s="47"/>
      <x:c r="G282" s="47"/>
      <x:c r="H282" s="48"/>
      <x:c r="I282" s="48"/>
      <x:c r="J282" s="47"/>
      <x:c r="K282" s="47"/>
      <x:c r="L282" s="57" t="str">
        <x:f>IF(COUNTA(A282:K282)=0,"",IF(K282="CANCELLED","CANCELLED",IF(A282="","INVOICE ID REQUIRED",IF(B282="","PROJECT ID REQUIRED",IF(NOT(ISNUMBER(C282)),"INVALID INVOICE DATE",IF(NOT(AND(ISNUMBER(C282),C282&gt;=2,C282&lt;=2958465,C282=INT(C282))),"INVALID INVOICE DATE",IF(NOT(OR(D282="MX",D282="US")),"ENTITY REQUIRED",IF(NOT(OR(E282="Strategic Services",E282="Brands")),"UNIT REQUIRED",IF(F282="","BRAND / N/A REQUIRED",IF(NOT(OR(G282="USD",G282="MXN")),"CURRENCY REQUIRED",IF(NOT(ISNUMBER(H282)),"AMOUNT REQUIRED",IF(J282="","ERP SOURCE REQUIRED",IF(NOT(OR(K282="ISSUED",K282="CANCELLED")),"INVOICE STATUS REQUIRED",IF(COUNTIFS($A$2:$A$501,A282,$B$2:$B$501,B282,$D$2:$D$501,D282)&gt;1,"DUPLICATE INVOICE / PROJECT",IF(SUMPRODUCT(--(('ERP Snapshot'!$A$2:$A$101&amp;"")=(B282&amp;"")))=0,"PROJECT NOT FOUND",IF(SUMPRODUCT(--(('ERP Snapshot'!$A$2:$A$101&amp;"")=(B282&amp;"")))&gt;1,"DUPLICATE PROJECT ID",IF(OR(SUMPRODUCT(--(('ERP Snapshot'!$A$2:$A$101&amp;"")=(B282&amp;"")),--('ERP Snapshot'!$Q$2:$Q$101=E282),--('ERP Snapshot'!$R$2:$R$101=F282))&lt;&gt;1,SUMPRODUCT(--('Commercial Catalogs'!$A$2:$A$10=E282),--('Commercial Catalogs'!$B$2:$B$10=F282),--('Commercial Catalogs'!$C$2:$C$10="YES"),--('Commercial Catalogs'!$D$2:$D$10="IN SCOPE"))=0,AND(E282="Strategic Services",F282&lt;&gt;"N/A"),AND(E282="Brands",F282="N/A")),"PROJECT CLASSIFICATION MISMATCH",IF(AND(G282="MXN",NOT(AND(ISNUMBER(I282),Settings!$B$8="APPROVED",Settings!$B$9&lt;&gt;"",Settings!$B$10&lt;&gt;""))),"FX HOLD","VALID"))))))))))))))))))</x:f>
      </x:c>
      <x:c r="M282" s="57" t="str">
        <x:f>IF(ISNUMBER(C282),IF(AND(ISNUMBER(C282),C282&gt;=2,C282&lt;=2958465,C282=INT(C282)),YEAR(C282)&amp;"-"&amp;IF(MONTH(C282)&lt;10,"0","")&amp;MONTH(C282),""),"")</x:f>
      </x:c>
      <x:c r="N282" s="59" t="str">
        <x:f>IF(L282="VALID",IF(G282="USD",H282,I282),"")</x:f>
      </x:c>
      <x:c r="O282" s="57" t="n">
        <x:f>IF(L282="VALID",IF(COUNTIFS($B$2:B282,B282,$M$2:M282,M282,$L$2:L282,"VALID")=1,1,0),0)</x:f>
        <x:v>0</x:v>
      </x:c>
    </x:row>
    <x:row r="283">
      <x:c r="A283" s="47"/>
      <x:c r="B283" s="47"/>
      <x:c r="C283" s="69"/>
      <x:c r="D283" s="47"/>
      <x:c r="E283" s="47"/>
      <x:c r="F283" s="47"/>
      <x:c r="G283" s="47"/>
      <x:c r="H283" s="48"/>
      <x:c r="I283" s="48"/>
      <x:c r="J283" s="47"/>
      <x:c r="K283" s="47"/>
      <x:c r="L283" s="57" t="str">
        <x:f>IF(COUNTA(A283:K283)=0,"",IF(K283="CANCELLED","CANCELLED",IF(A283="","INVOICE ID REQUIRED",IF(B283="","PROJECT ID REQUIRED",IF(NOT(ISNUMBER(C283)),"INVALID INVOICE DATE",IF(NOT(AND(ISNUMBER(C283),C283&gt;=2,C283&lt;=2958465,C283=INT(C283))),"INVALID INVOICE DATE",IF(NOT(OR(D283="MX",D283="US")),"ENTITY REQUIRED",IF(NOT(OR(E283="Strategic Services",E283="Brands")),"UNIT REQUIRED",IF(F283="","BRAND / N/A REQUIRED",IF(NOT(OR(G283="USD",G283="MXN")),"CURRENCY REQUIRED",IF(NOT(ISNUMBER(H283)),"AMOUNT REQUIRED",IF(J283="","ERP SOURCE REQUIRED",IF(NOT(OR(K283="ISSUED",K283="CANCELLED")),"INVOICE STATUS REQUIRED",IF(COUNTIFS($A$2:$A$501,A283,$B$2:$B$501,B283,$D$2:$D$501,D283)&gt;1,"DUPLICATE INVOICE / PROJECT",IF(SUMPRODUCT(--(('ERP Snapshot'!$A$2:$A$101&amp;"")=(B283&amp;"")))=0,"PROJECT NOT FOUND",IF(SUMPRODUCT(--(('ERP Snapshot'!$A$2:$A$101&amp;"")=(B283&amp;"")))&gt;1,"DUPLICATE PROJECT ID",IF(OR(SUMPRODUCT(--(('ERP Snapshot'!$A$2:$A$101&amp;"")=(B283&amp;"")),--('ERP Snapshot'!$Q$2:$Q$101=E283),--('ERP Snapshot'!$R$2:$R$101=F283))&lt;&gt;1,SUMPRODUCT(--('Commercial Catalogs'!$A$2:$A$10=E283),--('Commercial Catalogs'!$B$2:$B$10=F283),--('Commercial Catalogs'!$C$2:$C$10="YES"),--('Commercial Catalogs'!$D$2:$D$10="IN SCOPE"))=0,AND(E283="Strategic Services",F283&lt;&gt;"N/A"),AND(E283="Brands",F283="N/A")),"PROJECT CLASSIFICATION MISMATCH",IF(AND(G283="MXN",NOT(AND(ISNUMBER(I283),Settings!$B$8="APPROVED",Settings!$B$9&lt;&gt;"",Settings!$B$10&lt;&gt;""))),"FX HOLD","VALID"))))))))))))))))))</x:f>
      </x:c>
      <x:c r="M283" s="57" t="str">
        <x:f>IF(ISNUMBER(C283),IF(AND(ISNUMBER(C283),C283&gt;=2,C283&lt;=2958465,C283=INT(C283)),YEAR(C283)&amp;"-"&amp;IF(MONTH(C283)&lt;10,"0","")&amp;MONTH(C283),""),"")</x:f>
      </x:c>
      <x:c r="N283" s="59" t="str">
        <x:f>IF(L283="VALID",IF(G283="USD",H283,I283),"")</x:f>
      </x:c>
      <x:c r="O283" s="57" t="n">
        <x:f>IF(L283="VALID",IF(COUNTIFS($B$2:B283,B283,$M$2:M283,M283,$L$2:L283,"VALID")=1,1,0),0)</x:f>
        <x:v>0</x:v>
      </x:c>
    </x:row>
    <x:row r="284">
      <x:c r="A284" s="47"/>
      <x:c r="B284" s="47"/>
      <x:c r="C284" s="69"/>
      <x:c r="D284" s="47"/>
      <x:c r="E284" s="47"/>
      <x:c r="F284" s="47"/>
      <x:c r="G284" s="47"/>
      <x:c r="H284" s="48"/>
      <x:c r="I284" s="48"/>
      <x:c r="J284" s="47"/>
      <x:c r="K284" s="47"/>
      <x:c r="L284" s="57" t="str">
        <x:f>IF(COUNTA(A284:K284)=0,"",IF(K284="CANCELLED","CANCELLED",IF(A284="","INVOICE ID REQUIRED",IF(B284="","PROJECT ID REQUIRED",IF(NOT(ISNUMBER(C284)),"INVALID INVOICE DATE",IF(NOT(AND(ISNUMBER(C284),C284&gt;=2,C284&lt;=2958465,C284=INT(C284))),"INVALID INVOICE DATE",IF(NOT(OR(D284="MX",D284="US")),"ENTITY REQUIRED",IF(NOT(OR(E284="Strategic Services",E284="Brands")),"UNIT REQUIRED",IF(F284="","BRAND / N/A REQUIRED",IF(NOT(OR(G284="USD",G284="MXN")),"CURRENCY REQUIRED",IF(NOT(ISNUMBER(H284)),"AMOUNT REQUIRED",IF(J284="","ERP SOURCE REQUIRED",IF(NOT(OR(K284="ISSUED",K284="CANCELLED")),"INVOICE STATUS REQUIRED",IF(COUNTIFS($A$2:$A$501,A284,$B$2:$B$501,B284,$D$2:$D$501,D284)&gt;1,"DUPLICATE INVOICE / PROJECT",IF(SUMPRODUCT(--(('ERP Snapshot'!$A$2:$A$101&amp;"")=(B284&amp;"")))=0,"PROJECT NOT FOUND",IF(SUMPRODUCT(--(('ERP Snapshot'!$A$2:$A$101&amp;"")=(B284&amp;"")))&gt;1,"DUPLICATE PROJECT ID",IF(OR(SUMPRODUCT(--(('ERP Snapshot'!$A$2:$A$101&amp;"")=(B284&amp;"")),--('ERP Snapshot'!$Q$2:$Q$101=E284),--('ERP Snapshot'!$R$2:$R$101=F284))&lt;&gt;1,SUMPRODUCT(--('Commercial Catalogs'!$A$2:$A$10=E284),--('Commercial Catalogs'!$B$2:$B$10=F284),--('Commercial Catalogs'!$C$2:$C$10="YES"),--('Commercial Catalogs'!$D$2:$D$10="IN SCOPE"))=0,AND(E284="Strategic Services",F284&lt;&gt;"N/A"),AND(E284="Brands",F284="N/A")),"PROJECT CLASSIFICATION MISMATCH",IF(AND(G284="MXN",NOT(AND(ISNUMBER(I284),Settings!$B$8="APPROVED",Settings!$B$9&lt;&gt;"",Settings!$B$10&lt;&gt;""))),"FX HOLD","VALID"))))))))))))))))))</x:f>
      </x:c>
      <x:c r="M284" s="57" t="str">
        <x:f>IF(ISNUMBER(C284),IF(AND(ISNUMBER(C284),C284&gt;=2,C284&lt;=2958465,C284=INT(C284)),YEAR(C284)&amp;"-"&amp;IF(MONTH(C284)&lt;10,"0","")&amp;MONTH(C284),""),"")</x:f>
      </x:c>
      <x:c r="N284" s="59" t="str">
        <x:f>IF(L284="VALID",IF(G284="USD",H284,I284),"")</x:f>
      </x:c>
      <x:c r="O284" s="57" t="n">
        <x:f>IF(L284="VALID",IF(COUNTIFS($B$2:B284,B284,$M$2:M284,M284,$L$2:L284,"VALID")=1,1,0),0)</x:f>
        <x:v>0</x:v>
      </x:c>
    </x:row>
    <x:row r="285">
      <x:c r="A285" s="47"/>
      <x:c r="B285" s="47"/>
      <x:c r="C285" s="69"/>
      <x:c r="D285" s="47"/>
      <x:c r="E285" s="47"/>
      <x:c r="F285" s="47"/>
      <x:c r="G285" s="47"/>
      <x:c r="H285" s="48"/>
      <x:c r="I285" s="48"/>
      <x:c r="J285" s="47"/>
      <x:c r="K285" s="47"/>
      <x:c r="L285" s="57" t="str">
        <x:f>IF(COUNTA(A285:K285)=0,"",IF(K285="CANCELLED","CANCELLED",IF(A285="","INVOICE ID REQUIRED",IF(B285="","PROJECT ID REQUIRED",IF(NOT(ISNUMBER(C285)),"INVALID INVOICE DATE",IF(NOT(AND(ISNUMBER(C285),C285&gt;=2,C285&lt;=2958465,C285=INT(C285))),"INVALID INVOICE DATE",IF(NOT(OR(D285="MX",D285="US")),"ENTITY REQUIRED",IF(NOT(OR(E285="Strategic Services",E285="Brands")),"UNIT REQUIRED",IF(F285="","BRAND / N/A REQUIRED",IF(NOT(OR(G285="USD",G285="MXN")),"CURRENCY REQUIRED",IF(NOT(ISNUMBER(H285)),"AMOUNT REQUIRED",IF(J285="","ERP SOURCE REQUIRED",IF(NOT(OR(K285="ISSUED",K285="CANCELLED")),"INVOICE STATUS REQUIRED",IF(COUNTIFS($A$2:$A$501,A285,$B$2:$B$501,B285,$D$2:$D$501,D285)&gt;1,"DUPLICATE INVOICE / PROJECT",IF(SUMPRODUCT(--(('ERP Snapshot'!$A$2:$A$101&amp;"")=(B285&amp;"")))=0,"PROJECT NOT FOUND",IF(SUMPRODUCT(--(('ERP Snapshot'!$A$2:$A$101&amp;"")=(B285&amp;"")))&gt;1,"DUPLICATE PROJECT ID",IF(OR(SUMPRODUCT(--(('ERP Snapshot'!$A$2:$A$101&amp;"")=(B285&amp;"")),--('ERP Snapshot'!$Q$2:$Q$101=E285),--('ERP Snapshot'!$R$2:$R$101=F285))&lt;&gt;1,SUMPRODUCT(--('Commercial Catalogs'!$A$2:$A$10=E285),--('Commercial Catalogs'!$B$2:$B$10=F285),--('Commercial Catalogs'!$C$2:$C$10="YES"),--('Commercial Catalogs'!$D$2:$D$10="IN SCOPE"))=0,AND(E285="Strategic Services",F285&lt;&gt;"N/A"),AND(E285="Brands",F285="N/A")),"PROJECT CLASSIFICATION MISMATCH",IF(AND(G285="MXN",NOT(AND(ISNUMBER(I285),Settings!$B$8="APPROVED",Settings!$B$9&lt;&gt;"",Settings!$B$10&lt;&gt;""))),"FX HOLD","VALID"))))))))))))))))))</x:f>
      </x:c>
      <x:c r="M285" s="57" t="str">
        <x:f>IF(ISNUMBER(C285),IF(AND(ISNUMBER(C285),C285&gt;=2,C285&lt;=2958465,C285=INT(C285)),YEAR(C285)&amp;"-"&amp;IF(MONTH(C285)&lt;10,"0","")&amp;MONTH(C285),""),"")</x:f>
      </x:c>
      <x:c r="N285" s="59" t="str">
        <x:f>IF(L285="VALID",IF(G285="USD",H285,I285),"")</x:f>
      </x:c>
      <x:c r="O285" s="57" t="n">
        <x:f>IF(L285="VALID",IF(COUNTIFS($B$2:B285,B285,$M$2:M285,M285,$L$2:L285,"VALID")=1,1,0),0)</x:f>
        <x:v>0</x:v>
      </x:c>
    </x:row>
    <x:row r="286">
      <x:c r="A286" s="47"/>
      <x:c r="B286" s="47"/>
      <x:c r="C286" s="69"/>
      <x:c r="D286" s="47"/>
      <x:c r="E286" s="47"/>
      <x:c r="F286" s="47"/>
      <x:c r="G286" s="47"/>
      <x:c r="H286" s="48"/>
      <x:c r="I286" s="48"/>
      <x:c r="J286" s="47"/>
      <x:c r="K286" s="47"/>
      <x:c r="L286" s="57" t="str">
        <x:f>IF(COUNTA(A286:K286)=0,"",IF(K286="CANCELLED","CANCELLED",IF(A286="","INVOICE ID REQUIRED",IF(B286="","PROJECT ID REQUIRED",IF(NOT(ISNUMBER(C286)),"INVALID INVOICE DATE",IF(NOT(AND(ISNUMBER(C286),C286&gt;=2,C286&lt;=2958465,C286=INT(C286))),"INVALID INVOICE DATE",IF(NOT(OR(D286="MX",D286="US")),"ENTITY REQUIRED",IF(NOT(OR(E286="Strategic Services",E286="Brands")),"UNIT REQUIRED",IF(F286="","BRAND / N/A REQUIRED",IF(NOT(OR(G286="USD",G286="MXN")),"CURRENCY REQUIRED",IF(NOT(ISNUMBER(H286)),"AMOUNT REQUIRED",IF(J286="","ERP SOURCE REQUIRED",IF(NOT(OR(K286="ISSUED",K286="CANCELLED")),"INVOICE STATUS REQUIRED",IF(COUNTIFS($A$2:$A$501,A286,$B$2:$B$501,B286,$D$2:$D$501,D286)&gt;1,"DUPLICATE INVOICE / PROJECT",IF(SUMPRODUCT(--(('ERP Snapshot'!$A$2:$A$101&amp;"")=(B286&amp;"")))=0,"PROJECT NOT FOUND",IF(SUMPRODUCT(--(('ERP Snapshot'!$A$2:$A$101&amp;"")=(B286&amp;"")))&gt;1,"DUPLICATE PROJECT ID",IF(OR(SUMPRODUCT(--(('ERP Snapshot'!$A$2:$A$101&amp;"")=(B286&amp;"")),--('ERP Snapshot'!$Q$2:$Q$101=E286),--('ERP Snapshot'!$R$2:$R$101=F286))&lt;&gt;1,SUMPRODUCT(--('Commercial Catalogs'!$A$2:$A$10=E286),--('Commercial Catalogs'!$B$2:$B$10=F286),--('Commercial Catalogs'!$C$2:$C$10="YES"),--('Commercial Catalogs'!$D$2:$D$10="IN SCOPE"))=0,AND(E286="Strategic Services",F286&lt;&gt;"N/A"),AND(E286="Brands",F286="N/A")),"PROJECT CLASSIFICATION MISMATCH",IF(AND(G286="MXN",NOT(AND(ISNUMBER(I286),Settings!$B$8="APPROVED",Settings!$B$9&lt;&gt;"",Settings!$B$10&lt;&gt;""))),"FX HOLD","VALID"))))))))))))))))))</x:f>
      </x:c>
      <x:c r="M286" s="57" t="str">
        <x:f>IF(ISNUMBER(C286),IF(AND(ISNUMBER(C286),C286&gt;=2,C286&lt;=2958465,C286=INT(C286)),YEAR(C286)&amp;"-"&amp;IF(MONTH(C286)&lt;10,"0","")&amp;MONTH(C286),""),"")</x:f>
      </x:c>
      <x:c r="N286" s="59" t="str">
        <x:f>IF(L286="VALID",IF(G286="USD",H286,I286),"")</x:f>
      </x:c>
      <x:c r="O286" s="57" t="n">
        <x:f>IF(L286="VALID",IF(COUNTIFS($B$2:B286,B286,$M$2:M286,M286,$L$2:L286,"VALID")=1,1,0),0)</x:f>
        <x:v>0</x:v>
      </x:c>
    </x:row>
    <x:row r="287">
      <x:c r="A287" s="47"/>
      <x:c r="B287" s="47"/>
      <x:c r="C287" s="69"/>
      <x:c r="D287" s="47"/>
      <x:c r="E287" s="47"/>
      <x:c r="F287" s="47"/>
      <x:c r="G287" s="47"/>
      <x:c r="H287" s="48"/>
      <x:c r="I287" s="48"/>
      <x:c r="J287" s="47"/>
      <x:c r="K287" s="47"/>
      <x:c r="L287" s="57" t="str">
        <x:f>IF(COUNTA(A287:K287)=0,"",IF(K287="CANCELLED","CANCELLED",IF(A287="","INVOICE ID REQUIRED",IF(B287="","PROJECT ID REQUIRED",IF(NOT(ISNUMBER(C287)),"INVALID INVOICE DATE",IF(NOT(AND(ISNUMBER(C287),C287&gt;=2,C287&lt;=2958465,C287=INT(C287))),"INVALID INVOICE DATE",IF(NOT(OR(D287="MX",D287="US")),"ENTITY REQUIRED",IF(NOT(OR(E287="Strategic Services",E287="Brands")),"UNIT REQUIRED",IF(F287="","BRAND / N/A REQUIRED",IF(NOT(OR(G287="USD",G287="MXN")),"CURRENCY REQUIRED",IF(NOT(ISNUMBER(H287)),"AMOUNT REQUIRED",IF(J287="","ERP SOURCE REQUIRED",IF(NOT(OR(K287="ISSUED",K287="CANCELLED")),"INVOICE STATUS REQUIRED",IF(COUNTIFS($A$2:$A$501,A287,$B$2:$B$501,B287,$D$2:$D$501,D287)&gt;1,"DUPLICATE INVOICE / PROJECT",IF(SUMPRODUCT(--(('ERP Snapshot'!$A$2:$A$101&amp;"")=(B287&amp;"")))=0,"PROJECT NOT FOUND",IF(SUMPRODUCT(--(('ERP Snapshot'!$A$2:$A$101&amp;"")=(B287&amp;"")))&gt;1,"DUPLICATE PROJECT ID",IF(OR(SUMPRODUCT(--(('ERP Snapshot'!$A$2:$A$101&amp;"")=(B287&amp;"")),--('ERP Snapshot'!$Q$2:$Q$101=E287),--('ERP Snapshot'!$R$2:$R$101=F287))&lt;&gt;1,SUMPRODUCT(--('Commercial Catalogs'!$A$2:$A$10=E287),--('Commercial Catalogs'!$B$2:$B$10=F287),--('Commercial Catalogs'!$C$2:$C$10="YES"),--('Commercial Catalogs'!$D$2:$D$10="IN SCOPE"))=0,AND(E287="Strategic Services",F287&lt;&gt;"N/A"),AND(E287="Brands",F287="N/A")),"PROJECT CLASSIFICATION MISMATCH",IF(AND(G287="MXN",NOT(AND(ISNUMBER(I287),Settings!$B$8="APPROVED",Settings!$B$9&lt;&gt;"",Settings!$B$10&lt;&gt;""))),"FX HOLD","VALID"))))))))))))))))))</x:f>
      </x:c>
      <x:c r="M287" s="57" t="str">
        <x:f>IF(ISNUMBER(C287),IF(AND(ISNUMBER(C287),C287&gt;=2,C287&lt;=2958465,C287=INT(C287)),YEAR(C287)&amp;"-"&amp;IF(MONTH(C287)&lt;10,"0","")&amp;MONTH(C287),""),"")</x:f>
      </x:c>
      <x:c r="N287" s="59" t="str">
        <x:f>IF(L287="VALID",IF(G287="USD",H287,I287),"")</x:f>
      </x:c>
      <x:c r="O287" s="57" t="n">
        <x:f>IF(L287="VALID",IF(COUNTIFS($B$2:B287,B287,$M$2:M287,M287,$L$2:L287,"VALID")=1,1,0),0)</x:f>
        <x:v>0</x:v>
      </x:c>
    </x:row>
    <x:row r="288">
      <x:c r="A288" s="47"/>
      <x:c r="B288" s="47"/>
      <x:c r="C288" s="69"/>
      <x:c r="D288" s="47"/>
      <x:c r="E288" s="47"/>
      <x:c r="F288" s="47"/>
      <x:c r="G288" s="47"/>
      <x:c r="H288" s="48"/>
      <x:c r="I288" s="48"/>
      <x:c r="J288" s="47"/>
      <x:c r="K288" s="47"/>
      <x:c r="L288" s="57" t="str">
        <x:f>IF(COUNTA(A288:K288)=0,"",IF(K288="CANCELLED","CANCELLED",IF(A288="","INVOICE ID REQUIRED",IF(B288="","PROJECT ID REQUIRED",IF(NOT(ISNUMBER(C288)),"INVALID INVOICE DATE",IF(NOT(AND(ISNUMBER(C288),C288&gt;=2,C288&lt;=2958465,C288=INT(C288))),"INVALID INVOICE DATE",IF(NOT(OR(D288="MX",D288="US")),"ENTITY REQUIRED",IF(NOT(OR(E288="Strategic Services",E288="Brands")),"UNIT REQUIRED",IF(F288="","BRAND / N/A REQUIRED",IF(NOT(OR(G288="USD",G288="MXN")),"CURRENCY REQUIRED",IF(NOT(ISNUMBER(H288)),"AMOUNT REQUIRED",IF(J288="","ERP SOURCE REQUIRED",IF(NOT(OR(K288="ISSUED",K288="CANCELLED")),"INVOICE STATUS REQUIRED",IF(COUNTIFS($A$2:$A$501,A288,$B$2:$B$501,B288,$D$2:$D$501,D288)&gt;1,"DUPLICATE INVOICE / PROJECT",IF(SUMPRODUCT(--(('ERP Snapshot'!$A$2:$A$101&amp;"")=(B288&amp;"")))=0,"PROJECT NOT FOUND",IF(SUMPRODUCT(--(('ERP Snapshot'!$A$2:$A$101&amp;"")=(B288&amp;"")))&gt;1,"DUPLICATE PROJECT ID",IF(OR(SUMPRODUCT(--(('ERP Snapshot'!$A$2:$A$101&amp;"")=(B288&amp;"")),--('ERP Snapshot'!$Q$2:$Q$101=E288),--('ERP Snapshot'!$R$2:$R$101=F288))&lt;&gt;1,SUMPRODUCT(--('Commercial Catalogs'!$A$2:$A$10=E288),--('Commercial Catalogs'!$B$2:$B$10=F288),--('Commercial Catalogs'!$C$2:$C$10="YES"),--('Commercial Catalogs'!$D$2:$D$10="IN SCOPE"))=0,AND(E288="Strategic Services",F288&lt;&gt;"N/A"),AND(E288="Brands",F288="N/A")),"PROJECT CLASSIFICATION MISMATCH",IF(AND(G288="MXN",NOT(AND(ISNUMBER(I288),Settings!$B$8="APPROVED",Settings!$B$9&lt;&gt;"",Settings!$B$10&lt;&gt;""))),"FX HOLD","VALID"))))))))))))))))))</x:f>
      </x:c>
      <x:c r="M288" s="57" t="str">
        <x:f>IF(ISNUMBER(C288),IF(AND(ISNUMBER(C288),C288&gt;=2,C288&lt;=2958465,C288=INT(C288)),YEAR(C288)&amp;"-"&amp;IF(MONTH(C288)&lt;10,"0","")&amp;MONTH(C288),""),"")</x:f>
      </x:c>
      <x:c r="N288" s="59" t="str">
        <x:f>IF(L288="VALID",IF(G288="USD",H288,I288),"")</x:f>
      </x:c>
      <x:c r="O288" s="57" t="n">
        <x:f>IF(L288="VALID",IF(COUNTIFS($B$2:B288,B288,$M$2:M288,M288,$L$2:L288,"VALID")=1,1,0),0)</x:f>
        <x:v>0</x:v>
      </x:c>
    </x:row>
    <x:row r="289">
      <x:c r="A289" s="47"/>
      <x:c r="B289" s="47"/>
      <x:c r="C289" s="69"/>
      <x:c r="D289" s="47"/>
      <x:c r="E289" s="47"/>
      <x:c r="F289" s="47"/>
      <x:c r="G289" s="47"/>
      <x:c r="H289" s="48"/>
      <x:c r="I289" s="48"/>
      <x:c r="J289" s="47"/>
      <x:c r="K289" s="47"/>
      <x:c r="L289" s="57" t="str">
        <x:f>IF(COUNTA(A289:K289)=0,"",IF(K289="CANCELLED","CANCELLED",IF(A289="","INVOICE ID REQUIRED",IF(B289="","PROJECT ID REQUIRED",IF(NOT(ISNUMBER(C289)),"INVALID INVOICE DATE",IF(NOT(AND(ISNUMBER(C289),C289&gt;=2,C289&lt;=2958465,C289=INT(C289))),"INVALID INVOICE DATE",IF(NOT(OR(D289="MX",D289="US")),"ENTITY REQUIRED",IF(NOT(OR(E289="Strategic Services",E289="Brands")),"UNIT REQUIRED",IF(F289="","BRAND / N/A REQUIRED",IF(NOT(OR(G289="USD",G289="MXN")),"CURRENCY REQUIRED",IF(NOT(ISNUMBER(H289)),"AMOUNT REQUIRED",IF(J289="","ERP SOURCE REQUIRED",IF(NOT(OR(K289="ISSUED",K289="CANCELLED")),"INVOICE STATUS REQUIRED",IF(COUNTIFS($A$2:$A$501,A289,$B$2:$B$501,B289,$D$2:$D$501,D289)&gt;1,"DUPLICATE INVOICE / PROJECT",IF(SUMPRODUCT(--(('ERP Snapshot'!$A$2:$A$101&amp;"")=(B289&amp;"")))=0,"PROJECT NOT FOUND",IF(SUMPRODUCT(--(('ERP Snapshot'!$A$2:$A$101&amp;"")=(B289&amp;"")))&gt;1,"DUPLICATE PROJECT ID",IF(OR(SUMPRODUCT(--(('ERP Snapshot'!$A$2:$A$101&amp;"")=(B289&amp;"")),--('ERP Snapshot'!$Q$2:$Q$101=E289),--('ERP Snapshot'!$R$2:$R$101=F289))&lt;&gt;1,SUMPRODUCT(--('Commercial Catalogs'!$A$2:$A$10=E289),--('Commercial Catalogs'!$B$2:$B$10=F289),--('Commercial Catalogs'!$C$2:$C$10="YES"),--('Commercial Catalogs'!$D$2:$D$10="IN SCOPE"))=0,AND(E289="Strategic Services",F289&lt;&gt;"N/A"),AND(E289="Brands",F289="N/A")),"PROJECT CLASSIFICATION MISMATCH",IF(AND(G289="MXN",NOT(AND(ISNUMBER(I289),Settings!$B$8="APPROVED",Settings!$B$9&lt;&gt;"",Settings!$B$10&lt;&gt;""))),"FX HOLD","VALID"))))))))))))))))))</x:f>
      </x:c>
      <x:c r="M289" s="57" t="str">
        <x:f>IF(ISNUMBER(C289),IF(AND(ISNUMBER(C289),C289&gt;=2,C289&lt;=2958465,C289=INT(C289)),YEAR(C289)&amp;"-"&amp;IF(MONTH(C289)&lt;10,"0","")&amp;MONTH(C289),""),"")</x:f>
      </x:c>
      <x:c r="N289" s="59" t="str">
        <x:f>IF(L289="VALID",IF(G289="USD",H289,I289),"")</x:f>
      </x:c>
      <x:c r="O289" s="57" t="n">
        <x:f>IF(L289="VALID",IF(COUNTIFS($B$2:B289,B289,$M$2:M289,M289,$L$2:L289,"VALID")=1,1,0),0)</x:f>
        <x:v>0</x:v>
      </x:c>
    </x:row>
    <x:row r="290">
      <x:c r="A290" s="47"/>
      <x:c r="B290" s="47"/>
      <x:c r="C290" s="69"/>
      <x:c r="D290" s="47"/>
      <x:c r="E290" s="47"/>
      <x:c r="F290" s="47"/>
      <x:c r="G290" s="47"/>
      <x:c r="H290" s="48"/>
      <x:c r="I290" s="48"/>
      <x:c r="J290" s="47"/>
      <x:c r="K290" s="47"/>
      <x:c r="L290" s="57" t="str">
        <x:f>IF(COUNTA(A290:K290)=0,"",IF(K290="CANCELLED","CANCELLED",IF(A290="","INVOICE ID REQUIRED",IF(B290="","PROJECT ID REQUIRED",IF(NOT(ISNUMBER(C290)),"INVALID INVOICE DATE",IF(NOT(AND(ISNUMBER(C290),C290&gt;=2,C290&lt;=2958465,C290=INT(C290))),"INVALID INVOICE DATE",IF(NOT(OR(D290="MX",D290="US")),"ENTITY REQUIRED",IF(NOT(OR(E290="Strategic Services",E290="Brands")),"UNIT REQUIRED",IF(F290="","BRAND / N/A REQUIRED",IF(NOT(OR(G290="USD",G290="MXN")),"CURRENCY REQUIRED",IF(NOT(ISNUMBER(H290)),"AMOUNT REQUIRED",IF(J290="","ERP SOURCE REQUIRED",IF(NOT(OR(K290="ISSUED",K290="CANCELLED")),"INVOICE STATUS REQUIRED",IF(COUNTIFS($A$2:$A$501,A290,$B$2:$B$501,B290,$D$2:$D$501,D290)&gt;1,"DUPLICATE INVOICE / PROJECT",IF(SUMPRODUCT(--(('ERP Snapshot'!$A$2:$A$101&amp;"")=(B290&amp;"")))=0,"PROJECT NOT FOUND",IF(SUMPRODUCT(--(('ERP Snapshot'!$A$2:$A$101&amp;"")=(B290&amp;"")))&gt;1,"DUPLICATE PROJECT ID",IF(OR(SUMPRODUCT(--(('ERP Snapshot'!$A$2:$A$101&amp;"")=(B290&amp;"")),--('ERP Snapshot'!$Q$2:$Q$101=E290),--('ERP Snapshot'!$R$2:$R$101=F290))&lt;&gt;1,SUMPRODUCT(--('Commercial Catalogs'!$A$2:$A$10=E290),--('Commercial Catalogs'!$B$2:$B$10=F290),--('Commercial Catalogs'!$C$2:$C$10="YES"),--('Commercial Catalogs'!$D$2:$D$10="IN SCOPE"))=0,AND(E290="Strategic Services",F290&lt;&gt;"N/A"),AND(E290="Brands",F290="N/A")),"PROJECT CLASSIFICATION MISMATCH",IF(AND(G290="MXN",NOT(AND(ISNUMBER(I290),Settings!$B$8="APPROVED",Settings!$B$9&lt;&gt;"",Settings!$B$10&lt;&gt;""))),"FX HOLD","VALID"))))))))))))))))))</x:f>
      </x:c>
      <x:c r="M290" s="57" t="str">
        <x:f>IF(ISNUMBER(C290),IF(AND(ISNUMBER(C290),C290&gt;=2,C290&lt;=2958465,C290=INT(C290)),YEAR(C290)&amp;"-"&amp;IF(MONTH(C290)&lt;10,"0","")&amp;MONTH(C290),""),"")</x:f>
      </x:c>
      <x:c r="N290" s="59" t="str">
        <x:f>IF(L290="VALID",IF(G290="USD",H290,I290),"")</x:f>
      </x:c>
      <x:c r="O290" s="57" t="n">
        <x:f>IF(L290="VALID",IF(COUNTIFS($B$2:B290,B290,$M$2:M290,M290,$L$2:L290,"VALID")=1,1,0),0)</x:f>
        <x:v>0</x:v>
      </x:c>
    </x:row>
    <x:row r="291">
      <x:c r="A291" s="47"/>
      <x:c r="B291" s="47"/>
      <x:c r="C291" s="69"/>
      <x:c r="D291" s="47"/>
      <x:c r="E291" s="47"/>
      <x:c r="F291" s="47"/>
      <x:c r="G291" s="47"/>
      <x:c r="H291" s="48"/>
      <x:c r="I291" s="48"/>
      <x:c r="J291" s="47"/>
      <x:c r="K291" s="47"/>
      <x:c r="L291" s="57" t="str">
        <x:f>IF(COUNTA(A291:K291)=0,"",IF(K291="CANCELLED","CANCELLED",IF(A291="","INVOICE ID REQUIRED",IF(B291="","PROJECT ID REQUIRED",IF(NOT(ISNUMBER(C291)),"INVALID INVOICE DATE",IF(NOT(AND(ISNUMBER(C291),C291&gt;=2,C291&lt;=2958465,C291=INT(C291))),"INVALID INVOICE DATE",IF(NOT(OR(D291="MX",D291="US")),"ENTITY REQUIRED",IF(NOT(OR(E291="Strategic Services",E291="Brands")),"UNIT REQUIRED",IF(F291="","BRAND / N/A REQUIRED",IF(NOT(OR(G291="USD",G291="MXN")),"CURRENCY REQUIRED",IF(NOT(ISNUMBER(H291)),"AMOUNT REQUIRED",IF(J291="","ERP SOURCE REQUIRED",IF(NOT(OR(K291="ISSUED",K291="CANCELLED")),"INVOICE STATUS REQUIRED",IF(COUNTIFS($A$2:$A$501,A291,$B$2:$B$501,B291,$D$2:$D$501,D291)&gt;1,"DUPLICATE INVOICE / PROJECT",IF(SUMPRODUCT(--(('ERP Snapshot'!$A$2:$A$101&amp;"")=(B291&amp;"")))=0,"PROJECT NOT FOUND",IF(SUMPRODUCT(--(('ERP Snapshot'!$A$2:$A$101&amp;"")=(B291&amp;"")))&gt;1,"DUPLICATE PROJECT ID",IF(OR(SUMPRODUCT(--(('ERP Snapshot'!$A$2:$A$101&amp;"")=(B291&amp;"")),--('ERP Snapshot'!$Q$2:$Q$101=E291),--('ERP Snapshot'!$R$2:$R$101=F291))&lt;&gt;1,SUMPRODUCT(--('Commercial Catalogs'!$A$2:$A$10=E291),--('Commercial Catalogs'!$B$2:$B$10=F291),--('Commercial Catalogs'!$C$2:$C$10="YES"),--('Commercial Catalogs'!$D$2:$D$10="IN SCOPE"))=0,AND(E291="Strategic Services",F291&lt;&gt;"N/A"),AND(E291="Brands",F291="N/A")),"PROJECT CLASSIFICATION MISMATCH",IF(AND(G291="MXN",NOT(AND(ISNUMBER(I291),Settings!$B$8="APPROVED",Settings!$B$9&lt;&gt;"",Settings!$B$10&lt;&gt;""))),"FX HOLD","VALID"))))))))))))))))))</x:f>
      </x:c>
      <x:c r="M291" s="57" t="str">
        <x:f>IF(ISNUMBER(C291),IF(AND(ISNUMBER(C291),C291&gt;=2,C291&lt;=2958465,C291=INT(C291)),YEAR(C291)&amp;"-"&amp;IF(MONTH(C291)&lt;10,"0","")&amp;MONTH(C291),""),"")</x:f>
      </x:c>
      <x:c r="N291" s="59" t="str">
        <x:f>IF(L291="VALID",IF(G291="USD",H291,I291),"")</x:f>
      </x:c>
      <x:c r="O291" s="57" t="n">
        <x:f>IF(L291="VALID",IF(COUNTIFS($B$2:B291,B291,$M$2:M291,M291,$L$2:L291,"VALID")=1,1,0),0)</x:f>
        <x:v>0</x:v>
      </x:c>
    </x:row>
    <x:row r="292">
      <x:c r="A292" s="47"/>
      <x:c r="B292" s="47"/>
      <x:c r="C292" s="69"/>
      <x:c r="D292" s="47"/>
      <x:c r="E292" s="47"/>
      <x:c r="F292" s="47"/>
      <x:c r="G292" s="47"/>
      <x:c r="H292" s="48"/>
      <x:c r="I292" s="48"/>
      <x:c r="J292" s="47"/>
      <x:c r="K292" s="47"/>
      <x:c r="L292" s="57" t="str">
        <x:f>IF(COUNTA(A292:K292)=0,"",IF(K292="CANCELLED","CANCELLED",IF(A292="","INVOICE ID REQUIRED",IF(B292="","PROJECT ID REQUIRED",IF(NOT(ISNUMBER(C292)),"INVALID INVOICE DATE",IF(NOT(AND(ISNUMBER(C292),C292&gt;=2,C292&lt;=2958465,C292=INT(C292))),"INVALID INVOICE DATE",IF(NOT(OR(D292="MX",D292="US")),"ENTITY REQUIRED",IF(NOT(OR(E292="Strategic Services",E292="Brands")),"UNIT REQUIRED",IF(F292="","BRAND / N/A REQUIRED",IF(NOT(OR(G292="USD",G292="MXN")),"CURRENCY REQUIRED",IF(NOT(ISNUMBER(H292)),"AMOUNT REQUIRED",IF(J292="","ERP SOURCE REQUIRED",IF(NOT(OR(K292="ISSUED",K292="CANCELLED")),"INVOICE STATUS REQUIRED",IF(COUNTIFS($A$2:$A$501,A292,$B$2:$B$501,B292,$D$2:$D$501,D292)&gt;1,"DUPLICATE INVOICE / PROJECT",IF(SUMPRODUCT(--(('ERP Snapshot'!$A$2:$A$101&amp;"")=(B292&amp;"")))=0,"PROJECT NOT FOUND",IF(SUMPRODUCT(--(('ERP Snapshot'!$A$2:$A$101&amp;"")=(B292&amp;"")))&gt;1,"DUPLICATE PROJECT ID",IF(OR(SUMPRODUCT(--(('ERP Snapshot'!$A$2:$A$101&amp;"")=(B292&amp;"")),--('ERP Snapshot'!$Q$2:$Q$101=E292),--('ERP Snapshot'!$R$2:$R$101=F292))&lt;&gt;1,SUMPRODUCT(--('Commercial Catalogs'!$A$2:$A$10=E292),--('Commercial Catalogs'!$B$2:$B$10=F292),--('Commercial Catalogs'!$C$2:$C$10="YES"),--('Commercial Catalogs'!$D$2:$D$10="IN SCOPE"))=0,AND(E292="Strategic Services",F292&lt;&gt;"N/A"),AND(E292="Brands",F292="N/A")),"PROJECT CLASSIFICATION MISMATCH",IF(AND(G292="MXN",NOT(AND(ISNUMBER(I292),Settings!$B$8="APPROVED",Settings!$B$9&lt;&gt;"",Settings!$B$10&lt;&gt;""))),"FX HOLD","VALID"))))))))))))))))))</x:f>
      </x:c>
      <x:c r="M292" s="57" t="str">
        <x:f>IF(ISNUMBER(C292),IF(AND(ISNUMBER(C292),C292&gt;=2,C292&lt;=2958465,C292=INT(C292)),YEAR(C292)&amp;"-"&amp;IF(MONTH(C292)&lt;10,"0","")&amp;MONTH(C292),""),"")</x:f>
      </x:c>
      <x:c r="N292" s="59" t="str">
        <x:f>IF(L292="VALID",IF(G292="USD",H292,I292),"")</x:f>
      </x:c>
      <x:c r="O292" s="57" t="n">
        <x:f>IF(L292="VALID",IF(COUNTIFS($B$2:B292,B292,$M$2:M292,M292,$L$2:L292,"VALID")=1,1,0),0)</x:f>
        <x:v>0</x:v>
      </x:c>
    </x:row>
    <x:row r="293">
      <x:c r="A293" s="47"/>
      <x:c r="B293" s="47"/>
      <x:c r="C293" s="69"/>
      <x:c r="D293" s="47"/>
      <x:c r="E293" s="47"/>
      <x:c r="F293" s="47"/>
      <x:c r="G293" s="47"/>
      <x:c r="H293" s="48"/>
      <x:c r="I293" s="48"/>
      <x:c r="J293" s="47"/>
      <x:c r="K293" s="47"/>
      <x:c r="L293" s="57" t="str">
        <x:f>IF(COUNTA(A293:K293)=0,"",IF(K293="CANCELLED","CANCELLED",IF(A293="","INVOICE ID REQUIRED",IF(B293="","PROJECT ID REQUIRED",IF(NOT(ISNUMBER(C293)),"INVALID INVOICE DATE",IF(NOT(AND(ISNUMBER(C293),C293&gt;=2,C293&lt;=2958465,C293=INT(C293))),"INVALID INVOICE DATE",IF(NOT(OR(D293="MX",D293="US")),"ENTITY REQUIRED",IF(NOT(OR(E293="Strategic Services",E293="Brands")),"UNIT REQUIRED",IF(F293="","BRAND / N/A REQUIRED",IF(NOT(OR(G293="USD",G293="MXN")),"CURRENCY REQUIRED",IF(NOT(ISNUMBER(H293)),"AMOUNT REQUIRED",IF(J293="","ERP SOURCE REQUIRED",IF(NOT(OR(K293="ISSUED",K293="CANCELLED")),"INVOICE STATUS REQUIRED",IF(COUNTIFS($A$2:$A$501,A293,$B$2:$B$501,B293,$D$2:$D$501,D293)&gt;1,"DUPLICATE INVOICE / PROJECT",IF(SUMPRODUCT(--(('ERP Snapshot'!$A$2:$A$101&amp;"")=(B293&amp;"")))=0,"PROJECT NOT FOUND",IF(SUMPRODUCT(--(('ERP Snapshot'!$A$2:$A$101&amp;"")=(B293&amp;"")))&gt;1,"DUPLICATE PROJECT ID",IF(OR(SUMPRODUCT(--(('ERP Snapshot'!$A$2:$A$101&amp;"")=(B293&amp;"")),--('ERP Snapshot'!$Q$2:$Q$101=E293),--('ERP Snapshot'!$R$2:$R$101=F293))&lt;&gt;1,SUMPRODUCT(--('Commercial Catalogs'!$A$2:$A$10=E293),--('Commercial Catalogs'!$B$2:$B$10=F293),--('Commercial Catalogs'!$C$2:$C$10="YES"),--('Commercial Catalogs'!$D$2:$D$10="IN SCOPE"))=0,AND(E293="Strategic Services",F293&lt;&gt;"N/A"),AND(E293="Brands",F293="N/A")),"PROJECT CLASSIFICATION MISMATCH",IF(AND(G293="MXN",NOT(AND(ISNUMBER(I293),Settings!$B$8="APPROVED",Settings!$B$9&lt;&gt;"",Settings!$B$10&lt;&gt;""))),"FX HOLD","VALID"))))))))))))))))))</x:f>
      </x:c>
      <x:c r="M293" s="57" t="str">
        <x:f>IF(ISNUMBER(C293),IF(AND(ISNUMBER(C293),C293&gt;=2,C293&lt;=2958465,C293=INT(C293)),YEAR(C293)&amp;"-"&amp;IF(MONTH(C293)&lt;10,"0","")&amp;MONTH(C293),""),"")</x:f>
      </x:c>
      <x:c r="N293" s="59" t="str">
        <x:f>IF(L293="VALID",IF(G293="USD",H293,I293),"")</x:f>
      </x:c>
      <x:c r="O293" s="57" t="n">
        <x:f>IF(L293="VALID",IF(COUNTIFS($B$2:B293,B293,$M$2:M293,M293,$L$2:L293,"VALID")=1,1,0),0)</x:f>
        <x:v>0</x:v>
      </x:c>
    </x:row>
    <x:row r="294">
      <x:c r="A294" s="47"/>
      <x:c r="B294" s="47"/>
      <x:c r="C294" s="69"/>
      <x:c r="D294" s="47"/>
      <x:c r="E294" s="47"/>
      <x:c r="F294" s="47"/>
      <x:c r="G294" s="47"/>
      <x:c r="H294" s="48"/>
      <x:c r="I294" s="48"/>
      <x:c r="J294" s="47"/>
      <x:c r="K294" s="47"/>
      <x:c r="L294" s="57" t="str">
        <x:f>IF(COUNTA(A294:K294)=0,"",IF(K294="CANCELLED","CANCELLED",IF(A294="","INVOICE ID REQUIRED",IF(B294="","PROJECT ID REQUIRED",IF(NOT(ISNUMBER(C294)),"INVALID INVOICE DATE",IF(NOT(AND(ISNUMBER(C294),C294&gt;=2,C294&lt;=2958465,C294=INT(C294))),"INVALID INVOICE DATE",IF(NOT(OR(D294="MX",D294="US")),"ENTITY REQUIRED",IF(NOT(OR(E294="Strategic Services",E294="Brands")),"UNIT REQUIRED",IF(F294="","BRAND / N/A REQUIRED",IF(NOT(OR(G294="USD",G294="MXN")),"CURRENCY REQUIRED",IF(NOT(ISNUMBER(H294)),"AMOUNT REQUIRED",IF(J294="","ERP SOURCE REQUIRED",IF(NOT(OR(K294="ISSUED",K294="CANCELLED")),"INVOICE STATUS REQUIRED",IF(COUNTIFS($A$2:$A$501,A294,$B$2:$B$501,B294,$D$2:$D$501,D294)&gt;1,"DUPLICATE INVOICE / PROJECT",IF(SUMPRODUCT(--(('ERP Snapshot'!$A$2:$A$101&amp;"")=(B294&amp;"")))=0,"PROJECT NOT FOUND",IF(SUMPRODUCT(--(('ERP Snapshot'!$A$2:$A$101&amp;"")=(B294&amp;"")))&gt;1,"DUPLICATE PROJECT ID",IF(OR(SUMPRODUCT(--(('ERP Snapshot'!$A$2:$A$101&amp;"")=(B294&amp;"")),--('ERP Snapshot'!$Q$2:$Q$101=E294),--('ERP Snapshot'!$R$2:$R$101=F294))&lt;&gt;1,SUMPRODUCT(--('Commercial Catalogs'!$A$2:$A$10=E294),--('Commercial Catalogs'!$B$2:$B$10=F294),--('Commercial Catalogs'!$C$2:$C$10="YES"),--('Commercial Catalogs'!$D$2:$D$10="IN SCOPE"))=0,AND(E294="Strategic Services",F294&lt;&gt;"N/A"),AND(E294="Brands",F294="N/A")),"PROJECT CLASSIFICATION MISMATCH",IF(AND(G294="MXN",NOT(AND(ISNUMBER(I294),Settings!$B$8="APPROVED",Settings!$B$9&lt;&gt;"",Settings!$B$10&lt;&gt;""))),"FX HOLD","VALID"))))))))))))))))))</x:f>
      </x:c>
      <x:c r="M294" s="57" t="str">
        <x:f>IF(ISNUMBER(C294),IF(AND(ISNUMBER(C294),C294&gt;=2,C294&lt;=2958465,C294=INT(C294)),YEAR(C294)&amp;"-"&amp;IF(MONTH(C294)&lt;10,"0","")&amp;MONTH(C294),""),"")</x:f>
      </x:c>
      <x:c r="N294" s="59" t="str">
        <x:f>IF(L294="VALID",IF(G294="USD",H294,I294),"")</x:f>
      </x:c>
      <x:c r="O294" s="57" t="n">
        <x:f>IF(L294="VALID",IF(COUNTIFS($B$2:B294,B294,$M$2:M294,M294,$L$2:L294,"VALID")=1,1,0),0)</x:f>
        <x:v>0</x:v>
      </x:c>
    </x:row>
    <x:row r="295">
      <x:c r="A295" s="47"/>
      <x:c r="B295" s="47"/>
      <x:c r="C295" s="69"/>
      <x:c r="D295" s="47"/>
      <x:c r="E295" s="47"/>
      <x:c r="F295" s="47"/>
      <x:c r="G295" s="47"/>
      <x:c r="H295" s="48"/>
      <x:c r="I295" s="48"/>
      <x:c r="J295" s="47"/>
      <x:c r="K295" s="47"/>
      <x:c r="L295" s="57" t="str">
        <x:f>IF(COUNTA(A295:K295)=0,"",IF(K295="CANCELLED","CANCELLED",IF(A295="","INVOICE ID REQUIRED",IF(B295="","PROJECT ID REQUIRED",IF(NOT(ISNUMBER(C295)),"INVALID INVOICE DATE",IF(NOT(AND(ISNUMBER(C295),C295&gt;=2,C295&lt;=2958465,C295=INT(C295))),"INVALID INVOICE DATE",IF(NOT(OR(D295="MX",D295="US")),"ENTITY REQUIRED",IF(NOT(OR(E295="Strategic Services",E295="Brands")),"UNIT REQUIRED",IF(F295="","BRAND / N/A REQUIRED",IF(NOT(OR(G295="USD",G295="MXN")),"CURRENCY REQUIRED",IF(NOT(ISNUMBER(H295)),"AMOUNT REQUIRED",IF(J295="","ERP SOURCE REQUIRED",IF(NOT(OR(K295="ISSUED",K295="CANCELLED")),"INVOICE STATUS REQUIRED",IF(COUNTIFS($A$2:$A$501,A295,$B$2:$B$501,B295,$D$2:$D$501,D295)&gt;1,"DUPLICATE INVOICE / PROJECT",IF(SUMPRODUCT(--(('ERP Snapshot'!$A$2:$A$101&amp;"")=(B295&amp;"")))=0,"PROJECT NOT FOUND",IF(SUMPRODUCT(--(('ERP Snapshot'!$A$2:$A$101&amp;"")=(B295&amp;"")))&gt;1,"DUPLICATE PROJECT ID",IF(OR(SUMPRODUCT(--(('ERP Snapshot'!$A$2:$A$101&amp;"")=(B295&amp;"")),--('ERP Snapshot'!$Q$2:$Q$101=E295),--('ERP Snapshot'!$R$2:$R$101=F295))&lt;&gt;1,SUMPRODUCT(--('Commercial Catalogs'!$A$2:$A$10=E295),--('Commercial Catalogs'!$B$2:$B$10=F295),--('Commercial Catalogs'!$C$2:$C$10="YES"),--('Commercial Catalogs'!$D$2:$D$10="IN SCOPE"))=0,AND(E295="Strategic Services",F295&lt;&gt;"N/A"),AND(E295="Brands",F295="N/A")),"PROJECT CLASSIFICATION MISMATCH",IF(AND(G295="MXN",NOT(AND(ISNUMBER(I295),Settings!$B$8="APPROVED",Settings!$B$9&lt;&gt;"",Settings!$B$10&lt;&gt;""))),"FX HOLD","VALID"))))))))))))))))))</x:f>
      </x:c>
      <x:c r="M295" s="57" t="str">
        <x:f>IF(ISNUMBER(C295),IF(AND(ISNUMBER(C295),C295&gt;=2,C295&lt;=2958465,C295=INT(C295)),YEAR(C295)&amp;"-"&amp;IF(MONTH(C295)&lt;10,"0","")&amp;MONTH(C295),""),"")</x:f>
      </x:c>
      <x:c r="N295" s="59" t="str">
        <x:f>IF(L295="VALID",IF(G295="USD",H295,I295),"")</x:f>
      </x:c>
      <x:c r="O295" s="57" t="n">
        <x:f>IF(L295="VALID",IF(COUNTIFS($B$2:B295,B295,$M$2:M295,M295,$L$2:L295,"VALID")=1,1,0),0)</x:f>
        <x:v>0</x:v>
      </x:c>
    </x:row>
    <x:row r="296">
      <x:c r="A296" s="47"/>
      <x:c r="B296" s="47"/>
      <x:c r="C296" s="69"/>
      <x:c r="D296" s="47"/>
      <x:c r="E296" s="47"/>
      <x:c r="F296" s="47"/>
      <x:c r="G296" s="47"/>
      <x:c r="H296" s="48"/>
      <x:c r="I296" s="48"/>
      <x:c r="J296" s="47"/>
      <x:c r="K296" s="47"/>
      <x:c r="L296" s="57" t="str">
        <x:f>IF(COUNTA(A296:K296)=0,"",IF(K296="CANCELLED","CANCELLED",IF(A296="","INVOICE ID REQUIRED",IF(B296="","PROJECT ID REQUIRED",IF(NOT(ISNUMBER(C296)),"INVALID INVOICE DATE",IF(NOT(AND(ISNUMBER(C296),C296&gt;=2,C296&lt;=2958465,C296=INT(C296))),"INVALID INVOICE DATE",IF(NOT(OR(D296="MX",D296="US")),"ENTITY REQUIRED",IF(NOT(OR(E296="Strategic Services",E296="Brands")),"UNIT REQUIRED",IF(F296="","BRAND / N/A REQUIRED",IF(NOT(OR(G296="USD",G296="MXN")),"CURRENCY REQUIRED",IF(NOT(ISNUMBER(H296)),"AMOUNT REQUIRED",IF(J296="","ERP SOURCE REQUIRED",IF(NOT(OR(K296="ISSUED",K296="CANCELLED")),"INVOICE STATUS REQUIRED",IF(COUNTIFS($A$2:$A$501,A296,$B$2:$B$501,B296,$D$2:$D$501,D296)&gt;1,"DUPLICATE INVOICE / PROJECT",IF(SUMPRODUCT(--(('ERP Snapshot'!$A$2:$A$101&amp;"")=(B296&amp;"")))=0,"PROJECT NOT FOUND",IF(SUMPRODUCT(--(('ERP Snapshot'!$A$2:$A$101&amp;"")=(B296&amp;"")))&gt;1,"DUPLICATE PROJECT ID",IF(OR(SUMPRODUCT(--(('ERP Snapshot'!$A$2:$A$101&amp;"")=(B296&amp;"")),--('ERP Snapshot'!$Q$2:$Q$101=E296),--('ERP Snapshot'!$R$2:$R$101=F296))&lt;&gt;1,SUMPRODUCT(--('Commercial Catalogs'!$A$2:$A$10=E296),--('Commercial Catalogs'!$B$2:$B$10=F296),--('Commercial Catalogs'!$C$2:$C$10="YES"),--('Commercial Catalogs'!$D$2:$D$10="IN SCOPE"))=0,AND(E296="Strategic Services",F296&lt;&gt;"N/A"),AND(E296="Brands",F296="N/A")),"PROJECT CLASSIFICATION MISMATCH",IF(AND(G296="MXN",NOT(AND(ISNUMBER(I296),Settings!$B$8="APPROVED",Settings!$B$9&lt;&gt;"",Settings!$B$10&lt;&gt;""))),"FX HOLD","VALID"))))))))))))))))))</x:f>
      </x:c>
      <x:c r="M296" s="57" t="str">
        <x:f>IF(ISNUMBER(C296),IF(AND(ISNUMBER(C296),C296&gt;=2,C296&lt;=2958465,C296=INT(C296)),YEAR(C296)&amp;"-"&amp;IF(MONTH(C296)&lt;10,"0","")&amp;MONTH(C296),""),"")</x:f>
      </x:c>
      <x:c r="N296" s="59" t="str">
        <x:f>IF(L296="VALID",IF(G296="USD",H296,I296),"")</x:f>
      </x:c>
      <x:c r="O296" s="57" t="n">
        <x:f>IF(L296="VALID",IF(COUNTIFS($B$2:B296,B296,$M$2:M296,M296,$L$2:L296,"VALID")=1,1,0),0)</x:f>
        <x:v>0</x:v>
      </x:c>
    </x:row>
    <x:row r="297">
      <x:c r="A297" s="47"/>
      <x:c r="B297" s="47"/>
      <x:c r="C297" s="69"/>
      <x:c r="D297" s="47"/>
      <x:c r="E297" s="47"/>
      <x:c r="F297" s="47"/>
      <x:c r="G297" s="47"/>
      <x:c r="H297" s="48"/>
      <x:c r="I297" s="48"/>
      <x:c r="J297" s="47"/>
      <x:c r="K297" s="47"/>
      <x:c r="L297" s="57" t="str">
        <x:f>IF(COUNTA(A297:K297)=0,"",IF(K297="CANCELLED","CANCELLED",IF(A297="","INVOICE ID REQUIRED",IF(B297="","PROJECT ID REQUIRED",IF(NOT(ISNUMBER(C297)),"INVALID INVOICE DATE",IF(NOT(AND(ISNUMBER(C297),C297&gt;=2,C297&lt;=2958465,C297=INT(C297))),"INVALID INVOICE DATE",IF(NOT(OR(D297="MX",D297="US")),"ENTITY REQUIRED",IF(NOT(OR(E297="Strategic Services",E297="Brands")),"UNIT REQUIRED",IF(F297="","BRAND / N/A REQUIRED",IF(NOT(OR(G297="USD",G297="MXN")),"CURRENCY REQUIRED",IF(NOT(ISNUMBER(H297)),"AMOUNT REQUIRED",IF(J297="","ERP SOURCE REQUIRED",IF(NOT(OR(K297="ISSUED",K297="CANCELLED")),"INVOICE STATUS REQUIRED",IF(COUNTIFS($A$2:$A$501,A297,$B$2:$B$501,B297,$D$2:$D$501,D297)&gt;1,"DUPLICATE INVOICE / PROJECT",IF(SUMPRODUCT(--(('ERP Snapshot'!$A$2:$A$101&amp;"")=(B297&amp;"")))=0,"PROJECT NOT FOUND",IF(SUMPRODUCT(--(('ERP Snapshot'!$A$2:$A$101&amp;"")=(B297&amp;"")))&gt;1,"DUPLICATE PROJECT ID",IF(OR(SUMPRODUCT(--(('ERP Snapshot'!$A$2:$A$101&amp;"")=(B297&amp;"")),--('ERP Snapshot'!$Q$2:$Q$101=E297),--('ERP Snapshot'!$R$2:$R$101=F297))&lt;&gt;1,SUMPRODUCT(--('Commercial Catalogs'!$A$2:$A$10=E297),--('Commercial Catalogs'!$B$2:$B$10=F297),--('Commercial Catalogs'!$C$2:$C$10="YES"),--('Commercial Catalogs'!$D$2:$D$10="IN SCOPE"))=0,AND(E297="Strategic Services",F297&lt;&gt;"N/A"),AND(E297="Brands",F297="N/A")),"PROJECT CLASSIFICATION MISMATCH",IF(AND(G297="MXN",NOT(AND(ISNUMBER(I297),Settings!$B$8="APPROVED",Settings!$B$9&lt;&gt;"",Settings!$B$10&lt;&gt;""))),"FX HOLD","VALID"))))))))))))))))))</x:f>
      </x:c>
      <x:c r="M297" s="57" t="str">
        <x:f>IF(ISNUMBER(C297),IF(AND(ISNUMBER(C297),C297&gt;=2,C297&lt;=2958465,C297=INT(C297)),YEAR(C297)&amp;"-"&amp;IF(MONTH(C297)&lt;10,"0","")&amp;MONTH(C297),""),"")</x:f>
      </x:c>
      <x:c r="N297" s="59" t="str">
        <x:f>IF(L297="VALID",IF(G297="USD",H297,I297),"")</x:f>
      </x:c>
      <x:c r="O297" s="57" t="n">
        <x:f>IF(L297="VALID",IF(COUNTIFS($B$2:B297,B297,$M$2:M297,M297,$L$2:L297,"VALID")=1,1,0),0)</x:f>
        <x:v>0</x:v>
      </x:c>
    </x:row>
    <x:row r="298">
      <x:c r="A298" s="47"/>
      <x:c r="B298" s="47"/>
      <x:c r="C298" s="69"/>
      <x:c r="D298" s="47"/>
      <x:c r="E298" s="47"/>
      <x:c r="F298" s="47"/>
      <x:c r="G298" s="47"/>
      <x:c r="H298" s="48"/>
      <x:c r="I298" s="48"/>
      <x:c r="J298" s="47"/>
      <x:c r="K298" s="47"/>
      <x:c r="L298" s="57" t="str">
        <x:f>IF(COUNTA(A298:K298)=0,"",IF(K298="CANCELLED","CANCELLED",IF(A298="","INVOICE ID REQUIRED",IF(B298="","PROJECT ID REQUIRED",IF(NOT(ISNUMBER(C298)),"INVALID INVOICE DATE",IF(NOT(AND(ISNUMBER(C298),C298&gt;=2,C298&lt;=2958465,C298=INT(C298))),"INVALID INVOICE DATE",IF(NOT(OR(D298="MX",D298="US")),"ENTITY REQUIRED",IF(NOT(OR(E298="Strategic Services",E298="Brands")),"UNIT REQUIRED",IF(F298="","BRAND / N/A REQUIRED",IF(NOT(OR(G298="USD",G298="MXN")),"CURRENCY REQUIRED",IF(NOT(ISNUMBER(H298)),"AMOUNT REQUIRED",IF(J298="","ERP SOURCE REQUIRED",IF(NOT(OR(K298="ISSUED",K298="CANCELLED")),"INVOICE STATUS REQUIRED",IF(COUNTIFS($A$2:$A$501,A298,$B$2:$B$501,B298,$D$2:$D$501,D298)&gt;1,"DUPLICATE INVOICE / PROJECT",IF(SUMPRODUCT(--(('ERP Snapshot'!$A$2:$A$101&amp;"")=(B298&amp;"")))=0,"PROJECT NOT FOUND",IF(SUMPRODUCT(--(('ERP Snapshot'!$A$2:$A$101&amp;"")=(B298&amp;"")))&gt;1,"DUPLICATE PROJECT ID",IF(OR(SUMPRODUCT(--(('ERP Snapshot'!$A$2:$A$101&amp;"")=(B298&amp;"")),--('ERP Snapshot'!$Q$2:$Q$101=E298),--('ERP Snapshot'!$R$2:$R$101=F298))&lt;&gt;1,SUMPRODUCT(--('Commercial Catalogs'!$A$2:$A$10=E298),--('Commercial Catalogs'!$B$2:$B$10=F298),--('Commercial Catalogs'!$C$2:$C$10="YES"),--('Commercial Catalogs'!$D$2:$D$10="IN SCOPE"))=0,AND(E298="Strategic Services",F298&lt;&gt;"N/A"),AND(E298="Brands",F298="N/A")),"PROJECT CLASSIFICATION MISMATCH",IF(AND(G298="MXN",NOT(AND(ISNUMBER(I298),Settings!$B$8="APPROVED",Settings!$B$9&lt;&gt;"",Settings!$B$10&lt;&gt;""))),"FX HOLD","VALID"))))))))))))))))))</x:f>
      </x:c>
      <x:c r="M298" s="57" t="str">
        <x:f>IF(ISNUMBER(C298),IF(AND(ISNUMBER(C298),C298&gt;=2,C298&lt;=2958465,C298=INT(C298)),YEAR(C298)&amp;"-"&amp;IF(MONTH(C298)&lt;10,"0","")&amp;MONTH(C298),""),"")</x:f>
      </x:c>
      <x:c r="N298" s="59" t="str">
        <x:f>IF(L298="VALID",IF(G298="USD",H298,I298),"")</x:f>
      </x:c>
      <x:c r="O298" s="57" t="n">
        <x:f>IF(L298="VALID",IF(COUNTIFS($B$2:B298,B298,$M$2:M298,M298,$L$2:L298,"VALID")=1,1,0),0)</x:f>
        <x:v>0</x:v>
      </x:c>
    </x:row>
    <x:row r="299">
      <x:c r="A299" s="47"/>
      <x:c r="B299" s="47"/>
      <x:c r="C299" s="69"/>
      <x:c r="D299" s="47"/>
      <x:c r="E299" s="47"/>
      <x:c r="F299" s="47"/>
      <x:c r="G299" s="47"/>
      <x:c r="H299" s="48"/>
      <x:c r="I299" s="48"/>
      <x:c r="J299" s="47"/>
      <x:c r="K299" s="47"/>
      <x:c r="L299" s="57" t="str">
        <x:f>IF(COUNTA(A299:K299)=0,"",IF(K299="CANCELLED","CANCELLED",IF(A299="","INVOICE ID REQUIRED",IF(B299="","PROJECT ID REQUIRED",IF(NOT(ISNUMBER(C299)),"INVALID INVOICE DATE",IF(NOT(AND(ISNUMBER(C299),C299&gt;=2,C299&lt;=2958465,C299=INT(C299))),"INVALID INVOICE DATE",IF(NOT(OR(D299="MX",D299="US")),"ENTITY REQUIRED",IF(NOT(OR(E299="Strategic Services",E299="Brands")),"UNIT REQUIRED",IF(F299="","BRAND / N/A REQUIRED",IF(NOT(OR(G299="USD",G299="MXN")),"CURRENCY REQUIRED",IF(NOT(ISNUMBER(H299)),"AMOUNT REQUIRED",IF(J299="","ERP SOURCE REQUIRED",IF(NOT(OR(K299="ISSUED",K299="CANCELLED")),"INVOICE STATUS REQUIRED",IF(COUNTIFS($A$2:$A$501,A299,$B$2:$B$501,B299,$D$2:$D$501,D299)&gt;1,"DUPLICATE INVOICE / PROJECT",IF(SUMPRODUCT(--(('ERP Snapshot'!$A$2:$A$101&amp;"")=(B299&amp;"")))=0,"PROJECT NOT FOUND",IF(SUMPRODUCT(--(('ERP Snapshot'!$A$2:$A$101&amp;"")=(B299&amp;"")))&gt;1,"DUPLICATE PROJECT ID",IF(OR(SUMPRODUCT(--(('ERP Snapshot'!$A$2:$A$101&amp;"")=(B299&amp;"")),--('ERP Snapshot'!$Q$2:$Q$101=E299),--('ERP Snapshot'!$R$2:$R$101=F299))&lt;&gt;1,SUMPRODUCT(--('Commercial Catalogs'!$A$2:$A$10=E299),--('Commercial Catalogs'!$B$2:$B$10=F299),--('Commercial Catalogs'!$C$2:$C$10="YES"),--('Commercial Catalogs'!$D$2:$D$10="IN SCOPE"))=0,AND(E299="Strategic Services",F299&lt;&gt;"N/A"),AND(E299="Brands",F299="N/A")),"PROJECT CLASSIFICATION MISMATCH",IF(AND(G299="MXN",NOT(AND(ISNUMBER(I299),Settings!$B$8="APPROVED",Settings!$B$9&lt;&gt;"",Settings!$B$10&lt;&gt;""))),"FX HOLD","VALID"))))))))))))))))))</x:f>
      </x:c>
      <x:c r="M299" s="57" t="str">
        <x:f>IF(ISNUMBER(C299),IF(AND(ISNUMBER(C299),C299&gt;=2,C299&lt;=2958465,C299=INT(C299)),YEAR(C299)&amp;"-"&amp;IF(MONTH(C299)&lt;10,"0","")&amp;MONTH(C299),""),"")</x:f>
      </x:c>
      <x:c r="N299" s="59" t="str">
        <x:f>IF(L299="VALID",IF(G299="USD",H299,I299),"")</x:f>
      </x:c>
      <x:c r="O299" s="57" t="n">
        <x:f>IF(L299="VALID",IF(COUNTIFS($B$2:B299,B299,$M$2:M299,M299,$L$2:L299,"VALID")=1,1,0),0)</x:f>
        <x:v>0</x:v>
      </x:c>
    </x:row>
    <x:row r="300">
      <x:c r="A300" s="47"/>
      <x:c r="B300" s="47"/>
      <x:c r="C300" s="69"/>
      <x:c r="D300" s="47"/>
      <x:c r="E300" s="47"/>
      <x:c r="F300" s="47"/>
      <x:c r="G300" s="47"/>
      <x:c r="H300" s="48"/>
      <x:c r="I300" s="48"/>
      <x:c r="J300" s="47"/>
      <x:c r="K300" s="47"/>
      <x:c r="L300" s="57" t="str">
        <x:f>IF(COUNTA(A300:K300)=0,"",IF(K300="CANCELLED","CANCELLED",IF(A300="","INVOICE ID REQUIRED",IF(B300="","PROJECT ID REQUIRED",IF(NOT(ISNUMBER(C300)),"INVALID INVOICE DATE",IF(NOT(AND(ISNUMBER(C300),C300&gt;=2,C300&lt;=2958465,C300=INT(C300))),"INVALID INVOICE DATE",IF(NOT(OR(D300="MX",D300="US")),"ENTITY REQUIRED",IF(NOT(OR(E300="Strategic Services",E300="Brands")),"UNIT REQUIRED",IF(F300="","BRAND / N/A REQUIRED",IF(NOT(OR(G300="USD",G300="MXN")),"CURRENCY REQUIRED",IF(NOT(ISNUMBER(H300)),"AMOUNT REQUIRED",IF(J300="","ERP SOURCE REQUIRED",IF(NOT(OR(K300="ISSUED",K300="CANCELLED")),"INVOICE STATUS REQUIRED",IF(COUNTIFS($A$2:$A$501,A300,$B$2:$B$501,B300,$D$2:$D$501,D300)&gt;1,"DUPLICATE INVOICE / PROJECT",IF(SUMPRODUCT(--(('ERP Snapshot'!$A$2:$A$101&amp;"")=(B300&amp;"")))=0,"PROJECT NOT FOUND",IF(SUMPRODUCT(--(('ERP Snapshot'!$A$2:$A$101&amp;"")=(B300&amp;"")))&gt;1,"DUPLICATE PROJECT ID",IF(OR(SUMPRODUCT(--(('ERP Snapshot'!$A$2:$A$101&amp;"")=(B300&amp;"")),--('ERP Snapshot'!$Q$2:$Q$101=E300),--('ERP Snapshot'!$R$2:$R$101=F300))&lt;&gt;1,SUMPRODUCT(--('Commercial Catalogs'!$A$2:$A$10=E300),--('Commercial Catalogs'!$B$2:$B$10=F300),--('Commercial Catalogs'!$C$2:$C$10="YES"),--('Commercial Catalogs'!$D$2:$D$10="IN SCOPE"))=0,AND(E300="Strategic Services",F300&lt;&gt;"N/A"),AND(E300="Brands",F300="N/A")),"PROJECT CLASSIFICATION MISMATCH",IF(AND(G300="MXN",NOT(AND(ISNUMBER(I300),Settings!$B$8="APPROVED",Settings!$B$9&lt;&gt;"",Settings!$B$10&lt;&gt;""))),"FX HOLD","VALID"))))))))))))))))))</x:f>
      </x:c>
      <x:c r="M300" s="57" t="str">
        <x:f>IF(ISNUMBER(C300),IF(AND(ISNUMBER(C300),C300&gt;=2,C300&lt;=2958465,C300=INT(C300)),YEAR(C300)&amp;"-"&amp;IF(MONTH(C300)&lt;10,"0","")&amp;MONTH(C300),""),"")</x:f>
      </x:c>
      <x:c r="N300" s="59" t="str">
        <x:f>IF(L300="VALID",IF(G300="USD",H300,I300),"")</x:f>
      </x:c>
      <x:c r="O300" s="57" t="n">
        <x:f>IF(L300="VALID",IF(COUNTIFS($B$2:B300,B300,$M$2:M300,M300,$L$2:L300,"VALID")=1,1,0),0)</x:f>
        <x:v>0</x:v>
      </x:c>
    </x:row>
    <x:row r="301">
      <x:c r="A301" s="47"/>
      <x:c r="B301" s="47"/>
      <x:c r="C301" s="69"/>
      <x:c r="D301" s="47"/>
      <x:c r="E301" s="47"/>
      <x:c r="F301" s="47"/>
      <x:c r="G301" s="47"/>
      <x:c r="H301" s="48"/>
      <x:c r="I301" s="48"/>
      <x:c r="J301" s="47"/>
      <x:c r="K301" s="47"/>
      <x:c r="L301" s="57" t="str">
        <x:f>IF(COUNTA(A301:K301)=0,"",IF(K301="CANCELLED","CANCELLED",IF(A301="","INVOICE ID REQUIRED",IF(B301="","PROJECT ID REQUIRED",IF(NOT(ISNUMBER(C301)),"INVALID INVOICE DATE",IF(NOT(AND(ISNUMBER(C301),C301&gt;=2,C301&lt;=2958465,C301=INT(C301))),"INVALID INVOICE DATE",IF(NOT(OR(D301="MX",D301="US")),"ENTITY REQUIRED",IF(NOT(OR(E301="Strategic Services",E301="Brands")),"UNIT REQUIRED",IF(F301="","BRAND / N/A REQUIRED",IF(NOT(OR(G301="USD",G301="MXN")),"CURRENCY REQUIRED",IF(NOT(ISNUMBER(H301)),"AMOUNT REQUIRED",IF(J301="","ERP SOURCE REQUIRED",IF(NOT(OR(K301="ISSUED",K301="CANCELLED")),"INVOICE STATUS REQUIRED",IF(COUNTIFS($A$2:$A$501,A301,$B$2:$B$501,B301,$D$2:$D$501,D301)&gt;1,"DUPLICATE INVOICE / PROJECT",IF(SUMPRODUCT(--(('ERP Snapshot'!$A$2:$A$101&amp;"")=(B301&amp;"")))=0,"PROJECT NOT FOUND",IF(SUMPRODUCT(--(('ERP Snapshot'!$A$2:$A$101&amp;"")=(B301&amp;"")))&gt;1,"DUPLICATE PROJECT ID",IF(OR(SUMPRODUCT(--(('ERP Snapshot'!$A$2:$A$101&amp;"")=(B301&amp;"")),--('ERP Snapshot'!$Q$2:$Q$101=E301),--('ERP Snapshot'!$R$2:$R$101=F301))&lt;&gt;1,SUMPRODUCT(--('Commercial Catalogs'!$A$2:$A$10=E301),--('Commercial Catalogs'!$B$2:$B$10=F301),--('Commercial Catalogs'!$C$2:$C$10="YES"),--('Commercial Catalogs'!$D$2:$D$10="IN SCOPE"))=0,AND(E301="Strategic Services",F301&lt;&gt;"N/A"),AND(E301="Brands",F301="N/A")),"PROJECT CLASSIFICATION MISMATCH",IF(AND(G301="MXN",NOT(AND(ISNUMBER(I301),Settings!$B$8="APPROVED",Settings!$B$9&lt;&gt;"",Settings!$B$10&lt;&gt;""))),"FX HOLD","VALID"))))))))))))))))))</x:f>
      </x:c>
      <x:c r="M301" s="57" t="str">
        <x:f>IF(ISNUMBER(C301),IF(AND(ISNUMBER(C301),C301&gt;=2,C301&lt;=2958465,C301=INT(C301)),YEAR(C301)&amp;"-"&amp;IF(MONTH(C301)&lt;10,"0","")&amp;MONTH(C301),""),"")</x:f>
      </x:c>
      <x:c r="N301" s="59" t="str">
        <x:f>IF(L301="VALID",IF(G301="USD",H301,I301),"")</x:f>
      </x:c>
      <x:c r="O301" s="57" t="n">
        <x:f>IF(L301="VALID",IF(COUNTIFS($B$2:B301,B301,$M$2:M301,M301,$L$2:L301,"VALID")=1,1,0),0)</x:f>
        <x:v>0</x:v>
      </x:c>
    </x:row>
    <x:row r="302">
      <x:c r="A302" s="47"/>
      <x:c r="B302" s="47"/>
      <x:c r="C302" s="69"/>
      <x:c r="D302" s="47"/>
      <x:c r="E302" s="47"/>
      <x:c r="F302" s="47"/>
      <x:c r="G302" s="47"/>
      <x:c r="H302" s="48"/>
      <x:c r="I302" s="48"/>
      <x:c r="J302" s="47"/>
      <x:c r="K302" s="47"/>
      <x:c r="L302" s="57" t="str">
        <x:f>IF(COUNTA(A302:K302)=0,"",IF(K302="CANCELLED","CANCELLED",IF(A302="","INVOICE ID REQUIRED",IF(B302="","PROJECT ID REQUIRED",IF(NOT(ISNUMBER(C302)),"INVALID INVOICE DATE",IF(NOT(AND(ISNUMBER(C302),C302&gt;=2,C302&lt;=2958465,C302=INT(C302))),"INVALID INVOICE DATE",IF(NOT(OR(D302="MX",D302="US")),"ENTITY REQUIRED",IF(NOT(OR(E302="Strategic Services",E302="Brands")),"UNIT REQUIRED",IF(F302="","BRAND / N/A REQUIRED",IF(NOT(OR(G302="USD",G302="MXN")),"CURRENCY REQUIRED",IF(NOT(ISNUMBER(H302)),"AMOUNT REQUIRED",IF(J302="","ERP SOURCE REQUIRED",IF(NOT(OR(K302="ISSUED",K302="CANCELLED")),"INVOICE STATUS REQUIRED",IF(COUNTIFS($A$2:$A$501,A302,$B$2:$B$501,B302,$D$2:$D$501,D302)&gt;1,"DUPLICATE INVOICE / PROJECT",IF(SUMPRODUCT(--(('ERP Snapshot'!$A$2:$A$101&amp;"")=(B302&amp;"")))=0,"PROJECT NOT FOUND",IF(SUMPRODUCT(--(('ERP Snapshot'!$A$2:$A$101&amp;"")=(B302&amp;"")))&gt;1,"DUPLICATE PROJECT ID",IF(OR(SUMPRODUCT(--(('ERP Snapshot'!$A$2:$A$101&amp;"")=(B302&amp;"")),--('ERP Snapshot'!$Q$2:$Q$101=E302),--('ERP Snapshot'!$R$2:$R$101=F302))&lt;&gt;1,SUMPRODUCT(--('Commercial Catalogs'!$A$2:$A$10=E302),--('Commercial Catalogs'!$B$2:$B$10=F302),--('Commercial Catalogs'!$C$2:$C$10="YES"),--('Commercial Catalogs'!$D$2:$D$10="IN SCOPE"))=0,AND(E302="Strategic Services",F302&lt;&gt;"N/A"),AND(E302="Brands",F302="N/A")),"PROJECT CLASSIFICATION MISMATCH",IF(AND(G302="MXN",NOT(AND(ISNUMBER(I302),Settings!$B$8="APPROVED",Settings!$B$9&lt;&gt;"",Settings!$B$10&lt;&gt;""))),"FX HOLD","VALID"))))))))))))))))))</x:f>
      </x:c>
      <x:c r="M302" s="57" t="str">
        <x:f>IF(ISNUMBER(C302),IF(AND(ISNUMBER(C302),C302&gt;=2,C302&lt;=2958465,C302=INT(C302)),YEAR(C302)&amp;"-"&amp;IF(MONTH(C302)&lt;10,"0","")&amp;MONTH(C302),""),"")</x:f>
      </x:c>
      <x:c r="N302" s="59" t="str">
        <x:f>IF(L302="VALID",IF(G302="USD",H302,I302),"")</x:f>
      </x:c>
      <x:c r="O302" s="57" t="n">
        <x:f>IF(L302="VALID",IF(COUNTIFS($B$2:B302,B302,$M$2:M302,M302,$L$2:L302,"VALID")=1,1,0),0)</x:f>
        <x:v>0</x:v>
      </x:c>
    </x:row>
    <x:row r="303">
      <x:c r="A303" s="47"/>
      <x:c r="B303" s="47"/>
      <x:c r="C303" s="69"/>
      <x:c r="D303" s="47"/>
      <x:c r="E303" s="47"/>
      <x:c r="F303" s="47"/>
      <x:c r="G303" s="47"/>
      <x:c r="H303" s="48"/>
      <x:c r="I303" s="48"/>
      <x:c r="J303" s="47"/>
      <x:c r="K303" s="47"/>
      <x:c r="L303" s="57" t="str">
        <x:f>IF(COUNTA(A303:K303)=0,"",IF(K303="CANCELLED","CANCELLED",IF(A303="","INVOICE ID REQUIRED",IF(B303="","PROJECT ID REQUIRED",IF(NOT(ISNUMBER(C303)),"INVALID INVOICE DATE",IF(NOT(AND(ISNUMBER(C303),C303&gt;=2,C303&lt;=2958465,C303=INT(C303))),"INVALID INVOICE DATE",IF(NOT(OR(D303="MX",D303="US")),"ENTITY REQUIRED",IF(NOT(OR(E303="Strategic Services",E303="Brands")),"UNIT REQUIRED",IF(F303="","BRAND / N/A REQUIRED",IF(NOT(OR(G303="USD",G303="MXN")),"CURRENCY REQUIRED",IF(NOT(ISNUMBER(H303)),"AMOUNT REQUIRED",IF(J303="","ERP SOURCE REQUIRED",IF(NOT(OR(K303="ISSUED",K303="CANCELLED")),"INVOICE STATUS REQUIRED",IF(COUNTIFS($A$2:$A$501,A303,$B$2:$B$501,B303,$D$2:$D$501,D303)&gt;1,"DUPLICATE INVOICE / PROJECT",IF(SUMPRODUCT(--(('ERP Snapshot'!$A$2:$A$101&amp;"")=(B303&amp;"")))=0,"PROJECT NOT FOUND",IF(SUMPRODUCT(--(('ERP Snapshot'!$A$2:$A$101&amp;"")=(B303&amp;"")))&gt;1,"DUPLICATE PROJECT ID",IF(OR(SUMPRODUCT(--(('ERP Snapshot'!$A$2:$A$101&amp;"")=(B303&amp;"")),--('ERP Snapshot'!$Q$2:$Q$101=E303),--('ERP Snapshot'!$R$2:$R$101=F303))&lt;&gt;1,SUMPRODUCT(--('Commercial Catalogs'!$A$2:$A$10=E303),--('Commercial Catalogs'!$B$2:$B$10=F303),--('Commercial Catalogs'!$C$2:$C$10="YES"),--('Commercial Catalogs'!$D$2:$D$10="IN SCOPE"))=0,AND(E303="Strategic Services",F303&lt;&gt;"N/A"),AND(E303="Brands",F303="N/A")),"PROJECT CLASSIFICATION MISMATCH",IF(AND(G303="MXN",NOT(AND(ISNUMBER(I303),Settings!$B$8="APPROVED",Settings!$B$9&lt;&gt;"",Settings!$B$10&lt;&gt;""))),"FX HOLD","VALID"))))))))))))))))))</x:f>
      </x:c>
      <x:c r="M303" s="57" t="str">
        <x:f>IF(ISNUMBER(C303),IF(AND(ISNUMBER(C303),C303&gt;=2,C303&lt;=2958465,C303=INT(C303)),YEAR(C303)&amp;"-"&amp;IF(MONTH(C303)&lt;10,"0","")&amp;MONTH(C303),""),"")</x:f>
      </x:c>
      <x:c r="N303" s="59" t="str">
        <x:f>IF(L303="VALID",IF(G303="USD",H303,I303),"")</x:f>
      </x:c>
      <x:c r="O303" s="57" t="n">
        <x:f>IF(L303="VALID",IF(COUNTIFS($B$2:B303,B303,$M$2:M303,M303,$L$2:L303,"VALID")=1,1,0),0)</x:f>
        <x:v>0</x:v>
      </x:c>
    </x:row>
    <x:row r="304">
      <x:c r="A304" s="47"/>
      <x:c r="B304" s="47"/>
      <x:c r="C304" s="69"/>
      <x:c r="D304" s="47"/>
      <x:c r="E304" s="47"/>
      <x:c r="F304" s="47"/>
      <x:c r="G304" s="47"/>
      <x:c r="H304" s="48"/>
      <x:c r="I304" s="48"/>
      <x:c r="J304" s="47"/>
      <x:c r="K304" s="47"/>
      <x:c r="L304" s="57" t="str">
        <x:f>IF(COUNTA(A304:K304)=0,"",IF(K304="CANCELLED","CANCELLED",IF(A304="","INVOICE ID REQUIRED",IF(B304="","PROJECT ID REQUIRED",IF(NOT(ISNUMBER(C304)),"INVALID INVOICE DATE",IF(NOT(AND(ISNUMBER(C304),C304&gt;=2,C304&lt;=2958465,C304=INT(C304))),"INVALID INVOICE DATE",IF(NOT(OR(D304="MX",D304="US")),"ENTITY REQUIRED",IF(NOT(OR(E304="Strategic Services",E304="Brands")),"UNIT REQUIRED",IF(F304="","BRAND / N/A REQUIRED",IF(NOT(OR(G304="USD",G304="MXN")),"CURRENCY REQUIRED",IF(NOT(ISNUMBER(H304)),"AMOUNT REQUIRED",IF(J304="","ERP SOURCE REQUIRED",IF(NOT(OR(K304="ISSUED",K304="CANCELLED")),"INVOICE STATUS REQUIRED",IF(COUNTIFS($A$2:$A$501,A304,$B$2:$B$501,B304,$D$2:$D$501,D304)&gt;1,"DUPLICATE INVOICE / PROJECT",IF(SUMPRODUCT(--(('ERP Snapshot'!$A$2:$A$101&amp;"")=(B304&amp;"")))=0,"PROJECT NOT FOUND",IF(SUMPRODUCT(--(('ERP Snapshot'!$A$2:$A$101&amp;"")=(B304&amp;"")))&gt;1,"DUPLICATE PROJECT ID",IF(OR(SUMPRODUCT(--(('ERP Snapshot'!$A$2:$A$101&amp;"")=(B304&amp;"")),--('ERP Snapshot'!$Q$2:$Q$101=E304),--('ERP Snapshot'!$R$2:$R$101=F304))&lt;&gt;1,SUMPRODUCT(--('Commercial Catalogs'!$A$2:$A$10=E304),--('Commercial Catalogs'!$B$2:$B$10=F304),--('Commercial Catalogs'!$C$2:$C$10="YES"),--('Commercial Catalogs'!$D$2:$D$10="IN SCOPE"))=0,AND(E304="Strategic Services",F304&lt;&gt;"N/A"),AND(E304="Brands",F304="N/A")),"PROJECT CLASSIFICATION MISMATCH",IF(AND(G304="MXN",NOT(AND(ISNUMBER(I304),Settings!$B$8="APPROVED",Settings!$B$9&lt;&gt;"",Settings!$B$10&lt;&gt;""))),"FX HOLD","VALID"))))))))))))))))))</x:f>
      </x:c>
      <x:c r="M304" s="57" t="str">
        <x:f>IF(ISNUMBER(C304),IF(AND(ISNUMBER(C304),C304&gt;=2,C304&lt;=2958465,C304=INT(C304)),YEAR(C304)&amp;"-"&amp;IF(MONTH(C304)&lt;10,"0","")&amp;MONTH(C304),""),"")</x:f>
      </x:c>
      <x:c r="N304" s="59" t="str">
        <x:f>IF(L304="VALID",IF(G304="USD",H304,I304),"")</x:f>
      </x:c>
      <x:c r="O304" s="57" t="n">
        <x:f>IF(L304="VALID",IF(COUNTIFS($B$2:B304,B304,$M$2:M304,M304,$L$2:L304,"VALID")=1,1,0),0)</x:f>
        <x:v>0</x:v>
      </x:c>
    </x:row>
    <x:row r="305">
      <x:c r="A305" s="47"/>
      <x:c r="B305" s="47"/>
      <x:c r="C305" s="69"/>
      <x:c r="D305" s="47"/>
      <x:c r="E305" s="47"/>
      <x:c r="F305" s="47"/>
      <x:c r="G305" s="47"/>
      <x:c r="H305" s="48"/>
      <x:c r="I305" s="48"/>
      <x:c r="J305" s="47"/>
      <x:c r="K305" s="47"/>
      <x:c r="L305" s="57" t="str">
        <x:f>IF(COUNTA(A305:K305)=0,"",IF(K305="CANCELLED","CANCELLED",IF(A305="","INVOICE ID REQUIRED",IF(B305="","PROJECT ID REQUIRED",IF(NOT(ISNUMBER(C305)),"INVALID INVOICE DATE",IF(NOT(AND(ISNUMBER(C305),C305&gt;=2,C305&lt;=2958465,C305=INT(C305))),"INVALID INVOICE DATE",IF(NOT(OR(D305="MX",D305="US")),"ENTITY REQUIRED",IF(NOT(OR(E305="Strategic Services",E305="Brands")),"UNIT REQUIRED",IF(F305="","BRAND / N/A REQUIRED",IF(NOT(OR(G305="USD",G305="MXN")),"CURRENCY REQUIRED",IF(NOT(ISNUMBER(H305)),"AMOUNT REQUIRED",IF(J305="","ERP SOURCE REQUIRED",IF(NOT(OR(K305="ISSUED",K305="CANCELLED")),"INVOICE STATUS REQUIRED",IF(COUNTIFS($A$2:$A$501,A305,$B$2:$B$501,B305,$D$2:$D$501,D305)&gt;1,"DUPLICATE INVOICE / PROJECT",IF(SUMPRODUCT(--(('ERP Snapshot'!$A$2:$A$101&amp;"")=(B305&amp;"")))=0,"PROJECT NOT FOUND",IF(SUMPRODUCT(--(('ERP Snapshot'!$A$2:$A$101&amp;"")=(B305&amp;"")))&gt;1,"DUPLICATE PROJECT ID",IF(OR(SUMPRODUCT(--(('ERP Snapshot'!$A$2:$A$101&amp;"")=(B305&amp;"")),--('ERP Snapshot'!$Q$2:$Q$101=E305),--('ERP Snapshot'!$R$2:$R$101=F305))&lt;&gt;1,SUMPRODUCT(--('Commercial Catalogs'!$A$2:$A$10=E305),--('Commercial Catalogs'!$B$2:$B$10=F305),--('Commercial Catalogs'!$C$2:$C$10="YES"),--('Commercial Catalogs'!$D$2:$D$10="IN SCOPE"))=0,AND(E305="Strategic Services",F305&lt;&gt;"N/A"),AND(E305="Brands",F305="N/A")),"PROJECT CLASSIFICATION MISMATCH",IF(AND(G305="MXN",NOT(AND(ISNUMBER(I305),Settings!$B$8="APPROVED",Settings!$B$9&lt;&gt;"",Settings!$B$10&lt;&gt;""))),"FX HOLD","VALID"))))))))))))))))))</x:f>
      </x:c>
      <x:c r="M305" s="57" t="str">
        <x:f>IF(ISNUMBER(C305),IF(AND(ISNUMBER(C305),C305&gt;=2,C305&lt;=2958465,C305=INT(C305)),YEAR(C305)&amp;"-"&amp;IF(MONTH(C305)&lt;10,"0","")&amp;MONTH(C305),""),"")</x:f>
      </x:c>
      <x:c r="N305" s="59" t="str">
        <x:f>IF(L305="VALID",IF(G305="USD",H305,I305),"")</x:f>
      </x:c>
      <x:c r="O305" s="57" t="n">
        <x:f>IF(L305="VALID",IF(COUNTIFS($B$2:B305,B305,$M$2:M305,M305,$L$2:L305,"VALID")=1,1,0),0)</x:f>
        <x:v>0</x:v>
      </x:c>
    </x:row>
    <x:row r="306">
      <x:c r="A306" s="47"/>
      <x:c r="B306" s="47"/>
      <x:c r="C306" s="69"/>
      <x:c r="D306" s="47"/>
      <x:c r="E306" s="47"/>
      <x:c r="F306" s="47"/>
      <x:c r="G306" s="47"/>
      <x:c r="H306" s="48"/>
      <x:c r="I306" s="48"/>
      <x:c r="J306" s="47"/>
      <x:c r="K306" s="47"/>
      <x:c r="L306" s="57" t="str">
        <x:f>IF(COUNTA(A306:K306)=0,"",IF(K306="CANCELLED","CANCELLED",IF(A306="","INVOICE ID REQUIRED",IF(B306="","PROJECT ID REQUIRED",IF(NOT(ISNUMBER(C306)),"INVALID INVOICE DATE",IF(NOT(AND(ISNUMBER(C306),C306&gt;=2,C306&lt;=2958465,C306=INT(C306))),"INVALID INVOICE DATE",IF(NOT(OR(D306="MX",D306="US")),"ENTITY REQUIRED",IF(NOT(OR(E306="Strategic Services",E306="Brands")),"UNIT REQUIRED",IF(F306="","BRAND / N/A REQUIRED",IF(NOT(OR(G306="USD",G306="MXN")),"CURRENCY REQUIRED",IF(NOT(ISNUMBER(H306)),"AMOUNT REQUIRED",IF(J306="","ERP SOURCE REQUIRED",IF(NOT(OR(K306="ISSUED",K306="CANCELLED")),"INVOICE STATUS REQUIRED",IF(COUNTIFS($A$2:$A$501,A306,$B$2:$B$501,B306,$D$2:$D$501,D306)&gt;1,"DUPLICATE INVOICE / PROJECT",IF(SUMPRODUCT(--(('ERP Snapshot'!$A$2:$A$101&amp;"")=(B306&amp;"")))=0,"PROJECT NOT FOUND",IF(SUMPRODUCT(--(('ERP Snapshot'!$A$2:$A$101&amp;"")=(B306&amp;"")))&gt;1,"DUPLICATE PROJECT ID",IF(OR(SUMPRODUCT(--(('ERP Snapshot'!$A$2:$A$101&amp;"")=(B306&amp;"")),--('ERP Snapshot'!$Q$2:$Q$101=E306),--('ERP Snapshot'!$R$2:$R$101=F306))&lt;&gt;1,SUMPRODUCT(--('Commercial Catalogs'!$A$2:$A$10=E306),--('Commercial Catalogs'!$B$2:$B$10=F306),--('Commercial Catalogs'!$C$2:$C$10="YES"),--('Commercial Catalogs'!$D$2:$D$10="IN SCOPE"))=0,AND(E306="Strategic Services",F306&lt;&gt;"N/A"),AND(E306="Brands",F306="N/A")),"PROJECT CLASSIFICATION MISMATCH",IF(AND(G306="MXN",NOT(AND(ISNUMBER(I306),Settings!$B$8="APPROVED",Settings!$B$9&lt;&gt;"",Settings!$B$10&lt;&gt;""))),"FX HOLD","VALID"))))))))))))))))))</x:f>
      </x:c>
      <x:c r="M306" s="57" t="str">
        <x:f>IF(ISNUMBER(C306),IF(AND(ISNUMBER(C306),C306&gt;=2,C306&lt;=2958465,C306=INT(C306)),YEAR(C306)&amp;"-"&amp;IF(MONTH(C306)&lt;10,"0","")&amp;MONTH(C306),""),"")</x:f>
      </x:c>
      <x:c r="N306" s="59" t="str">
        <x:f>IF(L306="VALID",IF(G306="USD",H306,I306),"")</x:f>
      </x:c>
      <x:c r="O306" s="57" t="n">
        <x:f>IF(L306="VALID",IF(COUNTIFS($B$2:B306,B306,$M$2:M306,M306,$L$2:L306,"VALID")=1,1,0),0)</x:f>
        <x:v>0</x:v>
      </x:c>
    </x:row>
    <x:row r="307">
      <x:c r="A307" s="47"/>
      <x:c r="B307" s="47"/>
      <x:c r="C307" s="69"/>
      <x:c r="D307" s="47"/>
      <x:c r="E307" s="47"/>
      <x:c r="F307" s="47"/>
      <x:c r="G307" s="47"/>
      <x:c r="H307" s="48"/>
      <x:c r="I307" s="48"/>
      <x:c r="J307" s="47"/>
      <x:c r="K307" s="47"/>
      <x:c r="L307" s="57" t="str">
        <x:f>IF(COUNTA(A307:K307)=0,"",IF(K307="CANCELLED","CANCELLED",IF(A307="","INVOICE ID REQUIRED",IF(B307="","PROJECT ID REQUIRED",IF(NOT(ISNUMBER(C307)),"INVALID INVOICE DATE",IF(NOT(AND(ISNUMBER(C307),C307&gt;=2,C307&lt;=2958465,C307=INT(C307))),"INVALID INVOICE DATE",IF(NOT(OR(D307="MX",D307="US")),"ENTITY REQUIRED",IF(NOT(OR(E307="Strategic Services",E307="Brands")),"UNIT REQUIRED",IF(F307="","BRAND / N/A REQUIRED",IF(NOT(OR(G307="USD",G307="MXN")),"CURRENCY REQUIRED",IF(NOT(ISNUMBER(H307)),"AMOUNT REQUIRED",IF(J307="","ERP SOURCE REQUIRED",IF(NOT(OR(K307="ISSUED",K307="CANCELLED")),"INVOICE STATUS REQUIRED",IF(COUNTIFS($A$2:$A$501,A307,$B$2:$B$501,B307,$D$2:$D$501,D307)&gt;1,"DUPLICATE INVOICE / PROJECT",IF(SUMPRODUCT(--(('ERP Snapshot'!$A$2:$A$101&amp;"")=(B307&amp;"")))=0,"PROJECT NOT FOUND",IF(SUMPRODUCT(--(('ERP Snapshot'!$A$2:$A$101&amp;"")=(B307&amp;"")))&gt;1,"DUPLICATE PROJECT ID",IF(OR(SUMPRODUCT(--(('ERP Snapshot'!$A$2:$A$101&amp;"")=(B307&amp;"")),--('ERP Snapshot'!$Q$2:$Q$101=E307),--('ERP Snapshot'!$R$2:$R$101=F307))&lt;&gt;1,SUMPRODUCT(--('Commercial Catalogs'!$A$2:$A$10=E307),--('Commercial Catalogs'!$B$2:$B$10=F307),--('Commercial Catalogs'!$C$2:$C$10="YES"),--('Commercial Catalogs'!$D$2:$D$10="IN SCOPE"))=0,AND(E307="Strategic Services",F307&lt;&gt;"N/A"),AND(E307="Brands",F307="N/A")),"PROJECT CLASSIFICATION MISMATCH",IF(AND(G307="MXN",NOT(AND(ISNUMBER(I307),Settings!$B$8="APPROVED",Settings!$B$9&lt;&gt;"",Settings!$B$10&lt;&gt;""))),"FX HOLD","VALID"))))))))))))))))))</x:f>
      </x:c>
      <x:c r="M307" s="57" t="str">
        <x:f>IF(ISNUMBER(C307),IF(AND(ISNUMBER(C307),C307&gt;=2,C307&lt;=2958465,C307=INT(C307)),YEAR(C307)&amp;"-"&amp;IF(MONTH(C307)&lt;10,"0","")&amp;MONTH(C307),""),"")</x:f>
      </x:c>
      <x:c r="N307" s="59" t="str">
        <x:f>IF(L307="VALID",IF(G307="USD",H307,I307),"")</x:f>
      </x:c>
      <x:c r="O307" s="57" t="n">
        <x:f>IF(L307="VALID",IF(COUNTIFS($B$2:B307,B307,$M$2:M307,M307,$L$2:L307,"VALID")=1,1,0),0)</x:f>
        <x:v>0</x:v>
      </x:c>
    </x:row>
    <x:row r="308">
      <x:c r="A308" s="47"/>
      <x:c r="B308" s="47"/>
      <x:c r="C308" s="69"/>
      <x:c r="D308" s="47"/>
      <x:c r="E308" s="47"/>
      <x:c r="F308" s="47"/>
      <x:c r="G308" s="47"/>
      <x:c r="H308" s="48"/>
      <x:c r="I308" s="48"/>
      <x:c r="J308" s="47"/>
      <x:c r="K308" s="47"/>
      <x:c r="L308" s="57" t="str">
        <x:f>IF(COUNTA(A308:K308)=0,"",IF(K308="CANCELLED","CANCELLED",IF(A308="","INVOICE ID REQUIRED",IF(B308="","PROJECT ID REQUIRED",IF(NOT(ISNUMBER(C308)),"INVALID INVOICE DATE",IF(NOT(AND(ISNUMBER(C308),C308&gt;=2,C308&lt;=2958465,C308=INT(C308))),"INVALID INVOICE DATE",IF(NOT(OR(D308="MX",D308="US")),"ENTITY REQUIRED",IF(NOT(OR(E308="Strategic Services",E308="Brands")),"UNIT REQUIRED",IF(F308="","BRAND / N/A REQUIRED",IF(NOT(OR(G308="USD",G308="MXN")),"CURRENCY REQUIRED",IF(NOT(ISNUMBER(H308)),"AMOUNT REQUIRED",IF(J308="","ERP SOURCE REQUIRED",IF(NOT(OR(K308="ISSUED",K308="CANCELLED")),"INVOICE STATUS REQUIRED",IF(COUNTIFS($A$2:$A$501,A308,$B$2:$B$501,B308,$D$2:$D$501,D308)&gt;1,"DUPLICATE INVOICE / PROJECT",IF(SUMPRODUCT(--(('ERP Snapshot'!$A$2:$A$101&amp;"")=(B308&amp;"")))=0,"PROJECT NOT FOUND",IF(SUMPRODUCT(--(('ERP Snapshot'!$A$2:$A$101&amp;"")=(B308&amp;"")))&gt;1,"DUPLICATE PROJECT ID",IF(OR(SUMPRODUCT(--(('ERP Snapshot'!$A$2:$A$101&amp;"")=(B308&amp;"")),--('ERP Snapshot'!$Q$2:$Q$101=E308),--('ERP Snapshot'!$R$2:$R$101=F308))&lt;&gt;1,SUMPRODUCT(--('Commercial Catalogs'!$A$2:$A$10=E308),--('Commercial Catalogs'!$B$2:$B$10=F308),--('Commercial Catalogs'!$C$2:$C$10="YES"),--('Commercial Catalogs'!$D$2:$D$10="IN SCOPE"))=0,AND(E308="Strategic Services",F308&lt;&gt;"N/A"),AND(E308="Brands",F308="N/A")),"PROJECT CLASSIFICATION MISMATCH",IF(AND(G308="MXN",NOT(AND(ISNUMBER(I308),Settings!$B$8="APPROVED",Settings!$B$9&lt;&gt;"",Settings!$B$10&lt;&gt;""))),"FX HOLD","VALID"))))))))))))))))))</x:f>
      </x:c>
      <x:c r="M308" s="57" t="str">
        <x:f>IF(ISNUMBER(C308),IF(AND(ISNUMBER(C308),C308&gt;=2,C308&lt;=2958465,C308=INT(C308)),YEAR(C308)&amp;"-"&amp;IF(MONTH(C308)&lt;10,"0","")&amp;MONTH(C308),""),"")</x:f>
      </x:c>
      <x:c r="N308" s="59" t="str">
        <x:f>IF(L308="VALID",IF(G308="USD",H308,I308),"")</x:f>
      </x:c>
      <x:c r="O308" s="57" t="n">
        <x:f>IF(L308="VALID",IF(COUNTIFS($B$2:B308,B308,$M$2:M308,M308,$L$2:L308,"VALID")=1,1,0),0)</x:f>
        <x:v>0</x:v>
      </x:c>
    </x:row>
    <x:row r="309">
      <x:c r="A309" s="47"/>
      <x:c r="B309" s="47"/>
      <x:c r="C309" s="69"/>
      <x:c r="D309" s="47"/>
      <x:c r="E309" s="47"/>
      <x:c r="F309" s="47"/>
      <x:c r="G309" s="47"/>
      <x:c r="H309" s="48"/>
      <x:c r="I309" s="48"/>
      <x:c r="J309" s="47"/>
      <x:c r="K309" s="47"/>
      <x:c r="L309" s="57" t="str">
        <x:f>IF(COUNTA(A309:K309)=0,"",IF(K309="CANCELLED","CANCELLED",IF(A309="","INVOICE ID REQUIRED",IF(B309="","PROJECT ID REQUIRED",IF(NOT(ISNUMBER(C309)),"INVALID INVOICE DATE",IF(NOT(AND(ISNUMBER(C309),C309&gt;=2,C309&lt;=2958465,C309=INT(C309))),"INVALID INVOICE DATE",IF(NOT(OR(D309="MX",D309="US")),"ENTITY REQUIRED",IF(NOT(OR(E309="Strategic Services",E309="Brands")),"UNIT REQUIRED",IF(F309="","BRAND / N/A REQUIRED",IF(NOT(OR(G309="USD",G309="MXN")),"CURRENCY REQUIRED",IF(NOT(ISNUMBER(H309)),"AMOUNT REQUIRED",IF(J309="","ERP SOURCE REQUIRED",IF(NOT(OR(K309="ISSUED",K309="CANCELLED")),"INVOICE STATUS REQUIRED",IF(COUNTIFS($A$2:$A$501,A309,$B$2:$B$501,B309,$D$2:$D$501,D309)&gt;1,"DUPLICATE INVOICE / PROJECT",IF(SUMPRODUCT(--(('ERP Snapshot'!$A$2:$A$101&amp;"")=(B309&amp;"")))=0,"PROJECT NOT FOUND",IF(SUMPRODUCT(--(('ERP Snapshot'!$A$2:$A$101&amp;"")=(B309&amp;"")))&gt;1,"DUPLICATE PROJECT ID",IF(OR(SUMPRODUCT(--(('ERP Snapshot'!$A$2:$A$101&amp;"")=(B309&amp;"")),--('ERP Snapshot'!$Q$2:$Q$101=E309),--('ERP Snapshot'!$R$2:$R$101=F309))&lt;&gt;1,SUMPRODUCT(--('Commercial Catalogs'!$A$2:$A$10=E309),--('Commercial Catalogs'!$B$2:$B$10=F309),--('Commercial Catalogs'!$C$2:$C$10="YES"),--('Commercial Catalogs'!$D$2:$D$10="IN SCOPE"))=0,AND(E309="Strategic Services",F309&lt;&gt;"N/A"),AND(E309="Brands",F309="N/A")),"PROJECT CLASSIFICATION MISMATCH",IF(AND(G309="MXN",NOT(AND(ISNUMBER(I309),Settings!$B$8="APPROVED",Settings!$B$9&lt;&gt;"",Settings!$B$10&lt;&gt;""))),"FX HOLD","VALID"))))))))))))))))))</x:f>
      </x:c>
      <x:c r="M309" s="57" t="str">
        <x:f>IF(ISNUMBER(C309),IF(AND(ISNUMBER(C309),C309&gt;=2,C309&lt;=2958465,C309=INT(C309)),YEAR(C309)&amp;"-"&amp;IF(MONTH(C309)&lt;10,"0","")&amp;MONTH(C309),""),"")</x:f>
      </x:c>
      <x:c r="N309" s="59" t="str">
        <x:f>IF(L309="VALID",IF(G309="USD",H309,I309),"")</x:f>
      </x:c>
      <x:c r="O309" s="57" t="n">
        <x:f>IF(L309="VALID",IF(COUNTIFS($B$2:B309,B309,$M$2:M309,M309,$L$2:L309,"VALID")=1,1,0),0)</x:f>
        <x:v>0</x:v>
      </x:c>
    </x:row>
    <x:row r="310">
      <x:c r="A310" s="47"/>
      <x:c r="B310" s="47"/>
      <x:c r="C310" s="69"/>
      <x:c r="D310" s="47"/>
      <x:c r="E310" s="47"/>
      <x:c r="F310" s="47"/>
      <x:c r="G310" s="47"/>
      <x:c r="H310" s="48"/>
      <x:c r="I310" s="48"/>
      <x:c r="J310" s="47"/>
      <x:c r="K310" s="47"/>
      <x:c r="L310" s="57" t="str">
        <x:f>IF(COUNTA(A310:K310)=0,"",IF(K310="CANCELLED","CANCELLED",IF(A310="","INVOICE ID REQUIRED",IF(B310="","PROJECT ID REQUIRED",IF(NOT(ISNUMBER(C310)),"INVALID INVOICE DATE",IF(NOT(AND(ISNUMBER(C310),C310&gt;=2,C310&lt;=2958465,C310=INT(C310))),"INVALID INVOICE DATE",IF(NOT(OR(D310="MX",D310="US")),"ENTITY REQUIRED",IF(NOT(OR(E310="Strategic Services",E310="Brands")),"UNIT REQUIRED",IF(F310="","BRAND / N/A REQUIRED",IF(NOT(OR(G310="USD",G310="MXN")),"CURRENCY REQUIRED",IF(NOT(ISNUMBER(H310)),"AMOUNT REQUIRED",IF(J310="","ERP SOURCE REQUIRED",IF(NOT(OR(K310="ISSUED",K310="CANCELLED")),"INVOICE STATUS REQUIRED",IF(COUNTIFS($A$2:$A$501,A310,$B$2:$B$501,B310,$D$2:$D$501,D310)&gt;1,"DUPLICATE INVOICE / PROJECT",IF(SUMPRODUCT(--(('ERP Snapshot'!$A$2:$A$101&amp;"")=(B310&amp;"")))=0,"PROJECT NOT FOUND",IF(SUMPRODUCT(--(('ERP Snapshot'!$A$2:$A$101&amp;"")=(B310&amp;"")))&gt;1,"DUPLICATE PROJECT ID",IF(OR(SUMPRODUCT(--(('ERP Snapshot'!$A$2:$A$101&amp;"")=(B310&amp;"")),--('ERP Snapshot'!$Q$2:$Q$101=E310),--('ERP Snapshot'!$R$2:$R$101=F310))&lt;&gt;1,SUMPRODUCT(--('Commercial Catalogs'!$A$2:$A$10=E310),--('Commercial Catalogs'!$B$2:$B$10=F310),--('Commercial Catalogs'!$C$2:$C$10="YES"),--('Commercial Catalogs'!$D$2:$D$10="IN SCOPE"))=0,AND(E310="Strategic Services",F310&lt;&gt;"N/A"),AND(E310="Brands",F310="N/A")),"PROJECT CLASSIFICATION MISMATCH",IF(AND(G310="MXN",NOT(AND(ISNUMBER(I310),Settings!$B$8="APPROVED",Settings!$B$9&lt;&gt;"",Settings!$B$10&lt;&gt;""))),"FX HOLD","VALID"))))))))))))))))))</x:f>
      </x:c>
      <x:c r="M310" s="57" t="str">
        <x:f>IF(ISNUMBER(C310),IF(AND(ISNUMBER(C310),C310&gt;=2,C310&lt;=2958465,C310=INT(C310)),YEAR(C310)&amp;"-"&amp;IF(MONTH(C310)&lt;10,"0","")&amp;MONTH(C310),""),"")</x:f>
      </x:c>
      <x:c r="N310" s="59" t="str">
        <x:f>IF(L310="VALID",IF(G310="USD",H310,I310),"")</x:f>
      </x:c>
      <x:c r="O310" s="57" t="n">
        <x:f>IF(L310="VALID",IF(COUNTIFS($B$2:B310,B310,$M$2:M310,M310,$L$2:L310,"VALID")=1,1,0),0)</x:f>
        <x:v>0</x:v>
      </x:c>
    </x:row>
    <x:row r="311">
      <x:c r="A311" s="47"/>
      <x:c r="B311" s="47"/>
      <x:c r="C311" s="69"/>
      <x:c r="D311" s="47"/>
      <x:c r="E311" s="47"/>
      <x:c r="F311" s="47"/>
      <x:c r="G311" s="47"/>
      <x:c r="H311" s="48"/>
      <x:c r="I311" s="48"/>
      <x:c r="J311" s="47"/>
      <x:c r="K311" s="47"/>
      <x:c r="L311" s="57" t="str">
        <x:f>IF(COUNTA(A311:K311)=0,"",IF(K311="CANCELLED","CANCELLED",IF(A311="","INVOICE ID REQUIRED",IF(B311="","PROJECT ID REQUIRED",IF(NOT(ISNUMBER(C311)),"INVALID INVOICE DATE",IF(NOT(AND(ISNUMBER(C311),C311&gt;=2,C311&lt;=2958465,C311=INT(C311))),"INVALID INVOICE DATE",IF(NOT(OR(D311="MX",D311="US")),"ENTITY REQUIRED",IF(NOT(OR(E311="Strategic Services",E311="Brands")),"UNIT REQUIRED",IF(F311="","BRAND / N/A REQUIRED",IF(NOT(OR(G311="USD",G311="MXN")),"CURRENCY REQUIRED",IF(NOT(ISNUMBER(H311)),"AMOUNT REQUIRED",IF(J311="","ERP SOURCE REQUIRED",IF(NOT(OR(K311="ISSUED",K311="CANCELLED")),"INVOICE STATUS REQUIRED",IF(COUNTIFS($A$2:$A$501,A311,$B$2:$B$501,B311,$D$2:$D$501,D311)&gt;1,"DUPLICATE INVOICE / PROJECT",IF(SUMPRODUCT(--(('ERP Snapshot'!$A$2:$A$101&amp;"")=(B311&amp;"")))=0,"PROJECT NOT FOUND",IF(SUMPRODUCT(--(('ERP Snapshot'!$A$2:$A$101&amp;"")=(B311&amp;"")))&gt;1,"DUPLICATE PROJECT ID",IF(OR(SUMPRODUCT(--(('ERP Snapshot'!$A$2:$A$101&amp;"")=(B311&amp;"")),--('ERP Snapshot'!$Q$2:$Q$101=E311),--('ERP Snapshot'!$R$2:$R$101=F311))&lt;&gt;1,SUMPRODUCT(--('Commercial Catalogs'!$A$2:$A$10=E311),--('Commercial Catalogs'!$B$2:$B$10=F311),--('Commercial Catalogs'!$C$2:$C$10="YES"),--('Commercial Catalogs'!$D$2:$D$10="IN SCOPE"))=0,AND(E311="Strategic Services",F311&lt;&gt;"N/A"),AND(E311="Brands",F311="N/A")),"PROJECT CLASSIFICATION MISMATCH",IF(AND(G311="MXN",NOT(AND(ISNUMBER(I311),Settings!$B$8="APPROVED",Settings!$B$9&lt;&gt;"",Settings!$B$10&lt;&gt;""))),"FX HOLD","VALID"))))))))))))))))))</x:f>
      </x:c>
      <x:c r="M311" s="57" t="str">
        <x:f>IF(ISNUMBER(C311),IF(AND(ISNUMBER(C311),C311&gt;=2,C311&lt;=2958465,C311=INT(C311)),YEAR(C311)&amp;"-"&amp;IF(MONTH(C311)&lt;10,"0","")&amp;MONTH(C311),""),"")</x:f>
      </x:c>
      <x:c r="N311" s="59" t="str">
        <x:f>IF(L311="VALID",IF(G311="USD",H311,I311),"")</x:f>
      </x:c>
      <x:c r="O311" s="57" t="n">
        <x:f>IF(L311="VALID",IF(COUNTIFS($B$2:B311,B311,$M$2:M311,M311,$L$2:L311,"VALID")=1,1,0),0)</x:f>
        <x:v>0</x:v>
      </x:c>
    </x:row>
    <x:row r="312">
      <x:c r="A312" s="47"/>
      <x:c r="B312" s="47"/>
      <x:c r="C312" s="69"/>
      <x:c r="D312" s="47"/>
      <x:c r="E312" s="47"/>
      <x:c r="F312" s="47"/>
      <x:c r="G312" s="47"/>
      <x:c r="H312" s="48"/>
      <x:c r="I312" s="48"/>
      <x:c r="J312" s="47"/>
      <x:c r="K312" s="47"/>
      <x:c r="L312" s="57" t="str">
        <x:f>IF(COUNTA(A312:K312)=0,"",IF(K312="CANCELLED","CANCELLED",IF(A312="","INVOICE ID REQUIRED",IF(B312="","PROJECT ID REQUIRED",IF(NOT(ISNUMBER(C312)),"INVALID INVOICE DATE",IF(NOT(AND(ISNUMBER(C312),C312&gt;=2,C312&lt;=2958465,C312=INT(C312))),"INVALID INVOICE DATE",IF(NOT(OR(D312="MX",D312="US")),"ENTITY REQUIRED",IF(NOT(OR(E312="Strategic Services",E312="Brands")),"UNIT REQUIRED",IF(F312="","BRAND / N/A REQUIRED",IF(NOT(OR(G312="USD",G312="MXN")),"CURRENCY REQUIRED",IF(NOT(ISNUMBER(H312)),"AMOUNT REQUIRED",IF(J312="","ERP SOURCE REQUIRED",IF(NOT(OR(K312="ISSUED",K312="CANCELLED")),"INVOICE STATUS REQUIRED",IF(COUNTIFS($A$2:$A$501,A312,$B$2:$B$501,B312,$D$2:$D$501,D312)&gt;1,"DUPLICATE INVOICE / PROJECT",IF(SUMPRODUCT(--(('ERP Snapshot'!$A$2:$A$101&amp;"")=(B312&amp;"")))=0,"PROJECT NOT FOUND",IF(SUMPRODUCT(--(('ERP Snapshot'!$A$2:$A$101&amp;"")=(B312&amp;"")))&gt;1,"DUPLICATE PROJECT ID",IF(OR(SUMPRODUCT(--(('ERP Snapshot'!$A$2:$A$101&amp;"")=(B312&amp;"")),--('ERP Snapshot'!$Q$2:$Q$101=E312),--('ERP Snapshot'!$R$2:$R$101=F312))&lt;&gt;1,SUMPRODUCT(--('Commercial Catalogs'!$A$2:$A$10=E312),--('Commercial Catalogs'!$B$2:$B$10=F312),--('Commercial Catalogs'!$C$2:$C$10="YES"),--('Commercial Catalogs'!$D$2:$D$10="IN SCOPE"))=0,AND(E312="Strategic Services",F312&lt;&gt;"N/A"),AND(E312="Brands",F312="N/A")),"PROJECT CLASSIFICATION MISMATCH",IF(AND(G312="MXN",NOT(AND(ISNUMBER(I312),Settings!$B$8="APPROVED",Settings!$B$9&lt;&gt;"",Settings!$B$10&lt;&gt;""))),"FX HOLD","VALID"))))))))))))))))))</x:f>
      </x:c>
      <x:c r="M312" s="57" t="str">
        <x:f>IF(ISNUMBER(C312),IF(AND(ISNUMBER(C312),C312&gt;=2,C312&lt;=2958465,C312=INT(C312)),YEAR(C312)&amp;"-"&amp;IF(MONTH(C312)&lt;10,"0","")&amp;MONTH(C312),""),"")</x:f>
      </x:c>
      <x:c r="N312" s="59" t="str">
        <x:f>IF(L312="VALID",IF(G312="USD",H312,I312),"")</x:f>
      </x:c>
      <x:c r="O312" s="57" t="n">
        <x:f>IF(L312="VALID",IF(COUNTIFS($B$2:B312,B312,$M$2:M312,M312,$L$2:L312,"VALID")=1,1,0),0)</x:f>
        <x:v>0</x:v>
      </x:c>
    </x:row>
    <x:row r="313">
      <x:c r="A313" s="47"/>
      <x:c r="B313" s="47"/>
      <x:c r="C313" s="69"/>
      <x:c r="D313" s="47"/>
      <x:c r="E313" s="47"/>
      <x:c r="F313" s="47"/>
      <x:c r="G313" s="47"/>
      <x:c r="H313" s="48"/>
      <x:c r="I313" s="48"/>
      <x:c r="J313" s="47"/>
      <x:c r="K313" s="47"/>
      <x:c r="L313" s="57" t="str">
        <x:f>IF(COUNTA(A313:K313)=0,"",IF(K313="CANCELLED","CANCELLED",IF(A313="","INVOICE ID REQUIRED",IF(B313="","PROJECT ID REQUIRED",IF(NOT(ISNUMBER(C313)),"INVALID INVOICE DATE",IF(NOT(AND(ISNUMBER(C313),C313&gt;=2,C313&lt;=2958465,C313=INT(C313))),"INVALID INVOICE DATE",IF(NOT(OR(D313="MX",D313="US")),"ENTITY REQUIRED",IF(NOT(OR(E313="Strategic Services",E313="Brands")),"UNIT REQUIRED",IF(F313="","BRAND / N/A REQUIRED",IF(NOT(OR(G313="USD",G313="MXN")),"CURRENCY REQUIRED",IF(NOT(ISNUMBER(H313)),"AMOUNT REQUIRED",IF(J313="","ERP SOURCE REQUIRED",IF(NOT(OR(K313="ISSUED",K313="CANCELLED")),"INVOICE STATUS REQUIRED",IF(COUNTIFS($A$2:$A$501,A313,$B$2:$B$501,B313,$D$2:$D$501,D313)&gt;1,"DUPLICATE INVOICE / PROJECT",IF(SUMPRODUCT(--(('ERP Snapshot'!$A$2:$A$101&amp;"")=(B313&amp;"")))=0,"PROJECT NOT FOUND",IF(SUMPRODUCT(--(('ERP Snapshot'!$A$2:$A$101&amp;"")=(B313&amp;"")))&gt;1,"DUPLICATE PROJECT ID",IF(OR(SUMPRODUCT(--(('ERP Snapshot'!$A$2:$A$101&amp;"")=(B313&amp;"")),--('ERP Snapshot'!$Q$2:$Q$101=E313),--('ERP Snapshot'!$R$2:$R$101=F313))&lt;&gt;1,SUMPRODUCT(--('Commercial Catalogs'!$A$2:$A$10=E313),--('Commercial Catalogs'!$B$2:$B$10=F313),--('Commercial Catalogs'!$C$2:$C$10="YES"),--('Commercial Catalogs'!$D$2:$D$10="IN SCOPE"))=0,AND(E313="Strategic Services",F313&lt;&gt;"N/A"),AND(E313="Brands",F313="N/A")),"PROJECT CLASSIFICATION MISMATCH",IF(AND(G313="MXN",NOT(AND(ISNUMBER(I313),Settings!$B$8="APPROVED",Settings!$B$9&lt;&gt;"",Settings!$B$10&lt;&gt;""))),"FX HOLD","VALID"))))))))))))))))))</x:f>
      </x:c>
      <x:c r="M313" s="57" t="str">
        <x:f>IF(ISNUMBER(C313),IF(AND(ISNUMBER(C313),C313&gt;=2,C313&lt;=2958465,C313=INT(C313)),YEAR(C313)&amp;"-"&amp;IF(MONTH(C313)&lt;10,"0","")&amp;MONTH(C313),""),"")</x:f>
      </x:c>
      <x:c r="N313" s="59" t="str">
        <x:f>IF(L313="VALID",IF(G313="USD",H313,I313),"")</x:f>
      </x:c>
      <x:c r="O313" s="57" t="n">
        <x:f>IF(L313="VALID",IF(COUNTIFS($B$2:B313,B313,$M$2:M313,M313,$L$2:L313,"VALID")=1,1,0),0)</x:f>
        <x:v>0</x:v>
      </x:c>
    </x:row>
    <x:row r="314">
      <x:c r="A314" s="47"/>
      <x:c r="B314" s="47"/>
      <x:c r="C314" s="69"/>
      <x:c r="D314" s="47"/>
      <x:c r="E314" s="47"/>
      <x:c r="F314" s="47"/>
      <x:c r="G314" s="47"/>
      <x:c r="H314" s="48"/>
      <x:c r="I314" s="48"/>
      <x:c r="J314" s="47"/>
      <x:c r="K314" s="47"/>
      <x:c r="L314" s="57" t="str">
        <x:f>IF(COUNTA(A314:K314)=0,"",IF(K314="CANCELLED","CANCELLED",IF(A314="","INVOICE ID REQUIRED",IF(B314="","PROJECT ID REQUIRED",IF(NOT(ISNUMBER(C314)),"INVALID INVOICE DATE",IF(NOT(AND(ISNUMBER(C314),C314&gt;=2,C314&lt;=2958465,C314=INT(C314))),"INVALID INVOICE DATE",IF(NOT(OR(D314="MX",D314="US")),"ENTITY REQUIRED",IF(NOT(OR(E314="Strategic Services",E314="Brands")),"UNIT REQUIRED",IF(F314="","BRAND / N/A REQUIRED",IF(NOT(OR(G314="USD",G314="MXN")),"CURRENCY REQUIRED",IF(NOT(ISNUMBER(H314)),"AMOUNT REQUIRED",IF(J314="","ERP SOURCE REQUIRED",IF(NOT(OR(K314="ISSUED",K314="CANCELLED")),"INVOICE STATUS REQUIRED",IF(COUNTIFS($A$2:$A$501,A314,$B$2:$B$501,B314,$D$2:$D$501,D314)&gt;1,"DUPLICATE INVOICE / PROJECT",IF(SUMPRODUCT(--(('ERP Snapshot'!$A$2:$A$101&amp;"")=(B314&amp;"")))=0,"PROJECT NOT FOUND",IF(SUMPRODUCT(--(('ERP Snapshot'!$A$2:$A$101&amp;"")=(B314&amp;"")))&gt;1,"DUPLICATE PROJECT ID",IF(OR(SUMPRODUCT(--(('ERP Snapshot'!$A$2:$A$101&amp;"")=(B314&amp;"")),--('ERP Snapshot'!$Q$2:$Q$101=E314),--('ERP Snapshot'!$R$2:$R$101=F314))&lt;&gt;1,SUMPRODUCT(--('Commercial Catalogs'!$A$2:$A$10=E314),--('Commercial Catalogs'!$B$2:$B$10=F314),--('Commercial Catalogs'!$C$2:$C$10="YES"),--('Commercial Catalogs'!$D$2:$D$10="IN SCOPE"))=0,AND(E314="Strategic Services",F314&lt;&gt;"N/A"),AND(E314="Brands",F314="N/A")),"PROJECT CLASSIFICATION MISMATCH",IF(AND(G314="MXN",NOT(AND(ISNUMBER(I314),Settings!$B$8="APPROVED",Settings!$B$9&lt;&gt;"",Settings!$B$10&lt;&gt;""))),"FX HOLD","VALID"))))))))))))))))))</x:f>
      </x:c>
      <x:c r="M314" s="57" t="str">
        <x:f>IF(ISNUMBER(C314),IF(AND(ISNUMBER(C314),C314&gt;=2,C314&lt;=2958465,C314=INT(C314)),YEAR(C314)&amp;"-"&amp;IF(MONTH(C314)&lt;10,"0","")&amp;MONTH(C314),""),"")</x:f>
      </x:c>
      <x:c r="N314" s="59" t="str">
        <x:f>IF(L314="VALID",IF(G314="USD",H314,I314),"")</x:f>
      </x:c>
      <x:c r="O314" s="57" t="n">
        <x:f>IF(L314="VALID",IF(COUNTIFS($B$2:B314,B314,$M$2:M314,M314,$L$2:L314,"VALID")=1,1,0),0)</x:f>
        <x:v>0</x:v>
      </x:c>
    </x:row>
    <x:row r="315">
      <x:c r="A315" s="47"/>
      <x:c r="B315" s="47"/>
      <x:c r="C315" s="69"/>
      <x:c r="D315" s="47"/>
      <x:c r="E315" s="47"/>
      <x:c r="F315" s="47"/>
      <x:c r="G315" s="47"/>
      <x:c r="H315" s="48"/>
      <x:c r="I315" s="48"/>
      <x:c r="J315" s="47"/>
      <x:c r="K315" s="47"/>
      <x:c r="L315" s="57" t="str">
        <x:f>IF(COUNTA(A315:K315)=0,"",IF(K315="CANCELLED","CANCELLED",IF(A315="","INVOICE ID REQUIRED",IF(B315="","PROJECT ID REQUIRED",IF(NOT(ISNUMBER(C315)),"INVALID INVOICE DATE",IF(NOT(AND(ISNUMBER(C315),C315&gt;=2,C315&lt;=2958465,C315=INT(C315))),"INVALID INVOICE DATE",IF(NOT(OR(D315="MX",D315="US")),"ENTITY REQUIRED",IF(NOT(OR(E315="Strategic Services",E315="Brands")),"UNIT REQUIRED",IF(F315="","BRAND / N/A REQUIRED",IF(NOT(OR(G315="USD",G315="MXN")),"CURRENCY REQUIRED",IF(NOT(ISNUMBER(H315)),"AMOUNT REQUIRED",IF(J315="","ERP SOURCE REQUIRED",IF(NOT(OR(K315="ISSUED",K315="CANCELLED")),"INVOICE STATUS REQUIRED",IF(COUNTIFS($A$2:$A$501,A315,$B$2:$B$501,B315,$D$2:$D$501,D315)&gt;1,"DUPLICATE INVOICE / PROJECT",IF(SUMPRODUCT(--(('ERP Snapshot'!$A$2:$A$101&amp;"")=(B315&amp;"")))=0,"PROJECT NOT FOUND",IF(SUMPRODUCT(--(('ERP Snapshot'!$A$2:$A$101&amp;"")=(B315&amp;"")))&gt;1,"DUPLICATE PROJECT ID",IF(OR(SUMPRODUCT(--(('ERP Snapshot'!$A$2:$A$101&amp;"")=(B315&amp;"")),--('ERP Snapshot'!$Q$2:$Q$101=E315),--('ERP Snapshot'!$R$2:$R$101=F315))&lt;&gt;1,SUMPRODUCT(--('Commercial Catalogs'!$A$2:$A$10=E315),--('Commercial Catalogs'!$B$2:$B$10=F315),--('Commercial Catalogs'!$C$2:$C$10="YES"),--('Commercial Catalogs'!$D$2:$D$10="IN SCOPE"))=0,AND(E315="Strategic Services",F315&lt;&gt;"N/A"),AND(E315="Brands",F315="N/A")),"PROJECT CLASSIFICATION MISMATCH",IF(AND(G315="MXN",NOT(AND(ISNUMBER(I315),Settings!$B$8="APPROVED",Settings!$B$9&lt;&gt;"",Settings!$B$10&lt;&gt;""))),"FX HOLD","VALID"))))))))))))))))))</x:f>
      </x:c>
      <x:c r="M315" s="57" t="str">
        <x:f>IF(ISNUMBER(C315),IF(AND(ISNUMBER(C315),C315&gt;=2,C315&lt;=2958465,C315=INT(C315)),YEAR(C315)&amp;"-"&amp;IF(MONTH(C315)&lt;10,"0","")&amp;MONTH(C315),""),"")</x:f>
      </x:c>
      <x:c r="N315" s="59" t="str">
        <x:f>IF(L315="VALID",IF(G315="USD",H315,I315),"")</x:f>
      </x:c>
      <x:c r="O315" s="57" t="n">
        <x:f>IF(L315="VALID",IF(COUNTIFS($B$2:B315,B315,$M$2:M315,M315,$L$2:L315,"VALID")=1,1,0),0)</x:f>
        <x:v>0</x:v>
      </x:c>
    </x:row>
    <x:row r="316">
      <x:c r="A316" s="47"/>
      <x:c r="B316" s="47"/>
      <x:c r="C316" s="69"/>
      <x:c r="D316" s="47"/>
      <x:c r="E316" s="47"/>
      <x:c r="F316" s="47"/>
      <x:c r="G316" s="47"/>
      <x:c r="H316" s="48"/>
      <x:c r="I316" s="48"/>
      <x:c r="J316" s="47"/>
      <x:c r="K316" s="47"/>
      <x:c r="L316" s="57" t="str">
        <x:f>IF(COUNTA(A316:K316)=0,"",IF(K316="CANCELLED","CANCELLED",IF(A316="","INVOICE ID REQUIRED",IF(B316="","PROJECT ID REQUIRED",IF(NOT(ISNUMBER(C316)),"INVALID INVOICE DATE",IF(NOT(AND(ISNUMBER(C316),C316&gt;=2,C316&lt;=2958465,C316=INT(C316))),"INVALID INVOICE DATE",IF(NOT(OR(D316="MX",D316="US")),"ENTITY REQUIRED",IF(NOT(OR(E316="Strategic Services",E316="Brands")),"UNIT REQUIRED",IF(F316="","BRAND / N/A REQUIRED",IF(NOT(OR(G316="USD",G316="MXN")),"CURRENCY REQUIRED",IF(NOT(ISNUMBER(H316)),"AMOUNT REQUIRED",IF(J316="","ERP SOURCE REQUIRED",IF(NOT(OR(K316="ISSUED",K316="CANCELLED")),"INVOICE STATUS REQUIRED",IF(COUNTIFS($A$2:$A$501,A316,$B$2:$B$501,B316,$D$2:$D$501,D316)&gt;1,"DUPLICATE INVOICE / PROJECT",IF(SUMPRODUCT(--(('ERP Snapshot'!$A$2:$A$101&amp;"")=(B316&amp;"")))=0,"PROJECT NOT FOUND",IF(SUMPRODUCT(--(('ERP Snapshot'!$A$2:$A$101&amp;"")=(B316&amp;"")))&gt;1,"DUPLICATE PROJECT ID",IF(OR(SUMPRODUCT(--(('ERP Snapshot'!$A$2:$A$101&amp;"")=(B316&amp;"")),--('ERP Snapshot'!$Q$2:$Q$101=E316),--('ERP Snapshot'!$R$2:$R$101=F316))&lt;&gt;1,SUMPRODUCT(--('Commercial Catalogs'!$A$2:$A$10=E316),--('Commercial Catalogs'!$B$2:$B$10=F316),--('Commercial Catalogs'!$C$2:$C$10="YES"),--('Commercial Catalogs'!$D$2:$D$10="IN SCOPE"))=0,AND(E316="Strategic Services",F316&lt;&gt;"N/A"),AND(E316="Brands",F316="N/A")),"PROJECT CLASSIFICATION MISMATCH",IF(AND(G316="MXN",NOT(AND(ISNUMBER(I316),Settings!$B$8="APPROVED",Settings!$B$9&lt;&gt;"",Settings!$B$10&lt;&gt;""))),"FX HOLD","VALID"))))))))))))))))))</x:f>
      </x:c>
      <x:c r="M316" s="57" t="str">
        <x:f>IF(ISNUMBER(C316),IF(AND(ISNUMBER(C316),C316&gt;=2,C316&lt;=2958465,C316=INT(C316)),YEAR(C316)&amp;"-"&amp;IF(MONTH(C316)&lt;10,"0","")&amp;MONTH(C316),""),"")</x:f>
      </x:c>
      <x:c r="N316" s="59" t="str">
        <x:f>IF(L316="VALID",IF(G316="USD",H316,I316),"")</x:f>
      </x:c>
      <x:c r="O316" s="57" t="n">
        <x:f>IF(L316="VALID",IF(COUNTIFS($B$2:B316,B316,$M$2:M316,M316,$L$2:L316,"VALID")=1,1,0),0)</x:f>
        <x:v>0</x:v>
      </x:c>
    </x:row>
    <x:row r="317">
      <x:c r="A317" s="47"/>
      <x:c r="B317" s="47"/>
      <x:c r="C317" s="69"/>
      <x:c r="D317" s="47"/>
      <x:c r="E317" s="47"/>
      <x:c r="F317" s="47"/>
      <x:c r="G317" s="47"/>
      <x:c r="H317" s="48"/>
      <x:c r="I317" s="48"/>
      <x:c r="J317" s="47"/>
      <x:c r="K317" s="47"/>
      <x:c r="L317" s="57" t="str">
        <x:f>IF(COUNTA(A317:K317)=0,"",IF(K317="CANCELLED","CANCELLED",IF(A317="","INVOICE ID REQUIRED",IF(B317="","PROJECT ID REQUIRED",IF(NOT(ISNUMBER(C317)),"INVALID INVOICE DATE",IF(NOT(AND(ISNUMBER(C317),C317&gt;=2,C317&lt;=2958465,C317=INT(C317))),"INVALID INVOICE DATE",IF(NOT(OR(D317="MX",D317="US")),"ENTITY REQUIRED",IF(NOT(OR(E317="Strategic Services",E317="Brands")),"UNIT REQUIRED",IF(F317="","BRAND / N/A REQUIRED",IF(NOT(OR(G317="USD",G317="MXN")),"CURRENCY REQUIRED",IF(NOT(ISNUMBER(H317)),"AMOUNT REQUIRED",IF(J317="","ERP SOURCE REQUIRED",IF(NOT(OR(K317="ISSUED",K317="CANCELLED")),"INVOICE STATUS REQUIRED",IF(COUNTIFS($A$2:$A$501,A317,$B$2:$B$501,B317,$D$2:$D$501,D317)&gt;1,"DUPLICATE INVOICE / PROJECT",IF(SUMPRODUCT(--(('ERP Snapshot'!$A$2:$A$101&amp;"")=(B317&amp;"")))=0,"PROJECT NOT FOUND",IF(SUMPRODUCT(--(('ERP Snapshot'!$A$2:$A$101&amp;"")=(B317&amp;"")))&gt;1,"DUPLICATE PROJECT ID",IF(OR(SUMPRODUCT(--(('ERP Snapshot'!$A$2:$A$101&amp;"")=(B317&amp;"")),--('ERP Snapshot'!$Q$2:$Q$101=E317),--('ERP Snapshot'!$R$2:$R$101=F317))&lt;&gt;1,SUMPRODUCT(--('Commercial Catalogs'!$A$2:$A$10=E317),--('Commercial Catalogs'!$B$2:$B$10=F317),--('Commercial Catalogs'!$C$2:$C$10="YES"),--('Commercial Catalogs'!$D$2:$D$10="IN SCOPE"))=0,AND(E317="Strategic Services",F317&lt;&gt;"N/A"),AND(E317="Brands",F317="N/A")),"PROJECT CLASSIFICATION MISMATCH",IF(AND(G317="MXN",NOT(AND(ISNUMBER(I317),Settings!$B$8="APPROVED",Settings!$B$9&lt;&gt;"",Settings!$B$10&lt;&gt;""))),"FX HOLD","VALID"))))))))))))))))))</x:f>
      </x:c>
      <x:c r="M317" s="57" t="str">
        <x:f>IF(ISNUMBER(C317),IF(AND(ISNUMBER(C317),C317&gt;=2,C317&lt;=2958465,C317=INT(C317)),YEAR(C317)&amp;"-"&amp;IF(MONTH(C317)&lt;10,"0","")&amp;MONTH(C317),""),"")</x:f>
      </x:c>
      <x:c r="N317" s="59" t="str">
        <x:f>IF(L317="VALID",IF(G317="USD",H317,I317),"")</x:f>
      </x:c>
      <x:c r="O317" s="57" t="n">
        <x:f>IF(L317="VALID",IF(COUNTIFS($B$2:B317,B317,$M$2:M317,M317,$L$2:L317,"VALID")=1,1,0),0)</x:f>
        <x:v>0</x:v>
      </x:c>
    </x:row>
    <x:row r="318">
      <x:c r="A318" s="47"/>
      <x:c r="B318" s="47"/>
      <x:c r="C318" s="69"/>
      <x:c r="D318" s="47"/>
      <x:c r="E318" s="47"/>
      <x:c r="F318" s="47"/>
      <x:c r="G318" s="47"/>
      <x:c r="H318" s="48"/>
      <x:c r="I318" s="48"/>
      <x:c r="J318" s="47"/>
      <x:c r="K318" s="47"/>
      <x:c r="L318" s="57" t="str">
        <x:f>IF(COUNTA(A318:K318)=0,"",IF(K318="CANCELLED","CANCELLED",IF(A318="","INVOICE ID REQUIRED",IF(B318="","PROJECT ID REQUIRED",IF(NOT(ISNUMBER(C318)),"INVALID INVOICE DATE",IF(NOT(AND(ISNUMBER(C318),C318&gt;=2,C318&lt;=2958465,C318=INT(C318))),"INVALID INVOICE DATE",IF(NOT(OR(D318="MX",D318="US")),"ENTITY REQUIRED",IF(NOT(OR(E318="Strategic Services",E318="Brands")),"UNIT REQUIRED",IF(F318="","BRAND / N/A REQUIRED",IF(NOT(OR(G318="USD",G318="MXN")),"CURRENCY REQUIRED",IF(NOT(ISNUMBER(H318)),"AMOUNT REQUIRED",IF(J318="","ERP SOURCE REQUIRED",IF(NOT(OR(K318="ISSUED",K318="CANCELLED")),"INVOICE STATUS REQUIRED",IF(COUNTIFS($A$2:$A$501,A318,$B$2:$B$501,B318,$D$2:$D$501,D318)&gt;1,"DUPLICATE INVOICE / PROJECT",IF(SUMPRODUCT(--(('ERP Snapshot'!$A$2:$A$101&amp;"")=(B318&amp;"")))=0,"PROJECT NOT FOUND",IF(SUMPRODUCT(--(('ERP Snapshot'!$A$2:$A$101&amp;"")=(B318&amp;"")))&gt;1,"DUPLICATE PROJECT ID",IF(OR(SUMPRODUCT(--(('ERP Snapshot'!$A$2:$A$101&amp;"")=(B318&amp;"")),--('ERP Snapshot'!$Q$2:$Q$101=E318),--('ERP Snapshot'!$R$2:$R$101=F318))&lt;&gt;1,SUMPRODUCT(--('Commercial Catalogs'!$A$2:$A$10=E318),--('Commercial Catalogs'!$B$2:$B$10=F318),--('Commercial Catalogs'!$C$2:$C$10="YES"),--('Commercial Catalogs'!$D$2:$D$10="IN SCOPE"))=0,AND(E318="Strategic Services",F318&lt;&gt;"N/A"),AND(E318="Brands",F318="N/A")),"PROJECT CLASSIFICATION MISMATCH",IF(AND(G318="MXN",NOT(AND(ISNUMBER(I318),Settings!$B$8="APPROVED",Settings!$B$9&lt;&gt;"",Settings!$B$10&lt;&gt;""))),"FX HOLD","VALID"))))))))))))))))))</x:f>
      </x:c>
      <x:c r="M318" s="57" t="str">
        <x:f>IF(ISNUMBER(C318),IF(AND(ISNUMBER(C318),C318&gt;=2,C318&lt;=2958465,C318=INT(C318)),YEAR(C318)&amp;"-"&amp;IF(MONTH(C318)&lt;10,"0","")&amp;MONTH(C318),""),"")</x:f>
      </x:c>
      <x:c r="N318" s="59" t="str">
        <x:f>IF(L318="VALID",IF(G318="USD",H318,I318),"")</x:f>
      </x:c>
      <x:c r="O318" s="57" t="n">
        <x:f>IF(L318="VALID",IF(COUNTIFS($B$2:B318,B318,$M$2:M318,M318,$L$2:L318,"VALID")=1,1,0),0)</x:f>
        <x:v>0</x:v>
      </x:c>
    </x:row>
    <x:row r="319">
      <x:c r="A319" s="47"/>
      <x:c r="B319" s="47"/>
      <x:c r="C319" s="69"/>
      <x:c r="D319" s="47"/>
      <x:c r="E319" s="47"/>
      <x:c r="F319" s="47"/>
      <x:c r="G319" s="47"/>
      <x:c r="H319" s="48"/>
      <x:c r="I319" s="48"/>
      <x:c r="J319" s="47"/>
      <x:c r="K319" s="47"/>
      <x:c r="L319" s="57" t="str">
        <x:f>IF(COUNTA(A319:K319)=0,"",IF(K319="CANCELLED","CANCELLED",IF(A319="","INVOICE ID REQUIRED",IF(B319="","PROJECT ID REQUIRED",IF(NOT(ISNUMBER(C319)),"INVALID INVOICE DATE",IF(NOT(AND(ISNUMBER(C319),C319&gt;=2,C319&lt;=2958465,C319=INT(C319))),"INVALID INVOICE DATE",IF(NOT(OR(D319="MX",D319="US")),"ENTITY REQUIRED",IF(NOT(OR(E319="Strategic Services",E319="Brands")),"UNIT REQUIRED",IF(F319="","BRAND / N/A REQUIRED",IF(NOT(OR(G319="USD",G319="MXN")),"CURRENCY REQUIRED",IF(NOT(ISNUMBER(H319)),"AMOUNT REQUIRED",IF(J319="","ERP SOURCE REQUIRED",IF(NOT(OR(K319="ISSUED",K319="CANCELLED")),"INVOICE STATUS REQUIRED",IF(COUNTIFS($A$2:$A$501,A319,$B$2:$B$501,B319,$D$2:$D$501,D319)&gt;1,"DUPLICATE INVOICE / PROJECT",IF(SUMPRODUCT(--(('ERP Snapshot'!$A$2:$A$101&amp;"")=(B319&amp;"")))=0,"PROJECT NOT FOUND",IF(SUMPRODUCT(--(('ERP Snapshot'!$A$2:$A$101&amp;"")=(B319&amp;"")))&gt;1,"DUPLICATE PROJECT ID",IF(OR(SUMPRODUCT(--(('ERP Snapshot'!$A$2:$A$101&amp;"")=(B319&amp;"")),--('ERP Snapshot'!$Q$2:$Q$101=E319),--('ERP Snapshot'!$R$2:$R$101=F319))&lt;&gt;1,SUMPRODUCT(--('Commercial Catalogs'!$A$2:$A$10=E319),--('Commercial Catalogs'!$B$2:$B$10=F319),--('Commercial Catalogs'!$C$2:$C$10="YES"),--('Commercial Catalogs'!$D$2:$D$10="IN SCOPE"))=0,AND(E319="Strategic Services",F319&lt;&gt;"N/A"),AND(E319="Brands",F319="N/A")),"PROJECT CLASSIFICATION MISMATCH",IF(AND(G319="MXN",NOT(AND(ISNUMBER(I319),Settings!$B$8="APPROVED",Settings!$B$9&lt;&gt;"",Settings!$B$10&lt;&gt;""))),"FX HOLD","VALID"))))))))))))))))))</x:f>
      </x:c>
      <x:c r="M319" s="57" t="str">
        <x:f>IF(ISNUMBER(C319),IF(AND(ISNUMBER(C319),C319&gt;=2,C319&lt;=2958465,C319=INT(C319)),YEAR(C319)&amp;"-"&amp;IF(MONTH(C319)&lt;10,"0","")&amp;MONTH(C319),""),"")</x:f>
      </x:c>
      <x:c r="N319" s="59" t="str">
        <x:f>IF(L319="VALID",IF(G319="USD",H319,I319),"")</x:f>
      </x:c>
      <x:c r="O319" s="57" t="n">
        <x:f>IF(L319="VALID",IF(COUNTIFS($B$2:B319,B319,$M$2:M319,M319,$L$2:L319,"VALID")=1,1,0),0)</x:f>
        <x:v>0</x:v>
      </x:c>
    </x:row>
    <x:row r="320">
      <x:c r="A320" s="47"/>
      <x:c r="B320" s="47"/>
      <x:c r="C320" s="69"/>
      <x:c r="D320" s="47"/>
      <x:c r="E320" s="47"/>
      <x:c r="F320" s="47"/>
      <x:c r="G320" s="47"/>
      <x:c r="H320" s="48"/>
      <x:c r="I320" s="48"/>
      <x:c r="J320" s="47"/>
      <x:c r="K320" s="47"/>
      <x:c r="L320" s="57" t="str">
        <x:f>IF(COUNTA(A320:K320)=0,"",IF(K320="CANCELLED","CANCELLED",IF(A320="","INVOICE ID REQUIRED",IF(B320="","PROJECT ID REQUIRED",IF(NOT(ISNUMBER(C320)),"INVALID INVOICE DATE",IF(NOT(AND(ISNUMBER(C320),C320&gt;=2,C320&lt;=2958465,C320=INT(C320))),"INVALID INVOICE DATE",IF(NOT(OR(D320="MX",D320="US")),"ENTITY REQUIRED",IF(NOT(OR(E320="Strategic Services",E320="Brands")),"UNIT REQUIRED",IF(F320="","BRAND / N/A REQUIRED",IF(NOT(OR(G320="USD",G320="MXN")),"CURRENCY REQUIRED",IF(NOT(ISNUMBER(H320)),"AMOUNT REQUIRED",IF(J320="","ERP SOURCE REQUIRED",IF(NOT(OR(K320="ISSUED",K320="CANCELLED")),"INVOICE STATUS REQUIRED",IF(COUNTIFS($A$2:$A$501,A320,$B$2:$B$501,B320,$D$2:$D$501,D320)&gt;1,"DUPLICATE INVOICE / PROJECT",IF(SUMPRODUCT(--(('ERP Snapshot'!$A$2:$A$101&amp;"")=(B320&amp;"")))=0,"PROJECT NOT FOUND",IF(SUMPRODUCT(--(('ERP Snapshot'!$A$2:$A$101&amp;"")=(B320&amp;"")))&gt;1,"DUPLICATE PROJECT ID",IF(OR(SUMPRODUCT(--(('ERP Snapshot'!$A$2:$A$101&amp;"")=(B320&amp;"")),--('ERP Snapshot'!$Q$2:$Q$101=E320),--('ERP Snapshot'!$R$2:$R$101=F320))&lt;&gt;1,SUMPRODUCT(--('Commercial Catalogs'!$A$2:$A$10=E320),--('Commercial Catalogs'!$B$2:$B$10=F320),--('Commercial Catalogs'!$C$2:$C$10="YES"),--('Commercial Catalogs'!$D$2:$D$10="IN SCOPE"))=0,AND(E320="Strategic Services",F320&lt;&gt;"N/A"),AND(E320="Brands",F320="N/A")),"PROJECT CLASSIFICATION MISMATCH",IF(AND(G320="MXN",NOT(AND(ISNUMBER(I320),Settings!$B$8="APPROVED",Settings!$B$9&lt;&gt;"",Settings!$B$10&lt;&gt;""))),"FX HOLD","VALID"))))))))))))))))))</x:f>
      </x:c>
      <x:c r="M320" s="57" t="str">
        <x:f>IF(ISNUMBER(C320),IF(AND(ISNUMBER(C320),C320&gt;=2,C320&lt;=2958465,C320=INT(C320)),YEAR(C320)&amp;"-"&amp;IF(MONTH(C320)&lt;10,"0","")&amp;MONTH(C320),""),"")</x:f>
      </x:c>
      <x:c r="N320" s="59" t="str">
        <x:f>IF(L320="VALID",IF(G320="USD",H320,I320),"")</x:f>
      </x:c>
      <x:c r="O320" s="57" t="n">
        <x:f>IF(L320="VALID",IF(COUNTIFS($B$2:B320,B320,$M$2:M320,M320,$L$2:L320,"VALID")=1,1,0),0)</x:f>
        <x:v>0</x:v>
      </x:c>
    </x:row>
    <x:row r="321">
      <x:c r="A321" s="47"/>
      <x:c r="B321" s="47"/>
      <x:c r="C321" s="69"/>
      <x:c r="D321" s="47"/>
      <x:c r="E321" s="47"/>
      <x:c r="F321" s="47"/>
      <x:c r="G321" s="47"/>
      <x:c r="H321" s="48"/>
      <x:c r="I321" s="48"/>
      <x:c r="J321" s="47"/>
      <x:c r="K321" s="47"/>
      <x:c r="L321" s="57" t="str">
        <x:f>IF(COUNTA(A321:K321)=0,"",IF(K321="CANCELLED","CANCELLED",IF(A321="","INVOICE ID REQUIRED",IF(B321="","PROJECT ID REQUIRED",IF(NOT(ISNUMBER(C321)),"INVALID INVOICE DATE",IF(NOT(AND(ISNUMBER(C321),C321&gt;=2,C321&lt;=2958465,C321=INT(C321))),"INVALID INVOICE DATE",IF(NOT(OR(D321="MX",D321="US")),"ENTITY REQUIRED",IF(NOT(OR(E321="Strategic Services",E321="Brands")),"UNIT REQUIRED",IF(F321="","BRAND / N/A REQUIRED",IF(NOT(OR(G321="USD",G321="MXN")),"CURRENCY REQUIRED",IF(NOT(ISNUMBER(H321)),"AMOUNT REQUIRED",IF(J321="","ERP SOURCE REQUIRED",IF(NOT(OR(K321="ISSUED",K321="CANCELLED")),"INVOICE STATUS REQUIRED",IF(COUNTIFS($A$2:$A$501,A321,$B$2:$B$501,B321,$D$2:$D$501,D321)&gt;1,"DUPLICATE INVOICE / PROJECT",IF(SUMPRODUCT(--(('ERP Snapshot'!$A$2:$A$101&amp;"")=(B321&amp;"")))=0,"PROJECT NOT FOUND",IF(SUMPRODUCT(--(('ERP Snapshot'!$A$2:$A$101&amp;"")=(B321&amp;"")))&gt;1,"DUPLICATE PROJECT ID",IF(OR(SUMPRODUCT(--(('ERP Snapshot'!$A$2:$A$101&amp;"")=(B321&amp;"")),--('ERP Snapshot'!$Q$2:$Q$101=E321),--('ERP Snapshot'!$R$2:$R$101=F321))&lt;&gt;1,SUMPRODUCT(--('Commercial Catalogs'!$A$2:$A$10=E321),--('Commercial Catalogs'!$B$2:$B$10=F321),--('Commercial Catalogs'!$C$2:$C$10="YES"),--('Commercial Catalogs'!$D$2:$D$10="IN SCOPE"))=0,AND(E321="Strategic Services",F321&lt;&gt;"N/A"),AND(E321="Brands",F321="N/A")),"PROJECT CLASSIFICATION MISMATCH",IF(AND(G321="MXN",NOT(AND(ISNUMBER(I321),Settings!$B$8="APPROVED",Settings!$B$9&lt;&gt;"",Settings!$B$10&lt;&gt;""))),"FX HOLD","VALID"))))))))))))))))))</x:f>
      </x:c>
      <x:c r="M321" s="57" t="str">
        <x:f>IF(ISNUMBER(C321),IF(AND(ISNUMBER(C321),C321&gt;=2,C321&lt;=2958465,C321=INT(C321)),YEAR(C321)&amp;"-"&amp;IF(MONTH(C321)&lt;10,"0","")&amp;MONTH(C321),""),"")</x:f>
      </x:c>
      <x:c r="N321" s="59" t="str">
        <x:f>IF(L321="VALID",IF(G321="USD",H321,I321),"")</x:f>
      </x:c>
      <x:c r="O321" s="57" t="n">
        <x:f>IF(L321="VALID",IF(COUNTIFS($B$2:B321,B321,$M$2:M321,M321,$L$2:L321,"VALID")=1,1,0),0)</x:f>
        <x:v>0</x:v>
      </x:c>
    </x:row>
    <x:row r="322">
      <x:c r="A322" s="47"/>
      <x:c r="B322" s="47"/>
      <x:c r="C322" s="69"/>
      <x:c r="D322" s="47"/>
      <x:c r="E322" s="47"/>
      <x:c r="F322" s="47"/>
      <x:c r="G322" s="47"/>
      <x:c r="H322" s="48"/>
      <x:c r="I322" s="48"/>
      <x:c r="J322" s="47"/>
      <x:c r="K322" s="47"/>
      <x:c r="L322" s="57" t="str">
        <x:f>IF(COUNTA(A322:K322)=0,"",IF(K322="CANCELLED","CANCELLED",IF(A322="","INVOICE ID REQUIRED",IF(B322="","PROJECT ID REQUIRED",IF(NOT(ISNUMBER(C322)),"INVALID INVOICE DATE",IF(NOT(AND(ISNUMBER(C322),C322&gt;=2,C322&lt;=2958465,C322=INT(C322))),"INVALID INVOICE DATE",IF(NOT(OR(D322="MX",D322="US")),"ENTITY REQUIRED",IF(NOT(OR(E322="Strategic Services",E322="Brands")),"UNIT REQUIRED",IF(F322="","BRAND / N/A REQUIRED",IF(NOT(OR(G322="USD",G322="MXN")),"CURRENCY REQUIRED",IF(NOT(ISNUMBER(H322)),"AMOUNT REQUIRED",IF(J322="","ERP SOURCE REQUIRED",IF(NOT(OR(K322="ISSUED",K322="CANCELLED")),"INVOICE STATUS REQUIRED",IF(COUNTIFS($A$2:$A$501,A322,$B$2:$B$501,B322,$D$2:$D$501,D322)&gt;1,"DUPLICATE INVOICE / PROJECT",IF(SUMPRODUCT(--(('ERP Snapshot'!$A$2:$A$101&amp;"")=(B322&amp;"")))=0,"PROJECT NOT FOUND",IF(SUMPRODUCT(--(('ERP Snapshot'!$A$2:$A$101&amp;"")=(B322&amp;"")))&gt;1,"DUPLICATE PROJECT ID",IF(OR(SUMPRODUCT(--(('ERP Snapshot'!$A$2:$A$101&amp;"")=(B322&amp;"")),--('ERP Snapshot'!$Q$2:$Q$101=E322),--('ERP Snapshot'!$R$2:$R$101=F322))&lt;&gt;1,SUMPRODUCT(--('Commercial Catalogs'!$A$2:$A$10=E322),--('Commercial Catalogs'!$B$2:$B$10=F322),--('Commercial Catalogs'!$C$2:$C$10="YES"),--('Commercial Catalogs'!$D$2:$D$10="IN SCOPE"))=0,AND(E322="Strategic Services",F322&lt;&gt;"N/A"),AND(E322="Brands",F322="N/A")),"PROJECT CLASSIFICATION MISMATCH",IF(AND(G322="MXN",NOT(AND(ISNUMBER(I322),Settings!$B$8="APPROVED",Settings!$B$9&lt;&gt;"",Settings!$B$10&lt;&gt;""))),"FX HOLD","VALID"))))))))))))))))))</x:f>
      </x:c>
      <x:c r="M322" s="57" t="str">
        <x:f>IF(ISNUMBER(C322),IF(AND(ISNUMBER(C322),C322&gt;=2,C322&lt;=2958465,C322=INT(C322)),YEAR(C322)&amp;"-"&amp;IF(MONTH(C322)&lt;10,"0","")&amp;MONTH(C322),""),"")</x:f>
      </x:c>
      <x:c r="N322" s="59" t="str">
        <x:f>IF(L322="VALID",IF(G322="USD",H322,I322),"")</x:f>
      </x:c>
      <x:c r="O322" s="57" t="n">
        <x:f>IF(L322="VALID",IF(COUNTIFS($B$2:B322,B322,$M$2:M322,M322,$L$2:L322,"VALID")=1,1,0),0)</x:f>
        <x:v>0</x:v>
      </x:c>
    </x:row>
    <x:row r="323">
      <x:c r="A323" s="47"/>
      <x:c r="B323" s="47"/>
      <x:c r="C323" s="69"/>
      <x:c r="D323" s="47"/>
      <x:c r="E323" s="47"/>
      <x:c r="F323" s="47"/>
      <x:c r="G323" s="47"/>
      <x:c r="H323" s="48"/>
      <x:c r="I323" s="48"/>
      <x:c r="J323" s="47"/>
      <x:c r="K323" s="47"/>
      <x:c r="L323" s="57" t="str">
        <x:f>IF(COUNTA(A323:K323)=0,"",IF(K323="CANCELLED","CANCELLED",IF(A323="","INVOICE ID REQUIRED",IF(B323="","PROJECT ID REQUIRED",IF(NOT(ISNUMBER(C323)),"INVALID INVOICE DATE",IF(NOT(AND(ISNUMBER(C323),C323&gt;=2,C323&lt;=2958465,C323=INT(C323))),"INVALID INVOICE DATE",IF(NOT(OR(D323="MX",D323="US")),"ENTITY REQUIRED",IF(NOT(OR(E323="Strategic Services",E323="Brands")),"UNIT REQUIRED",IF(F323="","BRAND / N/A REQUIRED",IF(NOT(OR(G323="USD",G323="MXN")),"CURRENCY REQUIRED",IF(NOT(ISNUMBER(H323)),"AMOUNT REQUIRED",IF(J323="","ERP SOURCE REQUIRED",IF(NOT(OR(K323="ISSUED",K323="CANCELLED")),"INVOICE STATUS REQUIRED",IF(COUNTIFS($A$2:$A$501,A323,$B$2:$B$501,B323,$D$2:$D$501,D323)&gt;1,"DUPLICATE INVOICE / PROJECT",IF(SUMPRODUCT(--(('ERP Snapshot'!$A$2:$A$101&amp;"")=(B323&amp;"")))=0,"PROJECT NOT FOUND",IF(SUMPRODUCT(--(('ERP Snapshot'!$A$2:$A$101&amp;"")=(B323&amp;"")))&gt;1,"DUPLICATE PROJECT ID",IF(OR(SUMPRODUCT(--(('ERP Snapshot'!$A$2:$A$101&amp;"")=(B323&amp;"")),--('ERP Snapshot'!$Q$2:$Q$101=E323),--('ERP Snapshot'!$R$2:$R$101=F323))&lt;&gt;1,SUMPRODUCT(--('Commercial Catalogs'!$A$2:$A$10=E323),--('Commercial Catalogs'!$B$2:$B$10=F323),--('Commercial Catalogs'!$C$2:$C$10="YES"),--('Commercial Catalogs'!$D$2:$D$10="IN SCOPE"))=0,AND(E323="Strategic Services",F323&lt;&gt;"N/A"),AND(E323="Brands",F323="N/A")),"PROJECT CLASSIFICATION MISMATCH",IF(AND(G323="MXN",NOT(AND(ISNUMBER(I323),Settings!$B$8="APPROVED",Settings!$B$9&lt;&gt;"",Settings!$B$10&lt;&gt;""))),"FX HOLD","VALID"))))))))))))))))))</x:f>
      </x:c>
      <x:c r="M323" s="57" t="str">
        <x:f>IF(ISNUMBER(C323),IF(AND(ISNUMBER(C323),C323&gt;=2,C323&lt;=2958465,C323=INT(C323)),YEAR(C323)&amp;"-"&amp;IF(MONTH(C323)&lt;10,"0","")&amp;MONTH(C323),""),"")</x:f>
      </x:c>
      <x:c r="N323" s="59" t="str">
        <x:f>IF(L323="VALID",IF(G323="USD",H323,I323),"")</x:f>
      </x:c>
      <x:c r="O323" s="57" t="n">
        <x:f>IF(L323="VALID",IF(COUNTIFS($B$2:B323,B323,$M$2:M323,M323,$L$2:L323,"VALID")=1,1,0),0)</x:f>
        <x:v>0</x:v>
      </x:c>
    </x:row>
    <x:row r="324">
      <x:c r="A324" s="47"/>
      <x:c r="B324" s="47"/>
      <x:c r="C324" s="69"/>
      <x:c r="D324" s="47"/>
      <x:c r="E324" s="47"/>
      <x:c r="F324" s="47"/>
      <x:c r="G324" s="47"/>
      <x:c r="H324" s="48"/>
      <x:c r="I324" s="48"/>
      <x:c r="J324" s="47"/>
      <x:c r="K324" s="47"/>
      <x:c r="L324" s="57" t="str">
        <x:f>IF(COUNTA(A324:K324)=0,"",IF(K324="CANCELLED","CANCELLED",IF(A324="","INVOICE ID REQUIRED",IF(B324="","PROJECT ID REQUIRED",IF(NOT(ISNUMBER(C324)),"INVALID INVOICE DATE",IF(NOT(AND(ISNUMBER(C324),C324&gt;=2,C324&lt;=2958465,C324=INT(C324))),"INVALID INVOICE DATE",IF(NOT(OR(D324="MX",D324="US")),"ENTITY REQUIRED",IF(NOT(OR(E324="Strategic Services",E324="Brands")),"UNIT REQUIRED",IF(F324="","BRAND / N/A REQUIRED",IF(NOT(OR(G324="USD",G324="MXN")),"CURRENCY REQUIRED",IF(NOT(ISNUMBER(H324)),"AMOUNT REQUIRED",IF(J324="","ERP SOURCE REQUIRED",IF(NOT(OR(K324="ISSUED",K324="CANCELLED")),"INVOICE STATUS REQUIRED",IF(COUNTIFS($A$2:$A$501,A324,$B$2:$B$501,B324,$D$2:$D$501,D324)&gt;1,"DUPLICATE INVOICE / PROJECT",IF(SUMPRODUCT(--(('ERP Snapshot'!$A$2:$A$101&amp;"")=(B324&amp;"")))=0,"PROJECT NOT FOUND",IF(SUMPRODUCT(--(('ERP Snapshot'!$A$2:$A$101&amp;"")=(B324&amp;"")))&gt;1,"DUPLICATE PROJECT ID",IF(OR(SUMPRODUCT(--(('ERP Snapshot'!$A$2:$A$101&amp;"")=(B324&amp;"")),--('ERP Snapshot'!$Q$2:$Q$101=E324),--('ERP Snapshot'!$R$2:$R$101=F324))&lt;&gt;1,SUMPRODUCT(--('Commercial Catalogs'!$A$2:$A$10=E324),--('Commercial Catalogs'!$B$2:$B$10=F324),--('Commercial Catalogs'!$C$2:$C$10="YES"),--('Commercial Catalogs'!$D$2:$D$10="IN SCOPE"))=0,AND(E324="Strategic Services",F324&lt;&gt;"N/A"),AND(E324="Brands",F324="N/A")),"PROJECT CLASSIFICATION MISMATCH",IF(AND(G324="MXN",NOT(AND(ISNUMBER(I324),Settings!$B$8="APPROVED",Settings!$B$9&lt;&gt;"",Settings!$B$10&lt;&gt;""))),"FX HOLD","VALID"))))))))))))))))))</x:f>
      </x:c>
      <x:c r="M324" s="57" t="str">
        <x:f>IF(ISNUMBER(C324),IF(AND(ISNUMBER(C324),C324&gt;=2,C324&lt;=2958465,C324=INT(C324)),YEAR(C324)&amp;"-"&amp;IF(MONTH(C324)&lt;10,"0","")&amp;MONTH(C324),""),"")</x:f>
      </x:c>
      <x:c r="N324" s="59" t="str">
        <x:f>IF(L324="VALID",IF(G324="USD",H324,I324),"")</x:f>
      </x:c>
      <x:c r="O324" s="57" t="n">
        <x:f>IF(L324="VALID",IF(COUNTIFS($B$2:B324,B324,$M$2:M324,M324,$L$2:L324,"VALID")=1,1,0),0)</x:f>
        <x:v>0</x:v>
      </x:c>
    </x:row>
    <x:row r="325">
      <x:c r="A325" s="47"/>
      <x:c r="B325" s="47"/>
      <x:c r="C325" s="69"/>
      <x:c r="D325" s="47"/>
      <x:c r="E325" s="47"/>
      <x:c r="F325" s="47"/>
      <x:c r="G325" s="47"/>
      <x:c r="H325" s="48"/>
      <x:c r="I325" s="48"/>
      <x:c r="J325" s="47"/>
      <x:c r="K325" s="47"/>
      <x:c r="L325" s="57" t="str">
        <x:f>IF(COUNTA(A325:K325)=0,"",IF(K325="CANCELLED","CANCELLED",IF(A325="","INVOICE ID REQUIRED",IF(B325="","PROJECT ID REQUIRED",IF(NOT(ISNUMBER(C325)),"INVALID INVOICE DATE",IF(NOT(AND(ISNUMBER(C325),C325&gt;=2,C325&lt;=2958465,C325=INT(C325))),"INVALID INVOICE DATE",IF(NOT(OR(D325="MX",D325="US")),"ENTITY REQUIRED",IF(NOT(OR(E325="Strategic Services",E325="Brands")),"UNIT REQUIRED",IF(F325="","BRAND / N/A REQUIRED",IF(NOT(OR(G325="USD",G325="MXN")),"CURRENCY REQUIRED",IF(NOT(ISNUMBER(H325)),"AMOUNT REQUIRED",IF(J325="","ERP SOURCE REQUIRED",IF(NOT(OR(K325="ISSUED",K325="CANCELLED")),"INVOICE STATUS REQUIRED",IF(COUNTIFS($A$2:$A$501,A325,$B$2:$B$501,B325,$D$2:$D$501,D325)&gt;1,"DUPLICATE INVOICE / PROJECT",IF(SUMPRODUCT(--(('ERP Snapshot'!$A$2:$A$101&amp;"")=(B325&amp;"")))=0,"PROJECT NOT FOUND",IF(SUMPRODUCT(--(('ERP Snapshot'!$A$2:$A$101&amp;"")=(B325&amp;"")))&gt;1,"DUPLICATE PROJECT ID",IF(OR(SUMPRODUCT(--(('ERP Snapshot'!$A$2:$A$101&amp;"")=(B325&amp;"")),--('ERP Snapshot'!$Q$2:$Q$101=E325),--('ERP Snapshot'!$R$2:$R$101=F325))&lt;&gt;1,SUMPRODUCT(--('Commercial Catalogs'!$A$2:$A$10=E325),--('Commercial Catalogs'!$B$2:$B$10=F325),--('Commercial Catalogs'!$C$2:$C$10="YES"),--('Commercial Catalogs'!$D$2:$D$10="IN SCOPE"))=0,AND(E325="Strategic Services",F325&lt;&gt;"N/A"),AND(E325="Brands",F325="N/A")),"PROJECT CLASSIFICATION MISMATCH",IF(AND(G325="MXN",NOT(AND(ISNUMBER(I325),Settings!$B$8="APPROVED",Settings!$B$9&lt;&gt;"",Settings!$B$10&lt;&gt;""))),"FX HOLD","VALID"))))))))))))))))))</x:f>
      </x:c>
      <x:c r="M325" s="57" t="str">
        <x:f>IF(ISNUMBER(C325),IF(AND(ISNUMBER(C325),C325&gt;=2,C325&lt;=2958465,C325=INT(C325)),YEAR(C325)&amp;"-"&amp;IF(MONTH(C325)&lt;10,"0","")&amp;MONTH(C325),""),"")</x:f>
      </x:c>
      <x:c r="N325" s="59" t="str">
        <x:f>IF(L325="VALID",IF(G325="USD",H325,I325),"")</x:f>
      </x:c>
      <x:c r="O325" s="57" t="n">
        <x:f>IF(L325="VALID",IF(COUNTIFS($B$2:B325,B325,$M$2:M325,M325,$L$2:L325,"VALID")=1,1,0),0)</x:f>
        <x:v>0</x:v>
      </x:c>
    </x:row>
    <x:row r="326">
      <x:c r="A326" s="47"/>
      <x:c r="B326" s="47"/>
      <x:c r="C326" s="69"/>
      <x:c r="D326" s="47"/>
      <x:c r="E326" s="47"/>
      <x:c r="F326" s="47"/>
      <x:c r="G326" s="47"/>
      <x:c r="H326" s="48"/>
      <x:c r="I326" s="48"/>
      <x:c r="J326" s="47"/>
      <x:c r="K326" s="47"/>
      <x:c r="L326" s="57" t="str">
        <x:f>IF(COUNTA(A326:K326)=0,"",IF(K326="CANCELLED","CANCELLED",IF(A326="","INVOICE ID REQUIRED",IF(B326="","PROJECT ID REQUIRED",IF(NOT(ISNUMBER(C326)),"INVALID INVOICE DATE",IF(NOT(AND(ISNUMBER(C326),C326&gt;=2,C326&lt;=2958465,C326=INT(C326))),"INVALID INVOICE DATE",IF(NOT(OR(D326="MX",D326="US")),"ENTITY REQUIRED",IF(NOT(OR(E326="Strategic Services",E326="Brands")),"UNIT REQUIRED",IF(F326="","BRAND / N/A REQUIRED",IF(NOT(OR(G326="USD",G326="MXN")),"CURRENCY REQUIRED",IF(NOT(ISNUMBER(H326)),"AMOUNT REQUIRED",IF(J326="","ERP SOURCE REQUIRED",IF(NOT(OR(K326="ISSUED",K326="CANCELLED")),"INVOICE STATUS REQUIRED",IF(COUNTIFS($A$2:$A$501,A326,$B$2:$B$501,B326,$D$2:$D$501,D326)&gt;1,"DUPLICATE INVOICE / PROJECT",IF(SUMPRODUCT(--(('ERP Snapshot'!$A$2:$A$101&amp;"")=(B326&amp;"")))=0,"PROJECT NOT FOUND",IF(SUMPRODUCT(--(('ERP Snapshot'!$A$2:$A$101&amp;"")=(B326&amp;"")))&gt;1,"DUPLICATE PROJECT ID",IF(OR(SUMPRODUCT(--(('ERP Snapshot'!$A$2:$A$101&amp;"")=(B326&amp;"")),--('ERP Snapshot'!$Q$2:$Q$101=E326),--('ERP Snapshot'!$R$2:$R$101=F326))&lt;&gt;1,SUMPRODUCT(--('Commercial Catalogs'!$A$2:$A$10=E326),--('Commercial Catalogs'!$B$2:$B$10=F326),--('Commercial Catalogs'!$C$2:$C$10="YES"),--('Commercial Catalogs'!$D$2:$D$10="IN SCOPE"))=0,AND(E326="Strategic Services",F326&lt;&gt;"N/A"),AND(E326="Brands",F326="N/A")),"PROJECT CLASSIFICATION MISMATCH",IF(AND(G326="MXN",NOT(AND(ISNUMBER(I326),Settings!$B$8="APPROVED",Settings!$B$9&lt;&gt;"",Settings!$B$10&lt;&gt;""))),"FX HOLD","VALID"))))))))))))))))))</x:f>
      </x:c>
      <x:c r="M326" s="57" t="str">
        <x:f>IF(ISNUMBER(C326),IF(AND(ISNUMBER(C326),C326&gt;=2,C326&lt;=2958465,C326=INT(C326)),YEAR(C326)&amp;"-"&amp;IF(MONTH(C326)&lt;10,"0","")&amp;MONTH(C326),""),"")</x:f>
      </x:c>
      <x:c r="N326" s="59" t="str">
        <x:f>IF(L326="VALID",IF(G326="USD",H326,I326),"")</x:f>
      </x:c>
      <x:c r="O326" s="57" t="n">
        <x:f>IF(L326="VALID",IF(COUNTIFS($B$2:B326,B326,$M$2:M326,M326,$L$2:L326,"VALID")=1,1,0),0)</x:f>
        <x:v>0</x:v>
      </x:c>
    </x:row>
    <x:row r="327">
      <x:c r="A327" s="47"/>
      <x:c r="B327" s="47"/>
      <x:c r="C327" s="69"/>
      <x:c r="D327" s="47"/>
      <x:c r="E327" s="47"/>
      <x:c r="F327" s="47"/>
      <x:c r="G327" s="47"/>
      <x:c r="H327" s="48"/>
      <x:c r="I327" s="48"/>
      <x:c r="J327" s="47"/>
      <x:c r="K327" s="47"/>
      <x:c r="L327" s="57" t="str">
        <x:f>IF(COUNTA(A327:K327)=0,"",IF(K327="CANCELLED","CANCELLED",IF(A327="","INVOICE ID REQUIRED",IF(B327="","PROJECT ID REQUIRED",IF(NOT(ISNUMBER(C327)),"INVALID INVOICE DATE",IF(NOT(AND(ISNUMBER(C327),C327&gt;=2,C327&lt;=2958465,C327=INT(C327))),"INVALID INVOICE DATE",IF(NOT(OR(D327="MX",D327="US")),"ENTITY REQUIRED",IF(NOT(OR(E327="Strategic Services",E327="Brands")),"UNIT REQUIRED",IF(F327="","BRAND / N/A REQUIRED",IF(NOT(OR(G327="USD",G327="MXN")),"CURRENCY REQUIRED",IF(NOT(ISNUMBER(H327)),"AMOUNT REQUIRED",IF(J327="","ERP SOURCE REQUIRED",IF(NOT(OR(K327="ISSUED",K327="CANCELLED")),"INVOICE STATUS REQUIRED",IF(COUNTIFS($A$2:$A$501,A327,$B$2:$B$501,B327,$D$2:$D$501,D327)&gt;1,"DUPLICATE INVOICE / PROJECT",IF(SUMPRODUCT(--(('ERP Snapshot'!$A$2:$A$101&amp;"")=(B327&amp;"")))=0,"PROJECT NOT FOUND",IF(SUMPRODUCT(--(('ERP Snapshot'!$A$2:$A$101&amp;"")=(B327&amp;"")))&gt;1,"DUPLICATE PROJECT ID",IF(OR(SUMPRODUCT(--(('ERP Snapshot'!$A$2:$A$101&amp;"")=(B327&amp;"")),--('ERP Snapshot'!$Q$2:$Q$101=E327),--('ERP Snapshot'!$R$2:$R$101=F327))&lt;&gt;1,SUMPRODUCT(--('Commercial Catalogs'!$A$2:$A$10=E327),--('Commercial Catalogs'!$B$2:$B$10=F327),--('Commercial Catalogs'!$C$2:$C$10="YES"),--('Commercial Catalogs'!$D$2:$D$10="IN SCOPE"))=0,AND(E327="Strategic Services",F327&lt;&gt;"N/A"),AND(E327="Brands",F327="N/A")),"PROJECT CLASSIFICATION MISMATCH",IF(AND(G327="MXN",NOT(AND(ISNUMBER(I327),Settings!$B$8="APPROVED",Settings!$B$9&lt;&gt;"",Settings!$B$10&lt;&gt;""))),"FX HOLD","VALID"))))))))))))))))))</x:f>
      </x:c>
      <x:c r="M327" s="57" t="str">
        <x:f>IF(ISNUMBER(C327),IF(AND(ISNUMBER(C327),C327&gt;=2,C327&lt;=2958465,C327=INT(C327)),YEAR(C327)&amp;"-"&amp;IF(MONTH(C327)&lt;10,"0","")&amp;MONTH(C327),""),"")</x:f>
      </x:c>
      <x:c r="N327" s="59" t="str">
        <x:f>IF(L327="VALID",IF(G327="USD",H327,I327),"")</x:f>
      </x:c>
      <x:c r="O327" s="57" t="n">
        <x:f>IF(L327="VALID",IF(COUNTIFS($B$2:B327,B327,$M$2:M327,M327,$L$2:L327,"VALID")=1,1,0),0)</x:f>
        <x:v>0</x:v>
      </x:c>
    </x:row>
    <x:row r="328">
      <x:c r="A328" s="47"/>
      <x:c r="B328" s="47"/>
      <x:c r="C328" s="69"/>
      <x:c r="D328" s="47"/>
      <x:c r="E328" s="47"/>
      <x:c r="F328" s="47"/>
      <x:c r="G328" s="47"/>
      <x:c r="H328" s="48"/>
      <x:c r="I328" s="48"/>
      <x:c r="J328" s="47"/>
      <x:c r="K328" s="47"/>
      <x:c r="L328" s="57" t="str">
        <x:f>IF(COUNTA(A328:K328)=0,"",IF(K328="CANCELLED","CANCELLED",IF(A328="","INVOICE ID REQUIRED",IF(B328="","PROJECT ID REQUIRED",IF(NOT(ISNUMBER(C328)),"INVALID INVOICE DATE",IF(NOT(AND(ISNUMBER(C328),C328&gt;=2,C328&lt;=2958465,C328=INT(C328))),"INVALID INVOICE DATE",IF(NOT(OR(D328="MX",D328="US")),"ENTITY REQUIRED",IF(NOT(OR(E328="Strategic Services",E328="Brands")),"UNIT REQUIRED",IF(F328="","BRAND / N/A REQUIRED",IF(NOT(OR(G328="USD",G328="MXN")),"CURRENCY REQUIRED",IF(NOT(ISNUMBER(H328)),"AMOUNT REQUIRED",IF(J328="","ERP SOURCE REQUIRED",IF(NOT(OR(K328="ISSUED",K328="CANCELLED")),"INVOICE STATUS REQUIRED",IF(COUNTIFS($A$2:$A$501,A328,$B$2:$B$501,B328,$D$2:$D$501,D328)&gt;1,"DUPLICATE INVOICE / PROJECT",IF(SUMPRODUCT(--(('ERP Snapshot'!$A$2:$A$101&amp;"")=(B328&amp;"")))=0,"PROJECT NOT FOUND",IF(SUMPRODUCT(--(('ERP Snapshot'!$A$2:$A$101&amp;"")=(B328&amp;"")))&gt;1,"DUPLICATE PROJECT ID",IF(OR(SUMPRODUCT(--(('ERP Snapshot'!$A$2:$A$101&amp;"")=(B328&amp;"")),--('ERP Snapshot'!$Q$2:$Q$101=E328),--('ERP Snapshot'!$R$2:$R$101=F328))&lt;&gt;1,SUMPRODUCT(--('Commercial Catalogs'!$A$2:$A$10=E328),--('Commercial Catalogs'!$B$2:$B$10=F328),--('Commercial Catalogs'!$C$2:$C$10="YES"),--('Commercial Catalogs'!$D$2:$D$10="IN SCOPE"))=0,AND(E328="Strategic Services",F328&lt;&gt;"N/A"),AND(E328="Brands",F328="N/A")),"PROJECT CLASSIFICATION MISMATCH",IF(AND(G328="MXN",NOT(AND(ISNUMBER(I328),Settings!$B$8="APPROVED",Settings!$B$9&lt;&gt;"",Settings!$B$10&lt;&gt;""))),"FX HOLD","VALID"))))))))))))))))))</x:f>
      </x:c>
      <x:c r="M328" s="57" t="str">
        <x:f>IF(ISNUMBER(C328),IF(AND(ISNUMBER(C328),C328&gt;=2,C328&lt;=2958465,C328=INT(C328)),YEAR(C328)&amp;"-"&amp;IF(MONTH(C328)&lt;10,"0","")&amp;MONTH(C328),""),"")</x:f>
      </x:c>
      <x:c r="N328" s="59" t="str">
        <x:f>IF(L328="VALID",IF(G328="USD",H328,I328),"")</x:f>
      </x:c>
      <x:c r="O328" s="57" t="n">
        <x:f>IF(L328="VALID",IF(COUNTIFS($B$2:B328,B328,$M$2:M328,M328,$L$2:L328,"VALID")=1,1,0),0)</x:f>
        <x:v>0</x:v>
      </x:c>
    </x:row>
    <x:row r="329">
      <x:c r="A329" s="47"/>
      <x:c r="B329" s="47"/>
      <x:c r="C329" s="69"/>
      <x:c r="D329" s="47"/>
      <x:c r="E329" s="47"/>
      <x:c r="F329" s="47"/>
      <x:c r="G329" s="47"/>
      <x:c r="H329" s="48"/>
      <x:c r="I329" s="48"/>
      <x:c r="J329" s="47"/>
      <x:c r="K329" s="47"/>
      <x:c r="L329" s="57" t="str">
        <x:f>IF(COUNTA(A329:K329)=0,"",IF(K329="CANCELLED","CANCELLED",IF(A329="","INVOICE ID REQUIRED",IF(B329="","PROJECT ID REQUIRED",IF(NOT(ISNUMBER(C329)),"INVALID INVOICE DATE",IF(NOT(AND(ISNUMBER(C329),C329&gt;=2,C329&lt;=2958465,C329=INT(C329))),"INVALID INVOICE DATE",IF(NOT(OR(D329="MX",D329="US")),"ENTITY REQUIRED",IF(NOT(OR(E329="Strategic Services",E329="Brands")),"UNIT REQUIRED",IF(F329="","BRAND / N/A REQUIRED",IF(NOT(OR(G329="USD",G329="MXN")),"CURRENCY REQUIRED",IF(NOT(ISNUMBER(H329)),"AMOUNT REQUIRED",IF(J329="","ERP SOURCE REQUIRED",IF(NOT(OR(K329="ISSUED",K329="CANCELLED")),"INVOICE STATUS REQUIRED",IF(COUNTIFS($A$2:$A$501,A329,$B$2:$B$501,B329,$D$2:$D$501,D329)&gt;1,"DUPLICATE INVOICE / PROJECT",IF(SUMPRODUCT(--(('ERP Snapshot'!$A$2:$A$101&amp;"")=(B329&amp;"")))=0,"PROJECT NOT FOUND",IF(SUMPRODUCT(--(('ERP Snapshot'!$A$2:$A$101&amp;"")=(B329&amp;"")))&gt;1,"DUPLICATE PROJECT ID",IF(OR(SUMPRODUCT(--(('ERP Snapshot'!$A$2:$A$101&amp;"")=(B329&amp;"")),--('ERP Snapshot'!$Q$2:$Q$101=E329),--('ERP Snapshot'!$R$2:$R$101=F329))&lt;&gt;1,SUMPRODUCT(--('Commercial Catalogs'!$A$2:$A$10=E329),--('Commercial Catalogs'!$B$2:$B$10=F329),--('Commercial Catalogs'!$C$2:$C$10="YES"),--('Commercial Catalogs'!$D$2:$D$10="IN SCOPE"))=0,AND(E329="Strategic Services",F329&lt;&gt;"N/A"),AND(E329="Brands",F329="N/A")),"PROJECT CLASSIFICATION MISMATCH",IF(AND(G329="MXN",NOT(AND(ISNUMBER(I329),Settings!$B$8="APPROVED",Settings!$B$9&lt;&gt;"",Settings!$B$10&lt;&gt;""))),"FX HOLD","VALID"))))))))))))))))))</x:f>
      </x:c>
      <x:c r="M329" s="57" t="str">
        <x:f>IF(ISNUMBER(C329),IF(AND(ISNUMBER(C329),C329&gt;=2,C329&lt;=2958465,C329=INT(C329)),YEAR(C329)&amp;"-"&amp;IF(MONTH(C329)&lt;10,"0","")&amp;MONTH(C329),""),"")</x:f>
      </x:c>
      <x:c r="N329" s="59" t="str">
        <x:f>IF(L329="VALID",IF(G329="USD",H329,I329),"")</x:f>
      </x:c>
      <x:c r="O329" s="57" t="n">
        <x:f>IF(L329="VALID",IF(COUNTIFS($B$2:B329,B329,$M$2:M329,M329,$L$2:L329,"VALID")=1,1,0),0)</x:f>
        <x:v>0</x:v>
      </x:c>
    </x:row>
    <x:row r="330">
      <x:c r="A330" s="47"/>
      <x:c r="B330" s="47"/>
      <x:c r="C330" s="69"/>
      <x:c r="D330" s="47"/>
      <x:c r="E330" s="47"/>
      <x:c r="F330" s="47"/>
      <x:c r="G330" s="47"/>
      <x:c r="H330" s="48"/>
      <x:c r="I330" s="48"/>
      <x:c r="J330" s="47"/>
      <x:c r="K330" s="47"/>
      <x:c r="L330" s="57" t="str">
        <x:f>IF(COUNTA(A330:K330)=0,"",IF(K330="CANCELLED","CANCELLED",IF(A330="","INVOICE ID REQUIRED",IF(B330="","PROJECT ID REQUIRED",IF(NOT(ISNUMBER(C330)),"INVALID INVOICE DATE",IF(NOT(AND(ISNUMBER(C330),C330&gt;=2,C330&lt;=2958465,C330=INT(C330))),"INVALID INVOICE DATE",IF(NOT(OR(D330="MX",D330="US")),"ENTITY REQUIRED",IF(NOT(OR(E330="Strategic Services",E330="Brands")),"UNIT REQUIRED",IF(F330="","BRAND / N/A REQUIRED",IF(NOT(OR(G330="USD",G330="MXN")),"CURRENCY REQUIRED",IF(NOT(ISNUMBER(H330)),"AMOUNT REQUIRED",IF(J330="","ERP SOURCE REQUIRED",IF(NOT(OR(K330="ISSUED",K330="CANCELLED")),"INVOICE STATUS REQUIRED",IF(COUNTIFS($A$2:$A$501,A330,$B$2:$B$501,B330,$D$2:$D$501,D330)&gt;1,"DUPLICATE INVOICE / PROJECT",IF(SUMPRODUCT(--(('ERP Snapshot'!$A$2:$A$101&amp;"")=(B330&amp;"")))=0,"PROJECT NOT FOUND",IF(SUMPRODUCT(--(('ERP Snapshot'!$A$2:$A$101&amp;"")=(B330&amp;"")))&gt;1,"DUPLICATE PROJECT ID",IF(OR(SUMPRODUCT(--(('ERP Snapshot'!$A$2:$A$101&amp;"")=(B330&amp;"")),--('ERP Snapshot'!$Q$2:$Q$101=E330),--('ERP Snapshot'!$R$2:$R$101=F330))&lt;&gt;1,SUMPRODUCT(--('Commercial Catalogs'!$A$2:$A$10=E330),--('Commercial Catalogs'!$B$2:$B$10=F330),--('Commercial Catalogs'!$C$2:$C$10="YES"),--('Commercial Catalogs'!$D$2:$D$10="IN SCOPE"))=0,AND(E330="Strategic Services",F330&lt;&gt;"N/A"),AND(E330="Brands",F330="N/A")),"PROJECT CLASSIFICATION MISMATCH",IF(AND(G330="MXN",NOT(AND(ISNUMBER(I330),Settings!$B$8="APPROVED",Settings!$B$9&lt;&gt;"",Settings!$B$10&lt;&gt;""))),"FX HOLD","VALID"))))))))))))))))))</x:f>
      </x:c>
      <x:c r="M330" s="57" t="str">
        <x:f>IF(ISNUMBER(C330),IF(AND(ISNUMBER(C330),C330&gt;=2,C330&lt;=2958465,C330=INT(C330)),YEAR(C330)&amp;"-"&amp;IF(MONTH(C330)&lt;10,"0","")&amp;MONTH(C330),""),"")</x:f>
      </x:c>
      <x:c r="N330" s="59" t="str">
        <x:f>IF(L330="VALID",IF(G330="USD",H330,I330),"")</x:f>
      </x:c>
      <x:c r="O330" s="57" t="n">
        <x:f>IF(L330="VALID",IF(COUNTIFS($B$2:B330,B330,$M$2:M330,M330,$L$2:L330,"VALID")=1,1,0),0)</x:f>
        <x:v>0</x:v>
      </x:c>
    </x:row>
    <x:row r="331">
      <x:c r="A331" s="47"/>
      <x:c r="B331" s="47"/>
      <x:c r="C331" s="69"/>
      <x:c r="D331" s="47"/>
      <x:c r="E331" s="47"/>
      <x:c r="F331" s="47"/>
      <x:c r="G331" s="47"/>
      <x:c r="H331" s="48"/>
      <x:c r="I331" s="48"/>
      <x:c r="J331" s="47"/>
      <x:c r="K331" s="47"/>
      <x:c r="L331" s="57" t="str">
        <x:f>IF(COUNTA(A331:K331)=0,"",IF(K331="CANCELLED","CANCELLED",IF(A331="","INVOICE ID REQUIRED",IF(B331="","PROJECT ID REQUIRED",IF(NOT(ISNUMBER(C331)),"INVALID INVOICE DATE",IF(NOT(AND(ISNUMBER(C331),C331&gt;=2,C331&lt;=2958465,C331=INT(C331))),"INVALID INVOICE DATE",IF(NOT(OR(D331="MX",D331="US")),"ENTITY REQUIRED",IF(NOT(OR(E331="Strategic Services",E331="Brands")),"UNIT REQUIRED",IF(F331="","BRAND / N/A REQUIRED",IF(NOT(OR(G331="USD",G331="MXN")),"CURRENCY REQUIRED",IF(NOT(ISNUMBER(H331)),"AMOUNT REQUIRED",IF(J331="","ERP SOURCE REQUIRED",IF(NOT(OR(K331="ISSUED",K331="CANCELLED")),"INVOICE STATUS REQUIRED",IF(COUNTIFS($A$2:$A$501,A331,$B$2:$B$501,B331,$D$2:$D$501,D331)&gt;1,"DUPLICATE INVOICE / PROJECT",IF(SUMPRODUCT(--(('ERP Snapshot'!$A$2:$A$101&amp;"")=(B331&amp;"")))=0,"PROJECT NOT FOUND",IF(SUMPRODUCT(--(('ERP Snapshot'!$A$2:$A$101&amp;"")=(B331&amp;"")))&gt;1,"DUPLICATE PROJECT ID",IF(OR(SUMPRODUCT(--(('ERP Snapshot'!$A$2:$A$101&amp;"")=(B331&amp;"")),--('ERP Snapshot'!$Q$2:$Q$101=E331),--('ERP Snapshot'!$R$2:$R$101=F331))&lt;&gt;1,SUMPRODUCT(--('Commercial Catalogs'!$A$2:$A$10=E331),--('Commercial Catalogs'!$B$2:$B$10=F331),--('Commercial Catalogs'!$C$2:$C$10="YES"),--('Commercial Catalogs'!$D$2:$D$10="IN SCOPE"))=0,AND(E331="Strategic Services",F331&lt;&gt;"N/A"),AND(E331="Brands",F331="N/A")),"PROJECT CLASSIFICATION MISMATCH",IF(AND(G331="MXN",NOT(AND(ISNUMBER(I331),Settings!$B$8="APPROVED",Settings!$B$9&lt;&gt;"",Settings!$B$10&lt;&gt;""))),"FX HOLD","VALID"))))))))))))))))))</x:f>
      </x:c>
      <x:c r="M331" s="57" t="str">
        <x:f>IF(ISNUMBER(C331),IF(AND(ISNUMBER(C331),C331&gt;=2,C331&lt;=2958465,C331=INT(C331)),YEAR(C331)&amp;"-"&amp;IF(MONTH(C331)&lt;10,"0","")&amp;MONTH(C331),""),"")</x:f>
      </x:c>
      <x:c r="N331" s="59" t="str">
        <x:f>IF(L331="VALID",IF(G331="USD",H331,I331),"")</x:f>
      </x:c>
      <x:c r="O331" s="57" t="n">
        <x:f>IF(L331="VALID",IF(COUNTIFS($B$2:B331,B331,$M$2:M331,M331,$L$2:L331,"VALID")=1,1,0),0)</x:f>
        <x:v>0</x:v>
      </x:c>
    </x:row>
    <x:row r="332">
      <x:c r="A332" s="47"/>
      <x:c r="B332" s="47"/>
      <x:c r="C332" s="69"/>
      <x:c r="D332" s="47"/>
      <x:c r="E332" s="47"/>
      <x:c r="F332" s="47"/>
      <x:c r="G332" s="47"/>
      <x:c r="H332" s="48"/>
      <x:c r="I332" s="48"/>
      <x:c r="J332" s="47"/>
      <x:c r="K332" s="47"/>
      <x:c r="L332" s="57" t="str">
        <x:f>IF(COUNTA(A332:K332)=0,"",IF(K332="CANCELLED","CANCELLED",IF(A332="","INVOICE ID REQUIRED",IF(B332="","PROJECT ID REQUIRED",IF(NOT(ISNUMBER(C332)),"INVALID INVOICE DATE",IF(NOT(AND(ISNUMBER(C332),C332&gt;=2,C332&lt;=2958465,C332=INT(C332))),"INVALID INVOICE DATE",IF(NOT(OR(D332="MX",D332="US")),"ENTITY REQUIRED",IF(NOT(OR(E332="Strategic Services",E332="Brands")),"UNIT REQUIRED",IF(F332="","BRAND / N/A REQUIRED",IF(NOT(OR(G332="USD",G332="MXN")),"CURRENCY REQUIRED",IF(NOT(ISNUMBER(H332)),"AMOUNT REQUIRED",IF(J332="","ERP SOURCE REQUIRED",IF(NOT(OR(K332="ISSUED",K332="CANCELLED")),"INVOICE STATUS REQUIRED",IF(COUNTIFS($A$2:$A$501,A332,$B$2:$B$501,B332,$D$2:$D$501,D332)&gt;1,"DUPLICATE INVOICE / PROJECT",IF(SUMPRODUCT(--(('ERP Snapshot'!$A$2:$A$101&amp;"")=(B332&amp;"")))=0,"PROJECT NOT FOUND",IF(SUMPRODUCT(--(('ERP Snapshot'!$A$2:$A$101&amp;"")=(B332&amp;"")))&gt;1,"DUPLICATE PROJECT ID",IF(OR(SUMPRODUCT(--(('ERP Snapshot'!$A$2:$A$101&amp;"")=(B332&amp;"")),--('ERP Snapshot'!$Q$2:$Q$101=E332),--('ERP Snapshot'!$R$2:$R$101=F332))&lt;&gt;1,SUMPRODUCT(--('Commercial Catalogs'!$A$2:$A$10=E332),--('Commercial Catalogs'!$B$2:$B$10=F332),--('Commercial Catalogs'!$C$2:$C$10="YES"),--('Commercial Catalogs'!$D$2:$D$10="IN SCOPE"))=0,AND(E332="Strategic Services",F332&lt;&gt;"N/A"),AND(E332="Brands",F332="N/A")),"PROJECT CLASSIFICATION MISMATCH",IF(AND(G332="MXN",NOT(AND(ISNUMBER(I332),Settings!$B$8="APPROVED",Settings!$B$9&lt;&gt;"",Settings!$B$10&lt;&gt;""))),"FX HOLD","VALID"))))))))))))))))))</x:f>
      </x:c>
      <x:c r="M332" s="57" t="str">
        <x:f>IF(ISNUMBER(C332),IF(AND(ISNUMBER(C332),C332&gt;=2,C332&lt;=2958465,C332=INT(C332)),YEAR(C332)&amp;"-"&amp;IF(MONTH(C332)&lt;10,"0","")&amp;MONTH(C332),""),"")</x:f>
      </x:c>
      <x:c r="N332" s="59" t="str">
        <x:f>IF(L332="VALID",IF(G332="USD",H332,I332),"")</x:f>
      </x:c>
      <x:c r="O332" s="57" t="n">
        <x:f>IF(L332="VALID",IF(COUNTIFS($B$2:B332,B332,$M$2:M332,M332,$L$2:L332,"VALID")=1,1,0),0)</x:f>
        <x:v>0</x:v>
      </x:c>
    </x:row>
    <x:row r="333">
      <x:c r="A333" s="47"/>
      <x:c r="B333" s="47"/>
      <x:c r="C333" s="69"/>
      <x:c r="D333" s="47"/>
      <x:c r="E333" s="47"/>
      <x:c r="F333" s="47"/>
      <x:c r="G333" s="47"/>
      <x:c r="H333" s="48"/>
      <x:c r="I333" s="48"/>
      <x:c r="J333" s="47"/>
      <x:c r="K333" s="47"/>
      <x:c r="L333" s="57" t="str">
        <x:f>IF(COUNTA(A333:K333)=0,"",IF(K333="CANCELLED","CANCELLED",IF(A333="","INVOICE ID REQUIRED",IF(B333="","PROJECT ID REQUIRED",IF(NOT(ISNUMBER(C333)),"INVALID INVOICE DATE",IF(NOT(AND(ISNUMBER(C333),C333&gt;=2,C333&lt;=2958465,C333=INT(C333))),"INVALID INVOICE DATE",IF(NOT(OR(D333="MX",D333="US")),"ENTITY REQUIRED",IF(NOT(OR(E333="Strategic Services",E333="Brands")),"UNIT REQUIRED",IF(F333="","BRAND / N/A REQUIRED",IF(NOT(OR(G333="USD",G333="MXN")),"CURRENCY REQUIRED",IF(NOT(ISNUMBER(H333)),"AMOUNT REQUIRED",IF(J333="","ERP SOURCE REQUIRED",IF(NOT(OR(K333="ISSUED",K333="CANCELLED")),"INVOICE STATUS REQUIRED",IF(COUNTIFS($A$2:$A$501,A333,$B$2:$B$501,B333,$D$2:$D$501,D333)&gt;1,"DUPLICATE INVOICE / PROJECT",IF(SUMPRODUCT(--(('ERP Snapshot'!$A$2:$A$101&amp;"")=(B333&amp;"")))=0,"PROJECT NOT FOUND",IF(SUMPRODUCT(--(('ERP Snapshot'!$A$2:$A$101&amp;"")=(B333&amp;"")))&gt;1,"DUPLICATE PROJECT ID",IF(OR(SUMPRODUCT(--(('ERP Snapshot'!$A$2:$A$101&amp;"")=(B333&amp;"")),--('ERP Snapshot'!$Q$2:$Q$101=E333),--('ERP Snapshot'!$R$2:$R$101=F333))&lt;&gt;1,SUMPRODUCT(--('Commercial Catalogs'!$A$2:$A$10=E333),--('Commercial Catalogs'!$B$2:$B$10=F333),--('Commercial Catalogs'!$C$2:$C$10="YES"),--('Commercial Catalogs'!$D$2:$D$10="IN SCOPE"))=0,AND(E333="Strategic Services",F333&lt;&gt;"N/A"),AND(E333="Brands",F333="N/A")),"PROJECT CLASSIFICATION MISMATCH",IF(AND(G333="MXN",NOT(AND(ISNUMBER(I333),Settings!$B$8="APPROVED",Settings!$B$9&lt;&gt;"",Settings!$B$10&lt;&gt;""))),"FX HOLD","VALID"))))))))))))))))))</x:f>
      </x:c>
      <x:c r="M333" s="57" t="str">
        <x:f>IF(ISNUMBER(C333),IF(AND(ISNUMBER(C333),C333&gt;=2,C333&lt;=2958465,C333=INT(C333)),YEAR(C333)&amp;"-"&amp;IF(MONTH(C333)&lt;10,"0","")&amp;MONTH(C333),""),"")</x:f>
      </x:c>
      <x:c r="N333" s="59" t="str">
        <x:f>IF(L333="VALID",IF(G333="USD",H333,I333),"")</x:f>
      </x:c>
      <x:c r="O333" s="57" t="n">
        <x:f>IF(L333="VALID",IF(COUNTIFS($B$2:B333,B333,$M$2:M333,M333,$L$2:L333,"VALID")=1,1,0),0)</x:f>
        <x:v>0</x:v>
      </x:c>
    </x:row>
    <x:row r="334">
      <x:c r="A334" s="47"/>
      <x:c r="B334" s="47"/>
      <x:c r="C334" s="69"/>
      <x:c r="D334" s="47"/>
      <x:c r="E334" s="47"/>
      <x:c r="F334" s="47"/>
      <x:c r="G334" s="47"/>
      <x:c r="H334" s="48"/>
      <x:c r="I334" s="48"/>
      <x:c r="J334" s="47"/>
      <x:c r="K334" s="47"/>
      <x:c r="L334" s="57" t="str">
        <x:f>IF(COUNTA(A334:K334)=0,"",IF(K334="CANCELLED","CANCELLED",IF(A334="","INVOICE ID REQUIRED",IF(B334="","PROJECT ID REQUIRED",IF(NOT(ISNUMBER(C334)),"INVALID INVOICE DATE",IF(NOT(AND(ISNUMBER(C334),C334&gt;=2,C334&lt;=2958465,C334=INT(C334))),"INVALID INVOICE DATE",IF(NOT(OR(D334="MX",D334="US")),"ENTITY REQUIRED",IF(NOT(OR(E334="Strategic Services",E334="Brands")),"UNIT REQUIRED",IF(F334="","BRAND / N/A REQUIRED",IF(NOT(OR(G334="USD",G334="MXN")),"CURRENCY REQUIRED",IF(NOT(ISNUMBER(H334)),"AMOUNT REQUIRED",IF(J334="","ERP SOURCE REQUIRED",IF(NOT(OR(K334="ISSUED",K334="CANCELLED")),"INVOICE STATUS REQUIRED",IF(COUNTIFS($A$2:$A$501,A334,$B$2:$B$501,B334,$D$2:$D$501,D334)&gt;1,"DUPLICATE INVOICE / PROJECT",IF(SUMPRODUCT(--(('ERP Snapshot'!$A$2:$A$101&amp;"")=(B334&amp;"")))=0,"PROJECT NOT FOUND",IF(SUMPRODUCT(--(('ERP Snapshot'!$A$2:$A$101&amp;"")=(B334&amp;"")))&gt;1,"DUPLICATE PROJECT ID",IF(OR(SUMPRODUCT(--(('ERP Snapshot'!$A$2:$A$101&amp;"")=(B334&amp;"")),--('ERP Snapshot'!$Q$2:$Q$101=E334),--('ERP Snapshot'!$R$2:$R$101=F334))&lt;&gt;1,SUMPRODUCT(--('Commercial Catalogs'!$A$2:$A$10=E334),--('Commercial Catalogs'!$B$2:$B$10=F334),--('Commercial Catalogs'!$C$2:$C$10="YES"),--('Commercial Catalogs'!$D$2:$D$10="IN SCOPE"))=0,AND(E334="Strategic Services",F334&lt;&gt;"N/A"),AND(E334="Brands",F334="N/A")),"PROJECT CLASSIFICATION MISMATCH",IF(AND(G334="MXN",NOT(AND(ISNUMBER(I334),Settings!$B$8="APPROVED",Settings!$B$9&lt;&gt;"",Settings!$B$10&lt;&gt;""))),"FX HOLD","VALID"))))))))))))))))))</x:f>
      </x:c>
      <x:c r="M334" s="57" t="str">
        <x:f>IF(ISNUMBER(C334),IF(AND(ISNUMBER(C334),C334&gt;=2,C334&lt;=2958465,C334=INT(C334)),YEAR(C334)&amp;"-"&amp;IF(MONTH(C334)&lt;10,"0","")&amp;MONTH(C334),""),"")</x:f>
      </x:c>
      <x:c r="N334" s="59" t="str">
        <x:f>IF(L334="VALID",IF(G334="USD",H334,I334),"")</x:f>
      </x:c>
      <x:c r="O334" s="57" t="n">
        <x:f>IF(L334="VALID",IF(COUNTIFS($B$2:B334,B334,$M$2:M334,M334,$L$2:L334,"VALID")=1,1,0),0)</x:f>
        <x:v>0</x:v>
      </x:c>
    </x:row>
    <x:row r="335">
      <x:c r="A335" s="47"/>
      <x:c r="B335" s="47"/>
      <x:c r="C335" s="69"/>
      <x:c r="D335" s="47"/>
      <x:c r="E335" s="47"/>
      <x:c r="F335" s="47"/>
      <x:c r="G335" s="47"/>
      <x:c r="H335" s="48"/>
      <x:c r="I335" s="48"/>
      <x:c r="J335" s="47"/>
      <x:c r="K335" s="47"/>
      <x:c r="L335" s="57" t="str">
        <x:f>IF(COUNTA(A335:K335)=0,"",IF(K335="CANCELLED","CANCELLED",IF(A335="","INVOICE ID REQUIRED",IF(B335="","PROJECT ID REQUIRED",IF(NOT(ISNUMBER(C335)),"INVALID INVOICE DATE",IF(NOT(AND(ISNUMBER(C335),C335&gt;=2,C335&lt;=2958465,C335=INT(C335))),"INVALID INVOICE DATE",IF(NOT(OR(D335="MX",D335="US")),"ENTITY REQUIRED",IF(NOT(OR(E335="Strategic Services",E335="Brands")),"UNIT REQUIRED",IF(F335="","BRAND / N/A REQUIRED",IF(NOT(OR(G335="USD",G335="MXN")),"CURRENCY REQUIRED",IF(NOT(ISNUMBER(H335)),"AMOUNT REQUIRED",IF(J335="","ERP SOURCE REQUIRED",IF(NOT(OR(K335="ISSUED",K335="CANCELLED")),"INVOICE STATUS REQUIRED",IF(COUNTIFS($A$2:$A$501,A335,$B$2:$B$501,B335,$D$2:$D$501,D335)&gt;1,"DUPLICATE INVOICE / PROJECT",IF(SUMPRODUCT(--(('ERP Snapshot'!$A$2:$A$101&amp;"")=(B335&amp;"")))=0,"PROJECT NOT FOUND",IF(SUMPRODUCT(--(('ERP Snapshot'!$A$2:$A$101&amp;"")=(B335&amp;"")))&gt;1,"DUPLICATE PROJECT ID",IF(OR(SUMPRODUCT(--(('ERP Snapshot'!$A$2:$A$101&amp;"")=(B335&amp;"")),--('ERP Snapshot'!$Q$2:$Q$101=E335),--('ERP Snapshot'!$R$2:$R$101=F335))&lt;&gt;1,SUMPRODUCT(--('Commercial Catalogs'!$A$2:$A$10=E335),--('Commercial Catalogs'!$B$2:$B$10=F335),--('Commercial Catalogs'!$C$2:$C$10="YES"),--('Commercial Catalogs'!$D$2:$D$10="IN SCOPE"))=0,AND(E335="Strategic Services",F335&lt;&gt;"N/A"),AND(E335="Brands",F335="N/A")),"PROJECT CLASSIFICATION MISMATCH",IF(AND(G335="MXN",NOT(AND(ISNUMBER(I335),Settings!$B$8="APPROVED",Settings!$B$9&lt;&gt;"",Settings!$B$10&lt;&gt;""))),"FX HOLD","VALID"))))))))))))))))))</x:f>
      </x:c>
      <x:c r="M335" s="57" t="str">
        <x:f>IF(ISNUMBER(C335),IF(AND(ISNUMBER(C335),C335&gt;=2,C335&lt;=2958465,C335=INT(C335)),YEAR(C335)&amp;"-"&amp;IF(MONTH(C335)&lt;10,"0","")&amp;MONTH(C335),""),"")</x:f>
      </x:c>
      <x:c r="N335" s="59" t="str">
        <x:f>IF(L335="VALID",IF(G335="USD",H335,I335),"")</x:f>
      </x:c>
      <x:c r="O335" s="57" t="n">
        <x:f>IF(L335="VALID",IF(COUNTIFS($B$2:B335,B335,$M$2:M335,M335,$L$2:L335,"VALID")=1,1,0),0)</x:f>
        <x:v>0</x:v>
      </x:c>
    </x:row>
    <x:row r="336">
      <x:c r="A336" s="47"/>
      <x:c r="B336" s="47"/>
      <x:c r="C336" s="69"/>
      <x:c r="D336" s="47"/>
      <x:c r="E336" s="47"/>
      <x:c r="F336" s="47"/>
      <x:c r="G336" s="47"/>
      <x:c r="H336" s="48"/>
      <x:c r="I336" s="48"/>
      <x:c r="J336" s="47"/>
      <x:c r="K336" s="47"/>
      <x:c r="L336" s="57" t="str">
        <x:f>IF(COUNTA(A336:K336)=0,"",IF(K336="CANCELLED","CANCELLED",IF(A336="","INVOICE ID REQUIRED",IF(B336="","PROJECT ID REQUIRED",IF(NOT(ISNUMBER(C336)),"INVALID INVOICE DATE",IF(NOT(AND(ISNUMBER(C336),C336&gt;=2,C336&lt;=2958465,C336=INT(C336))),"INVALID INVOICE DATE",IF(NOT(OR(D336="MX",D336="US")),"ENTITY REQUIRED",IF(NOT(OR(E336="Strategic Services",E336="Brands")),"UNIT REQUIRED",IF(F336="","BRAND / N/A REQUIRED",IF(NOT(OR(G336="USD",G336="MXN")),"CURRENCY REQUIRED",IF(NOT(ISNUMBER(H336)),"AMOUNT REQUIRED",IF(J336="","ERP SOURCE REQUIRED",IF(NOT(OR(K336="ISSUED",K336="CANCELLED")),"INVOICE STATUS REQUIRED",IF(COUNTIFS($A$2:$A$501,A336,$B$2:$B$501,B336,$D$2:$D$501,D336)&gt;1,"DUPLICATE INVOICE / PROJECT",IF(SUMPRODUCT(--(('ERP Snapshot'!$A$2:$A$101&amp;"")=(B336&amp;"")))=0,"PROJECT NOT FOUND",IF(SUMPRODUCT(--(('ERP Snapshot'!$A$2:$A$101&amp;"")=(B336&amp;"")))&gt;1,"DUPLICATE PROJECT ID",IF(OR(SUMPRODUCT(--(('ERP Snapshot'!$A$2:$A$101&amp;"")=(B336&amp;"")),--('ERP Snapshot'!$Q$2:$Q$101=E336),--('ERP Snapshot'!$R$2:$R$101=F336))&lt;&gt;1,SUMPRODUCT(--('Commercial Catalogs'!$A$2:$A$10=E336),--('Commercial Catalogs'!$B$2:$B$10=F336),--('Commercial Catalogs'!$C$2:$C$10="YES"),--('Commercial Catalogs'!$D$2:$D$10="IN SCOPE"))=0,AND(E336="Strategic Services",F336&lt;&gt;"N/A"),AND(E336="Brands",F336="N/A")),"PROJECT CLASSIFICATION MISMATCH",IF(AND(G336="MXN",NOT(AND(ISNUMBER(I336),Settings!$B$8="APPROVED",Settings!$B$9&lt;&gt;"",Settings!$B$10&lt;&gt;""))),"FX HOLD","VALID"))))))))))))))))))</x:f>
      </x:c>
      <x:c r="M336" s="57" t="str">
        <x:f>IF(ISNUMBER(C336),IF(AND(ISNUMBER(C336),C336&gt;=2,C336&lt;=2958465,C336=INT(C336)),YEAR(C336)&amp;"-"&amp;IF(MONTH(C336)&lt;10,"0","")&amp;MONTH(C336),""),"")</x:f>
      </x:c>
      <x:c r="N336" s="59" t="str">
        <x:f>IF(L336="VALID",IF(G336="USD",H336,I336),"")</x:f>
      </x:c>
      <x:c r="O336" s="57" t="n">
        <x:f>IF(L336="VALID",IF(COUNTIFS($B$2:B336,B336,$M$2:M336,M336,$L$2:L336,"VALID")=1,1,0),0)</x:f>
        <x:v>0</x:v>
      </x:c>
    </x:row>
    <x:row r="337">
      <x:c r="A337" s="47"/>
      <x:c r="B337" s="47"/>
      <x:c r="C337" s="69"/>
      <x:c r="D337" s="47"/>
      <x:c r="E337" s="47"/>
      <x:c r="F337" s="47"/>
      <x:c r="G337" s="47"/>
      <x:c r="H337" s="48"/>
      <x:c r="I337" s="48"/>
      <x:c r="J337" s="47"/>
      <x:c r="K337" s="47"/>
      <x:c r="L337" s="57" t="str">
        <x:f>IF(COUNTA(A337:K337)=0,"",IF(K337="CANCELLED","CANCELLED",IF(A337="","INVOICE ID REQUIRED",IF(B337="","PROJECT ID REQUIRED",IF(NOT(ISNUMBER(C337)),"INVALID INVOICE DATE",IF(NOT(AND(ISNUMBER(C337),C337&gt;=2,C337&lt;=2958465,C337=INT(C337))),"INVALID INVOICE DATE",IF(NOT(OR(D337="MX",D337="US")),"ENTITY REQUIRED",IF(NOT(OR(E337="Strategic Services",E337="Brands")),"UNIT REQUIRED",IF(F337="","BRAND / N/A REQUIRED",IF(NOT(OR(G337="USD",G337="MXN")),"CURRENCY REQUIRED",IF(NOT(ISNUMBER(H337)),"AMOUNT REQUIRED",IF(J337="","ERP SOURCE REQUIRED",IF(NOT(OR(K337="ISSUED",K337="CANCELLED")),"INVOICE STATUS REQUIRED",IF(COUNTIFS($A$2:$A$501,A337,$B$2:$B$501,B337,$D$2:$D$501,D337)&gt;1,"DUPLICATE INVOICE / PROJECT",IF(SUMPRODUCT(--(('ERP Snapshot'!$A$2:$A$101&amp;"")=(B337&amp;"")))=0,"PROJECT NOT FOUND",IF(SUMPRODUCT(--(('ERP Snapshot'!$A$2:$A$101&amp;"")=(B337&amp;"")))&gt;1,"DUPLICATE PROJECT ID",IF(OR(SUMPRODUCT(--(('ERP Snapshot'!$A$2:$A$101&amp;"")=(B337&amp;"")),--('ERP Snapshot'!$Q$2:$Q$101=E337),--('ERP Snapshot'!$R$2:$R$101=F337))&lt;&gt;1,SUMPRODUCT(--('Commercial Catalogs'!$A$2:$A$10=E337),--('Commercial Catalogs'!$B$2:$B$10=F337),--('Commercial Catalogs'!$C$2:$C$10="YES"),--('Commercial Catalogs'!$D$2:$D$10="IN SCOPE"))=0,AND(E337="Strategic Services",F337&lt;&gt;"N/A"),AND(E337="Brands",F337="N/A")),"PROJECT CLASSIFICATION MISMATCH",IF(AND(G337="MXN",NOT(AND(ISNUMBER(I337),Settings!$B$8="APPROVED",Settings!$B$9&lt;&gt;"",Settings!$B$10&lt;&gt;""))),"FX HOLD","VALID"))))))))))))))))))</x:f>
      </x:c>
      <x:c r="M337" s="57" t="str">
        <x:f>IF(ISNUMBER(C337),IF(AND(ISNUMBER(C337),C337&gt;=2,C337&lt;=2958465,C337=INT(C337)),YEAR(C337)&amp;"-"&amp;IF(MONTH(C337)&lt;10,"0","")&amp;MONTH(C337),""),"")</x:f>
      </x:c>
      <x:c r="N337" s="59" t="str">
        <x:f>IF(L337="VALID",IF(G337="USD",H337,I337),"")</x:f>
      </x:c>
      <x:c r="O337" s="57" t="n">
        <x:f>IF(L337="VALID",IF(COUNTIFS($B$2:B337,B337,$M$2:M337,M337,$L$2:L337,"VALID")=1,1,0),0)</x:f>
        <x:v>0</x:v>
      </x:c>
    </x:row>
    <x:row r="338">
      <x:c r="A338" s="47"/>
      <x:c r="B338" s="47"/>
      <x:c r="C338" s="69"/>
      <x:c r="D338" s="47"/>
      <x:c r="E338" s="47"/>
      <x:c r="F338" s="47"/>
      <x:c r="G338" s="47"/>
      <x:c r="H338" s="48"/>
      <x:c r="I338" s="48"/>
      <x:c r="J338" s="47"/>
      <x:c r="K338" s="47"/>
      <x:c r="L338" s="57" t="str">
        <x:f>IF(COUNTA(A338:K338)=0,"",IF(K338="CANCELLED","CANCELLED",IF(A338="","INVOICE ID REQUIRED",IF(B338="","PROJECT ID REQUIRED",IF(NOT(ISNUMBER(C338)),"INVALID INVOICE DATE",IF(NOT(AND(ISNUMBER(C338),C338&gt;=2,C338&lt;=2958465,C338=INT(C338))),"INVALID INVOICE DATE",IF(NOT(OR(D338="MX",D338="US")),"ENTITY REQUIRED",IF(NOT(OR(E338="Strategic Services",E338="Brands")),"UNIT REQUIRED",IF(F338="","BRAND / N/A REQUIRED",IF(NOT(OR(G338="USD",G338="MXN")),"CURRENCY REQUIRED",IF(NOT(ISNUMBER(H338)),"AMOUNT REQUIRED",IF(J338="","ERP SOURCE REQUIRED",IF(NOT(OR(K338="ISSUED",K338="CANCELLED")),"INVOICE STATUS REQUIRED",IF(COUNTIFS($A$2:$A$501,A338,$B$2:$B$501,B338,$D$2:$D$501,D338)&gt;1,"DUPLICATE INVOICE / PROJECT",IF(SUMPRODUCT(--(('ERP Snapshot'!$A$2:$A$101&amp;"")=(B338&amp;"")))=0,"PROJECT NOT FOUND",IF(SUMPRODUCT(--(('ERP Snapshot'!$A$2:$A$101&amp;"")=(B338&amp;"")))&gt;1,"DUPLICATE PROJECT ID",IF(OR(SUMPRODUCT(--(('ERP Snapshot'!$A$2:$A$101&amp;"")=(B338&amp;"")),--('ERP Snapshot'!$Q$2:$Q$101=E338),--('ERP Snapshot'!$R$2:$R$101=F338))&lt;&gt;1,SUMPRODUCT(--('Commercial Catalogs'!$A$2:$A$10=E338),--('Commercial Catalogs'!$B$2:$B$10=F338),--('Commercial Catalogs'!$C$2:$C$10="YES"),--('Commercial Catalogs'!$D$2:$D$10="IN SCOPE"))=0,AND(E338="Strategic Services",F338&lt;&gt;"N/A"),AND(E338="Brands",F338="N/A")),"PROJECT CLASSIFICATION MISMATCH",IF(AND(G338="MXN",NOT(AND(ISNUMBER(I338),Settings!$B$8="APPROVED",Settings!$B$9&lt;&gt;"",Settings!$B$10&lt;&gt;""))),"FX HOLD","VALID"))))))))))))))))))</x:f>
      </x:c>
      <x:c r="M338" s="57" t="str">
        <x:f>IF(ISNUMBER(C338),IF(AND(ISNUMBER(C338),C338&gt;=2,C338&lt;=2958465,C338=INT(C338)),YEAR(C338)&amp;"-"&amp;IF(MONTH(C338)&lt;10,"0","")&amp;MONTH(C338),""),"")</x:f>
      </x:c>
      <x:c r="N338" s="59" t="str">
        <x:f>IF(L338="VALID",IF(G338="USD",H338,I338),"")</x:f>
      </x:c>
      <x:c r="O338" s="57" t="n">
        <x:f>IF(L338="VALID",IF(COUNTIFS($B$2:B338,B338,$M$2:M338,M338,$L$2:L338,"VALID")=1,1,0),0)</x:f>
        <x:v>0</x:v>
      </x:c>
    </x:row>
    <x:row r="339">
      <x:c r="A339" s="47"/>
      <x:c r="B339" s="47"/>
      <x:c r="C339" s="69"/>
      <x:c r="D339" s="47"/>
      <x:c r="E339" s="47"/>
      <x:c r="F339" s="47"/>
      <x:c r="G339" s="47"/>
      <x:c r="H339" s="48"/>
      <x:c r="I339" s="48"/>
      <x:c r="J339" s="47"/>
      <x:c r="K339" s="47"/>
      <x:c r="L339" s="57" t="str">
        <x:f>IF(COUNTA(A339:K339)=0,"",IF(K339="CANCELLED","CANCELLED",IF(A339="","INVOICE ID REQUIRED",IF(B339="","PROJECT ID REQUIRED",IF(NOT(ISNUMBER(C339)),"INVALID INVOICE DATE",IF(NOT(AND(ISNUMBER(C339),C339&gt;=2,C339&lt;=2958465,C339=INT(C339))),"INVALID INVOICE DATE",IF(NOT(OR(D339="MX",D339="US")),"ENTITY REQUIRED",IF(NOT(OR(E339="Strategic Services",E339="Brands")),"UNIT REQUIRED",IF(F339="","BRAND / N/A REQUIRED",IF(NOT(OR(G339="USD",G339="MXN")),"CURRENCY REQUIRED",IF(NOT(ISNUMBER(H339)),"AMOUNT REQUIRED",IF(J339="","ERP SOURCE REQUIRED",IF(NOT(OR(K339="ISSUED",K339="CANCELLED")),"INVOICE STATUS REQUIRED",IF(COUNTIFS($A$2:$A$501,A339,$B$2:$B$501,B339,$D$2:$D$501,D339)&gt;1,"DUPLICATE INVOICE / PROJECT",IF(SUMPRODUCT(--(('ERP Snapshot'!$A$2:$A$101&amp;"")=(B339&amp;"")))=0,"PROJECT NOT FOUND",IF(SUMPRODUCT(--(('ERP Snapshot'!$A$2:$A$101&amp;"")=(B339&amp;"")))&gt;1,"DUPLICATE PROJECT ID",IF(OR(SUMPRODUCT(--(('ERP Snapshot'!$A$2:$A$101&amp;"")=(B339&amp;"")),--('ERP Snapshot'!$Q$2:$Q$101=E339),--('ERP Snapshot'!$R$2:$R$101=F339))&lt;&gt;1,SUMPRODUCT(--('Commercial Catalogs'!$A$2:$A$10=E339),--('Commercial Catalogs'!$B$2:$B$10=F339),--('Commercial Catalogs'!$C$2:$C$10="YES"),--('Commercial Catalogs'!$D$2:$D$10="IN SCOPE"))=0,AND(E339="Strategic Services",F339&lt;&gt;"N/A"),AND(E339="Brands",F339="N/A")),"PROJECT CLASSIFICATION MISMATCH",IF(AND(G339="MXN",NOT(AND(ISNUMBER(I339),Settings!$B$8="APPROVED",Settings!$B$9&lt;&gt;"",Settings!$B$10&lt;&gt;""))),"FX HOLD","VALID"))))))))))))))))))</x:f>
      </x:c>
      <x:c r="M339" s="57" t="str">
        <x:f>IF(ISNUMBER(C339),IF(AND(ISNUMBER(C339),C339&gt;=2,C339&lt;=2958465,C339=INT(C339)),YEAR(C339)&amp;"-"&amp;IF(MONTH(C339)&lt;10,"0","")&amp;MONTH(C339),""),"")</x:f>
      </x:c>
      <x:c r="N339" s="59" t="str">
        <x:f>IF(L339="VALID",IF(G339="USD",H339,I339),"")</x:f>
      </x:c>
      <x:c r="O339" s="57" t="n">
        <x:f>IF(L339="VALID",IF(COUNTIFS($B$2:B339,B339,$M$2:M339,M339,$L$2:L339,"VALID")=1,1,0),0)</x:f>
        <x:v>0</x:v>
      </x:c>
    </x:row>
    <x:row r="340">
      <x:c r="A340" s="47"/>
      <x:c r="B340" s="47"/>
      <x:c r="C340" s="69"/>
      <x:c r="D340" s="47"/>
      <x:c r="E340" s="47"/>
      <x:c r="F340" s="47"/>
      <x:c r="G340" s="47"/>
      <x:c r="H340" s="48"/>
      <x:c r="I340" s="48"/>
      <x:c r="J340" s="47"/>
      <x:c r="K340" s="47"/>
      <x:c r="L340" s="57" t="str">
        <x:f>IF(COUNTA(A340:K340)=0,"",IF(K340="CANCELLED","CANCELLED",IF(A340="","INVOICE ID REQUIRED",IF(B340="","PROJECT ID REQUIRED",IF(NOT(ISNUMBER(C340)),"INVALID INVOICE DATE",IF(NOT(AND(ISNUMBER(C340),C340&gt;=2,C340&lt;=2958465,C340=INT(C340))),"INVALID INVOICE DATE",IF(NOT(OR(D340="MX",D340="US")),"ENTITY REQUIRED",IF(NOT(OR(E340="Strategic Services",E340="Brands")),"UNIT REQUIRED",IF(F340="","BRAND / N/A REQUIRED",IF(NOT(OR(G340="USD",G340="MXN")),"CURRENCY REQUIRED",IF(NOT(ISNUMBER(H340)),"AMOUNT REQUIRED",IF(J340="","ERP SOURCE REQUIRED",IF(NOT(OR(K340="ISSUED",K340="CANCELLED")),"INVOICE STATUS REQUIRED",IF(COUNTIFS($A$2:$A$501,A340,$B$2:$B$501,B340,$D$2:$D$501,D340)&gt;1,"DUPLICATE INVOICE / PROJECT",IF(SUMPRODUCT(--(('ERP Snapshot'!$A$2:$A$101&amp;"")=(B340&amp;"")))=0,"PROJECT NOT FOUND",IF(SUMPRODUCT(--(('ERP Snapshot'!$A$2:$A$101&amp;"")=(B340&amp;"")))&gt;1,"DUPLICATE PROJECT ID",IF(OR(SUMPRODUCT(--(('ERP Snapshot'!$A$2:$A$101&amp;"")=(B340&amp;"")),--('ERP Snapshot'!$Q$2:$Q$101=E340),--('ERP Snapshot'!$R$2:$R$101=F340))&lt;&gt;1,SUMPRODUCT(--('Commercial Catalogs'!$A$2:$A$10=E340),--('Commercial Catalogs'!$B$2:$B$10=F340),--('Commercial Catalogs'!$C$2:$C$10="YES"),--('Commercial Catalogs'!$D$2:$D$10="IN SCOPE"))=0,AND(E340="Strategic Services",F340&lt;&gt;"N/A"),AND(E340="Brands",F340="N/A")),"PROJECT CLASSIFICATION MISMATCH",IF(AND(G340="MXN",NOT(AND(ISNUMBER(I340),Settings!$B$8="APPROVED",Settings!$B$9&lt;&gt;"",Settings!$B$10&lt;&gt;""))),"FX HOLD","VALID"))))))))))))))))))</x:f>
      </x:c>
      <x:c r="M340" s="57" t="str">
        <x:f>IF(ISNUMBER(C340),IF(AND(ISNUMBER(C340),C340&gt;=2,C340&lt;=2958465,C340=INT(C340)),YEAR(C340)&amp;"-"&amp;IF(MONTH(C340)&lt;10,"0","")&amp;MONTH(C340),""),"")</x:f>
      </x:c>
      <x:c r="N340" s="59" t="str">
        <x:f>IF(L340="VALID",IF(G340="USD",H340,I340),"")</x:f>
      </x:c>
      <x:c r="O340" s="57" t="n">
        <x:f>IF(L340="VALID",IF(COUNTIFS($B$2:B340,B340,$M$2:M340,M340,$L$2:L340,"VALID")=1,1,0),0)</x:f>
        <x:v>0</x:v>
      </x:c>
    </x:row>
    <x:row r="341">
      <x:c r="A341" s="47"/>
      <x:c r="B341" s="47"/>
      <x:c r="C341" s="69"/>
      <x:c r="D341" s="47"/>
      <x:c r="E341" s="47"/>
      <x:c r="F341" s="47"/>
      <x:c r="G341" s="47"/>
      <x:c r="H341" s="48"/>
      <x:c r="I341" s="48"/>
      <x:c r="J341" s="47"/>
      <x:c r="K341" s="47"/>
      <x:c r="L341" s="57" t="str">
        <x:f>IF(COUNTA(A341:K341)=0,"",IF(K341="CANCELLED","CANCELLED",IF(A341="","INVOICE ID REQUIRED",IF(B341="","PROJECT ID REQUIRED",IF(NOT(ISNUMBER(C341)),"INVALID INVOICE DATE",IF(NOT(AND(ISNUMBER(C341),C341&gt;=2,C341&lt;=2958465,C341=INT(C341))),"INVALID INVOICE DATE",IF(NOT(OR(D341="MX",D341="US")),"ENTITY REQUIRED",IF(NOT(OR(E341="Strategic Services",E341="Brands")),"UNIT REQUIRED",IF(F341="","BRAND / N/A REQUIRED",IF(NOT(OR(G341="USD",G341="MXN")),"CURRENCY REQUIRED",IF(NOT(ISNUMBER(H341)),"AMOUNT REQUIRED",IF(J341="","ERP SOURCE REQUIRED",IF(NOT(OR(K341="ISSUED",K341="CANCELLED")),"INVOICE STATUS REQUIRED",IF(COUNTIFS($A$2:$A$501,A341,$B$2:$B$501,B341,$D$2:$D$501,D341)&gt;1,"DUPLICATE INVOICE / PROJECT",IF(SUMPRODUCT(--(('ERP Snapshot'!$A$2:$A$101&amp;"")=(B341&amp;"")))=0,"PROJECT NOT FOUND",IF(SUMPRODUCT(--(('ERP Snapshot'!$A$2:$A$101&amp;"")=(B341&amp;"")))&gt;1,"DUPLICATE PROJECT ID",IF(OR(SUMPRODUCT(--(('ERP Snapshot'!$A$2:$A$101&amp;"")=(B341&amp;"")),--('ERP Snapshot'!$Q$2:$Q$101=E341),--('ERP Snapshot'!$R$2:$R$101=F341))&lt;&gt;1,SUMPRODUCT(--('Commercial Catalogs'!$A$2:$A$10=E341),--('Commercial Catalogs'!$B$2:$B$10=F341),--('Commercial Catalogs'!$C$2:$C$10="YES"),--('Commercial Catalogs'!$D$2:$D$10="IN SCOPE"))=0,AND(E341="Strategic Services",F341&lt;&gt;"N/A"),AND(E341="Brands",F341="N/A")),"PROJECT CLASSIFICATION MISMATCH",IF(AND(G341="MXN",NOT(AND(ISNUMBER(I341),Settings!$B$8="APPROVED",Settings!$B$9&lt;&gt;"",Settings!$B$10&lt;&gt;""))),"FX HOLD","VALID"))))))))))))))))))</x:f>
      </x:c>
      <x:c r="M341" s="57" t="str">
        <x:f>IF(ISNUMBER(C341),IF(AND(ISNUMBER(C341),C341&gt;=2,C341&lt;=2958465,C341=INT(C341)),YEAR(C341)&amp;"-"&amp;IF(MONTH(C341)&lt;10,"0","")&amp;MONTH(C341),""),"")</x:f>
      </x:c>
      <x:c r="N341" s="59" t="str">
        <x:f>IF(L341="VALID",IF(G341="USD",H341,I341),"")</x:f>
      </x:c>
      <x:c r="O341" s="57" t="n">
        <x:f>IF(L341="VALID",IF(COUNTIFS($B$2:B341,B341,$M$2:M341,M341,$L$2:L341,"VALID")=1,1,0),0)</x:f>
        <x:v>0</x:v>
      </x:c>
    </x:row>
    <x:row r="342">
      <x:c r="A342" s="47"/>
      <x:c r="B342" s="47"/>
      <x:c r="C342" s="69"/>
      <x:c r="D342" s="47"/>
      <x:c r="E342" s="47"/>
      <x:c r="F342" s="47"/>
      <x:c r="G342" s="47"/>
      <x:c r="H342" s="48"/>
      <x:c r="I342" s="48"/>
      <x:c r="J342" s="47"/>
      <x:c r="K342" s="47"/>
      <x:c r="L342" s="57" t="str">
        <x:f>IF(COUNTA(A342:K342)=0,"",IF(K342="CANCELLED","CANCELLED",IF(A342="","INVOICE ID REQUIRED",IF(B342="","PROJECT ID REQUIRED",IF(NOT(ISNUMBER(C342)),"INVALID INVOICE DATE",IF(NOT(AND(ISNUMBER(C342),C342&gt;=2,C342&lt;=2958465,C342=INT(C342))),"INVALID INVOICE DATE",IF(NOT(OR(D342="MX",D342="US")),"ENTITY REQUIRED",IF(NOT(OR(E342="Strategic Services",E342="Brands")),"UNIT REQUIRED",IF(F342="","BRAND / N/A REQUIRED",IF(NOT(OR(G342="USD",G342="MXN")),"CURRENCY REQUIRED",IF(NOT(ISNUMBER(H342)),"AMOUNT REQUIRED",IF(J342="","ERP SOURCE REQUIRED",IF(NOT(OR(K342="ISSUED",K342="CANCELLED")),"INVOICE STATUS REQUIRED",IF(COUNTIFS($A$2:$A$501,A342,$B$2:$B$501,B342,$D$2:$D$501,D342)&gt;1,"DUPLICATE INVOICE / PROJECT",IF(SUMPRODUCT(--(('ERP Snapshot'!$A$2:$A$101&amp;"")=(B342&amp;"")))=0,"PROJECT NOT FOUND",IF(SUMPRODUCT(--(('ERP Snapshot'!$A$2:$A$101&amp;"")=(B342&amp;"")))&gt;1,"DUPLICATE PROJECT ID",IF(OR(SUMPRODUCT(--(('ERP Snapshot'!$A$2:$A$101&amp;"")=(B342&amp;"")),--('ERP Snapshot'!$Q$2:$Q$101=E342),--('ERP Snapshot'!$R$2:$R$101=F342))&lt;&gt;1,SUMPRODUCT(--('Commercial Catalogs'!$A$2:$A$10=E342),--('Commercial Catalogs'!$B$2:$B$10=F342),--('Commercial Catalogs'!$C$2:$C$10="YES"),--('Commercial Catalogs'!$D$2:$D$10="IN SCOPE"))=0,AND(E342="Strategic Services",F342&lt;&gt;"N/A"),AND(E342="Brands",F342="N/A")),"PROJECT CLASSIFICATION MISMATCH",IF(AND(G342="MXN",NOT(AND(ISNUMBER(I342),Settings!$B$8="APPROVED",Settings!$B$9&lt;&gt;"",Settings!$B$10&lt;&gt;""))),"FX HOLD","VALID"))))))))))))))))))</x:f>
      </x:c>
      <x:c r="M342" s="57" t="str">
        <x:f>IF(ISNUMBER(C342),IF(AND(ISNUMBER(C342),C342&gt;=2,C342&lt;=2958465,C342=INT(C342)),YEAR(C342)&amp;"-"&amp;IF(MONTH(C342)&lt;10,"0","")&amp;MONTH(C342),""),"")</x:f>
      </x:c>
      <x:c r="N342" s="59" t="str">
        <x:f>IF(L342="VALID",IF(G342="USD",H342,I342),"")</x:f>
      </x:c>
      <x:c r="O342" s="57" t="n">
        <x:f>IF(L342="VALID",IF(COUNTIFS($B$2:B342,B342,$M$2:M342,M342,$L$2:L342,"VALID")=1,1,0),0)</x:f>
        <x:v>0</x:v>
      </x:c>
    </x:row>
    <x:row r="343">
      <x:c r="A343" s="47"/>
      <x:c r="B343" s="47"/>
      <x:c r="C343" s="69"/>
      <x:c r="D343" s="47"/>
      <x:c r="E343" s="47"/>
      <x:c r="F343" s="47"/>
      <x:c r="G343" s="47"/>
      <x:c r="H343" s="48"/>
      <x:c r="I343" s="48"/>
      <x:c r="J343" s="47"/>
      <x:c r="K343" s="47"/>
      <x:c r="L343" s="57" t="str">
        <x:f>IF(COUNTA(A343:K343)=0,"",IF(K343="CANCELLED","CANCELLED",IF(A343="","INVOICE ID REQUIRED",IF(B343="","PROJECT ID REQUIRED",IF(NOT(ISNUMBER(C343)),"INVALID INVOICE DATE",IF(NOT(AND(ISNUMBER(C343),C343&gt;=2,C343&lt;=2958465,C343=INT(C343))),"INVALID INVOICE DATE",IF(NOT(OR(D343="MX",D343="US")),"ENTITY REQUIRED",IF(NOT(OR(E343="Strategic Services",E343="Brands")),"UNIT REQUIRED",IF(F343="","BRAND / N/A REQUIRED",IF(NOT(OR(G343="USD",G343="MXN")),"CURRENCY REQUIRED",IF(NOT(ISNUMBER(H343)),"AMOUNT REQUIRED",IF(J343="","ERP SOURCE REQUIRED",IF(NOT(OR(K343="ISSUED",K343="CANCELLED")),"INVOICE STATUS REQUIRED",IF(COUNTIFS($A$2:$A$501,A343,$B$2:$B$501,B343,$D$2:$D$501,D343)&gt;1,"DUPLICATE INVOICE / PROJECT",IF(SUMPRODUCT(--(('ERP Snapshot'!$A$2:$A$101&amp;"")=(B343&amp;"")))=0,"PROJECT NOT FOUND",IF(SUMPRODUCT(--(('ERP Snapshot'!$A$2:$A$101&amp;"")=(B343&amp;"")))&gt;1,"DUPLICATE PROJECT ID",IF(OR(SUMPRODUCT(--(('ERP Snapshot'!$A$2:$A$101&amp;"")=(B343&amp;"")),--('ERP Snapshot'!$Q$2:$Q$101=E343),--('ERP Snapshot'!$R$2:$R$101=F343))&lt;&gt;1,SUMPRODUCT(--('Commercial Catalogs'!$A$2:$A$10=E343),--('Commercial Catalogs'!$B$2:$B$10=F343),--('Commercial Catalogs'!$C$2:$C$10="YES"),--('Commercial Catalogs'!$D$2:$D$10="IN SCOPE"))=0,AND(E343="Strategic Services",F343&lt;&gt;"N/A"),AND(E343="Brands",F343="N/A")),"PROJECT CLASSIFICATION MISMATCH",IF(AND(G343="MXN",NOT(AND(ISNUMBER(I343),Settings!$B$8="APPROVED",Settings!$B$9&lt;&gt;"",Settings!$B$10&lt;&gt;""))),"FX HOLD","VALID"))))))))))))))))))</x:f>
      </x:c>
      <x:c r="M343" s="57" t="str">
        <x:f>IF(ISNUMBER(C343),IF(AND(ISNUMBER(C343),C343&gt;=2,C343&lt;=2958465,C343=INT(C343)),YEAR(C343)&amp;"-"&amp;IF(MONTH(C343)&lt;10,"0","")&amp;MONTH(C343),""),"")</x:f>
      </x:c>
      <x:c r="N343" s="59" t="str">
        <x:f>IF(L343="VALID",IF(G343="USD",H343,I343),"")</x:f>
      </x:c>
      <x:c r="O343" s="57" t="n">
        <x:f>IF(L343="VALID",IF(COUNTIFS($B$2:B343,B343,$M$2:M343,M343,$L$2:L343,"VALID")=1,1,0),0)</x:f>
        <x:v>0</x:v>
      </x:c>
    </x:row>
    <x:row r="344">
      <x:c r="A344" s="47"/>
      <x:c r="B344" s="47"/>
      <x:c r="C344" s="69"/>
      <x:c r="D344" s="47"/>
      <x:c r="E344" s="47"/>
      <x:c r="F344" s="47"/>
      <x:c r="G344" s="47"/>
      <x:c r="H344" s="48"/>
      <x:c r="I344" s="48"/>
      <x:c r="J344" s="47"/>
      <x:c r="K344" s="47"/>
      <x:c r="L344" s="57" t="str">
        <x:f>IF(COUNTA(A344:K344)=0,"",IF(K344="CANCELLED","CANCELLED",IF(A344="","INVOICE ID REQUIRED",IF(B344="","PROJECT ID REQUIRED",IF(NOT(ISNUMBER(C344)),"INVALID INVOICE DATE",IF(NOT(AND(ISNUMBER(C344),C344&gt;=2,C344&lt;=2958465,C344=INT(C344))),"INVALID INVOICE DATE",IF(NOT(OR(D344="MX",D344="US")),"ENTITY REQUIRED",IF(NOT(OR(E344="Strategic Services",E344="Brands")),"UNIT REQUIRED",IF(F344="","BRAND / N/A REQUIRED",IF(NOT(OR(G344="USD",G344="MXN")),"CURRENCY REQUIRED",IF(NOT(ISNUMBER(H344)),"AMOUNT REQUIRED",IF(J344="","ERP SOURCE REQUIRED",IF(NOT(OR(K344="ISSUED",K344="CANCELLED")),"INVOICE STATUS REQUIRED",IF(COUNTIFS($A$2:$A$501,A344,$B$2:$B$501,B344,$D$2:$D$501,D344)&gt;1,"DUPLICATE INVOICE / PROJECT",IF(SUMPRODUCT(--(('ERP Snapshot'!$A$2:$A$101&amp;"")=(B344&amp;"")))=0,"PROJECT NOT FOUND",IF(SUMPRODUCT(--(('ERP Snapshot'!$A$2:$A$101&amp;"")=(B344&amp;"")))&gt;1,"DUPLICATE PROJECT ID",IF(OR(SUMPRODUCT(--(('ERP Snapshot'!$A$2:$A$101&amp;"")=(B344&amp;"")),--('ERP Snapshot'!$Q$2:$Q$101=E344),--('ERP Snapshot'!$R$2:$R$101=F344))&lt;&gt;1,SUMPRODUCT(--('Commercial Catalogs'!$A$2:$A$10=E344),--('Commercial Catalogs'!$B$2:$B$10=F344),--('Commercial Catalogs'!$C$2:$C$10="YES"),--('Commercial Catalogs'!$D$2:$D$10="IN SCOPE"))=0,AND(E344="Strategic Services",F344&lt;&gt;"N/A"),AND(E344="Brands",F344="N/A")),"PROJECT CLASSIFICATION MISMATCH",IF(AND(G344="MXN",NOT(AND(ISNUMBER(I344),Settings!$B$8="APPROVED",Settings!$B$9&lt;&gt;"",Settings!$B$10&lt;&gt;""))),"FX HOLD","VALID"))))))))))))))))))</x:f>
      </x:c>
      <x:c r="M344" s="57" t="str">
        <x:f>IF(ISNUMBER(C344),IF(AND(ISNUMBER(C344),C344&gt;=2,C344&lt;=2958465,C344=INT(C344)),YEAR(C344)&amp;"-"&amp;IF(MONTH(C344)&lt;10,"0","")&amp;MONTH(C344),""),"")</x:f>
      </x:c>
      <x:c r="N344" s="59" t="str">
        <x:f>IF(L344="VALID",IF(G344="USD",H344,I344),"")</x:f>
      </x:c>
      <x:c r="O344" s="57" t="n">
        <x:f>IF(L344="VALID",IF(COUNTIFS($B$2:B344,B344,$M$2:M344,M344,$L$2:L344,"VALID")=1,1,0),0)</x:f>
        <x:v>0</x:v>
      </x:c>
    </x:row>
    <x:row r="345">
      <x:c r="A345" s="47"/>
      <x:c r="B345" s="47"/>
      <x:c r="C345" s="69"/>
      <x:c r="D345" s="47"/>
      <x:c r="E345" s="47"/>
      <x:c r="F345" s="47"/>
      <x:c r="G345" s="47"/>
      <x:c r="H345" s="48"/>
      <x:c r="I345" s="48"/>
      <x:c r="J345" s="47"/>
      <x:c r="K345" s="47"/>
      <x:c r="L345" s="57" t="str">
        <x:f>IF(COUNTA(A345:K345)=0,"",IF(K345="CANCELLED","CANCELLED",IF(A345="","INVOICE ID REQUIRED",IF(B345="","PROJECT ID REQUIRED",IF(NOT(ISNUMBER(C345)),"INVALID INVOICE DATE",IF(NOT(AND(ISNUMBER(C345),C345&gt;=2,C345&lt;=2958465,C345=INT(C345))),"INVALID INVOICE DATE",IF(NOT(OR(D345="MX",D345="US")),"ENTITY REQUIRED",IF(NOT(OR(E345="Strategic Services",E345="Brands")),"UNIT REQUIRED",IF(F345="","BRAND / N/A REQUIRED",IF(NOT(OR(G345="USD",G345="MXN")),"CURRENCY REQUIRED",IF(NOT(ISNUMBER(H345)),"AMOUNT REQUIRED",IF(J345="","ERP SOURCE REQUIRED",IF(NOT(OR(K345="ISSUED",K345="CANCELLED")),"INVOICE STATUS REQUIRED",IF(COUNTIFS($A$2:$A$501,A345,$B$2:$B$501,B345,$D$2:$D$501,D345)&gt;1,"DUPLICATE INVOICE / PROJECT",IF(SUMPRODUCT(--(('ERP Snapshot'!$A$2:$A$101&amp;"")=(B345&amp;"")))=0,"PROJECT NOT FOUND",IF(SUMPRODUCT(--(('ERP Snapshot'!$A$2:$A$101&amp;"")=(B345&amp;"")))&gt;1,"DUPLICATE PROJECT ID",IF(OR(SUMPRODUCT(--(('ERP Snapshot'!$A$2:$A$101&amp;"")=(B345&amp;"")),--('ERP Snapshot'!$Q$2:$Q$101=E345),--('ERP Snapshot'!$R$2:$R$101=F345))&lt;&gt;1,SUMPRODUCT(--('Commercial Catalogs'!$A$2:$A$10=E345),--('Commercial Catalogs'!$B$2:$B$10=F345),--('Commercial Catalogs'!$C$2:$C$10="YES"),--('Commercial Catalogs'!$D$2:$D$10="IN SCOPE"))=0,AND(E345="Strategic Services",F345&lt;&gt;"N/A"),AND(E345="Brands",F345="N/A")),"PROJECT CLASSIFICATION MISMATCH",IF(AND(G345="MXN",NOT(AND(ISNUMBER(I345),Settings!$B$8="APPROVED",Settings!$B$9&lt;&gt;"",Settings!$B$10&lt;&gt;""))),"FX HOLD","VALID"))))))))))))))))))</x:f>
      </x:c>
      <x:c r="M345" s="57" t="str">
        <x:f>IF(ISNUMBER(C345),IF(AND(ISNUMBER(C345),C345&gt;=2,C345&lt;=2958465,C345=INT(C345)),YEAR(C345)&amp;"-"&amp;IF(MONTH(C345)&lt;10,"0","")&amp;MONTH(C345),""),"")</x:f>
      </x:c>
      <x:c r="N345" s="59" t="str">
        <x:f>IF(L345="VALID",IF(G345="USD",H345,I345),"")</x:f>
      </x:c>
      <x:c r="O345" s="57" t="n">
        <x:f>IF(L345="VALID",IF(COUNTIFS($B$2:B345,B345,$M$2:M345,M345,$L$2:L345,"VALID")=1,1,0),0)</x:f>
        <x:v>0</x:v>
      </x:c>
    </x:row>
    <x:row r="346">
      <x:c r="A346" s="47"/>
      <x:c r="B346" s="47"/>
      <x:c r="C346" s="69"/>
      <x:c r="D346" s="47"/>
      <x:c r="E346" s="47"/>
      <x:c r="F346" s="47"/>
      <x:c r="G346" s="47"/>
      <x:c r="H346" s="48"/>
      <x:c r="I346" s="48"/>
      <x:c r="J346" s="47"/>
      <x:c r="K346" s="47"/>
      <x:c r="L346" s="57" t="str">
        <x:f>IF(COUNTA(A346:K346)=0,"",IF(K346="CANCELLED","CANCELLED",IF(A346="","INVOICE ID REQUIRED",IF(B346="","PROJECT ID REQUIRED",IF(NOT(ISNUMBER(C346)),"INVALID INVOICE DATE",IF(NOT(AND(ISNUMBER(C346),C346&gt;=2,C346&lt;=2958465,C346=INT(C346))),"INVALID INVOICE DATE",IF(NOT(OR(D346="MX",D346="US")),"ENTITY REQUIRED",IF(NOT(OR(E346="Strategic Services",E346="Brands")),"UNIT REQUIRED",IF(F346="","BRAND / N/A REQUIRED",IF(NOT(OR(G346="USD",G346="MXN")),"CURRENCY REQUIRED",IF(NOT(ISNUMBER(H346)),"AMOUNT REQUIRED",IF(J346="","ERP SOURCE REQUIRED",IF(NOT(OR(K346="ISSUED",K346="CANCELLED")),"INVOICE STATUS REQUIRED",IF(COUNTIFS($A$2:$A$501,A346,$B$2:$B$501,B346,$D$2:$D$501,D346)&gt;1,"DUPLICATE INVOICE / PROJECT",IF(SUMPRODUCT(--(('ERP Snapshot'!$A$2:$A$101&amp;"")=(B346&amp;"")))=0,"PROJECT NOT FOUND",IF(SUMPRODUCT(--(('ERP Snapshot'!$A$2:$A$101&amp;"")=(B346&amp;"")))&gt;1,"DUPLICATE PROJECT ID",IF(OR(SUMPRODUCT(--(('ERP Snapshot'!$A$2:$A$101&amp;"")=(B346&amp;"")),--('ERP Snapshot'!$Q$2:$Q$101=E346),--('ERP Snapshot'!$R$2:$R$101=F346))&lt;&gt;1,SUMPRODUCT(--('Commercial Catalogs'!$A$2:$A$10=E346),--('Commercial Catalogs'!$B$2:$B$10=F346),--('Commercial Catalogs'!$C$2:$C$10="YES"),--('Commercial Catalogs'!$D$2:$D$10="IN SCOPE"))=0,AND(E346="Strategic Services",F346&lt;&gt;"N/A"),AND(E346="Brands",F346="N/A")),"PROJECT CLASSIFICATION MISMATCH",IF(AND(G346="MXN",NOT(AND(ISNUMBER(I346),Settings!$B$8="APPROVED",Settings!$B$9&lt;&gt;"",Settings!$B$10&lt;&gt;""))),"FX HOLD","VALID"))))))))))))))))))</x:f>
      </x:c>
      <x:c r="M346" s="57" t="str">
        <x:f>IF(ISNUMBER(C346),IF(AND(ISNUMBER(C346),C346&gt;=2,C346&lt;=2958465,C346=INT(C346)),YEAR(C346)&amp;"-"&amp;IF(MONTH(C346)&lt;10,"0","")&amp;MONTH(C346),""),"")</x:f>
      </x:c>
      <x:c r="N346" s="59" t="str">
        <x:f>IF(L346="VALID",IF(G346="USD",H346,I346),"")</x:f>
      </x:c>
      <x:c r="O346" s="57" t="n">
        <x:f>IF(L346="VALID",IF(COUNTIFS($B$2:B346,B346,$M$2:M346,M346,$L$2:L346,"VALID")=1,1,0),0)</x:f>
        <x:v>0</x:v>
      </x:c>
    </x:row>
    <x:row r="347">
      <x:c r="A347" s="47"/>
      <x:c r="B347" s="47"/>
      <x:c r="C347" s="69"/>
      <x:c r="D347" s="47"/>
      <x:c r="E347" s="47"/>
      <x:c r="F347" s="47"/>
      <x:c r="G347" s="47"/>
      <x:c r="H347" s="48"/>
      <x:c r="I347" s="48"/>
      <x:c r="J347" s="47"/>
      <x:c r="K347" s="47"/>
      <x:c r="L347" s="57" t="str">
        <x:f>IF(COUNTA(A347:K347)=0,"",IF(K347="CANCELLED","CANCELLED",IF(A347="","INVOICE ID REQUIRED",IF(B347="","PROJECT ID REQUIRED",IF(NOT(ISNUMBER(C347)),"INVALID INVOICE DATE",IF(NOT(AND(ISNUMBER(C347),C347&gt;=2,C347&lt;=2958465,C347=INT(C347))),"INVALID INVOICE DATE",IF(NOT(OR(D347="MX",D347="US")),"ENTITY REQUIRED",IF(NOT(OR(E347="Strategic Services",E347="Brands")),"UNIT REQUIRED",IF(F347="","BRAND / N/A REQUIRED",IF(NOT(OR(G347="USD",G347="MXN")),"CURRENCY REQUIRED",IF(NOT(ISNUMBER(H347)),"AMOUNT REQUIRED",IF(J347="","ERP SOURCE REQUIRED",IF(NOT(OR(K347="ISSUED",K347="CANCELLED")),"INVOICE STATUS REQUIRED",IF(COUNTIFS($A$2:$A$501,A347,$B$2:$B$501,B347,$D$2:$D$501,D347)&gt;1,"DUPLICATE INVOICE / PROJECT",IF(SUMPRODUCT(--(('ERP Snapshot'!$A$2:$A$101&amp;"")=(B347&amp;"")))=0,"PROJECT NOT FOUND",IF(SUMPRODUCT(--(('ERP Snapshot'!$A$2:$A$101&amp;"")=(B347&amp;"")))&gt;1,"DUPLICATE PROJECT ID",IF(OR(SUMPRODUCT(--(('ERP Snapshot'!$A$2:$A$101&amp;"")=(B347&amp;"")),--('ERP Snapshot'!$Q$2:$Q$101=E347),--('ERP Snapshot'!$R$2:$R$101=F347))&lt;&gt;1,SUMPRODUCT(--('Commercial Catalogs'!$A$2:$A$10=E347),--('Commercial Catalogs'!$B$2:$B$10=F347),--('Commercial Catalogs'!$C$2:$C$10="YES"),--('Commercial Catalogs'!$D$2:$D$10="IN SCOPE"))=0,AND(E347="Strategic Services",F347&lt;&gt;"N/A"),AND(E347="Brands",F347="N/A")),"PROJECT CLASSIFICATION MISMATCH",IF(AND(G347="MXN",NOT(AND(ISNUMBER(I347),Settings!$B$8="APPROVED",Settings!$B$9&lt;&gt;"",Settings!$B$10&lt;&gt;""))),"FX HOLD","VALID"))))))))))))))))))</x:f>
      </x:c>
      <x:c r="M347" s="57" t="str">
        <x:f>IF(ISNUMBER(C347),IF(AND(ISNUMBER(C347),C347&gt;=2,C347&lt;=2958465,C347=INT(C347)),YEAR(C347)&amp;"-"&amp;IF(MONTH(C347)&lt;10,"0","")&amp;MONTH(C347),""),"")</x:f>
      </x:c>
      <x:c r="N347" s="59" t="str">
        <x:f>IF(L347="VALID",IF(G347="USD",H347,I347),"")</x:f>
      </x:c>
      <x:c r="O347" s="57" t="n">
        <x:f>IF(L347="VALID",IF(COUNTIFS($B$2:B347,B347,$M$2:M347,M347,$L$2:L347,"VALID")=1,1,0),0)</x:f>
        <x:v>0</x:v>
      </x:c>
    </x:row>
    <x:row r="348">
      <x:c r="A348" s="47"/>
      <x:c r="B348" s="47"/>
      <x:c r="C348" s="69"/>
      <x:c r="D348" s="47"/>
      <x:c r="E348" s="47"/>
      <x:c r="F348" s="47"/>
      <x:c r="G348" s="47"/>
      <x:c r="H348" s="48"/>
      <x:c r="I348" s="48"/>
      <x:c r="J348" s="47"/>
      <x:c r="K348" s="47"/>
      <x:c r="L348" s="57" t="str">
        <x:f>IF(COUNTA(A348:K348)=0,"",IF(K348="CANCELLED","CANCELLED",IF(A348="","INVOICE ID REQUIRED",IF(B348="","PROJECT ID REQUIRED",IF(NOT(ISNUMBER(C348)),"INVALID INVOICE DATE",IF(NOT(AND(ISNUMBER(C348),C348&gt;=2,C348&lt;=2958465,C348=INT(C348))),"INVALID INVOICE DATE",IF(NOT(OR(D348="MX",D348="US")),"ENTITY REQUIRED",IF(NOT(OR(E348="Strategic Services",E348="Brands")),"UNIT REQUIRED",IF(F348="","BRAND / N/A REQUIRED",IF(NOT(OR(G348="USD",G348="MXN")),"CURRENCY REQUIRED",IF(NOT(ISNUMBER(H348)),"AMOUNT REQUIRED",IF(J348="","ERP SOURCE REQUIRED",IF(NOT(OR(K348="ISSUED",K348="CANCELLED")),"INVOICE STATUS REQUIRED",IF(COUNTIFS($A$2:$A$501,A348,$B$2:$B$501,B348,$D$2:$D$501,D348)&gt;1,"DUPLICATE INVOICE / PROJECT",IF(SUMPRODUCT(--(('ERP Snapshot'!$A$2:$A$101&amp;"")=(B348&amp;"")))=0,"PROJECT NOT FOUND",IF(SUMPRODUCT(--(('ERP Snapshot'!$A$2:$A$101&amp;"")=(B348&amp;"")))&gt;1,"DUPLICATE PROJECT ID",IF(OR(SUMPRODUCT(--(('ERP Snapshot'!$A$2:$A$101&amp;"")=(B348&amp;"")),--('ERP Snapshot'!$Q$2:$Q$101=E348),--('ERP Snapshot'!$R$2:$R$101=F348))&lt;&gt;1,SUMPRODUCT(--('Commercial Catalogs'!$A$2:$A$10=E348),--('Commercial Catalogs'!$B$2:$B$10=F348),--('Commercial Catalogs'!$C$2:$C$10="YES"),--('Commercial Catalogs'!$D$2:$D$10="IN SCOPE"))=0,AND(E348="Strategic Services",F348&lt;&gt;"N/A"),AND(E348="Brands",F348="N/A")),"PROJECT CLASSIFICATION MISMATCH",IF(AND(G348="MXN",NOT(AND(ISNUMBER(I348),Settings!$B$8="APPROVED",Settings!$B$9&lt;&gt;"",Settings!$B$10&lt;&gt;""))),"FX HOLD","VALID"))))))))))))))))))</x:f>
      </x:c>
      <x:c r="M348" s="57" t="str">
        <x:f>IF(ISNUMBER(C348),IF(AND(ISNUMBER(C348),C348&gt;=2,C348&lt;=2958465,C348=INT(C348)),YEAR(C348)&amp;"-"&amp;IF(MONTH(C348)&lt;10,"0","")&amp;MONTH(C348),""),"")</x:f>
      </x:c>
      <x:c r="N348" s="59" t="str">
        <x:f>IF(L348="VALID",IF(G348="USD",H348,I348),"")</x:f>
      </x:c>
      <x:c r="O348" s="57" t="n">
        <x:f>IF(L348="VALID",IF(COUNTIFS($B$2:B348,B348,$M$2:M348,M348,$L$2:L348,"VALID")=1,1,0),0)</x:f>
        <x:v>0</x:v>
      </x:c>
    </x:row>
    <x:row r="349">
      <x:c r="A349" s="47"/>
      <x:c r="B349" s="47"/>
      <x:c r="C349" s="69"/>
      <x:c r="D349" s="47"/>
      <x:c r="E349" s="47"/>
      <x:c r="F349" s="47"/>
      <x:c r="G349" s="47"/>
      <x:c r="H349" s="48"/>
      <x:c r="I349" s="48"/>
      <x:c r="J349" s="47"/>
      <x:c r="K349" s="47"/>
      <x:c r="L349" s="57" t="str">
        <x:f>IF(COUNTA(A349:K349)=0,"",IF(K349="CANCELLED","CANCELLED",IF(A349="","INVOICE ID REQUIRED",IF(B349="","PROJECT ID REQUIRED",IF(NOT(ISNUMBER(C349)),"INVALID INVOICE DATE",IF(NOT(AND(ISNUMBER(C349),C349&gt;=2,C349&lt;=2958465,C349=INT(C349))),"INVALID INVOICE DATE",IF(NOT(OR(D349="MX",D349="US")),"ENTITY REQUIRED",IF(NOT(OR(E349="Strategic Services",E349="Brands")),"UNIT REQUIRED",IF(F349="","BRAND / N/A REQUIRED",IF(NOT(OR(G349="USD",G349="MXN")),"CURRENCY REQUIRED",IF(NOT(ISNUMBER(H349)),"AMOUNT REQUIRED",IF(J349="","ERP SOURCE REQUIRED",IF(NOT(OR(K349="ISSUED",K349="CANCELLED")),"INVOICE STATUS REQUIRED",IF(COUNTIFS($A$2:$A$501,A349,$B$2:$B$501,B349,$D$2:$D$501,D349)&gt;1,"DUPLICATE INVOICE / PROJECT",IF(SUMPRODUCT(--(('ERP Snapshot'!$A$2:$A$101&amp;"")=(B349&amp;"")))=0,"PROJECT NOT FOUND",IF(SUMPRODUCT(--(('ERP Snapshot'!$A$2:$A$101&amp;"")=(B349&amp;"")))&gt;1,"DUPLICATE PROJECT ID",IF(OR(SUMPRODUCT(--(('ERP Snapshot'!$A$2:$A$101&amp;"")=(B349&amp;"")),--('ERP Snapshot'!$Q$2:$Q$101=E349),--('ERP Snapshot'!$R$2:$R$101=F349))&lt;&gt;1,SUMPRODUCT(--('Commercial Catalogs'!$A$2:$A$10=E349),--('Commercial Catalogs'!$B$2:$B$10=F349),--('Commercial Catalogs'!$C$2:$C$10="YES"),--('Commercial Catalogs'!$D$2:$D$10="IN SCOPE"))=0,AND(E349="Strategic Services",F349&lt;&gt;"N/A"),AND(E349="Brands",F349="N/A")),"PROJECT CLASSIFICATION MISMATCH",IF(AND(G349="MXN",NOT(AND(ISNUMBER(I349),Settings!$B$8="APPROVED",Settings!$B$9&lt;&gt;"",Settings!$B$10&lt;&gt;""))),"FX HOLD","VALID"))))))))))))))))))</x:f>
      </x:c>
      <x:c r="M349" s="57" t="str">
        <x:f>IF(ISNUMBER(C349),IF(AND(ISNUMBER(C349),C349&gt;=2,C349&lt;=2958465,C349=INT(C349)),YEAR(C349)&amp;"-"&amp;IF(MONTH(C349)&lt;10,"0","")&amp;MONTH(C349),""),"")</x:f>
      </x:c>
      <x:c r="N349" s="59" t="str">
        <x:f>IF(L349="VALID",IF(G349="USD",H349,I349),"")</x:f>
      </x:c>
      <x:c r="O349" s="57" t="n">
        <x:f>IF(L349="VALID",IF(COUNTIFS($B$2:B349,B349,$M$2:M349,M349,$L$2:L349,"VALID")=1,1,0),0)</x:f>
        <x:v>0</x:v>
      </x:c>
    </x:row>
    <x:row r="350">
      <x:c r="A350" s="47"/>
      <x:c r="B350" s="47"/>
      <x:c r="C350" s="69"/>
      <x:c r="D350" s="47"/>
      <x:c r="E350" s="47"/>
      <x:c r="F350" s="47"/>
      <x:c r="G350" s="47"/>
      <x:c r="H350" s="48"/>
      <x:c r="I350" s="48"/>
      <x:c r="J350" s="47"/>
      <x:c r="K350" s="47"/>
      <x:c r="L350" s="57" t="str">
        <x:f>IF(COUNTA(A350:K350)=0,"",IF(K350="CANCELLED","CANCELLED",IF(A350="","INVOICE ID REQUIRED",IF(B350="","PROJECT ID REQUIRED",IF(NOT(ISNUMBER(C350)),"INVALID INVOICE DATE",IF(NOT(AND(ISNUMBER(C350),C350&gt;=2,C350&lt;=2958465,C350=INT(C350))),"INVALID INVOICE DATE",IF(NOT(OR(D350="MX",D350="US")),"ENTITY REQUIRED",IF(NOT(OR(E350="Strategic Services",E350="Brands")),"UNIT REQUIRED",IF(F350="","BRAND / N/A REQUIRED",IF(NOT(OR(G350="USD",G350="MXN")),"CURRENCY REQUIRED",IF(NOT(ISNUMBER(H350)),"AMOUNT REQUIRED",IF(J350="","ERP SOURCE REQUIRED",IF(NOT(OR(K350="ISSUED",K350="CANCELLED")),"INVOICE STATUS REQUIRED",IF(COUNTIFS($A$2:$A$501,A350,$B$2:$B$501,B350,$D$2:$D$501,D350)&gt;1,"DUPLICATE INVOICE / PROJECT",IF(SUMPRODUCT(--(('ERP Snapshot'!$A$2:$A$101&amp;"")=(B350&amp;"")))=0,"PROJECT NOT FOUND",IF(SUMPRODUCT(--(('ERP Snapshot'!$A$2:$A$101&amp;"")=(B350&amp;"")))&gt;1,"DUPLICATE PROJECT ID",IF(OR(SUMPRODUCT(--(('ERP Snapshot'!$A$2:$A$101&amp;"")=(B350&amp;"")),--('ERP Snapshot'!$Q$2:$Q$101=E350),--('ERP Snapshot'!$R$2:$R$101=F350))&lt;&gt;1,SUMPRODUCT(--('Commercial Catalogs'!$A$2:$A$10=E350),--('Commercial Catalogs'!$B$2:$B$10=F350),--('Commercial Catalogs'!$C$2:$C$10="YES"),--('Commercial Catalogs'!$D$2:$D$10="IN SCOPE"))=0,AND(E350="Strategic Services",F350&lt;&gt;"N/A"),AND(E350="Brands",F350="N/A")),"PROJECT CLASSIFICATION MISMATCH",IF(AND(G350="MXN",NOT(AND(ISNUMBER(I350),Settings!$B$8="APPROVED",Settings!$B$9&lt;&gt;"",Settings!$B$10&lt;&gt;""))),"FX HOLD","VALID"))))))))))))))))))</x:f>
      </x:c>
      <x:c r="M350" s="57" t="str">
        <x:f>IF(ISNUMBER(C350),IF(AND(ISNUMBER(C350),C350&gt;=2,C350&lt;=2958465,C350=INT(C350)),YEAR(C350)&amp;"-"&amp;IF(MONTH(C350)&lt;10,"0","")&amp;MONTH(C350),""),"")</x:f>
      </x:c>
      <x:c r="N350" s="59" t="str">
        <x:f>IF(L350="VALID",IF(G350="USD",H350,I350),"")</x:f>
      </x:c>
      <x:c r="O350" s="57" t="n">
        <x:f>IF(L350="VALID",IF(COUNTIFS($B$2:B350,B350,$M$2:M350,M350,$L$2:L350,"VALID")=1,1,0),0)</x:f>
        <x:v>0</x:v>
      </x:c>
    </x:row>
    <x:row r="351">
      <x:c r="A351" s="47"/>
      <x:c r="B351" s="47"/>
      <x:c r="C351" s="69"/>
      <x:c r="D351" s="47"/>
      <x:c r="E351" s="47"/>
      <x:c r="F351" s="47"/>
      <x:c r="G351" s="47"/>
      <x:c r="H351" s="48"/>
      <x:c r="I351" s="48"/>
      <x:c r="J351" s="47"/>
      <x:c r="K351" s="47"/>
      <x:c r="L351" s="57" t="str">
        <x:f>IF(COUNTA(A351:K351)=0,"",IF(K351="CANCELLED","CANCELLED",IF(A351="","INVOICE ID REQUIRED",IF(B351="","PROJECT ID REQUIRED",IF(NOT(ISNUMBER(C351)),"INVALID INVOICE DATE",IF(NOT(AND(ISNUMBER(C351),C351&gt;=2,C351&lt;=2958465,C351=INT(C351))),"INVALID INVOICE DATE",IF(NOT(OR(D351="MX",D351="US")),"ENTITY REQUIRED",IF(NOT(OR(E351="Strategic Services",E351="Brands")),"UNIT REQUIRED",IF(F351="","BRAND / N/A REQUIRED",IF(NOT(OR(G351="USD",G351="MXN")),"CURRENCY REQUIRED",IF(NOT(ISNUMBER(H351)),"AMOUNT REQUIRED",IF(J351="","ERP SOURCE REQUIRED",IF(NOT(OR(K351="ISSUED",K351="CANCELLED")),"INVOICE STATUS REQUIRED",IF(COUNTIFS($A$2:$A$501,A351,$B$2:$B$501,B351,$D$2:$D$501,D351)&gt;1,"DUPLICATE INVOICE / PROJECT",IF(SUMPRODUCT(--(('ERP Snapshot'!$A$2:$A$101&amp;"")=(B351&amp;"")))=0,"PROJECT NOT FOUND",IF(SUMPRODUCT(--(('ERP Snapshot'!$A$2:$A$101&amp;"")=(B351&amp;"")))&gt;1,"DUPLICATE PROJECT ID",IF(OR(SUMPRODUCT(--(('ERP Snapshot'!$A$2:$A$101&amp;"")=(B351&amp;"")),--('ERP Snapshot'!$Q$2:$Q$101=E351),--('ERP Snapshot'!$R$2:$R$101=F351))&lt;&gt;1,SUMPRODUCT(--('Commercial Catalogs'!$A$2:$A$10=E351),--('Commercial Catalogs'!$B$2:$B$10=F351),--('Commercial Catalogs'!$C$2:$C$10="YES"),--('Commercial Catalogs'!$D$2:$D$10="IN SCOPE"))=0,AND(E351="Strategic Services",F351&lt;&gt;"N/A"),AND(E351="Brands",F351="N/A")),"PROJECT CLASSIFICATION MISMATCH",IF(AND(G351="MXN",NOT(AND(ISNUMBER(I351),Settings!$B$8="APPROVED",Settings!$B$9&lt;&gt;"",Settings!$B$10&lt;&gt;""))),"FX HOLD","VALID"))))))))))))))))))</x:f>
      </x:c>
      <x:c r="M351" s="57" t="str">
        <x:f>IF(ISNUMBER(C351),IF(AND(ISNUMBER(C351),C351&gt;=2,C351&lt;=2958465,C351=INT(C351)),YEAR(C351)&amp;"-"&amp;IF(MONTH(C351)&lt;10,"0","")&amp;MONTH(C351),""),"")</x:f>
      </x:c>
      <x:c r="N351" s="59" t="str">
        <x:f>IF(L351="VALID",IF(G351="USD",H351,I351),"")</x:f>
      </x:c>
      <x:c r="O351" s="57" t="n">
        <x:f>IF(L351="VALID",IF(COUNTIFS($B$2:B351,B351,$M$2:M351,M351,$L$2:L351,"VALID")=1,1,0),0)</x:f>
        <x:v>0</x:v>
      </x:c>
    </x:row>
    <x:row r="352">
      <x:c r="A352" s="47"/>
      <x:c r="B352" s="47"/>
      <x:c r="C352" s="69"/>
      <x:c r="D352" s="47"/>
      <x:c r="E352" s="47"/>
      <x:c r="F352" s="47"/>
      <x:c r="G352" s="47"/>
      <x:c r="H352" s="48"/>
      <x:c r="I352" s="48"/>
      <x:c r="J352" s="47"/>
      <x:c r="K352" s="47"/>
      <x:c r="L352" s="57" t="str">
        <x:f>IF(COUNTA(A352:K352)=0,"",IF(K352="CANCELLED","CANCELLED",IF(A352="","INVOICE ID REQUIRED",IF(B352="","PROJECT ID REQUIRED",IF(NOT(ISNUMBER(C352)),"INVALID INVOICE DATE",IF(NOT(AND(ISNUMBER(C352),C352&gt;=2,C352&lt;=2958465,C352=INT(C352))),"INVALID INVOICE DATE",IF(NOT(OR(D352="MX",D352="US")),"ENTITY REQUIRED",IF(NOT(OR(E352="Strategic Services",E352="Brands")),"UNIT REQUIRED",IF(F352="","BRAND / N/A REQUIRED",IF(NOT(OR(G352="USD",G352="MXN")),"CURRENCY REQUIRED",IF(NOT(ISNUMBER(H352)),"AMOUNT REQUIRED",IF(J352="","ERP SOURCE REQUIRED",IF(NOT(OR(K352="ISSUED",K352="CANCELLED")),"INVOICE STATUS REQUIRED",IF(COUNTIFS($A$2:$A$501,A352,$B$2:$B$501,B352,$D$2:$D$501,D352)&gt;1,"DUPLICATE INVOICE / PROJECT",IF(SUMPRODUCT(--(('ERP Snapshot'!$A$2:$A$101&amp;"")=(B352&amp;"")))=0,"PROJECT NOT FOUND",IF(SUMPRODUCT(--(('ERP Snapshot'!$A$2:$A$101&amp;"")=(B352&amp;"")))&gt;1,"DUPLICATE PROJECT ID",IF(OR(SUMPRODUCT(--(('ERP Snapshot'!$A$2:$A$101&amp;"")=(B352&amp;"")),--('ERP Snapshot'!$Q$2:$Q$101=E352),--('ERP Snapshot'!$R$2:$R$101=F352))&lt;&gt;1,SUMPRODUCT(--('Commercial Catalogs'!$A$2:$A$10=E352),--('Commercial Catalogs'!$B$2:$B$10=F352),--('Commercial Catalogs'!$C$2:$C$10="YES"),--('Commercial Catalogs'!$D$2:$D$10="IN SCOPE"))=0,AND(E352="Strategic Services",F352&lt;&gt;"N/A"),AND(E352="Brands",F352="N/A")),"PROJECT CLASSIFICATION MISMATCH",IF(AND(G352="MXN",NOT(AND(ISNUMBER(I352),Settings!$B$8="APPROVED",Settings!$B$9&lt;&gt;"",Settings!$B$10&lt;&gt;""))),"FX HOLD","VALID"))))))))))))))))))</x:f>
      </x:c>
      <x:c r="M352" s="57" t="str">
        <x:f>IF(ISNUMBER(C352),IF(AND(ISNUMBER(C352),C352&gt;=2,C352&lt;=2958465,C352=INT(C352)),YEAR(C352)&amp;"-"&amp;IF(MONTH(C352)&lt;10,"0","")&amp;MONTH(C352),""),"")</x:f>
      </x:c>
      <x:c r="N352" s="59" t="str">
        <x:f>IF(L352="VALID",IF(G352="USD",H352,I352),"")</x:f>
      </x:c>
      <x:c r="O352" s="57" t="n">
        <x:f>IF(L352="VALID",IF(COUNTIFS($B$2:B352,B352,$M$2:M352,M352,$L$2:L352,"VALID")=1,1,0),0)</x:f>
        <x:v>0</x:v>
      </x:c>
    </x:row>
    <x:row r="353">
      <x:c r="A353" s="47"/>
      <x:c r="B353" s="47"/>
      <x:c r="C353" s="69"/>
      <x:c r="D353" s="47"/>
      <x:c r="E353" s="47"/>
      <x:c r="F353" s="47"/>
      <x:c r="G353" s="47"/>
      <x:c r="H353" s="48"/>
      <x:c r="I353" s="48"/>
      <x:c r="J353" s="47"/>
      <x:c r="K353" s="47"/>
      <x:c r="L353" s="57" t="str">
        <x:f>IF(COUNTA(A353:K353)=0,"",IF(K353="CANCELLED","CANCELLED",IF(A353="","INVOICE ID REQUIRED",IF(B353="","PROJECT ID REQUIRED",IF(NOT(ISNUMBER(C353)),"INVALID INVOICE DATE",IF(NOT(AND(ISNUMBER(C353),C353&gt;=2,C353&lt;=2958465,C353=INT(C353))),"INVALID INVOICE DATE",IF(NOT(OR(D353="MX",D353="US")),"ENTITY REQUIRED",IF(NOT(OR(E353="Strategic Services",E353="Brands")),"UNIT REQUIRED",IF(F353="","BRAND / N/A REQUIRED",IF(NOT(OR(G353="USD",G353="MXN")),"CURRENCY REQUIRED",IF(NOT(ISNUMBER(H353)),"AMOUNT REQUIRED",IF(J353="","ERP SOURCE REQUIRED",IF(NOT(OR(K353="ISSUED",K353="CANCELLED")),"INVOICE STATUS REQUIRED",IF(COUNTIFS($A$2:$A$501,A353,$B$2:$B$501,B353,$D$2:$D$501,D353)&gt;1,"DUPLICATE INVOICE / PROJECT",IF(SUMPRODUCT(--(('ERP Snapshot'!$A$2:$A$101&amp;"")=(B353&amp;"")))=0,"PROJECT NOT FOUND",IF(SUMPRODUCT(--(('ERP Snapshot'!$A$2:$A$101&amp;"")=(B353&amp;"")))&gt;1,"DUPLICATE PROJECT ID",IF(OR(SUMPRODUCT(--(('ERP Snapshot'!$A$2:$A$101&amp;"")=(B353&amp;"")),--('ERP Snapshot'!$Q$2:$Q$101=E353),--('ERP Snapshot'!$R$2:$R$101=F353))&lt;&gt;1,SUMPRODUCT(--('Commercial Catalogs'!$A$2:$A$10=E353),--('Commercial Catalogs'!$B$2:$B$10=F353),--('Commercial Catalogs'!$C$2:$C$10="YES"),--('Commercial Catalogs'!$D$2:$D$10="IN SCOPE"))=0,AND(E353="Strategic Services",F353&lt;&gt;"N/A"),AND(E353="Brands",F353="N/A")),"PROJECT CLASSIFICATION MISMATCH",IF(AND(G353="MXN",NOT(AND(ISNUMBER(I353),Settings!$B$8="APPROVED",Settings!$B$9&lt;&gt;"",Settings!$B$10&lt;&gt;""))),"FX HOLD","VALID"))))))))))))))))))</x:f>
      </x:c>
      <x:c r="M353" s="57" t="str">
        <x:f>IF(ISNUMBER(C353),IF(AND(ISNUMBER(C353),C353&gt;=2,C353&lt;=2958465,C353=INT(C353)),YEAR(C353)&amp;"-"&amp;IF(MONTH(C353)&lt;10,"0","")&amp;MONTH(C353),""),"")</x:f>
      </x:c>
      <x:c r="N353" s="59" t="str">
        <x:f>IF(L353="VALID",IF(G353="USD",H353,I353),"")</x:f>
      </x:c>
      <x:c r="O353" s="57" t="n">
        <x:f>IF(L353="VALID",IF(COUNTIFS($B$2:B353,B353,$M$2:M353,M353,$L$2:L353,"VALID")=1,1,0),0)</x:f>
        <x:v>0</x:v>
      </x:c>
    </x:row>
    <x:row r="354">
      <x:c r="A354" s="47"/>
      <x:c r="B354" s="47"/>
      <x:c r="C354" s="69"/>
      <x:c r="D354" s="47"/>
      <x:c r="E354" s="47"/>
      <x:c r="F354" s="47"/>
      <x:c r="G354" s="47"/>
      <x:c r="H354" s="48"/>
      <x:c r="I354" s="48"/>
      <x:c r="J354" s="47"/>
      <x:c r="K354" s="47"/>
      <x:c r="L354" s="57" t="str">
        <x:f>IF(COUNTA(A354:K354)=0,"",IF(K354="CANCELLED","CANCELLED",IF(A354="","INVOICE ID REQUIRED",IF(B354="","PROJECT ID REQUIRED",IF(NOT(ISNUMBER(C354)),"INVALID INVOICE DATE",IF(NOT(AND(ISNUMBER(C354),C354&gt;=2,C354&lt;=2958465,C354=INT(C354))),"INVALID INVOICE DATE",IF(NOT(OR(D354="MX",D354="US")),"ENTITY REQUIRED",IF(NOT(OR(E354="Strategic Services",E354="Brands")),"UNIT REQUIRED",IF(F354="","BRAND / N/A REQUIRED",IF(NOT(OR(G354="USD",G354="MXN")),"CURRENCY REQUIRED",IF(NOT(ISNUMBER(H354)),"AMOUNT REQUIRED",IF(J354="","ERP SOURCE REQUIRED",IF(NOT(OR(K354="ISSUED",K354="CANCELLED")),"INVOICE STATUS REQUIRED",IF(COUNTIFS($A$2:$A$501,A354,$B$2:$B$501,B354,$D$2:$D$501,D354)&gt;1,"DUPLICATE INVOICE / PROJECT",IF(SUMPRODUCT(--(('ERP Snapshot'!$A$2:$A$101&amp;"")=(B354&amp;"")))=0,"PROJECT NOT FOUND",IF(SUMPRODUCT(--(('ERP Snapshot'!$A$2:$A$101&amp;"")=(B354&amp;"")))&gt;1,"DUPLICATE PROJECT ID",IF(OR(SUMPRODUCT(--(('ERP Snapshot'!$A$2:$A$101&amp;"")=(B354&amp;"")),--('ERP Snapshot'!$Q$2:$Q$101=E354),--('ERP Snapshot'!$R$2:$R$101=F354))&lt;&gt;1,SUMPRODUCT(--('Commercial Catalogs'!$A$2:$A$10=E354),--('Commercial Catalogs'!$B$2:$B$10=F354),--('Commercial Catalogs'!$C$2:$C$10="YES"),--('Commercial Catalogs'!$D$2:$D$10="IN SCOPE"))=0,AND(E354="Strategic Services",F354&lt;&gt;"N/A"),AND(E354="Brands",F354="N/A")),"PROJECT CLASSIFICATION MISMATCH",IF(AND(G354="MXN",NOT(AND(ISNUMBER(I354),Settings!$B$8="APPROVED",Settings!$B$9&lt;&gt;"",Settings!$B$10&lt;&gt;""))),"FX HOLD","VALID"))))))))))))))))))</x:f>
      </x:c>
      <x:c r="M354" s="57" t="str">
        <x:f>IF(ISNUMBER(C354),IF(AND(ISNUMBER(C354),C354&gt;=2,C354&lt;=2958465,C354=INT(C354)),YEAR(C354)&amp;"-"&amp;IF(MONTH(C354)&lt;10,"0","")&amp;MONTH(C354),""),"")</x:f>
      </x:c>
      <x:c r="N354" s="59" t="str">
        <x:f>IF(L354="VALID",IF(G354="USD",H354,I354),"")</x:f>
      </x:c>
      <x:c r="O354" s="57" t="n">
        <x:f>IF(L354="VALID",IF(COUNTIFS($B$2:B354,B354,$M$2:M354,M354,$L$2:L354,"VALID")=1,1,0),0)</x:f>
        <x:v>0</x:v>
      </x:c>
    </x:row>
    <x:row r="355">
      <x:c r="A355" s="47"/>
      <x:c r="B355" s="47"/>
      <x:c r="C355" s="69"/>
      <x:c r="D355" s="47"/>
      <x:c r="E355" s="47"/>
      <x:c r="F355" s="47"/>
      <x:c r="G355" s="47"/>
      <x:c r="H355" s="48"/>
      <x:c r="I355" s="48"/>
      <x:c r="J355" s="47"/>
      <x:c r="K355" s="47"/>
      <x:c r="L355" s="57" t="str">
        <x:f>IF(COUNTA(A355:K355)=0,"",IF(K355="CANCELLED","CANCELLED",IF(A355="","INVOICE ID REQUIRED",IF(B355="","PROJECT ID REQUIRED",IF(NOT(ISNUMBER(C355)),"INVALID INVOICE DATE",IF(NOT(AND(ISNUMBER(C355),C355&gt;=2,C355&lt;=2958465,C355=INT(C355))),"INVALID INVOICE DATE",IF(NOT(OR(D355="MX",D355="US")),"ENTITY REQUIRED",IF(NOT(OR(E355="Strategic Services",E355="Brands")),"UNIT REQUIRED",IF(F355="","BRAND / N/A REQUIRED",IF(NOT(OR(G355="USD",G355="MXN")),"CURRENCY REQUIRED",IF(NOT(ISNUMBER(H355)),"AMOUNT REQUIRED",IF(J355="","ERP SOURCE REQUIRED",IF(NOT(OR(K355="ISSUED",K355="CANCELLED")),"INVOICE STATUS REQUIRED",IF(COUNTIFS($A$2:$A$501,A355,$B$2:$B$501,B355,$D$2:$D$501,D355)&gt;1,"DUPLICATE INVOICE / PROJECT",IF(SUMPRODUCT(--(('ERP Snapshot'!$A$2:$A$101&amp;"")=(B355&amp;"")))=0,"PROJECT NOT FOUND",IF(SUMPRODUCT(--(('ERP Snapshot'!$A$2:$A$101&amp;"")=(B355&amp;"")))&gt;1,"DUPLICATE PROJECT ID",IF(OR(SUMPRODUCT(--(('ERP Snapshot'!$A$2:$A$101&amp;"")=(B355&amp;"")),--('ERP Snapshot'!$Q$2:$Q$101=E355),--('ERP Snapshot'!$R$2:$R$101=F355))&lt;&gt;1,SUMPRODUCT(--('Commercial Catalogs'!$A$2:$A$10=E355),--('Commercial Catalogs'!$B$2:$B$10=F355),--('Commercial Catalogs'!$C$2:$C$10="YES"),--('Commercial Catalogs'!$D$2:$D$10="IN SCOPE"))=0,AND(E355="Strategic Services",F355&lt;&gt;"N/A"),AND(E355="Brands",F355="N/A")),"PROJECT CLASSIFICATION MISMATCH",IF(AND(G355="MXN",NOT(AND(ISNUMBER(I355),Settings!$B$8="APPROVED",Settings!$B$9&lt;&gt;"",Settings!$B$10&lt;&gt;""))),"FX HOLD","VALID"))))))))))))))))))</x:f>
      </x:c>
      <x:c r="M355" s="57" t="str">
        <x:f>IF(ISNUMBER(C355),IF(AND(ISNUMBER(C355),C355&gt;=2,C355&lt;=2958465,C355=INT(C355)),YEAR(C355)&amp;"-"&amp;IF(MONTH(C355)&lt;10,"0","")&amp;MONTH(C355),""),"")</x:f>
      </x:c>
      <x:c r="N355" s="59" t="str">
        <x:f>IF(L355="VALID",IF(G355="USD",H355,I355),"")</x:f>
      </x:c>
      <x:c r="O355" s="57" t="n">
        <x:f>IF(L355="VALID",IF(COUNTIFS($B$2:B355,B355,$M$2:M355,M355,$L$2:L355,"VALID")=1,1,0),0)</x:f>
        <x:v>0</x:v>
      </x:c>
    </x:row>
    <x:row r="356">
      <x:c r="A356" s="47"/>
      <x:c r="B356" s="47"/>
      <x:c r="C356" s="69"/>
      <x:c r="D356" s="47"/>
      <x:c r="E356" s="47"/>
      <x:c r="F356" s="47"/>
      <x:c r="G356" s="47"/>
      <x:c r="H356" s="48"/>
      <x:c r="I356" s="48"/>
      <x:c r="J356" s="47"/>
      <x:c r="K356" s="47"/>
      <x:c r="L356" s="57" t="str">
        <x:f>IF(COUNTA(A356:K356)=0,"",IF(K356="CANCELLED","CANCELLED",IF(A356="","INVOICE ID REQUIRED",IF(B356="","PROJECT ID REQUIRED",IF(NOT(ISNUMBER(C356)),"INVALID INVOICE DATE",IF(NOT(AND(ISNUMBER(C356),C356&gt;=2,C356&lt;=2958465,C356=INT(C356))),"INVALID INVOICE DATE",IF(NOT(OR(D356="MX",D356="US")),"ENTITY REQUIRED",IF(NOT(OR(E356="Strategic Services",E356="Brands")),"UNIT REQUIRED",IF(F356="","BRAND / N/A REQUIRED",IF(NOT(OR(G356="USD",G356="MXN")),"CURRENCY REQUIRED",IF(NOT(ISNUMBER(H356)),"AMOUNT REQUIRED",IF(J356="","ERP SOURCE REQUIRED",IF(NOT(OR(K356="ISSUED",K356="CANCELLED")),"INVOICE STATUS REQUIRED",IF(COUNTIFS($A$2:$A$501,A356,$B$2:$B$501,B356,$D$2:$D$501,D356)&gt;1,"DUPLICATE INVOICE / PROJECT",IF(SUMPRODUCT(--(('ERP Snapshot'!$A$2:$A$101&amp;"")=(B356&amp;"")))=0,"PROJECT NOT FOUND",IF(SUMPRODUCT(--(('ERP Snapshot'!$A$2:$A$101&amp;"")=(B356&amp;"")))&gt;1,"DUPLICATE PROJECT ID",IF(OR(SUMPRODUCT(--(('ERP Snapshot'!$A$2:$A$101&amp;"")=(B356&amp;"")),--('ERP Snapshot'!$Q$2:$Q$101=E356),--('ERP Snapshot'!$R$2:$R$101=F356))&lt;&gt;1,SUMPRODUCT(--('Commercial Catalogs'!$A$2:$A$10=E356),--('Commercial Catalogs'!$B$2:$B$10=F356),--('Commercial Catalogs'!$C$2:$C$10="YES"),--('Commercial Catalogs'!$D$2:$D$10="IN SCOPE"))=0,AND(E356="Strategic Services",F356&lt;&gt;"N/A"),AND(E356="Brands",F356="N/A")),"PROJECT CLASSIFICATION MISMATCH",IF(AND(G356="MXN",NOT(AND(ISNUMBER(I356),Settings!$B$8="APPROVED",Settings!$B$9&lt;&gt;"",Settings!$B$10&lt;&gt;""))),"FX HOLD","VALID"))))))))))))))))))</x:f>
      </x:c>
      <x:c r="M356" s="57" t="str">
        <x:f>IF(ISNUMBER(C356),IF(AND(ISNUMBER(C356),C356&gt;=2,C356&lt;=2958465,C356=INT(C356)),YEAR(C356)&amp;"-"&amp;IF(MONTH(C356)&lt;10,"0","")&amp;MONTH(C356),""),"")</x:f>
      </x:c>
      <x:c r="N356" s="59" t="str">
        <x:f>IF(L356="VALID",IF(G356="USD",H356,I356),"")</x:f>
      </x:c>
      <x:c r="O356" s="57" t="n">
        <x:f>IF(L356="VALID",IF(COUNTIFS($B$2:B356,B356,$M$2:M356,M356,$L$2:L356,"VALID")=1,1,0),0)</x:f>
        <x:v>0</x:v>
      </x:c>
    </x:row>
    <x:row r="357">
      <x:c r="A357" s="47"/>
      <x:c r="B357" s="47"/>
      <x:c r="C357" s="69"/>
      <x:c r="D357" s="47"/>
      <x:c r="E357" s="47"/>
      <x:c r="F357" s="47"/>
      <x:c r="G357" s="47"/>
      <x:c r="H357" s="48"/>
      <x:c r="I357" s="48"/>
      <x:c r="J357" s="47"/>
      <x:c r="K357" s="47"/>
      <x:c r="L357" s="57" t="str">
        <x:f>IF(COUNTA(A357:K357)=0,"",IF(K357="CANCELLED","CANCELLED",IF(A357="","INVOICE ID REQUIRED",IF(B357="","PROJECT ID REQUIRED",IF(NOT(ISNUMBER(C357)),"INVALID INVOICE DATE",IF(NOT(AND(ISNUMBER(C357),C357&gt;=2,C357&lt;=2958465,C357=INT(C357))),"INVALID INVOICE DATE",IF(NOT(OR(D357="MX",D357="US")),"ENTITY REQUIRED",IF(NOT(OR(E357="Strategic Services",E357="Brands")),"UNIT REQUIRED",IF(F357="","BRAND / N/A REQUIRED",IF(NOT(OR(G357="USD",G357="MXN")),"CURRENCY REQUIRED",IF(NOT(ISNUMBER(H357)),"AMOUNT REQUIRED",IF(J357="","ERP SOURCE REQUIRED",IF(NOT(OR(K357="ISSUED",K357="CANCELLED")),"INVOICE STATUS REQUIRED",IF(COUNTIFS($A$2:$A$501,A357,$B$2:$B$501,B357,$D$2:$D$501,D357)&gt;1,"DUPLICATE INVOICE / PROJECT",IF(SUMPRODUCT(--(('ERP Snapshot'!$A$2:$A$101&amp;"")=(B357&amp;"")))=0,"PROJECT NOT FOUND",IF(SUMPRODUCT(--(('ERP Snapshot'!$A$2:$A$101&amp;"")=(B357&amp;"")))&gt;1,"DUPLICATE PROJECT ID",IF(OR(SUMPRODUCT(--(('ERP Snapshot'!$A$2:$A$101&amp;"")=(B357&amp;"")),--('ERP Snapshot'!$Q$2:$Q$101=E357),--('ERP Snapshot'!$R$2:$R$101=F357))&lt;&gt;1,SUMPRODUCT(--('Commercial Catalogs'!$A$2:$A$10=E357),--('Commercial Catalogs'!$B$2:$B$10=F357),--('Commercial Catalogs'!$C$2:$C$10="YES"),--('Commercial Catalogs'!$D$2:$D$10="IN SCOPE"))=0,AND(E357="Strategic Services",F357&lt;&gt;"N/A"),AND(E357="Brands",F357="N/A")),"PROJECT CLASSIFICATION MISMATCH",IF(AND(G357="MXN",NOT(AND(ISNUMBER(I357),Settings!$B$8="APPROVED",Settings!$B$9&lt;&gt;"",Settings!$B$10&lt;&gt;""))),"FX HOLD","VALID"))))))))))))))))))</x:f>
      </x:c>
      <x:c r="M357" s="57" t="str">
        <x:f>IF(ISNUMBER(C357),IF(AND(ISNUMBER(C357),C357&gt;=2,C357&lt;=2958465,C357=INT(C357)),YEAR(C357)&amp;"-"&amp;IF(MONTH(C357)&lt;10,"0","")&amp;MONTH(C357),""),"")</x:f>
      </x:c>
      <x:c r="N357" s="59" t="str">
        <x:f>IF(L357="VALID",IF(G357="USD",H357,I357),"")</x:f>
      </x:c>
      <x:c r="O357" s="57" t="n">
        <x:f>IF(L357="VALID",IF(COUNTIFS($B$2:B357,B357,$M$2:M357,M357,$L$2:L357,"VALID")=1,1,0),0)</x:f>
        <x:v>0</x:v>
      </x:c>
    </x:row>
    <x:row r="358">
      <x:c r="A358" s="47"/>
      <x:c r="B358" s="47"/>
      <x:c r="C358" s="69"/>
      <x:c r="D358" s="47"/>
      <x:c r="E358" s="47"/>
      <x:c r="F358" s="47"/>
      <x:c r="G358" s="47"/>
      <x:c r="H358" s="48"/>
      <x:c r="I358" s="48"/>
      <x:c r="J358" s="47"/>
      <x:c r="K358" s="47"/>
      <x:c r="L358" s="57" t="str">
        <x:f>IF(COUNTA(A358:K358)=0,"",IF(K358="CANCELLED","CANCELLED",IF(A358="","INVOICE ID REQUIRED",IF(B358="","PROJECT ID REQUIRED",IF(NOT(ISNUMBER(C358)),"INVALID INVOICE DATE",IF(NOT(AND(ISNUMBER(C358),C358&gt;=2,C358&lt;=2958465,C358=INT(C358))),"INVALID INVOICE DATE",IF(NOT(OR(D358="MX",D358="US")),"ENTITY REQUIRED",IF(NOT(OR(E358="Strategic Services",E358="Brands")),"UNIT REQUIRED",IF(F358="","BRAND / N/A REQUIRED",IF(NOT(OR(G358="USD",G358="MXN")),"CURRENCY REQUIRED",IF(NOT(ISNUMBER(H358)),"AMOUNT REQUIRED",IF(J358="","ERP SOURCE REQUIRED",IF(NOT(OR(K358="ISSUED",K358="CANCELLED")),"INVOICE STATUS REQUIRED",IF(COUNTIFS($A$2:$A$501,A358,$B$2:$B$501,B358,$D$2:$D$501,D358)&gt;1,"DUPLICATE INVOICE / PROJECT",IF(SUMPRODUCT(--(('ERP Snapshot'!$A$2:$A$101&amp;"")=(B358&amp;"")))=0,"PROJECT NOT FOUND",IF(SUMPRODUCT(--(('ERP Snapshot'!$A$2:$A$101&amp;"")=(B358&amp;"")))&gt;1,"DUPLICATE PROJECT ID",IF(OR(SUMPRODUCT(--(('ERP Snapshot'!$A$2:$A$101&amp;"")=(B358&amp;"")),--('ERP Snapshot'!$Q$2:$Q$101=E358),--('ERP Snapshot'!$R$2:$R$101=F358))&lt;&gt;1,SUMPRODUCT(--('Commercial Catalogs'!$A$2:$A$10=E358),--('Commercial Catalogs'!$B$2:$B$10=F358),--('Commercial Catalogs'!$C$2:$C$10="YES"),--('Commercial Catalogs'!$D$2:$D$10="IN SCOPE"))=0,AND(E358="Strategic Services",F358&lt;&gt;"N/A"),AND(E358="Brands",F358="N/A")),"PROJECT CLASSIFICATION MISMATCH",IF(AND(G358="MXN",NOT(AND(ISNUMBER(I358),Settings!$B$8="APPROVED",Settings!$B$9&lt;&gt;"",Settings!$B$10&lt;&gt;""))),"FX HOLD","VALID"))))))))))))))))))</x:f>
      </x:c>
      <x:c r="M358" s="57" t="str">
        <x:f>IF(ISNUMBER(C358),IF(AND(ISNUMBER(C358),C358&gt;=2,C358&lt;=2958465,C358=INT(C358)),YEAR(C358)&amp;"-"&amp;IF(MONTH(C358)&lt;10,"0","")&amp;MONTH(C358),""),"")</x:f>
      </x:c>
      <x:c r="N358" s="59" t="str">
        <x:f>IF(L358="VALID",IF(G358="USD",H358,I358),"")</x:f>
      </x:c>
      <x:c r="O358" s="57" t="n">
        <x:f>IF(L358="VALID",IF(COUNTIFS($B$2:B358,B358,$M$2:M358,M358,$L$2:L358,"VALID")=1,1,0),0)</x:f>
        <x:v>0</x:v>
      </x:c>
    </x:row>
    <x:row r="359">
      <x:c r="A359" s="47"/>
      <x:c r="B359" s="47"/>
      <x:c r="C359" s="69"/>
      <x:c r="D359" s="47"/>
      <x:c r="E359" s="47"/>
      <x:c r="F359" s="47"/>
      <x:c r="G359" s="47"/>
      <x:c r="H359" s="48"/>
      <x:c r="I359" s="48"/>
      <x:c r="J359" s="47"/>
      <x:c r="K359" s="47"/>
      <x:c r="L359" s="57" t="str">
        <x:f>IF(COUNTA(A359:K359)=0,"",IF(K359="CANCELLED","CANCELLED",IF(A359="","INVOICE ID REQUIRED",IF(B359="","PROJECT ID REQUIRED",IF(NOT(ISNUMBER(C359)),"INVALID INVOICE DATE",IF(NOT(AND(ISNUMBER(C359),C359&gt;=2,C359&lt;=2958465,C359=INT(C359))),"INVALID INVOICE DATE",IF(NOT(OR(D359="MX",D359="US")),"ENTITY REQUIRED",IF(NOT(OR(E359="Strategic Services",E359="Brands")),"UNIT REQUIRED",IF(F359="","BRAND / N/A REQUIRED",IF(NOT(OR(G359="USD",G359="MXN")),"CURRENCY REQUIRED",IF(NOT(ISNUMBER(H359)),"AMOUNT REQUIRED",IF(J359="","ERP SOURCE REQUIRED",IF(NOT(OR(K359="ISSUED",K359="CANCELLED")),"INVOICE STATUS REQUIRED",IF(COUNTIFS($A$2:$A$501,A359,$B$2:$B$501,B359,$D$2:$D$501,D359)&gt;1,"DUPLICATE INVOICE / PROJECT",IF(SUMPRODUCT(--(('ERP Snapshot'!$A$2:$A$101&amp;"")=(B359&amp;"")))=0,"PROJECT NOT FOUND",IF(SUMPRODUCT(--(('ERP Snapshot'!$A$2:$A$101&amp;"")=(B359&amp;"")))&gt;1,"DUPLICATE PROJECT ID",IF(OR(SUMPRODUCT(--(('ERP Snapshot'!$A$2:$A$101&amp;"")=(B359&amp;"")),--('ERP Snapshot'!$Q$2:$Q$101=E359),--('ERP Snapshot'!$R$2:$R$101=F359))&lt;&gt;1,SUMPRODUCT(--('Commercial Catalogs'!$A$2:$A$10=E359),--('Commercial Catalogs'!$B$2:$B$10=F359),--('Commercial Catalogs'!$C$2:$C$10="YES"),--('Commercial Catalogs'!$D$2:$D$10="IN SCOPE"))=0,AND(E359="Strategic Services",F359&lt;&gt;"N/A"),AND(E359="Brands",F359="N/A")),"PROJECT CLASSIFICATION MISMATCH",IF(AND(G359="MXN",NOT(AND(ISNUMBER(I359),Settings!$B$8="APPROVED",Settings!$B$9&lt;&gt;"",Settings!$B$10&lt;&gt;""))),"FX HOLD","VALID"))))))))))))))))))</x:f>
      </x:c>
      <x:c r="M359" s="57" t="str">
        <x:f>IF(ISNUMBER(C359),IF(AND(ISNUMBER(C359),C359&gt;=2,C359&lt;=2958465,C359=INT(C359)),YEAR(C359)&amp;"-"&amp;IF(MONTH(C359)&lt;10,"0","")&amp;MONTH(C359),""),"")</x:f>
      </x:c>
      <x:c r="N359" s="59" t="str">
        <x:f>IF(L359="VALID",IF(G359="USD",H359,I359),"")</x:f>
      </x:c>
      <x:c r="O359" s="57" t="n">
        <x:f>IF(L359="VALID",IF(COUNTIFS($B$2:B359,B359,$M$2:M359,M359,$L$2:L359,"VALID")=1,1,0),0)</x:f>
        <x:v>0</x:v>
      </x:c>
    </x:row>
    <x:row r="360">
      <x:c r="A360" s="47"/>
      <x:c r="B360" s="47"/>
      <x:c r="C360" s="69"/>
      <x:c r="D360" s="47"/>
      <x:c r="E360" s="47"/>
      <x:c r="F360" s="47"/>
      <x:c r="G360" s="47"/>
      <x:c r="H360" s="48"/>
      <x:c r="I360" s="48"/>
      <x:c r="J360" s="47"/>
      <x:c r="K360" s="47"/>
      <x:c r="L360" s="57" t="str">
        <x:f>IF(COUNTA(A360:K360)=0,"",IF(K360="CANCELLED","CANCELLED",IF(A360="","INVOICE ID REQUIRED",IF(B360="","PROJECT ID REQUIRED",IF(NOT(ISNUMBER(C360)),"INVALID INVOICE DATE",IF(NOT(AND(ISNUMBER(C360),C360&gt;=2,C360&lt;=2958465,C360=INT(C360))),"INVALID INVOICE DATE",IF(NOT(OR(D360="MX",D360="US")),"ENTITY REQUIRED",IF(NOT(OR(E360="Strategic Services",E360="Brands")),"UNIT REQUIRED",IF(F360="","BRAND / N/A REQUIRED",IF(NOT(OR(G360="USD",G360="MXN")),"CURRENCY REQUIRED",IF(NOT(ISNUMBER(H360)),"AMOUNT REQUIRED",IF(J360="","ERP SOURCE REQUIRED",IF(NOT(OR(K360="ISSUED",K360="CANCELLED")),"INVOICE STATUS REQUIRED",IF(COUNTIFS($A$2:$A$501,A360,$B$2:$B$501,B360,$D$2:$D$501,D360)&gt;1,"DUPLICATE INVOICE / PROJECT",IF(SUMPRODUCT(--(('ERP Snapshot'!$A$2:$A$101&amp;"")=(B360&amp;"")))=0,"PROJECT NOT FOUND",IF(SUMPRODUCT(--(('ERP Snapshot'!$A$2:$A$101&amp;"")=(B360&amp;"")))&gt;1,"DUPLICATE PROJECT ID",IF(OR(SUMPRODUCT(--(('ERP Snapshot'!$A$2:$A$101&amp;"")=(B360&amp;"")),--('ERP Snapshot'!$Q$2:$Q$101=E360),--('ERP Snapshot'!$R$2:$R$101=F360))&lt;&gt;1,SUMPRODUCT(--('Commercial Catalogs'!$A$2:$A$10=E360),--('Commercial Catalogs'!$B$2:$B$10=F360),--('Commercial Catalogs'!$C$2:$C$10="YES"),--('Commercial Catalogs'!$D$2:$D$10="IN SCOPE"))=0,AND(E360="Strategic Services",F360&lt;&gt;"N/A"),AND(E360="Brands",F360="N/A")),"PROJECT CLASSIFICATION MISMATCH",IF(AND(G360="MXN",NOT(AND(ISNUMBER(I360),Settings!$B$8="APPROVED",Settings!$B$9&lt;&gt;"",Settings!$B$10&lt;&gt;""))),"FX HOLD","VALID"))))))))))))))))))</x:f>
      </x:c>
      <x:c r="M360" s="57" t="str">
        <x:f>IF(ISNUMBER(C360),IF(AND(ISNUMBER(C360),C360&gt;=2,C360&lt;=2958465,C360=INT(C360)),YEAR(C360)&amp;"-"&amp;IF(MONTH(C360)&lt;10,"0","")&amp;MONTH(C360),""),"")</x:f>
      </x:c>
      <x:c r="N360" s="59" t="str">
        <x:f>IF(L360="VALID",IF(G360="USD",H360,I360),"")</x:f>
      </x:c>
      <x:c r="O360" s="57" t="n">
        <x:f>IF(L360="VALID",IF(COUNTIFS($B$2:B360,B360,$M$2:M360,M360,$L$2:L360,"VALID")=1,1,0),0)</x:f>
        <x:v>0</x:v>
      </x:c>
    </x:row>
    <x:row r="361">
      <x:c r="A361" s="47"/>
      <x:c r="B361" s="47"/>
      <x:c r="C361" s="69"/>
      <x:c r="D361" s="47"/>
      <x:c r="E361" s="47"/>
      <x:c r="F361" s="47"/>
      <x:c r="G361" s="47"/>
      <x:c r="H361" s="48"/>
      <x:c r="I361" s="48"/>
      <x:c r="J361" s="47"/>
      <x:c r="K361" s="47"/>
      <x:c r="L361" s="57" t="str">
        <x:f>IF(COUNTA(A361:K361)=0,"",IF(K361="CANCELLED","CANCELLED",IF(A361="","INVOICE ID REQUIRED",IF(B361="","PROJECT ID REQUIRED",IF(NOT(ISNUMBER(C361)),"INVALID INVOICE DATE",IF(NOT(AND(ISNUMBER(C361),C361&gt;=2,C361&lt;=2958465,C361=INT(C361))),"INVALID INVOICE DATE",IF(NOT(OR(D361="MX",D361="US")),"ENTITY REQUIRED",IF(NOT(OR(E361="Strategic Services",E361="Brands")),"UNIT REQUIRED",IF(F361="","BRAND / N/A REQUIRED",IF(NOT(OR(G361="USD",G361="MXN")),"CURRENCY REQUIRED",IF(NOT(ISNUMBER(H361)),"AMOUNT REQUIRED",IF(J361="","ERP SOURCE REQUIRED",IF(NOT(OR(K361="ISSUED",K361="CANCELLED")),"INVOICE STATUS REQUIRED",IF(COUNTIFS($A$2:$A$501,A361,$B$2:$B$501,B361,$D$2:$D$501,D361)&gt;1,"DUPLICATE INVOICE / PROJECT",IF(SUMPRODUCT(--(('ERP Snapshot'!$A$2:$A$101&amp;"")=(B361&amp;"")))=0,"PROJECT NOT FOUND",IF(SUMPRODUCT(--(('ERP Snapshot'!$A$2:$A$101&amp;"")=(B361&amp;"")))&gt;1,"DUPLICATE PROJECT ID",IF(OR(SUMPRODUCT(--(('ERP Snapshot'!$A$2:$A$101&amp;"")=(B361&amp;"")),--('ERP Snapshot'!$Q$2:$Q$101=E361),--('ERP Snapshot'!$R$2:$R$101=F361))&lt;&gt;1,SUMPRODUCT(--('Commercial Catalogs'!$A$2:$A$10=E361),--('Commercial Catalogs'!$B$2:$B$10=F361),--('Commercial Catalogs'!$C$2:$C$10="YES"),--('Commercial Catalogs'!$D$2:$D$10="IN SCOPE"))=0,AND(E361="Strategic Services",F361&lt;&gt;"N/A"),AND(E361="Brands",F361="N/A")),"PROJECT CLASSIFICATION MISMATCH",IF(AND(G361="MXN",NOT(AND(ISNUMBER(I361),Settings!$B$8="APPROVED",Settings!$B$9&lt;&gt;"",Settings!$B$10&lt;&gt;""))),"FX HOLD","VALID"))))))))))))))))))</x:f>
      </x:c>
      <x:c r="M361" s="57" t="str">
        <x:f>IF(ISNUMBER(C361),IF(AND(ISNUMBER(C361),C361&gt;=2,C361&lt;=2958465,C361=INT(C361)),YEAR(C361)&amp;"-"&amp;IF(MONTH(C361)&lt;10,"0","")&amp;MONTH(C361),""),"")</x:f>
      </x:c>
      <x:c r="N361" s="59" t="str">
        <x:f>IF(L361="VALID",IF(G361="USD",H361,I361),"")</x:f>
      </x:c>
      <x:c r="O361" s="57" t="n">
        <x:f>IF(L361="VALID",IF(COUNTIFS($B$2:B361,B361,$M$2:M361,M361,$L$2:L361,"VALID")=1,1,0),0)</x:f>
        <x:v>0</x:v>
      </x:c>
    </x:row>
    <x:row r="362">
      <x:c r="A362" s="47"/>
      <x:c r="B362" s="47"/>
      <x:c r="C362" s="69"/>
      <x:c r="D362" s="47"/>
      <x:c r="E362" s="47"/>
      <x:c r="F362" s="47"/>
      <x:c r="G362" s="47"/>
      <x:c r="H362" s="48"/>
      <x:c r="I362" s="48"/>
      <x:c r="J362" s="47"/>
      <x:c r="K362" s="47"/>
      <x:c r="L362" s="57" t="str">
        <x:f>IF(COUNTA(A362:K362)=0,"",IF(K362="CANCELLED","CANCELLED",IF(A362="","INVOICE ID REQUIRED",IF(B362="","PROJECT ID REQUIRED",IF(NOT(ISNUMBER(C362)),"INVALID INVOICE DATE",IF(NOT(AND(ISNUMBER(C362),C362&gt;=2,C362&lt;=2958465,C362=INT(C362))),"INVALID INVOICE DATE",IF(NOT(OR(D362="MX",D362="US")),"ENTITY REQUIRED",IF(NOT(OR(E362="Strategic Services",E362="Brands")),"UNIT REQUIRED",IF(F362="","BRAND / N/A REQUIRED",IF(NOT(OR(G362="USD",G362="MXN")),"CURRENCY REQUIRED",IF(NOT(ISNUMBER(H362)),"AMOUNT REQUIRED",IF(J362="","ERP SOURCE REQUIRED",IF(NOT(OR(K362="ISSUED",K362="CANCELLED")),"INVOICE STATUS REQUIRED",IF(COUNTIFS($A$2:$A$501,A362,$B$2:$B$501,B362,$D$2:$D$501,D362)&gt;1,"DUPLICATE INVOICE / PROJECT",IF(SUMPRODUCT(--(('ERP Snapshot'!$A$2:$A$101&amp;"")=(B362&amp;"")))=0,"PROJECT NOT FOUND",IF(SUMPRODUCT(--(('ERP Snapshot'!$A$2:$A$101&amp;"")=(B362&amp;"")))&gt;1,"DUPLICATE PROJECT ID",IF(OR(SUMPRODUCT(--(('ERP Snapshot'!$A$2:$A$101&amp;"")=(B362&amp;"")),--('ERP Snapshot'!$Q$2:$Q$101=E362),--('ERP Snapshot'!$R$2:$R$101=F362))&lt;&gt;1,SUMPRODUCT(--('Commercial Catalogs'!$A$2:$A$10=E362),--('Commercial Catalogs'!$B$2:$B$10=F362),--('Commercial Catalogs'!$C$2:$C$10="YES"),--('Commercial Catalogs'!$D$2:$D$10="IN SCOPE"))=0,AND(E362="Strategic Services",F362&lt;&gt;"N/A"),AND(E362="Brands",F362="N/A")),"PROJECT CLASSIFICATION MISMATCH",IF(AND(G362="MXN",NOT(AND(ISNUMBER(I362),Settings!$B$8="APPROVED",Settings!$B$9&lt;&gt;"",Settings!$B$10&lt;&gt;""))),"FX HOLD","VALID"))))))))))))))))))</x:f>
      </x:c>
      <x:c r="M362" s="57" t="str">
        <x:f>IF(ISNUMBER(C362),IF(AND(ISNUMBER(C362),C362&gt;=2,C362&lt;=2958465,C362=INT(C362)),YEAR(C362)&amp;"-"&amp;IF(MONTH(C362)&lt;10,"0","")&amp;MONTH(C362),""),"")</x:f>
      </x:c>
      <x:c r="N362" s="59" t="str">
        <x:f>IF(L362="VALID",IF(G362="USD",H362,I362),"")</x:f>
      </x:c>
      <x:c r="O362" s="57" t="n">
        <x:f>IF(L362="VALID",IF(COUNTIFS($B$2:B362,B362,$M$2:M362,M362,$L$2:L362,"VALID")=1,1,0),0)</x:f>
        <x:v>0</x:v>
      </x:c>
    </x:row>
    <x:row r="363">
      <x:c r="A363" s="47"/>
      <x:c r="B363" s="47"/>
      <x:c r="C363" s="69"/>
      <x:c r="D363" s="47"/>
      <x:c r="E363" s="47"/>
      <x:c r="F363" s="47"/>
      <x:c r="G363" s="47"/>
      <x:c r="H363" s="48"/>
      <x:c r="I363" s="48"/>
      <x:c r="J363" s="47"/>
      <x:c r="K363" s="47"/>
      <x:c r="L363" s="57" t="str">
        <x:f>IF(COUNTA(A363:K363)=0,"",IF(K363="CANCELLED","CANCELLED",IF(A363="","INVOICE ID REQUIRED",IF(B363="","PROJECT ID REQUIRED",IF(NOT(ISNUMBER(C363)),"INVALID INVOICE DATE",IF(NOT(AND(ISNUMBER(C363),C363&gt;=2,C363&lt;=2958465,C363=INT(C363))),"INVALID INVOICE DATE",IF(NOT(OR(D363="MX",D363="US")),"ENTITY REQUIRED",IF(NOT(OR(E363="Strategic Services",E363="Brands")),"UNIT REQUIRED",IF(F363="","BRAND / N/A REQUIRED",IF(NOT(OR(G363="USD",G363="MXN")),"CURRENCY REQUIRED",IF(NOT(ISNUMBER(H363)),"AMOUNT REQUIRED",IF(J363="","ERP SOURCE REQUIRED",IF(NOT(OR(K363="ISSUED",K363="CANCELLED")),"INVOICE STATUS REQUIRED",IF(COUNTIFS($A$2:$A$501,A363,$B$2:$B$501,B363,$D$2:$D$501,D363)&gt;1,"DUPLICATE INVOICE / PROJECT",IF(SUMPRODUCT(--(('ERP Snapshot'!$A$2:$A$101&amp;"")=(B363&amp;"")))=0,"PROJECT NOT FOUND",IF(SUMPRODUCT(--(('ERP Snapshot'!$A$2:$A$101&amp;"")=(B363&amp;"")))&gt;1,"DUPLICATE PROJECT ID",IF(OR(SUMPRODUCT(--(('ERP Snapshot'!$A$2:$A$101&amp;"")=(B363&amp;"")),--('ERP Snapshot'!$Q$2:$Q$101=E363),--('ERP Snapshot'!$R$2:$R$101=F363))&lt;&gt;1,SUMPRODUCT(--('Commercial Catalogs'!$A$2:$A$10=E363),--('Commercial Catalogs'!$B$2:$B$10=F363),--('Commercial Catalogs'!$C$2:$C$10="YES"),--('Commercial Catalogs'!$D$2:$D$10="IN SCOPE"))=0,AND(E363="Strategic Services",F363&lt;&gt;"N/A"),AND(E363="Brands",F363="N/A")),"PROJECT CLASSIFICATION MISMATCH",IF(AND(G363="MXN",NOT(AND(ISNUMBER(I363),Settings!$B$8="APPROVED",Settings!$B$9&lt;&gt;"",Settings!$B$10&lt;&gt;""))),"FX HOLD","VALID"))))))))))))))))))</x:f>
      </x:c>
      <x:c r="M363" s="57" t="str">
        <x:f>IF(ISNUMBER(C363),IF(AND(ISNUMBER(C363),C363&gt;=2,C363&lt;=2958465,C363=INT(C363)),YEAR(C363)&amp;"-"&amp;IF(MONTH(C363)&lt;10,"0","")&amp;MONTH(C363),""),"")</x:f>
      </x:c>
      <x:c r="N363" s="59" t="str">
        <x:f>IF(L363="VALID",IF(G363="USD",H363,I363),"")</x:f>
      </x:c>
      <x:c r="O363" s="57" t="n">
        <x:f>IF(L363="VALID",IF(COUNTIFS($B$2:B363,B363,$M$2:M363,M363,$L$2:L363,"VALID")=1,1,0),0)</x:f>
        <x:v>0</x:v>
      </x:c>
    </x:row>
    <x:row r="364">
      <x:c r="A364" s="47"/>
      <x:c r="B364" s="47"/>
      <x:c r="C364" s="69"/>
      <x:c r="D364" s="47"/>
      <x:c r="E364" s="47"/>
      <x:c r="F364" s="47"/>
      <x:c r="G364" s="47"/>
      <x:c r="H364" s="48"/>
      <x:c r="I364" s="48"/>
      <x:c r="J364" s="47"/>
      <x:c r="K364" s="47"/>
      <x:c r="L364" s="57" t="str">
        <x:f>IF(COUNTA(A364:K364)=0,"",IF(K364="CANCELLED","CANCELLED",IF(A364="","INVOICE ID REQUIRED",IF(B364="","PROJECT ID REQUIRED",IF(NOT(ISNUMBER(C364)),"INVALID INVOICE DATE",IF(NOT(AND(ISNUMBER(C364),C364&gt;=2,C364&lt;=2958465,C364=INT(C364))),"INVALID INVOICE DATE",IF(NOT(OR(D364="MX",D364="US")),"ENTITY REQUIRED",IF(NOT(OR(E364="Strategic Services",E364="Brands")),"UNIT REQUIRED",IF(F364="","BRAND / N/A REQUIRED",IF(NOT(OR(G364="USD",G364="MXN")),"CURRENCY REQUIRED",IF(NOT(ISNUMBER(H364)),"AMOUNT REQUIRED",IF(J364="","ERP SOURCE REQUIRED",IF(NOT(OR(K364="ISSUED",K364="CANCELLED")),"INVOICE STATUS REQUIRED",IF(COUNTIFS($A$2:$A$501,A364,$B$2:$B$501,B364,$D$2:$D$501,D364)&gt;1,"DUPLICATE INVOICE / PROJECT",IF(SUMPRODUCT(--(('ERP Snapshot'!$A$2:$A$101&amp;"")=(B364&amp;"")))=0,"PROJECT NOT FOUND",IF(SUMPRODUCT(--(('ERP Snapshot'!$A$2:$A$101&amp;"")=(B364&amp;"")))&gt;1,"DUPLICATE PROJECT ID",IF(OR(SUMPRODUCT(--(('ERP Snapshot'!$A$2:$A$101&amp;"")=(B364&amp;"")),--('ERP Snapshot'!$Q$2:$Q$101=E364),--('ERP Snapshot'!$R$2:$R$101=F364))&lt;&gt;1,SUMPRODUCT(--('Commercial Catalogs'!$A$2:$A$10=E364),--('Commercial Catalogs'!$B$2:$B$10=F364),--('Commercial Catalogs'!$C$2:$C$10="YES"),--('Commercial Catalogs'!$D$2:$D$10="IN SCOPE"))=0,AND(E364="Strategic Services",F364&lt;&gt;"N/A"),AND(E364="Brands",F364="N/A")),"PROJECT CLASSIFICATION MISMATCH",IF(AND(G364="MXN",NOT(AND(ISNUMBER(I364),Settings!$B$8="APPROVED",Settings!$B$9&lt;&gt;"",Settings!$B$10&lt;&gt;""))),"FX HOLD","VALID"))))))))))))))))))</x:f>
      </x:c>
      <x:c r="M364" s="57" t="str">
        <x:f>IF(ISNUMBER(C364),IF(AND(ISNUMBER(C364),C364&gt;=2,C364&lt;=2958465,C364=INT(C364)),YEAR(C364)&amp;"-"&amp;IF(MONTH(C364)&lt;10,"0","")&amp;MONTH(C364),""),"")</x:f>
      </x:c>
      <x:c r="N364" s="59" t="str">
        <x:f>IF(L364="VALID",IF(G364="USD",H364,I364),"")</x:f>
      </x:c>
      <x:c r="O364" s="57" t="n">
        <x:f>IF(L364="VALID",IF(COUNTIFS($B$2:B364,B364,$M$2:M364,M364,$L$2:L364,"VALID")=1,1,0),0)</x:f>
        <x:v>0</x:v>
      </x:c>
    </x:row>
    <x:row r="365">
      <x:c r="A365" s="47"/>
      <x:c r="B365" s="47"/>
      <x:c r="C365" s="69"/>
      <x:c r="D365" s="47"/>
      <x:c r="E365" s="47"/>
      <x:c r="F365" s="47"/>
      <x:c r="G365" s="47"/>
      <x:c r="H365" s="48"/>
      <x:c r="I365" s="48"/>
      <x:c r="J365" s="47"/>
      <x:c r="K365" s="47"/>
      <x:c r="L365" s="57" t="str">
        <x:f>IF(COUNTA(A365:K365)=0,"",IF(K365="CANCELLED","CANCELLED",IF(A365="","INVOICE ID REQUIRED",IF(B365="","PROJECT ID REQUIRED",IF(NOT(ISNUMBER(C365)),"INVALID INVOICE DATE",IF(NOT(AND(ISNUMBER(C365),C365&gt;=2,C365&lt;=2958465,C365=INT(C365))),"INVALID INVOICE DATE",IF(NOT(OR(D365="MX",D365="US")),"ENTITY REQUIRED",IF(NOT(OR(E365="Strategic Services",E365="Brands")),"UNIT REQUIRED",IF(F365="","BRAND / N/A REQUIRED",IF(NOT(OR(G365="USD",G365="MXN")),"CURRENCY REQUIRED",IF(NOT(ISNUMBER(H365)),"AMOUNT REQUIRED",IF(J365="","ERP SOURCE REQUIRED",IF(NOT(OR(K365="ISSUED",K365="CANCELLED")),"INVOICE STATUS REQUIRED",IF(COUNTIFS($A$2:$A$501,A365,$B$2:$B$501,B365,$D$2:$D$501,D365)&gt;1,"DUPLICATE INVOICE / PROJECT",IF(SUMPRODUCT(--(('ERP Snapshot'!$A$2:$A$101&amp;"")=(B365&amp;"")))=0,"PROJECT NOT FOUND",IF(SUMPRODUCT(--(('ERP Snapshot'!$A$2:$A$101&amp;"")=(B365&amp;"")))&gt;1,"DUPLICATE PROJECT ID",IF(OR(SUMPRODUCT(--(('ERP Snapshot'!$A$2:$A$101&amp;"")=(B365&amp;"")),--('ERP Snapshot'!$Q$2:$Q$101=E365),--('ERP Snapshot'!$R$2:$R$101=F365))&lt;&gt;1,SUMPRODUCT(--('Commercial Catalogs'!$A$2:$A$10=E365),--('Commercial Catalogs'!$B$2:$B$10=F365),--('Commercial Catalogs'!$C$2:$C$10="YES"),--('Commercial Catalogs'!$D$2:$D$10="IN SCOPE"))=0,AND(E365="Strategic Services",F365&lt;&gt;"N/A"),AND(E365="Brands",F365="N/A")),"PROJECT CLASSIFICATION MISMATCH",IF(AND(G365="MXN",NOT(AND(ISNUMBER(I365),Settings!$B$8="APPROVED",Settings!$B$9&lt;&gt;"",Settings!$B$10&lt;&gt;""))),"FX HOLD","VALID"))))))))))))))))))</x:f>
      </x:c>
      <x:c r="M365" s="57" t="str">
        <x:f>IF(ISNUMBER(C365),IF(AND(ISNUMBER(C365),C365&gt;=2,C365&lt;=2958465,C365=INT(C365)),YEAR(C365)&amp;"-"&amp;IF(MONTH(C365)&lt;10,"0","")&amp;MONTH(C365),""),"")</x:f>
      </x:c>
      <x:c r="N365" s="59" t="str">
        <x:f>IF(L365="VALID",IF(G365="USD",H365,I365),"")</x:f>
      </x:c>
      <x:c r="O365" s="57" t="n">
        <x:f>IF(L365="VALID",IF(COUNTIFS($B$2:B365,B365,$M$2:M365,M365,$L$2:L365,"VALID")=1,1,0),0)</x:f>
        <x:v>0</x:v>
      </x:c>
    </x:row>
    <x:row r="366">
      <x:c r="A366" s="47"/>
      <x:c r="B366" s="47"/>
      <x:c r="C366" s="69"/>
      <x:c r="D366" s="47"/>
      <x:c r="E366" s="47"/>
      <x:c r="F366" s="47"/>
      <x:c r="G366" s="47"/>
      <x:c r="H366" s="48"/>
      <x:c r="I366" s="48"/>
      <x:c r="J366" s="47"/>
      <x:c r="K366" s="47"/>
      <x:c r="L366" s="57" t="str">
        <x:f>IF(COUNTA(A366:K366)=0,"",IF(K366="CANCELLED","CANCELLED",IF(A366="","INVOICE ID REQUIRED",IF(B366="","PROJECT ID REQUIRED",IF(NOT(ISNUMBER(C366)),"INVALID INVOICE DATE",IF(NOT(AND(ISNUMBER(C366),C366&gt;=2,C366&lt;=2958465,C366=INT(C366))),"INVALID INVOICE DATE",IF(NOT(OR(D366="MX",D366="US")),"ENTITY REQUIRED",IF(NOT(OR(E366="Strategic Services",E366="Brands")),"UNIT REQUIRED",IF(F366="","BRAND / N/A REQUIRED",IF(NOT(OR(G366="USD",G366="MXN")),"CURRENCY REQUIRED",IF(NOT(ISNUMBER(H366)),"AMOUNT REQUIRED",IF(J366="","ERP SOURCE REQUIRED",IF(NOT(OR(K366="ISSUED",K366="CANCELLED")),"INVOICE STATUS REQUIRED",IF(COUNTIFS($A$2:$A$501,A366,$B$2:$B$501,B366,$D$2:$D$501,D366)&gt;1,"DUPLICATE INVOICE / PROJECT",IF(SUMPRODUCT(--(('ERP Snapshot'!$A$2:$A$101&amp;"")=(B366&amp;"")))=0,"PROJECT NOT FOUND",IF(SUMPRODUCT(--(('ERP Snapshot'!$A$2:$A$101&amp;"")=(B366&amp;"")))&gt;1,"DUPLICATE PROJECT ID",IF(OR(SUMPRODUCT(--(('ERP Snapshot'!$A$2:$A$101&amp;"")=(B366&amp;"")),--('ERP Snapshot'!$Q$2:$Q$101=E366),--('ERP Snapshot'!$R$2:$R$101=F366))&lt;&gt;1,SUMPRODUCT(--('Commercial Catalogs'!$A$2:$A$10=E366),--('Commercial Catalogs'!$B$2:$B$10=F366),--('Commercial Catalogs'!$C$2:$C$10="YES"),--('Commercial Catalogs'!$D$2:$D$10="IN SCOPE"))=0,AND(E366="Strategic Services",F366&lt;&gt;"N/A"),AND(E366="Brands",F366="N/A")),"PROJECT CLASSIFICATION MISMATCH",IF(AND(G366="MXN",NOT(AND(ISNUMBER(I366),Settings!$B$8="APPROVED",Settings!$B$9&lt;&gt;"",Settings!$B$10&lt;&gt;""))),"FX HOLD","VALID"))))))))))))))))))</x:f>
      </x:c>
      <x:c r="M366" s="57" t="str">
        <x:f>IF(ISNUMBER(C366),IF(AND(ISNUMBER(C366),C366&gt;=2,C366&lt;=2958465,C366=INT(C366)),YEAR(C366)&amp;"-"&amp;IF(MONTH(C366)&lt;10,"0","")&amp;MONTH(C366),""),"")</x:f>
      </x:c>
      <x:c r="N366" s="59" t="str">
        <x:f>IF(L366="VALID",IF(G366="USD",H366,I366),"")</x:f>
      </x:c>
      <x:c r="O366" s="57" t="n">
        <x:f>IF(L366="VALID",IF(COUNTIFS($B$2:B366,B366,$M$2:M366,M366,$L$2:L366,"VALID")=1,1,0),0)</x:f>
        <x:v>0</x:v>
      </x:c>
    </x:row>
    <x:row r="367">
      <x:c r="A367" s="47"/>
      <x:c r="B367" s="47"/>
      <x:c r="C367" s="69"/>
      <x:c r="D367" s="47"/>
      <x:c r="E367" s="47"/>
      <x:c r="F367" s="47"/>
      <x:c r="G367" s="47"/>
      <x:c r="H367" s="48"/>
      <x:c r="I367" s="48"/>
      <x:c r="J367" s="47"/>
      <x:c r="K367" s="47"/>
      <x:c r="L367" s="57" t="str">
        <x:f>IF(COUNTA(A367:K367)=0,"",IF(K367="CANCELLED","CANCELLED",IF(A367="","INVOICE ID REQUIRED",IF(B367="","PROJECT ID REQUIRED",IF(NOT(ISNUMBER(C367)),"INVALID INVOICE DATE",IF(NOT(AND(ISNUMBER(C367),C367&gt;=2,C367&lt;=2958465,C367=INT(C367))),"INVALID INVOICE DATE",IF(NOT(OR(D367="MX",D367="US")),"ENTITY REQUIRED",IF(NOT(OR(E367="Strategic Services",E367="Brands")),"UNIT REQUIRED",IF(F367="","BRAND / N/A REQUIRED",IF(NOT(OR(G367="USD",G367="MXN")),"CURRENCY REQUIRED",IF(NOT(ISNUMBER(H367)),"AMOUNT REQUIRED",IF(J367="","ERP SOURCE REQUIRED",IF(NOT(OR(K367="ISSUED",K367="CANCELLED")),"INVOICE STATUS REQUIRED",IF(COUNTIFS($A$2:$A$501,A367,$B$2:$B$501,B367,$D$2:$D$501,D367)&gt;1,"DUPLICATE INVOICE / PROJECT",IF(SUMPRODUCT(--(('ERP Snapshot'!$A$2:$A$101&amp;"")=(B367&amp;"")))=0,"PROJECT NOT FOUND",IF(SUMPRODUCT(--(('ERP Snapshot'!$A$2:$A$101&amp;"")=(B367&amp;"")))&gt;1,"DUPLICATE PROJECT ID",IF(OR(SUMPRODUCT(--(('ERP Snapshot'!$A$2:$A$101&amp;"")=(B367&amp;"")),--('ERP Snapshot'!$Q$2:$Q$101=E367),--('ERP Snapshot'!$R$2:$R$101=F367))&lt;&gt;1,SUMPRODUCT(--('Commercial Catalogs'!$A$2:$A$10=E367),--('Commercial Catalogs'!$B$2:$B$10=F367),--('Commercial Catalogs'!$C$2:$C$10="YES"),--('Commercial Catalogs'!$D$2:$D$10="IN SCOPE"))=0,AND(E367="Strategic Services",F367&lt;&gt;"N/A"),AND(E367="Brands",F367="N/A")),"PROJECT CLASSIFICATION MISMATCH",IF(AND(G367="MXN",NOT(AND(ISNUMBER(I367),Settings!$B$8="APPROVED",Settings!$B$9&lt;&gt;"",Settings!$B$10&lt;&gt;""))),"FX HOLD","VALID"))))))))))))))))))</x:f>
      </x:c>
      <x:c r="M367" s="57" t="str">
        <x:f>IF(ISNUMBER(C367),IF(AND(ISNUMBER(C367),C367&gt;=2,C367&lt;=2958465,C367=INT(C367)),YEAR(C367)&amp;"-"&amp;IF(MONTH(C367)&lt;10,"0","")&amp;MONTH(C367),""),"")</x:f>
      </x:c>
      <x:c r="N367" s="59" t="str">
        <x:f>IF(L367="VALID",IF(G367="USD",H367,I367),"")</x:f>
      </x:c>
      <x:c r="O367" s="57" t="n">
        <x:f>IF(L367="VALID",IF(COUNTIFS($B$2:B367,B367,$M$2:M367,M367,$L$2:L367,"VALID")=1,1,0),0)</x:f>
        <x:v>0</x:v>
      </x:c>
    </x:row>
    <x:row r="368">
      <x:c r="A368" s="47"/>
      <x:c r="B368" s="47"/>
      <x:c r="C368" s="69"/>
      <x:c r="D368" s="47"/>
      <x:c r="E368" s="47"/>
      <x:c r="F368" s="47"/>
      <x:c r="G368" s="47"/>
      <x:c r="H368" s="48"/>
      <x:c r="I368" s="48"/>
      <x:c r="J368" s="47"/>
      <x:c r="K368" s="47"/>
      <x:c r="L368" s="57" t="str">
        <x:f>IF(COUNTA(A368:K368)=0,"",IF(K368="CANCELLED","CANCELLED",IF(A368="","INVOICE ID REQUIRED",IF(B368="","PROJECT ID REQUIRED",IF(NOT(ISNUMBER(C368)),"INVALID INVOICE DATE",IF(NOT(AND(ISNUMBER(C368),C368&gt;=2,C368&lt;=2958465,C368=INT(C368))),"INVALID INVOICE DATE",IF(NOT(OR(D368="MX",D368="US")),"ENTITY REQUIRED",IF(NOT(OR(E368="Strategic Services",E368="Brands")),"UNIT REQUIRED",IF(F368="","BRAND / N/A REQUIRED",IF(NOT(OR(G368="USD",G368="MXN")),"CURRENCY REQUIRED",IF(NOT(ISNUMBER(H368)),"AMOUNT REQUIRED",IF(J368="","ERP SOURCE REQUIRED",IF(NOT(OR(K368="ISSUED",K368="CANCELLED")),"INVOICE STATUS REQUIRED",IF(COUNTIFS($A$2:$A$501,A368,$B$2:$B$501,B368,$D$2:$D$501,D368)&gt;1,"DUPLICATE INVOICE / PROJECT",IF(SUMPRODUCT(--(('ERP Snapshot'!$A$2:$A$101&amp;"")=(B368&amp;"")))=0,"PROJECT NOT FOUND",IF(SUMPRODUCT(--(('ERP Snapshot'!$A$2:$A$101&amp;"")=(B368&amp;"")))&gt;1,"DUPLICATE PROJECT ID",IF(OR(SUMPRODUCT(--(('ERP Snapshot'!$A$2:$A$101&amp;"")=(B368&amp;"")),--('ERP Snapshot'!$Q$2:$Q$101=E368),--('ERP Snapshot'!$R$2:$R$101=F368))&lt;&gt;1,SUMPRODUCT(--('Commercial Catalogs'!$A$2:$A$10=E368),--('Commercial Catalogs'!$B$2:$B$10=F368),--('Commercial Catalogs'!$C$2:$C$10="YES"),--('Commercial Catalogs'!$D$2:$D$10="IN SCOPE"))=0,AND(E368="Strategic Services",F368&lt;&gt;"N/A"),AND(E368="Brands",F368="N/A")),"PROJECT CLASSIFICATION MISMATCH",IF(AND(G368="MXN",NOT(AND(ISNUMBER(I368),Settings!$B$8="APPROVED",Settings!$B$9&lt;&gt;"",Settings!$B$10&lt;&gt;""))),"FX HOLD","VALID"))))))))))))))))))</x:f>
      </x:c>
      <x:c r="M368" s="57" t="str">
        <x:f>IF(ISNUMBER(C368),IF(AND(ISNUMBER(C368),C368&gt;=2,C368&lt;=2958465,C368=INT(C368)),YEAR(C368)&amp;"-"&amp;IF(MONTH(C368)&lt;10,"0","")&amp;MONTH(C368),""),"")</x:f>
      </x:c>
      <x:c r="N368" s="59" t="str">
        <x:f>IF(L368="VALID",IF(G368="USD",H368,I368),"")</x:f>
      </x:c>
      <x:c r="O368" s="57" t="n">
        <x:f>IF(L368="VALID",IF(COUNTIFS($B$2:B368,B368,$M$2:M368,M368,$L$2:L368,"VALID")=1,1,0),0)</x:f>
        <x:v>0</x:v>
      </x:c>
    </x:row>
    <x:row r="369">
      <x:c r="A369" s="47"/>
      <x:c r="B369" s="47"/>
      <x:c r="C369" s="69"/>
      <x:c r="D369" s="47"/>
      <x:c r="E369" s="47"/>
      <x:c r="F369" s="47"/>
      <x:c r="G369" s="47"/>
      <x:c r="H369" s="48"/>
      <x:c r="I369" s="48"/>
      <x:c r="J369" s="47"/>
      <x:c r="K369" s="47"/>
      <x:c r="L369" s="57" t="str">
        <x:f>IF(COUNTA(A369:K369)=0,"",IF(K369="CANCELLED","CANCELLED",IF(A369="","INVOICE ID REQUIRED",IF(B369="","PROJECT ID REQUIRED",IF(NOT(ISNUMBER(C369)),"INVALID INVOICE DATE",IF(NOT(AND(ISNUMBER(C369),C369&gt;=2,C369&lt;=2958465,C369=INT(C369))),"INVALID INVOICE DATE",IF(NOT(OR(D369="MX",D369="US")),"ENTITY REQUIRED",IF(NOT(OR(E369="Strategic Services",E369="Brands")),"UNIT REQUIRED",IF(F369="","BRAND / N/A REQUIRED",IF(NOT(OR(G369="USD",G369="MXN")),"CURRENCY REQUIRED",IF(NOT(ISNUMBER(H369)),"AMOUNT REQUIRED",IF(J369="","ERP SOURCE REQUIRED",IF(NOT(OR(K369="ISSUED",K369="CANCELLED")),"INVOICE STATUS REQUIRED",IF(COUNTIFS($A$2:$A$501,A369,$B$2:$B$501,B369,$D$2:$D$501,D369)&gt;1,"DUPLICATE INVOICE / PROJECT",IF(SUMPRODUCT(--(('ERP Snapshot'!$A$2:$A$101&amp;"")=(B369&amp;"")))=0,"PROJECT NOT FOUND",IF(SUMPRODUCT(--(('ERP Snapshot'!$A$2:$A$101&amp;"")=(B369&amp;"")))&gt;1,"DUPLICATE PROJECT ID",IF(OR(SUMPRODUCT(--(('ERP Snapshot'!$A$2:$A$101&amp;"")=(B369&amp;"")),--('ERP Snapshot'!$Q$2:$Q$101=E369),--('ERP Snapshot'!$R$2:$R$101=F369))&lt;&gt;1,SUMPRODUCT(--('Commercial Catalogs'!$A$2:$A$10=E369),--('Commercial Catalogs'!$B$2:$B$10=F369),--('Commercial Catalogs'!$C$2:$C$10="YES"),--('Commercial Catalogs'!$D$2:$D$10="IN SCOPE"))=0,AND(E369="Strategic Services",F369&lt;&gt;"N/A"),AND(E369="Brands",F369="N/A")),"PROJECT CLASSIFICATION MISMATCH",IF(AND(G369="MXN",NOT(AND(ISNUMBER(I369),Settings!$B$8="APPROVED",Settings!$B$9&lt;&gt;"",Settings!$B$10&lt;&gt;""))),"FX HOLD","VALID"))))))))))))))))))</x:f>
      </x:c>
      <x:c r="M369" s="57" t="str">
        <x:f>IF(ISNUMBER(C369),IF(AND(ISNUMBER(C369),C369&gt;=2,C369&lt;=2958465,C369=INT(C369)),YEAR(C369)&amp;"-"&amp;IF(MONTH(C369)&lt;10,"0","")&amp;MONTH(C369),""),"")</x:f>
      </x:c>
      <x:c r="N369" s="59" t="str">
        <x:f>IF(L369="VALID",IF(G369="USD",H369,I369),"")</x:f>
      </x:c>
      <x:c r="O369" s="57" t="n">
        <x:f>IF(L369="VALID",IF(COUNTIFS($B$2:B369,B369,$M$2:M369,M369,$L$2:L369,"VALID")=1,1,0),0)</x:f>
        <x:v>0</x:v>
      </x:c>
    </x:row>
    <x:row r="370">
      <x:c r="A370" s="47"/>
      <x:c r="B370" s="47"/>
      <x:c r="C370" s="69"/>
      <x:c r="D370" s="47"/>
      <x:c r="E370" s="47"/>
      <x:c r="F370" s="47"/>
      <x:c r="G370" s="47"/>
      <x:c r="H370" s="48"/>
      <x:c r="I370" s="48"/>
      <x:c r="J370" s="47"/>
      <x:c r="K370" s="47"/>
      <x:c r="L370" s="57" t="str">
        <x:f>IF(COUNTA(A370:K370)=0,"",IF(K370="CANCELLED","CANCELLED",IF(A370="","INVOICE ID REQUIRED",IF(B370="","PROJECT ID REQUIRED",IF(NOT(ISNUMBER(C370)),"INVALID INVOICE DATE",IF(NOT(AND(ISNUMBER(C370),C370&gt;=2,C370&lt;=2958465,C370=INT(C370))),"INVALID INVOICE DATE",IF(NOT(OR(D370="MX",D370="US")),"ENTITY REQUIRED",IF(NOT(OR(E370="Strategic Services",E370="Brands")),"UNIT REQUIRED",IF(F370="","BRAND / N/A REQUIRED",IF(NOT(OR(G370="USD",G370="MXN")),"CURRENCY REQUIRED",IF(NOT(ISNUMBER(H370)),"AMOUNT REQUIRED",IF(J370="","ERP SOURCE REQUIRED",IF(NOT(OR(K370="ISSUED",K370="CANCELLED")),"INVOICE STATUS REQUIRED",IF(COUNTIFS($A$2:$A$501,A370,$B$2:$B$501,B370,$D$2:$D$501,D370)&gt;1,"DUPLICATE INVOICE / PROJECT",IF(SUMPRODUCT(--(('ERP Snapshot'!$A$2:$A$101&amp;"")=(B370&amp;"")))=0,"PROJECT NOT FOUND",IF(SUMPRODUCT(--(('ERP Snapshot'!$A$2:$A$101&amp;"")=(B370&amp;"")))&gt;1,"DUPLICATE PROJECT ID",IF(OR(SUMPRODUCT(--(('ERP Snapshot'!$A$2:$A$101&amp;"")=(B370&amp;"")),--('ERP Snapshot'!$Q$2:$Q$101=E370),--('ERP Snapshot'!$R$2:$R$101=F370))&lt;&gt;1,SUMPRODUCT(--('Commercial Catalogs'!$A$2:$A$10=E370),--('Commercial Catalogs'!$B$2:$B$10=F370),--('Commercial Catalogs'!$C$2:$C$10="YES"),--('Commercial Catalogs'!$D$2:$D$10="IN SCOPE"))=0,AND(E370="Strategic Services",F370&lt;&gt;"N/A"),AND(E370="Brands",F370="N/A")),"PROJECT CLASSIFICATION MISMATCH",IF(AND(G370="MXN",NOT(AND(ISNUMBER(I370),Settings!$B$8="APPROVED",Settings!$B$9&lt;&gt;"",Settings!$B$10&lt;&gt;""))),"FX HOLD","VALID"))))))))))))))))))</x:f>
      </x:c>
      <x:c r="M370" s="57" t="str">
        <x:f>IF(ISNUMBER(C370),IF(AND(ISNUMBER(C370),C370&gt;=2,C370&lt;=2958465,C370=INT(C370)),YEAR(C370)&amp;"-"&amp;IF(MONTH(C370)&lt;10,"0","")&amp;MONTH(C370),""),"")</x:f>
      </x:c>
      <x:c r="N370" s="59" t="str">
        <x:f>IF(L370="VALID",IF(G370="USD",H370,I370),"")</x:f>
      </x:c>
      <x:c r="O370" s="57" t="n">
        <x:f>IF(L370="VALID",IF(COUNTIFS($B$2:B370,B370,$M$2:M370,M370,$L$2:L370,"VALID")=1,1,0),0)</x:f>
        <x:v>0</x:v>
      </x:c>
    </x:row>
    <x:row r="371">
      <x:c r="A371" s="47"/>
      <x:c r="B371" s="47"/>
      <x:c r="C371" s="69"/>
      <x:c r="D371" s="47"/>
      <x:c r="E371" s="47"/>
      <x:c r="F371" s="47"/>
      <x:c r="G371" s="47"/>
      <x:c r="H371" s="48"/>
      <x:c r="I371" s="48"/>
      <x:c r="J371" s="47"/>
      <x:c r="K371" s="47"/>
      <x:c r="L371" s="57" t="str">
        <x:f>IF(COUNTA(A371:K371)=0,"",IF(K371="CANCELLED","CANCELLED",IF(A371="","INVOICE ID REQUIRED",IF(B371="","PROJECT ID REQUIRED",IF(NOT(ISNUMBER(C371)),"INVALID INVOICE DATE",IF(NOT(AND(ISNUMBER(C371),C371&gt;=2,C371&lt;=2958465,C371=INT(C371))),"INVALID INVOICE DATE",IF(NOT(OR(D371="MX",D371="US")),"ENTITY REQUIRED",IF(NOT(OR(E371="Strategic Services",E371="Brands")),"UNIT REQUIRED",IF(F371="","BRAND / N/A REQUIRED",IF(NOT(OR(G371="USD",G371="MXN")),"CURRENCY REQUIRED",IF(NOT(ISNUMBER(H371)),"AMOUNT REQUIRED",IF(J371="","ERP SOURCE REQUIRED",IF(NOT(OR(K371="ISSUED",K371="CANCELLED")),"INVOICE STATUS REQUIRED",IF(COUNTIFS($A$2:$A$501,A371,$B$2:$B$501,B371,$D$2:$D$501,D371)&gt;1,"DUPLICATE INVOICE / PROJECT",IF(SUMPRODUCT(--(('ERP Snapshot'!$A$2:$A$101&amp;"")=(B371&amp;"")))=0,"PROJECT NOT FOUND",IF(SUMPRODUCT(--(('ERP Snapshot'!$A$2:$A$101&amp;"")=(B371&amp;"")))&gt;1,"DUPLICATE PROJECT ID",IF(OR(SUMPRODUCT(--(('ERP Snapshot'!$A$2:$A$101&amp;"")=(B371&amp;"")),--('ERP Snapshot'!$Q$2:$Q$101=E371),--('ERP Snapshot'!$R$2:$R$101=F371))&lt;&gt;1,SUMPRODUCT(--('Commercial Catalogs'!$A$2:$A$10=E371),--('Commercial Catalogs'!$B$2:$B$10=F371),--('Commercial Catalogs'!$C$2:$C$10="YES"),--('Commercial Catalogs'!$D$2:$D$10="IN SCOPE"))=0,AND(E371="Strategic Services",F371&lt;&gt;"N/A"),AND(E371="Brands",F371="N/A")),"PROJECT CLASSIFICATION MISMATCH",IF(AND(G371="MXN",NOT(AND(ISNUMBER(I371),Settings!$B$8="APPROVED",Settings!$B$9&lt;&gt;"",Settings!$B$10&lt;&gt;""))),"FX HOLD","VALID"))))))))))))))))))</x:f>
      </x:c>
      <x:c r="M371" s="57" t="str">
        <x:f>IF(ISNUMBER(C371),IF(AND(ISNUMBER(C371),C371&gt;=2,C371&lt;=2958465,C371=INT(C371)),YEAR(C371)&amp;"-"&amp;IF(MONTH(C371)&lt;10,"0","")&amp;MONTH(C371),""),"")</x:f>
      </x:c>
      <x:c r="N371" s="59" t="str">
        <x:f>IF(L371="VALID",IF(G371="USD",H371,I371),"")</x:f>
      </x:c>
      <x:c r="O371" s="57" t="n">
        <x:f>IF(L371="VALID",IF(COUNTIFS($B$2:B371,B371,$M$2:M371,M371,$L$2:L371,"VALID")=1,1,0),0)</x:f>
        <x:v>0</x:v>
      </x:c>
    </x:row>
    <x:row r="372">
      <x:c r="A372" s="47"/>
      <x:c r="B372" s="47"/>
      <x:c r="C372" s="69"/>
      <x:c r="D372" s="47"/>
      <x:c r="E372" s="47"/>
      <x:c r="F372" s="47"/>
      <x:c r="G372" s="47"/>
      <x:c r="H372" s="48"/>
      <x:c r="I372" s="48"/>
      <x:c r="J372" s="47"/>
      <x:c r="K372" s="47"/>
      <x:c r="L372" s="57" t="str">
        <x:f>IF(COUNTA(A372:K372)=0,"",IF(K372="CANCELLED","CANCELLED",IF(A372="","INVOICE ID REQUIRED",IF(B372="","PROJECT ID REQUIRED",IF(NOT(ISNUMBER(C372)),"INVALID INVOICE DATE",IF(NOT(AND(ISNUMBER(C372),C372&gt;=2,C372&lt;=2958465,C372=INT(C372))),"INVALID INVOICE DATE",IF(NOT(OR(D372="MX",D372="US")),"ENTITY REQUIRED",IF(NOT(OR(E372="Strategic Services",E372="Brands")),"UNIT REQUIRED",IF(F372="","BRAND / N/A REQUIRED",IF(NOT(OR(G372="USD",G372="MXN")),"CURRENCY REQUIRED",IF(NOT(ISNUMBER(H372)),"AMOUNT REQUIRED",IF(J372="","ERP SOURCE REQUIRED",IF(NOT(OR(K372="ISSUED",K372="CANCELLED")),"INVOICE STATUS REQUIRED",IF(COUNTIFS($A$2:$A$501,A372,$B$2:$B$501,B372,$D$2:$D$501,D372)&gt;1,"DUPLICATE INVOICE / PROJECT",IF(SUMPRODUCT(--(('ERP Snapshot'!$A$2:$A$101&amp;"")=(B372&amp;"")))=0,"PROJECT NOT FOUND",IF(SUMPRODUCT(--(('ERP Snapshot'!$A$2:$A$101&amp;"")=(B372&amp;"")))&gt;1,"DUPLICATE PROJECT ID",IF(OR(SUMPRODUCT(--(('ERP Snapshot'!$A$2:$A$101&amp;"")=(B372&amp;"")),--('ERP Snapshot'!$Q$2:$Q$101=E372),--('ERP Snapshot'!$R$2:$R$101=F372))&lt;&gt;1,SUMPRODUCT(--('Commercial Catalogs'!$A$2:$A$10=E372),--('Commercial Catalogs'!$B$2:$B$10=F372),--('Commercial Catalogs'!$C$2:$C$10="YES"),--('Commercial Catalogs'!$D$2:$D$10="IN SCOPE"))=0,AND(E372="Strategic Services",F372&lt;&gt;"N/A"),AND(E372="Brands",F372="N/A")),"PROJECT CLASSIFICATION MISMATCH",IF(AND(G372="MXN",NOT(AND(ISNUMBER(I372),Settings!$B$8="APPROVED",Settings!$B$9&lt;&gt;"",Settings!$B$10&lt;&gt;""))),"FX HOLD","VALID"))))))))))))))))))</x:f>
      </x:c>
      <x:c r="M372" s="57" t="str">
        <x:f>IF(ISNUMBER(C372),IF(AND(ISNUMBER(C372),C372&gt;=2,C372&lt;=2958465,C372=INT(C372)),YEAR(C372)&amp;"-"&amp;IF(MONTH(C372)&lt;10,"0","")&amp;MONTH(C372),""),"")</x:f>
      </x:c>
      <x:c r="N372" s="59" t="str">
        <x:f>IF(L372="VALID",IF(G372="USD",H372,I372),"")</x:f>
      </x:c>
      <x:c r="O372" s="57" t="n">
        <x:f>IF(L372="VALID",IF(COUNTIFS($B$2:B372,B372,$M$2:M372,M372,$L$2:L372,"VALID")=1,1,0),0)</x:f>
        <x:v>0</x:v>
      </x:c>
    </x:row>
    <x:row r="373">
      <x:c r="A373" s="47"/>
      <x:c r="B373" s="47"/>
      <x:c r="C373" s="69"/>
      <x:c r="D373" s="47"/>
      <x:c r="E373" s="47"/>
      <x:c r="F373" s="47"/>
      <x:c r="G373" s="47"/>
      <x:c r="H373" s="48"/>
      <x:c r="I373" s="48"/>
      <x:c r="J373" s="47"/>
      <x:c r="K373" s="47"/>
      <x:c r="L373" s="57" t="str">
        <x:f>IF(COUNTA(A373:K373)=0,"",IF(K373="CANCELLED","CANCELLED",IF(A373="","INVOICE ID REQUIRED",IF(B373="","PROJECT ID REQUIRED",IF(NOT(ISNUMBER(C373)),"INVALID INVOICE DATE",IF(NOT(AND(ISNUMBER(C373),C373&gt;=2,C373&lt;=2958465,C373=INT(C373))),"INVALID INVOICE DATE",IF(NOT(OR(D373="MX",D373="US")),"ENTITY REQUIRED",IF(NOT(OR(E373="Strategic Services",E373="Brands")),"UNIT REQUIRED",IF(F373="","BRAND / N/A REQUIRED",IF(NOT(OR(G373="USD",G373="MXN")),"CURRENCY REQUIRED",IF(NOT(ISNUMBER(H373)),"AMOUNT REQUIRED",IF(J373="","ERP SOURCE REQUIRED",IF(NOT(OR(K373="ISSUED",K373="CANCELLED")),"INVOICE STATUS REQUIRED",IF(COUNTIFS($A$2:$A$501,A373,$B$2:$B$501,B373,$D$2:$D$501,D373)&gt;1,"DUPLICATE INVOICE / PROJECT",IF(SUMPRODUCT(--(('ERP Snapshot'!$A$2:$A$101&amp;"")=(B373&amp;"")))=0,"PROJECT NOT FOUND",IF(SUMPRODUCT(--(('ERP Snapshot'!$A$2:$A$101&amp;"")=(B373&amp;"")))&gt;1,"DUPLICATE PROJECT ID",IF(OR(SUMPRODUCT(--(('ERP Snapshot'!$A$2:$A$101&amp;"")=(B373&amp;"")),--('ERP Snapshot'!$Q$2:$Q$101=E373),--('ERP Snapshot'!$R$2:$R$101=F373))&lt;&gt;1,SUMPRODUCT(--('Commercial Catalogs'!$A$2:$A$10=E373),--('Commercial Catalogs'!$B$2:$B$10=F373),--('Commercial Catalogs'!$C$2:$C$10="YES"),--('Commercial Catalogs'!$D$2:$D$10="IN SCOPE"))=0,AND(E373="Strategic Services",F373&lt;&gt;"N/A"),AND(E373="Brands",F373="N/A")),"PROJECT CLASSIFICATION MISMATCH",IF(AND(G373="MXN",NOT(AND(ISNUMBER(I373),Settings!$B$8="APPROVED",Settings!$B$9&lt;&gt;"",Settings!$B$10&lt;&gt;""))),"FX HOLD","VALID"))))))))))))))))))</x:f>
      </x:c>
      <x:c r="M373" s="57" t="str">
        <x:f>IF(ISNUMBER(C373),IF(AND(ISNUMBER(C373),C373&gt;=2,C373&lt;=2958465,C373=INT(C373)),YEAR(C373)&amp;"-"&amp;IF(MONTH(C373)&lt;10,"0","")&amp;MONTH(C373),""),"")</x:f>
      </x:c>
      <x:c r="N373" s="59" t="str">
        <x:f>IF(L373="VALID",IF(G373="USD",H373,I373),"")</x:f>
      </x:c>
      <x:c r="O373" s="57" t="n">
        <x:f>IF(L373="VALID",IF(COUNTIFS($B$2:B373,B373,$M$2:M373,M373,$L$2:L373,"VALID")=1,1,0),0)</x:f>
        <x:v>0</x:v>
      </x:c>
    </x:row>
    <x:row r="374">
      <x:c r="A374" s="47"/>
      <x:c r="B374" s="47"/>
      <x:c r="C374" s="69"/>
      <x:c r="D374" s="47"/>
      <x:c r="E374" s="47"/>
      <x:c r="F374" s="47"/>
      <x:c r="G374" s="47"/>
      <x:c r="H374" s="48"/>
      <x:c r="I374" s="48"/>
      <x:c r="J374" s="47"/>
      <x:c r="K374" s="47"/>
      <x:c r="L374" s="57" t="str">
        <x:f>IF(COUNTA(A374:K374)=0,"",IF(K374="CANCELLED","CANCELLED",IF(A374="","INVOICE ID REQUIRED",IF(B374="","PROJECT ID REQUIRED",IF(NOT(ISNUMBER(C374)),"INVALID INVOICE DATE",IF(NOT(AND(ISNUMBER(C374),C374&gt;=2,C374&lt;=2958465,C374=INT(C374))),"INVALID INVOICE DATE",IF(NOT(OR(D374="MX",D374="US")),"ENTITY REQUIRED",IF(NOT(OR(E374="Strategic Services",E374="Brands")),"UNIT REQUIRED",IF(F374="","BRAND / N/A REQUIRED",IF(NOT(OR(G374="USD",G374="MXN")),"CURRENCY REQUIRED",IF(NOT(ISNUMBER(H374)),"AMOUNT REQUIRED",IF(J374="","ERP SOURCE REQUIRED",IF(NOT(OR(K374="ISSUED",K374="CANCELLED")),"INVOICE STATUS REQUIRED",IF(COUNTIFS($A$2:$A$501,A374,$B$2:$B$501,B374,$D$2:$D$501,D374)&gt;1,"DUPLICATE INVOICE / PROJECT",IF(SUMPRODUCT(--(('ERP Snapshot'!$A$2:$A$101&amp;"")=(B374&amp;"")))=0,"PROJECT NOT FOUND",IF(SUMPRODUCT(--(('ERP Snapshot'!$A$2:$A$101&amp;"")=(B374&amp;"")))&gt;1,"DUPLICATE PROJECT ID",IF(OR(SUMPRODUCT(--(('ERP Snapshot'!$A$2:$A$101&amp;"")=(B374&amp;"")),--('ERP Snapshot'!$Q$2:$Q$101=E374),--('ERP Snapshot'!$R$2:$R$101=F374))&lt;&gt;1,SUMPRODUCT(--('Commercial Catalogs'!$A$2:$A$10=E374),--('Commercial Catalogs'!$B$2:$B$10=F374),--('Commercial Catalogs'!$C$2:$C$10="YES"),--('Commercial Catalogs'!$D$2:$D$10="IN SCOPE"))=0,AND(E374="Strategic Services",F374&lt;&gt;"N/A"),AND(E374="Brands",F374="N/A")),"PROJECT CLASSIFICATION MISMATCH",IF(AND(G374="MXN",NOT(AND(ISNUMBER(I374),Settings!$B$8="APPROVED",Settings!$B$9&lt;&gt;"",Settings!$B$10&lt;&gt;""))),"FX HOLD","VALID"))))))))))))))))))</x:f>
      </x:c>
      <x:c r="M374" s="57" t="str">
        <x:f>IF(ISNUMBER(C374),IF(AND(ISNUMBER(C374),C374&gt;=2,C374&lt;=2958465,C374=INT(C374)),YEAR(C374)&amp;"-"&amp;IF(MONTH(C374)&lt;10,"0","")&amp;MONTH(C374),""),"")</x:f>
      </x:c>
      <x:c r="N374" s="59" t="str">
        <x:f>IF(L374="VALID",IF(G374="USD",H374,I374),"")</x:f>
      </x:c>
      <x:c r="O374" s="57" t="n">
        <x:f>IF(L374="VALID",IF(COUNTIFS($B$2:B374,B374,$M$2:M374,M374,$L$2:L374,"VALID")=1,1,0),0)</x:f>
        <x:v>0</x:v>
      </x:c>
    </x:row>
    <x:row r="375">
      <x:c r="A375" s="47"/>
      <x:c r="B375" s="47"/>
      <x:c r="C375" s="69"/>
      <x:c r="D375" s="47"/>
      <x:c r="E375" s="47"/>
      <x:c r="F375" s="47"/>
      <x:c r="G375" s="47"/>
      <x:c r="H375" s="48"/>
      <x:c r="I375" s="48"/>
      <x:c r="J375" s="47"/>
      <x:c r="K375" s="47"/>
      <x:c r="L375" s="57" t="str">
        <x:f>IF(COUNTA(A375:K375)=0,"",IF(K375="CANCELLED","CANCELLED",IF(A375="","INVOICE ID REQUIRED",IF(B375="","PROJECT ID REQUIRED",IF(NOT(ISNUMBER(C375)),"INVALID INVOICE DATE",IF(NOT(AND(ISNUMBER(C375),C375&gt;=2,C375&lt;=2958465,C375=INT(C375))),"INVALID INVOICE DATE",IF(NOT(OR(D375="MX",D375="US")),"ENTITY REQUIRED",IF(NOT(OR(E375="Strategic Services",E375="Brands")),"UNIT REQUIRED",IF(F375="","BRAND / N/A REQUIRED",IF(NOT(OR(G375="USD",G375="MXN")),"CURRENCY REQUIRED",IF(NOT(ISNUMBER(H375)),"AMOUNT REQUIRED",IF(J375="","ERP SOURCE REQUIRED",IF(NOT(OR(K375="ISSUED",K375="CANCELLED")),"INVOICE STATUS REQUIRED",IF(COUNTIFS($A$2:$A$501,A375,$B$2:$B$501,B375,$D$2:$D$501,D375)&gt;1,"DUPLICATE INVOICE / PROJECT",IF(SUMPRODUCT(--(('ERP Snapshot'!$A$2:$A$101&amp;"")=(B375&amp;"")))=0,"PROJECT NOT FOUND",IF(SUMPRODUCT(--(('ERP Snapshot'!$A$2:$A$101&amp;"")=(B375&amp;"")))&gt;1,"DUPLICATE PROJECT ID",IF(OR(SUMPRODUCT(--(('ERP Snapshot'!$A$2:$A$101&amp;"")=(B375&amp;"")),--('ERP Snapshot'!$Q$2:$Q$101=E375),--('ERP Snapshot'!$R$2:$R$101=F375))&lt;&gt;1,SUMPRODUCT(--('Commercial Catalogs'!$A$2:$A$10=E375),--('Commercial Catalogs'!$B$2:$B$10=F375),--('Commercial Catalogs'!$C$2:$C$10="YES"),--('Commercial Catalogs'!$D$2:$D$10="IN SCOPE"))=0,AND(E375="Strategic Services",F375&lt;&gt;"N/A"),AND(E375="Brands",F375="N/A")),"PROJECT CLASSIFICATION MISMATCH",IF(AND(G375="MXN",NOT(AND(ISNUMBER(I375),Settings!$B$8="APPROVED",Settings!$B$9&lt;&gt;"",Settings!$B$10&lt;&gt;""))),"FX HOLD","VALID"))))))))))))))))))</x:f>
      </x:c>
      <x:c r="M375" s="57" t="str">
        <x:f>IF(ISNUMBER(C375),IF(AND(ISNUMBER(C375),C375&gt;=2,C375&lt;=2958465,C375=INT(C375)),YEAR(C375)&amp;"-"&amp;IF(MONTH(C375)&lt;10,"0","")&amp;MONTH(C375),""),"")</x:f>
      </x:c>
      <x:c r="N375" s="59" t="str">
        <x:f>IF(L375="VALID",IF(G375="USD",H375,I375),"")</x:f>
      </x:c>
      <x:c r="O375" s="57" t="n">
        <x:f>IF(L375="VALID",IF(COUNTIFS($B$2:B375,B375,$M$2:M375,M375,$L$2:L375,"VALID")=1,1,0),0)</x:f>
        <x:v>0</x:v>
      </x:c>
    </x:row>
    <x:row r="376">
      <x:c r="A376" s="47"/>
      <x:c r="B376" s="47"/>
      <x:c r="C376" s="69"/>
      <x:c r="D376" s="47"/>
      <x:c r="E376" s="47"/>
      <x:c r="F376" s="47"/>
      <x:c r="G376" s="47"/>
      <x:c r="H376" s="48"/>
      <x:c r="I376" s="48"/>
      <x:c r="J376" s="47"/>
      <x:c r="K376" s="47"/>
      <x:c r="L376" s="57" t="str">
        <x:f>IF(COUNTA(A376:K376)=0,"",IF(K376="CANCELLED","CANCELLED",IF(A376="","INVOICE ID REQUIRED",IF(B376="","PROJECT ID REQUIRED",IF(NOT(ISNUMBER(C376)),"INVALID INVOICE DATE",IF(NOT(AND(ISNUMBER(C376),C376&gt;=2,C376&lt;=2958465,C376=INT(C376))),"INVALID INVOICE DATE",IF(NOT(OR(D376="MX",D376="US")),"ENTITY REQUIRED",IF(NOT(OR(E376="Strategic Services",E376="Brands")),"UNIT REQUIRED",IF(F376="","BRAND / N/A REQUIRED",IF(NOT(OR(G376="USD",G376="MXN")),"CURRENCY REQUIRED",IF(NOT(ISNUMBER(H376)),"AMOUNT REQUIRED",IF(J376="","ERP SOURCE REQUIRED",IF(NOT(OR(K376="ISSUED",K376="CANCELLED")),"INVOICE STATUS REQUIRED",IF(COUNTIFS($A$2:$A$501,A376,$B$2:$B$501,B376,$D$2:$D$501,D376)&gt;1,"DUPLICATE INVOICE / PROJECT",IF(SUMPRODUCT(--(('ERP Snapshot'!$A$2:$A$101&amp;"")=(B376&amp;"")))=0,"PROJECT NOT FOUND",IF(SUMPRODUCT(--(('ERP Snapshot'!$A$2:$A$101&amp;"")=(B376&amp;"")))&gt;1,"DUPLICATE PROJECT ID",IF(OR(SUMPRODUCT(--(('ERP Snapshot'!$A$2:$A$101&amp;"")=(B376&amp;"")),--('ERP Snapshot'!$Q$2:$Q$101=E376),--('ERP Snapshot'!$R$2:$R$101=F376))&lt;&gt;1,SUMPRODUCT(--('Commercial Catalogs'!$A$2:$A$10=E376),--('Commercial Catalogs'!$B$2:$B$10=F376),--('Commercial Catalogs'!$C$2:$C$10="YES"),--('Commercial Catalogs'!$D$2:$D$10="IN SCOPE"))=0,AND(E376="Strategic Services",F376&lt;&gt;"N/A"),AND(E376="Brands",F376="N/A")),"PROJECT CLASSIFICATION MISMATCH",IF(AND(G376="MXN",NOT(AND(ISNUMBER(I376),Settings!$B$8="APPROVED",Settings!$B$9&lt;&gt;"",Settings!$B$10&lt;&gt;""))),"FX HOLD","VALID"))))))))))))))))))</x:f>
      </x:c>
      <x:c r="M376" s="57" t="str">
        <x:f>IF(ISNUMBER(C376),IF(AND(ISNUMBER(C376),C376&gt;=2,C376&lt;=2958465,C376=INT(C376)),YEAR(C376)&amp;"-"&amp;IF(MONTH(C376)&lt;10,"0","")&amp;MONTH(C376),""),"")</x:f>
      </x:c>
      <x:c r="N376" s="59" t="str">
        <x:f>IF(L376="VALID",IF(G376="USD",H376,I376),"")</x:f>
      </x:c>
      <x:c r="O376" s="57" t="n">
        <x:f>IF(L376="VALID",IF(COUNTIFS($B$2:B376,B376,$M$2:M376,M376,$L$2:L376,"VALID")=1,1,0),0)</x:f>
        <x:v>0</x:v>
      </x:c>
    </x:row>
    <x:row r="377">
      <x:c r="A377" s="47"/>
      <x:c r="B377" s="47"/>
      <x:c r="C377" s="69"/>
      <x:c r="D377" s="47"/>
      <x:c r="E377" s="47"/>
      <x:c r="F377" s="47"/>
      <x:c r="G377" s="47"/>
      <x:c r="H377" s="48"/>
      <x:c r="I377" s="48"/>
      <x:c r="J377" s="47"/>
      <x:c r="K377" s="47"/>
      <x:c r="L377" s="57" t="str">
        <x:f>IF(COUNTA(A377:K377)=0,"",IF(K377="CANCELLED","CANCELLED",IF(A377="","INVOICE ID REQUIRED",IF(B377="","PROJECT ID REQUIRED",IF(NOT(ISNUMBER(C377)),"INVALID INVOICE DATE",IF(NOT(AND(ISNUMBER(C377),C377&gt;=2,C377&lt;=2958465,C377=INT(C377))),"INVALID INVOICE DATE",IF(NOT(OR(D377="MX",D377="US")),"ENTITY REQUIRED",IF(NOT(OR(E377="Strategic Services",E377="Brands")),"UNIT REQUIRED",IF(F377="","BRAND / N/A REQUIRED",IF(NOT(OR(G377="USD",G377="MXN")),"CURRENCY REQUIRED",IF(NOT(ISNUMBER(H377)),"AMOUNT REQUIRED",IF(J377="","ERP SOURCE REQUIRED",IF(NOT(OR(K377="ISSUED",K377="CANCELLED")),"INVOICE STATUS REQUIRED",IF(COUNTIFS($A$2:$A$501,A377,$B$2:$B$501,B377,$D$2:$D$501,D377)&gt;1,"DUPLICATE INVOICE / PROJECT",IF(SUMPRODUCT(--(('ERP Snapshot'!$A$2:$A$101&amp;"")=(B377&amp;"")))=0,"PROJECT NOT FOUND",IF(SUMPRODUCT(--(('ERP Snapshot'!$A$2:$A$101&amp;"")=(B377&amp;"")))&gt;1,"DUPLICATE PROJECT ID",IF(OR(SUMPRODUCT(--(('ERP Snapshot'!$A$2:$A$101&amp;"")=(B377&amp;"")),--('ERP Snapshot'!$Q$2:$Q$101=E377),--('ERP Snapshot'!$R$2:$R$101=F377))&lt;&gt;1,SUMPRODUCT(--('Commercial Catalogs'!$A$2:$A$10=E377),--('Commercial Catalogs'!$B$2:$B$10=F377),--('Commercial Catalogs'!$C$2:$C$10="YES"),--('Commercial Catalogs'!$D$2:$D$10="IN SCOPE"))=0,AND(E377="Strategic Services",F377&lt;&gt;"N/A"),AND(E377="Brands",F377="N/A")),"PROJECT CLASSIFICATION MISMATCH",IF(AND(G377="MXN",NOT(AND(ISNUMBER(I377),Settings!$B$8="APPROVED",Settings!$B$9&lt;&gt;"",Settings!$B$10&lt;&gt;""))),"FX HOLD","VALID"))))))))))))))))))</x:f>
      </x:c>
      <x:c r="M377" s="57" t="str">
        <x:f>IF(ISNUMBER(C377),IF(AND(ISNUMBER(C377),C377&gt;=2,C377&lt;=2958465,C377=INT(C377)),YEAR(C377)&amp;"-"&amp;IF(MONTH(C377)&lt;10,"0","")&amp;MONTH(C377),""),"")</x:f>
      </x:c>
      <x:c r="N377" s="59" t="str">
        <x:f>IF(L377="VALID",IF(G377="USD",H377,I377),"")</x:f>
      </x:c>
      <x:c r="O377" s="57" t="n">
        <x:f>IF(L377="VALID",IF(COUNTIFS($B$2:B377,B377,$M$2:M377,M377,$L$2:L377,"VALID")=1,1,0),0)</x:f>
        <x:v>0</x:v>
      </x:c>
    </x:row>
    <x:row r="378">
      <x:c r="A378" s="47"/>
      <x:c r="B378" s="47"/>
      <x:c r="C378" s="69"/>
      <x:c r="D378" s="47"/>
      <x:c r="E378" s="47"/>
      <x:c r="F378" s="47"/>
      <x:c r="G378" s="47"/>
      <x:c r="H378" s="48"/>
      <x:c r="I378" s="48"/>
      <x:c r="J378" s="47"/>
      <x:c r="K378" s="47"/>
      <x:c r="L378" s="57" t="str">
        <x:f>IF(COUNTA(A378:K378)=0,"",IF(K378="CANCELLED","CANCELLED",IF(A378="","INVOICE ID REQUIRED",IF(B378="","PROJECT ID REQUIRED",IF(NOT(ISNUMBER(C378)),"INVALID INVOICE DATE",IF(NOT(AND(ISNUMBER(C378),C378&gt;=2,C378&lt;=2958465,C378=INT(C378))),"INVALID INVOICE DATE",IF(NOT(OR(D378="MX",D378="US")),"ENTITY REQUIRED",IF(NOT(OR(E378="Strategic Services",E378="Brands")),"UNIT REQUIRED",IF(F378="","BRAND / N/A REQUIRED",IF(NOT(OR(G378="USD",G378="MXN")),"CURRENCY REQUIRED",IF(NOT(ISNUMBER(H378)),"AMOUNT REQUIRED",IF(J378="","ERP SOURCE REQUIRED",IF(NOT(OR(K378="ISSUED",K378="CANCELLED")),"INVOICE STATUS REQUIRED",IF(COUNTIFS($A$2:$A$501,A378,$B$2:$B$501,B378,$D$2:$D$501,D378)&gt;1,"DUPLICATE INVOICE / PROJECT",IF(SUMPRODUCT(--(('ERP Snapshot'!$A$2:$A$101&amp;"")=(B378&amp;"")))=0,"PROJECT NOT FOUND",IF(SUMPRODUCT(--(('ERP Snapshot'!$A$2:$A$101&amp;"")=(B378&amp;"")))&gt;1,"DUPLICATE PROJECT ID",IF(OR(SUMPRODUCT(--(('ERP Snapshot'!$A$2:$A$101&amp;"")=(B378&amp;"")),--('ERP Snapshot'!$Q$2:$Q$101=E378),--('ERP Snapshot'!$R$2:$R$101=F378))&lt;&gt;1,SUMPRODUCT(--('Commercial Catalogs'!$A$2:$A$10=E378),--('Commercial Catalogs'!$B$2:$B$10=F378),--('Commercial Catalogs'!$C$2:$C$10="YES"),--('Commercial Catalogs'!$D$2:$D$10="IN SCOPE"))=0,AND(E378="Strategic Services",F378&lt;&gt;"N/A"),AND(E378="Brands",F378="N/A")),"PROJECT CLASSIFICATION MISMATCH",IF(AND(G378="MXN",NOT(AND(ISNUMBER(I378),Settings!$B$8="APPROVED",Settings!$B$9&lt;&gt;"",Settings!$B$10&lt;&gt;""))),"FX HOLD","VALID"))))))))))))))))))</x:f>
      </x:c>
      <x:c r="M378" s="57" t="str">
        <x:f>IF(ISNUMBER(C378),IF(AND(ISNUMBER(C378),C378&gt;=2,C378&lt;=2958465,C378=INT(C378)),YEAR(C378)&amp;"-"&amp;IF(MONTH(C378)&lt;10,"0","")&amp;MONTH(C378),""),"")</x:f>
      </x:c>
      <x:c r="N378" s="59" t="str">
        <x:f>IF(L378="VALID",IF(G378="USD",H378,I378),"")</x:f>
      </x:c>
      <x:c r="O378" s="57" t="n">
        <x:f>IF(L378="VALID",IF(COUNTIFS($B$2:B378,B378,$M$2:M378,M378,$L$2:L378,"VALID")=1,1,0),0)</x:f>
        <x:v>0</x:v>
      </x:c>
    </x:row>
    <x:row r="379">
      <x:c r="A379" s="47"/>
      <x:c r="B379" s="47"/>
      <x:c r="C379" s="69"/>
      <x:c r="D379" s="47"/>
      <x:c r="E379" s="47"/>
      <x:c r="F379" s="47"/>
      <x:c r="G379" s="47"/>
      <x:c r="H379" s="48"/>
      <x:c r="I379" s="48"/>
      <x:c r="J379" s="47"/>
      <x:c r="K379" s="47"/>
      <x:c r="L379" s="57" t="str">
        <x:f>IF(COUNTA(A379:K379)=0,"",IF(K379="CANCELLED","CANCELLED",IF(A379="","INVOICE ID REQUIRED",IF(B379="","PROJECT ID REQUIRED",IF(NOT(ISNUMBER(C379)),"INVALID INVOICE DATE",IF(NOT(AND(ISNUMBER(C379),C379&gt;=2,C379&lt;=2958465,C379=INT(C379))),"INVALID INVOICE DATE",IF(NOT(OR(D379="MX",D379="US")),"ENTITY REQUIRED",IF(NOT(OR(E379="Strategic Services",E379="Brands")),"UNIT REQUIRED",IF(F379="","BRAND / N/A REQUIRED",IF(NOT(OR(G379="USD",G379="MXN")),"CURRENCY REQUIRED",IF(NOT(ISNUMBER(H379)),"AMOUNT REQUIRED",IF(J379="","ERP SOURCE REQUIRED",IF(NOT(OR(K379="ISSUED",K379="CANCELLED")),"INVOICE STATUS REQUIRED",IF(COUNTIFS($A$2:$A$501,A379,$B$2:$B$501,B379,$D$2:$D$501,D379)&gt;1,"DUPLICATE INVOICE / PROJECT",IF(SUMPRODUCT(--(('ERP Snapshot'!$A$2:$A$101&amp;"")=(B379&amp;"")))=0,"PROJECT NOT FOUND",IF(SUMPRODUCT(--(('ERP Snapshot'!$A$2:$A$101&amp;"")=(B379&amp;"")))&gt;1,"DUPLICATE PROJECT ID",IF(OR(SUMPRODUCT(--(('ERP Snapshot'!$A$2:$A$101&amp;"")=(B379&amp;"")),--('ERP Snapshot'!$Q$2:$Q$101=E379),--('ERP Snapshot'!$R$2:$R$101=F379))&lt;&gt;1,SUMPRODUCT(--('Commercial Catalogs'!$A$2:$A$10=E379),--('Commercial Catalogs'!$B$2:$B$10=F379),--('Commercial Catalogs'!$C$2:$C$10="YES"),--('Commercial Catalogs'!$D$2:$D$10="IN SCOPE"))=0,AND(E379="Strategic Services",F379&lt;&gt;"N/A"),AND(E379="Brands",F379="N/A")),"PROJECT CLASSIFICATION MISMATCH",IF(AND(G379="MXN",NOT(AND(ISNUMBER(I379),Settings!$B$8="APPROVED",Settings!$B$9&lt;&gt;"",Settings!$B$10&lt;&gt;""))),"FX HOLD","VALID"))))))))))))))))))</x:f>
      </x:c>
      <x:c r="M379" s="57" t="str">
        <x:f>IF(ISNUMBER(C379),IF(AND(ISNUMBER(C379),C379&gt;=2,C379&lt;=2958465,C379=INT(C379)),YEAR(C379)&amp;"-"&amp;IF(MONTH(C379)&lt;10,"0","")&amp;MONTH(C379),""),"")</x:f>
      </x:c>
      <x:c r="N379" s="59" t="str">
        <x:f>IF(L379="VALID",IF(G379="USD",H379,I379),"")</x:f>
      </x:c>
      <x:c r="O379" s="57" t="n">
        <x:f>IF(L379="VALID",IF(COUNTIFS($B$2:B379,B379,$M$2:M379,M379,$L$2:L379,"VALID")=1,1,0),0)</x:f>
        <x:v>0</x:v>
      </x:c>
    </x:row>
    <x:row r="380">
      <x:c r="A380" s="47"/>
      <x:c r="B380" s="47"/>
      <x:c r="C380" s="69"/>
      <x:c r="D380" s="47"/>
      <x:c r="E380" s="47"/>
      <x:c r="F380" s="47"/>
      <x:c r="G380" s="47"/>
      <x:c r="H380" s="48"/>
      <x:c r="I380" s="48"/>
      <x:c r="J380" s="47"/>
      <x:c r="K380" s="47"/>
      <x:c r="L380" s="57" t="str">
        <x:f>IF(COUNTA(A380:K380)=0,"",IF(K380="CANCELLED","CANCELLED",IF(A380="","INVOICE ID REQUIRED",IF(B380="","PROJECT ID REQUIRED",IF(NOT(ISNUMBER(C380)),"INVALID INVOICE DATE",IF(NOT(AND(ISNUMBER(C380),C380&gt;=2,C380&lt;=2958465,C380=INT(C380))),"INVALID INVOICE DATE",IF(NOT(OR(D380="MX",D380="US")),"ENTITY REQUIRED",IF(NOT(OR(E380="Strategic Services",E380="Brands")),"UNIT REQUIRED",IF(F380="","BRAND / N/A REQUIRED",IF(NOT(OR(G380="USD",G380="MXN")),"CURRENCY REQUIRED",IF(NOT(ISNUMBER(H380)),"AMOUNT REQUIRED",IF(J380="","ERP SOURCE REQUIRED",IF(NOT(OR(K380="ISSUED",K380="CANCELLED")),"INVOICE STATUS REQUIRED",IF(COUNTIFS($A$2:$A$501,A380,$B$2:$B$501,B380,$D$2:$D$501,D380)&gt;1,"DUPLICATE INVOICE / PROJECT",IF(SUMPRODUCT(--(('ERP Snapshot'!$A$2:$A$101&amp;"")=(B380&amp;"")))=0,"PROJECT NOT FOUND",IF(SUMPRODUCT(--(('ERP Snapshot'!$A$2:$A$101&amp;"")=(B380&amp;"")))&gt;1,"DUPLICATE PROJECT ID",IF(OR(SUMPRODUCT(--(('ERP Snapshot'!$A$2:$A$101&amp;"")=(B380&amp;"")),--('ERP Snapshot'!$Q$2:$Q$101=E380),--('ERP Snapshot'!$R$2:$R$101=F380))&lt;&gt;1,SUMPRODUCT(--('Commercial Catalogs'!$A$2:$A$10=E380),--('Commercial Catalogs'!$B$2:$B$10=F380),--('Commercial Catalogs'!$C$2:$C$10="YES"),--('Commercial Catalogs'!$D$2:$D$10="IN SCOPE"))=0,AND(E380="Strategic Services",F380&lt;&gt;"N/A"),AND(E380="Brands",F380="N/A")),"PROJECT CLASSIFICATION MISMATCH",IF(AND(G380="MXN",NOT(AND(ISNUMBER(I380),Settings!$B$8="APPROVED",Settings!$B$9&lt;&gt;"",Settings!$B$10&lt;&gt;""))),"FX HOLD","VALID"))))))))))))))))))</x:f>
      </x:c>
      <x:c r="M380" s="57" t="str">
        <x:f>IF(ISNUMBER(C380),IF(AND(ISNUMBER(C380),C380&gt;=2,C380&lt;=2958465,C380=INT(C380)),YEAR(C380)&amp;"-"&amp;IF(MONTH(C380)&lt;10,"0","")&amp;MONTH(C380),""),"")</x:f>
      </x:c>
      <x:c r="N380" s="59" t="str">
        <x:f>IF(L380="VALID",IF(G380="USD",H380,I380),"")</x:f>
      </x:c>
      <x:c r="O380" s="57" t="n">
        <x:f>IF(L380="VALID",IF(COUNTIFS($B$2:B380,B380,$M$2:M380,M380,$L$2:L380,"VALID")=1,1,0),0)</x:f>
        <x:v>0</x:v>
      </x:c>
    </x:row>
    <x:row r="381">
      <x:c r="A381" s="47"/>
      <x:c r="B381" s="47"/>
      <x:c r="C381" s="69"/>
      <x:c r="D381" s="47"/>
      <x:c r="E381" s="47"/>
      <x:c r="F381" s="47"/>
      <x:c r="G381" s="47"/>
      <x:c r="H381" s="48"/>
      <x:c r="I381" s="48"/>
      <x:c r="J381" s="47"/>
      <x:c r="K381" s="47"/>
      <x:c r="L381" s="57" t="str">
        <x:f>IF(COUNTA(A381:K381)=0,"",IF(K381="CANCELLED","CANCELLED",IF(A381="","INVOICE ID REQUIRED",IF(B381="","PROJECT ID REQUIRED",IF(NOT(ISNUMBER(C381)),"INVALID INVOICE DATE",IF(NOT(AND(ISNUMBER(C381),C381&gt;=2,C381&lt;=2958465,C381=INT(C381))),"INVALID INVOICE DATE",IF(NOT(OR(D381="MX",D381="US")),"ENTITY REQUIRED",IF(NOT(OR(E381="Strategic Services",E381="Brands")),"UNIT REQUIRED",IF(F381="","BRAND / N/A REQUIRED",IF(NOT(OR(G381="USD",G381="MXN")),"CURRENCY REQUIRED",IF(NOT(ISNUMBER(H381)),"AMOUNT REQUIRED",IF(J381="","ERP SOURCE REQUIRED",IF(NOT(OR(K381="ISSUED",K381="CANCELLED")),"INVOICE STATUS REQUIRED",IF(COUNTIFS($A$2:$A$501,A381,$B$2:$B$501,B381,$D$2:$D$501,D381)&gt;1,"DUPLICATE INVOICE / PROJECT",IF(SUMPRODUCT(--(('ERP Snapshot'!$A$2:$A$101&amp;"")=(B381&amp;"")))=0,"PROJECT NOT FOUND",IF(SUMPRODUCT(--(('ERP Snapshot'!$A$2:$A$101&amp;"")=(B381&amp;"")))&gt;1,"DUPLICATE PROJECT ID",IF(OR(SUMPRODUCT(--(('ERP Snapshot'!$A$2:$A$101&amp;"")=(B381&amp;"")),--('ERP Snapshot'!$Q$2:$Q$101=E381),--('ERP Snapshot'!$R$2:$R$101=F381))&lt;&gt;1,SUMPRODUCT(--('Commercial Catalogs'!$A$2:$A$10=E381),--('Commercial Catalogs'!$B$2:$B$10=F381),--('Commercial Catalogs'!$C$2:$C$10="YES"),--('Commercial Catalogs'!$D$2:$D$10="IN SCOPE"))=0,AND(E381="Strategic Services",F381&lt;&gt;"N/A"),AND(E381="Brands",F381="N/A")),"PROJECT CLASSIFICATION MISMATCH",IF(AND(G381="MXN",NOT(AND(ISNUMBER(I381),Settings!$B$8="APPROVED",Settings!$B$9&lt;&gt;"",Settings!$B$10&lt;&gt;""))),"FX HOLD","VALID"))))))))))))))))))</x:f>
      </x:c>
      <x:c r="M381" s="57" t="str">
        <x:f>IF(ISNUMBER(C381),IF(AND(ISNUMBER(C381),C381&gt;=2,C381&lt;=2958465,C381=INT(C381)),YEAR(C381)&amp;"-"&amp;IF(MONTH(C381)&lt;10,"0","")&amp;MONTH(C381),""),"")</x:f>
      </x:c>
      <x:c r="N381" s="59" t="str">
        <x:f>IF(L381="VALID",IF(G381="USD",H381,I381),"")</x:f>
      </x:c>
      <x:c r="O381" s="57" t="n">
        <x:f>IF(L381="VALID",IF(COUNTIFS($B$2:B381,B381,$M$2:M381,M381,$L$2:L381,"VALID")=1,1,0),0)</x:f>
        <x:v>0</x:v>
      </x:c>
    </x:row>
    <x:row r="382">
      <x:c r="A382" s="47"/>
      <x:c r="B382" s="47"/>
      <x:c r="C382" s="69"/>
      <x:c r="D382" s="47"/>
      <x:c r="E382" s="47"/>
      <x:c r="F382" s="47"/>
      <x:c r="G382" s="47"/>
      <x:c r="H382" s="48"/>
      <x:c r="I382" s="48"/>
      <x:c r="J382" s="47"/>
      <x:c r="K382" s="47"/>
      <x:c r="L382" s="57" t="str">
        <x:f>IF(COUNTA(A382:K382)=0,"",IF(K382="CANCELLED","CANCELLED",IF(A382="","INVOICE ID REQUIRED",IF(B382="","PROJECT ID REQUIRED",IF(NOT(ISNUMBER(C382)),"INVALID INVOICE DATE",IF(NOT(AND(ISNUMBER(C382),C382&gt;=2,C382&lt;=2958465,C382=INT(C382))),"INVALID INVOICE DATE",IF(NOT(OR(D382="MX",D382="US")),"ENTITY REQUIRED",IF(NOT(OR(E382="Strategic Services",E382="Brands")),"UNIT REQUIRED",IF(F382="","BRAND / N/A REQUIRED",IF(NOT(OR(G382="USD",G382="MXN")),"CURRENCY REQUIRED",IF(NOT(ISNUMBER(H382)),"AMOUNT REQUIRED",IF(J382="","ERP SOURCE REQUIRED",IF(NOT(OR(K382="ISSUED",K382="CANCELLED")),"INVOICE STATUS REQUIRED",IF(COUNTIFS($A$2:$A$501,A382,$B$2:$B$501,B382,$D$2:$D$501,D382)&gt;1,"DUPLICATE INVOICE / PROJECT",IF(SUMPRODUCT(--(('ERP Snapshot'!$A$2:$A$101&amp;"")=(B382&amp;"")))=0,"PROJECT NOT FOUND",IF(SUMPRODUCT(--(('ERP Snapshot'!$A$2:$A$101&amp;"")=(B382&amp;"")))&gt;1,"DUPLICATE PROJECT ID",IF(OR(SUMPRODUCT(--(('ERP Snapshot'!$A$2:$A$101&amp;"")=(B382&amp;"")),--('ERP Snapshot'!$Q$2:$Q$101=E382),--('ERP Snapshot'!$R$2:$R$101=F382))&lt;&gt;1,SUMPRODUCT(--('Commercial Catalogs'!$A$2:$A$10=E382),--('Commercial Catalogs'!$B$2:$B$10=F382),--('Commercial Catalogs'!$C$2:$C$10="YES"),--('Commercial Catalogs'!$D$2:$D$10="IN SCOPE"))=0,AND(E382="Strategic Services",F382&lt;&gt;"N/A"),AND(E382="Brands",F382="N/A")),"PROJECT CLASSIFICATION MISMATCH",IF(AND(G382="MXN",NOT(AND(ISNUMBER(I382),Settings!$B$8="APPROVED",Settings!$B$9&lt;&gt;"",Settings!$B$10&lt;&gt;""))),"FX HOLD","VALID"))))))))))))))))))</x:f>
      </x:c>
      <x:c r="M382" s="57" t="str">
        <x:f>IF(ISNUMBER(C382),IF(AND(ISNUMBER(C382),C382&gt;=2,C382&lt;=2958465,C382=INT(C382)),YEAR(C382)&amp;"-"&amp;IF(MONTH(C382)&lt;10,"0","")&amp;MONTH(C382),""),"")</x:f>
      </x:c>
      <x:c r="N382" s="59" t="str">
        <x:f>IF(L382="VALID",IF(G382="USD",H382,I382),"")</x:f>
      </x:c>
      <x:c r="O382" s="57" t="n">
        <x:f>IF(L382="VALID",IF(COUNTIFS($B$2:B382,B382,$M$2:M382,M382,$L$2:L382,"VALID")=1,1,0),0)</x:f>
        <x:v>0</x:v>
      </x:c>
    </x:row>
    <x:row r="383">
      <x:c r="A383" s="47"/>
      <x:c r="B383" s="47"/>
      <x:c r="C383" s="69"/>
      <x:c r="D383" s="47"/>
      <x:c r="E383" s="47"/>
      <x:c r="F383" s="47"/>
      <x:c r="G383" s="47"/>
      <x:c r="H383" s="48"/>
      <x:c r="I383" s="48"/>
      <x:c r="J383" s="47"/>
      <x:c r="K383" s="47"/>
      <x:c r="L383" s="57" t="str">
        <x:f>IF(COUNTA(A383:K383)=0,"",IF(K383="CANCELLED","CANCELLED",IF(A383="","INVOICE ID REQUIRED",IF(B383="","PROJECT ID REQUIRED",IF(NOT(ISNUMBER(C383)),"INVALID INVOICE DATE",IF(NOT(AND(ISNUMBER(C383),C383&gt;=2,C383&lt;=2958465,C383=INT(C383))),"INVALID INVOICE DATE",IF(NOT(OR(D383="MX",D383="US")),"ENTITY REQUIRED",IF(NOT(OR(E383="Strategic Services",E383="Brands")),"UNIT REQUIRED",IF(F383="","BRAND / N/A REQUIRED",IF(NOT(OR(G383="USD",G383="MXN")),"CURRENCY REQUIRED",IF(NOT(ISNUMBER(H383)),"AMOUNT REQUIRED",IF(J383="","ERP SOURCE REQUIRED",IF(NOT(OR(K383="ISSUED",K383="CANCELLED")),"INVOICE STATUS REQUIRED",IF(COUNTIFS($A$2:$A$501,A383,$B$2:$B$501,B383,$D$2:$D$501,D383)&gt;1,"DUPLICATE INVOICE / PROJECT",IF(SUMPRODUCT(--(('ERP Snapshot'!$A$2:$A$101&amp;"")=(B383&amp;"")))=0,"PROJECT NOT FOUND",IF(SUMPRODUCT(--(('ERP Snapshot'!$A$2:$A$101&amp;"")=(B383&amp;"")))&gt;1,"DUPLICATE PROJECT ID",IF(OR(SUMPRODUCT(--(('ERP Snapshot'!$A$2:$A$101&amp;"")=(B383&amp;"")),--('ERP Snapshot'!$Q$2:$Q$101=E383),--('ERP Snapshot'!$R$2:$R$101=F383))&lt;&gt;1,SUMPRODUCT(--('Commercial Catalogs'!$A$2:$A$10=E383),--('Commercial Catalogs'!$B$2:$B$10=F383),--('Commercial Catalogs'!$C$2:$C$10="YES"),--('Commercial Catalogs'!$D$2:$D$10="IN SCOPE"))=0,AND(E383="Strategic Services",F383&lt;&gt;"N/A"),AND(E383="Brands",F383="N/A")),"PROJECT CLASSIFICATION MISMATCH",IF(AND(G383="MXN",NOT(AND(ISNUMBER(I383),Settings!$B$8="APPROVED",Settings!$B$9&lt;&gt;"",Settings!$B$10&lt;&gt;""))),"FX HOLD","VALID"))))))))))))))))))</x:f>
      </x:c>
      <x:c r="M383" s="57" t="str">
        <x:f>IF(ISNUMBER(C383),IF(AND(ISNUMBER(C383),C383&gt;=2,C383&lt;=2958465,C383=INT(C383)),YEAR(C383)&amp;"-"&amp;IF(MONTH(C383)&lt;10,"0","")&amp;MONTH(C383),""),"")</x:f>
      </x:c>
      <x:c r="N383" s="59" t="str">
        <x:f>IF(L383="VALID",IF(G383="USD",H383,I383),"")</x:f>
      </x:c>
      <x:c r="O383" s="57" t="n">
        <x:f>IF(L383="VALID",IF(COUNTIFS($B$2:B383,B383,$M$2:M383,M383,$L$2:L383,"VALID")=1,1,0),0)</x:f>
        <x:v>0</x:v>
      </x:c>
    </x:row>
    <x:row r="384">
      <x:c r="A384" s="47"/>
      <x:c r="B384" s="47"/>
      <x:c r="C384" s="69"/>
      <x:c r="D384" s="47"/>
      <x:c r="E384" s="47"/>
      <x:c r="F384" s="47"/>
      <x:c r="G384" s="47"/>
      <x:c r="H384" s="48"/>
      <x:c r="I384" s="48"/>
      <x:c r="J384" s="47"/>
      <x:c r="K384" s="47"/>
      <x:c r="L384" s="57" t="str">
        <x:f>IF(COUNTA(A384:K384)=0,"",IF(K384="CANCELLED","CANCELLED",IF(A384="","INVOICE ID REQUIRED",IF(B384="","PROJECT ID REQUIRED",IF(NOT(ISNUMBER(C384)),"INVALID INVOICE DATE",IF(NOT(AND(ISNUMBER(C384),C384&gt;=2,C384&lt;=2958465,C384=INT(C384))),"INVALID INVOICE DATE",IF(NOT(OR(D384="MX",D384="US")),"ENTITY REQUIRED",IF(NOT(OR(E384="Strategic Services",E384="Brands")),"UNIT REQUIRED",IF(F384="","BRAND / N/A REQUIRED",IF(NOT(OR(G384="USD",G384="MXN")),"CURRENCY REQUIRED",IF(NOT(ISNUMBER(H384)),"AMOUNT REQUIRED",IF(J384="","ERP SOURCE REQUIRED",IF(NOT(OR(K384="ISSUED",K384="CANCELLED")),"INVOICE STATUS REQUIRED",IF(COUNTIFS($A$2:$A$501,A384,$B$2:$B$501,B384,$D$2:$D$501,D384)&gt;1,"DUPLICATE INVOICE / PROJECT",IF(SUMPRODUCT(--(('ERP Snapshot'!$A$2:$A$101&amp;"")=(B384&amp;"")))=0,"PROJECT NOT FOUND",IF(SUMPRODUCT(--(('ERP Snapshot'!$A$2:$A$101&amp;"")=(B384&amp;"")))&gt;1,"DUPLICATE PROJECT ID",IF(OR(SUMPRODUCT(--(('ERP Snapshot'!$A$2:$A$101&amp;"")=(B384&amp;"")),--('ERP Snapshot'!$Q$2:$Q$101=E384),--('ERP Snapshot'!$R$2:$R$101=F384))&lt;&gt;1,SUMPRODUCT(--('Commercial Catalogs'!$A$2:$A$10=E384),--('Commercial Catalogs'!$B$2:$B$10=F384),--('Commercial Catalogs'!$C$2:$C$10="YES"),--('Commercial Catalogs'!$D$2:$D$10="IN SCOPE"))=0,AND(E384="Strategic Services",F384&lt;&gt;"N/A"),AND(E384="Brands",F384="N/A")),"PROJECT CLASSIFICATION MISMATCH",IF(AND(G384="MXN",NOT(AND(ISNUMBER(I384),Settings!$B$8="APPROVED",Settings!$B$9&lt;&gt;"",Settings!$B$10&lt;&gt;""))),"FX HOLD","VALID"))))))))))))))))))</x:f>
      </x:c>
      <x:c r="M384" s="57" t="str">
        <x:f>IF(ISNUMBER(C384),IF(AND(ISNUMBER(C384),C384&gt;=2,C384&lt;=2958465,C384=INT(C384)),YEAR(C384)&amp;"-"&amp;IF(MONTH(C384)&lt;10,"0","")&amp;MONTH(C384),""),"")</x:f>
      </x:c>
      <x:c r="N384" s="59" t="str">
        <x:f>IF(L384="VALID",IF(G384="USD",H384,I384),"")</x:f>
      </x:c>
      <x:c r="O384" s="57" t="n">
        <x:f>IF(L384="VALID",IF(COUNTIFS($B$2:B384,B384,$M$2:M384,M384,$L$2:L384,"VALID")=1,1,0),0)</x:f>
        <x:v>0</x:v>
      </x:c>
    </x:row>
    <x:row r="385">
      <x:c r="A385" s="47"/>
      <x:c r="B385" s="47"/>
      <x:c r="C385" s="69"/>
      <x:c r="D385" s="47"/>
      <x:c r="E385" s="47"/>
      <x:c r="F385" s="47"/>
      <x:c r="G385" s="47"/>
      <x:c r="H385" s="48"/>
      <x:c r="I385" s="48"/>
      <x:c r="J385" s="47"/>
      <x:c r="K385" s="47"/>
      <x:c r="L385" s="57" t="str">
        <x:f>IF(COUNTA(A385:K385)=0,"",IF(K385="CANCELLED","CANCELLED",IF(A385="","INVOICE ID REQUIRED",IF(B385="","PROJECT ID REQUIRED",IF(NOT(ISNUMBER(C385)),"INVALID INVOICE DATE",IF(NOT(AND(ISNUMBER(C385),C385&gt;=2,C385&lt;=2958465,C385=INT(C385))),"INVALID INVOICE DATE",IF(NOT(OR(D385="MX",D385="US")),"ENTITY REQUIRED",IF(NOT(OR(E385="Strategic Services",E385="Brands")),"UNIT REQUIRED",IF(F385="","BRAND / N/A REQUIRED",IF(NOT(OR(G385="USD",G385="MXN")),"CURRENCY REQUIRED",IF(NOT(ISNUMBER(H385)),"AMOUNT REQUIRED",IF(J385="","ERP SOURCE REQUIRED",IF(NOT(OR(K385="ISSUED",K385="CANCELLED")),"INVOICE STATUS REQUIRED",IF(COUNTIFS($A$2:$A$501,A385,$B$2:$B$501,B385,$D$2:$D$501,D385)&gt;1,"DUPLICATE INVOICE / PROJECT",IF(SUMPRODUCT(--(('ERP Snapshot'!$A$2:$A$101&amp;"")=(B385&amp;"")))=0,"PROJECT NOT FOUND",IF(SUMPRODUCT(--(('ERP Snapshot'!$A$2:$A$101&amp;"")=(B385&amp;"")))&gt;1,"DUPLICATE PROJECT ID",IF(OR(SUMPRODUCT(--(('ERP Snapshot'!$A$2:$A$101&amp;"")=(B385&amp;"")),--('ERP Snapshot'!$Q$2:$Q$101=E385),--('ERP Snapshot'!$R$2:$R$101=F385))&lt;&gt;1,SUMPRODUCT(--('Commercial Catalogs'!$A$2:$A$10=E385),--('Commercial Catalogs'!$B$2:$B$10=F385),--('Commercial Catalogs'!$C$2:$C$10="YES"),--('Commercial Catalogs'!$D$2:$D$10="IN SCOPE"))=0,AND(E385="Strategic Services",F385&lt;&gt;"N/A"),AND(E385="Brands",F385="N/A")),"PROJECT CLASSIFICATION MISMATCH",IF(AND(G385="MXN",NOT(AND(ISNUMBER(I385),Settings!$B$8="APPROVED",Settings!$B$9&lt;&gt;"",Settings!$B$10&lt;&gt;""))),"FX HOLD","VALID"))))))))))))))))))</x:f>
      </x:c>
      <x:c r="M385" s="57" t="str">
        <x:f>IF(ISNUMBER(C385),IF(AND(ISNUMBER(C385),C385&gt;=2,C385&lt;=2958465,C385=INT(C385)),YEAR(C385)&amp;"-"&amp;IF(MONTH(C385)&lt;10,"0","")&amp;MONTH(C385),""),"")</x:f>
      </x:c>
      <x:c r="N385" s="59" t="str">
        <x:f>IF(L385="VALID",IF(G385="USD",H385,I385),"")</x:f>
      </x:c>
      <x:c r="O385" s="57" t="n">
        <x:f>IF(L385="VALID",IF(COUNTIFS($B$2:B385,B385,$M$2:M385,M385,$L$2:L385,"VALID")=1,1,0),0)</x:f>
        <x:v>0</x:v>
      </x:c>
    </x:row>
    <x:row r="386">
      <x:c r="A386" s="47"/>
      <x:c r="B386" s="47"/>
      <x:c r="C386" s="69"/>
      <x:c r="D386" s="47"/>
      <x:c r="E386" s="47"/>
      <x:c r="F386" s="47"/>
      <x:c r="G386" s="47"/>
      <x:c r="H386" s="48"/>
      <x:c r="I386" s="48"/>
      <x:c r="J386" s="47"/>
      <x:c r="K386" s="47"/>
      <x:c r="L386" s="57" t="str">
        <x:f>IF(COUNTA(A386:K386)=0,"",IF(K386="CANCELLED","CANCELLED",IF(A386="","INVOICE ID REQUIRED",IF(B386="","PROJECT ID REQUIRED",IF(NOT(ISNUMBER(C386)),"INVALID INVOICE DATE",IF(NOT(AND(ISNUMBER(C386),C386&gt;=2,C386&lt;=2958465,C386=INT(C386))),"INVALID INVOICE DATE",IF(NOT(OR(D386="MX",D386="US")),"ENTITY REQUIRED",IF(NOT(OR(E386="Strategic Services",E386="Brands")),"UNIT REQUIRED",IF(F386="","BRAND / N/A REQUIRED",IF(NOT(OR(G386="USD",G386="MXN")),"CURRENCY REQUIRED",IF(NOT(ISNUMBER(H386)),"AMOUNT REQUIRED",IF(J386="","ERP SOURCE REQUIRED",IF(NOT(OR(K386="ISSUED",K386="CANCELLED")),"INVOICE STATUS REQUIRED",IF(COUNTIFS($A$2:$A$501,A386,$B$2:$B$501,B386,$D$2:$D$501,D386)&gt;1,"DUPLICATE INVOICE / PROJECT",IF(SUMPRODUCT(--(('ERP Snapshot'!$A$2:$A$101&amp;"")=(B386&amp;"")))=0,"PROJECT NOT FOUND",IF(SUMPRODUCT(--(('ERP Snapshot'!$A$2:$A$101&amp;"")=(B386&amp;"")))&gt;1,"DUPLICATE PROJECT ID",IF(OR(SUMPRODUCT(--(('ERP Snapshot'!$A$2:$A$101&amp;"")=(B386&amp;"")),--('ERP Snapshot'!$Q$2:$Q$101=E386),--('ERP Snapshot'!$R$2:$R$101=F386))&lt;&gt;1,SUMPRODUCT(--('Commercial Catalogs'!$A$2:$A$10=E386),--('Commercial Catalogs'!$B$2:$B$10=F386),--('Commercial Catalogs'!$C$2:$C$10="YES"),--('Commercial Catalogs'!$D$2:$D$10="IN SCOPE"))=0,AND(E386="Strategic Services",F386&lt;&gt;"N/A"),AND(E386="Brands",F386="N/A")),"PROJECT CLASSIFICATION MISMATCH",IF(AND(G386="MXN",NOT(AND(ISNUMBER(I386),Settings!$B$8="APPROVED",Settings!$B$9&lt;&gt;"",Settings!$B$10&lt;&gt;""))),"FX HOLD","VALID"))))))))))))))))))</x:f>
      </x:c>
      <x:c r="M386" s="57" t="str">
        <x:f>IF(ISNUMBER(C386),IF(AND(ISNUMBER(C386),C386&gt;=2,C386&lt;=2958465,C386=INT(C386)),YEAR(C386)&amp;"-"&amp;IF(MONTH(C386)&lt;10,"0","")&amp;MONTH(C386),""),"")</x:f>
      </x:c>
      <x:c r="N386" s="59" t="str">
        <x:f>IF(L386="VALID",IF(G386="USD",H386,I386),"")</x:f>
      </x:c>
      <x:c r="O386" s="57" t="n">
        <x:f>IF(L386="VALID",IF(COUNTIFS($B$2:B386,B386,$M$2:M386,M386,$L$2:L386,"VALID")=1,1,0),0)</x:f>
        <x:v>0</x:v>
      </x:c>
    </x:row>
    <x:row r="387">
      <x:c r="A387" s="47"/>
      <x:c r="B387" s="47"/>
      <x:c r="C387" s="69"/>
      <x:c r="D387" s="47"/>
      <x:c r="E387" s="47"/>
      <x:c r="F387" s="47"/>
      <x:c r="G387" s="47"/>
      <x:c r="H387" s="48"/>
      <x:c r="I387" s="48"/>
      <x:c r="J387" s="47"/>
      <x:c r="K387" s="47"/>
      <x:c r="L387" s="57" t="str">
        <x:f>IF(COUNTA(A387:K387)=0,"",IF(K387="CANCELLED","CANCELLED",IF(A387="","INVOICE ID REQUIRED",IF(B387="","PROJECT ID REQUIRED",IF(NOT(ISNUMBER(C387)),"INVALID INVOICE DATE",IF(NOT(AND(ISNUMBER(C387),C387&gt;=2,C387&lt;=2958465,C387=INT(C387))),"INVALID INVOICE DATE",IF(NOT(OR(D387="MX",D387="US")),"ENTITY REQUIRED",IF(NOT(OR(E387="Strategic Services",E387="Brands")),"UNIT REQUIRED",IF(F387="","BRAND / N/A REQUIRED",IF(NOT(OR(G387="USD",G387="MXN")),"CURRENCY REQUIRED",IF(NOT(ISNUMBER(H387)),"AMOUNT REQUIRED",IF(J387="","ERP SOURCE REQUIRED",IF(NOT(OR(K387="ISSUED",K387="CANCELLED")),"INVOICE STATUS REQUIRED",IF(COUNTIFS($A$2:$A$501,A387,$B$2:$B$501,B387,$D$2:$D$501,D387)&gt;1,"DUPLICATE INVOICE / PROJECT",IF(SUMPRODUCT(--(('ERP Snapshot'!$A$2:$A$101&amp;"")=(B387&amp;"")))=0,"PROJECT NOT FOUND",IF(SUMPRODUCT(--(('ERP Snapshot'!$A$2:$A$101&amp;"")=(B387&amp;"")))&gt;1,"DUPLICATE PROJECT ID",IF(OR(SUMPRODUCT(--(('ERP Snapshot'!$A$2:$A$101&amp;"")=(B387&amp;"")),--('ERP Snapshot'!$Q$2:$Q$101=E387),--('ERP Snapshot'!$R$2:$R$101=F387))&lt;&gt;1,SUMPRODUCT(--('Commercial Catalogs'!$A$2:$A$10=E387),--('Commercial Catalogs'!$B$2:$B$10=F387),--('Commercial Catalogs'!$C$2:$C$10="YES"),--('Commercial Catalogs'!$D$2:$D$10="IN SCOPE"))=0,AND(E387="Strategic Services",F387&lt;&gt;"N/A"),AND(E387="Brands",F387="N/A")),"PROJECT CLASSIFICATION MISMATCH",IF(AND(G387="MXN",NOT(AND(ISNUMBER(I387),Settings!$B$8="APPROVED",Settings!$B$9&lt;&gt;"",Settings!$B$10&lt;&gt;""))),"FX HOLD","VALID"))))))))))))))))))</x:f>
      </x:c>
      <x:c r="M387" s="57" t="str">
        <x:f>IF(ISNUMBER(C387),IF(AND(ISNUMBER(C387),C387&gt;=2,C387&lt;=2958465,C387=INT(C387)),YEAR(C387)&amp;"-"&amp;IF(MONTH(C387)&lt;10,"0","")&amp;MONTH(C387),""),"")</x:f>
      </x:c>
      <x:c r="N387" s="59" t="str">
        <x:f>IF(L387="VALID",IF(G387="USD",H387,I387),"")</x:f>
      </x:c>
      <x:c r="O387" s="57" t="n">
        <x:f>IF(L387="VALID",IF(COUNTIFS($B$2:B387,B387,$M$2:M387,M387,$L$2:L387,"VALID")=1,1,0),0)</x:f>
        <x:v>0</x:v>
      </x:c>
    </x:row>
    <x:row r="388">
      <x:c r="A388" s="47"/>
      <x:c r="B388" s="47"/>
      <x:c r="C388" s="69"/>
      <x:c r="D388" s="47"/>
      <x:c r="E388" s="47"/>
      <x:c r="F388" s="47"/>
      <x:c r="G388" s="47"/>
      <x:c r="H388" s="48"/>
      <x:c r="I388" s="48"/>
      <x:c r="J388" s="47"/>
      <x:c r="K388" s="47"/>
      <x:c r="L388" s="57" t="str">
        <x:f>IF(COUNTA(A388:K388)=0,"",IF(K388="CANCELLED","CANCELLED",IF(A388="","INVOICE ID REQUIRED",IF(B388="","PROJECT ID REQUIRED",IF(NOT(ISNUMBER(C388)),"INVALID INVOICE DATE",IF(NOT(AND(ISNUMBER(C388),C388&gt;=2,C388&lt;=2958465,C388=INT(C388))),"INVALID INVOICE DATE",IF(NOT(OR(D388="MX",D388="US")),"ENTITY REQUIRED",IF(NOT(OR(E388="Strategic Services",E388="Brands")),"UNIT REQUIRED",IF(F388="","BRAND / N/A REQUIRED",IF(NOT(OR(G388="USD",G388="MXN")),"CURRENCY REQUIRED",IF(NOT(ISNUMBER(H388)),"AMOUNT REQUIRED",IF(J388="","ERP SOURCE REQUIRED",IF(NOT(OR(K388="ISSUED",K388="CANCELLED")),"INVOICE STATUS REQUIRED",IF(COUNTIFS($A$2:$A$501,A388,$B$2:$B$501,B388,$D$2:$D$501,D388)&gt;1,"DUPLICATE INVOICE / PROJECT",IF(SUMPRODUCT(--(('ERP Snapshot'!$A$2:$A$101&amp;"")=(B388&amp;"")))=0,"PROJECT NOT FOUND",IF(SUMPRODUCT(--(('ERP Snapshot'!$A$2:$A$101&amp;"")=(B388&amp;"")))&gt;1,"DUPLICATE PROJECT ID",IF(OR(SUMPRODUCT(--(('ERP Snapshot'!$A$2:$A$101&amp;"")=(B388&amp;"")),--('ERP Snapshot'!$Q$2:$Q$101=E388),--('ERP Snapshot'!$R$2:$R$101=F388))&lt;&gt;1,SUMPRODUCT(--('Commercial Catalogs'!$A$2:$A$10=E388),--('Commercial Catalogs'!$B$2:$B$10=F388),--('Commercial Catalogs'!$C$2:$C$10="YES"),--('Commercial Catalogs'!$D$2:$D$10="IN SCOPE"))=0,AND(E388="Strategic Services",F388&lt;&gt;"N/A"),AND(E388="Brands",F388="N/A")),"PROJECT CLASSIFICATION MISMATCH",IF(AND(G388="MXN",NOT(AND(ISNUMBER(I388),Settings!$B$8="APPROVED",Settings!$B$9&lt;&gt;"",Settings!$B$10&lt;&gt;""))),"FX HOLD","VALID"))))))))))))))))))</x:f>
      </x:c>
      <x:c r="M388" s="57" t="str">
        <x:f>IF(ISNUMBER(C388),IF(AND(ISNUMBER(C388),C388&gt;=2,C388&lt;=2958465,C388=INT(C388)),YEAR(C388)&amp;"-"&amp;IF(MONTH(C388)&lt;10,"0","")&amp;MONTH(C388),""),"")</x:f>
      </x:c>
      <x:c r="N388" s="59" t="str">
        <x:f>IF(L388="VALID",IF(G388="USD",H388,I388),"")</x:f>
      </x:c>
      <x:c r="O388" s="57" t="n">
        <x:f>IF(L388="VALID",IF(COUNTIFS($B$2:B388,B388,$M$2:M388,M388,$L$2:L388,"VALID")=1,1,0),0)</x:f>
        <x:v>0</x:v>
      </x:c>
    </x:row>
    <x:row r="389">
      <x:c r="A389" s="47"/>
      <x:c r="B389" s="47"/>
      <x:c r="C389" s="69"/>
      <x:c r="D389" s="47"/>
      <x:c r="E389" s="47"/>
      <x:c r="F389" s="47"/>
      <x:c r="G389" s="47"/>
      <x:c r="H389" s="48"/>
      <x:c r="I389" s="48"/>
      <x:c r="J389" s="47"/>
      <x:c r="K389" s="47"/>
      <x:c r="L389" s="57" t="str">
        <x:f>IF(COUNTA(A389:K389)=0,"",IF(K389="CANCELLED","CANCELLED",IF(A389="","INVOICE ID REQUIRED",IF(B389="","PROJECT ID REQUIRED",IF(NOT(ISNUMBER(C389)),"INVALID INVOICE DATE",IF(NOT(AND(ISNUMBER(C389),C389&gt;=2,C389&lt;=2958465,C389=INT(C389))),"INVALID INVOICE DATE",IF(NOT(OR(D389="MX",D389="US")),"ENTITY REQUIRED",IF(NOT(OR(E389="Strategic Services",E389="Brands")),"UNIT REQUIRED",IF(F389="","BRAND / N/A REQUIRED",IF(NOT(OR(G389="USD",G389="MXN")),"CURRENCY REQUIRED",IF(NOT(ISNUMBER(H389)),"AMOUNT REQUIRED",IF(J389="","ERP SOURCE REQUIRED",IF(NOT(OR(K389="ISSUED",K389="CANCELLED")),"INVOICE STATUS REQUIRED",IF(COUNTIFS($A$2:$A$501,A389,$B$2:$B$501,B389,$D$2:$D$501,D389)&gt;1,"DUPLICATE INVOICE / PROJECT",IF(SUMPRODUCT(--(('ERP Snapshot'!$A$2:$A$101&amp;"")=(B389&amp;"")))=0,"PROJECT NOT FOUND",IF(SUMPRODUCT(--(('ERP Snapshot'!$A$2:$A$101&amp;"")=(B389&amp;"")))&gt;1,"DUPLICATE PROJECT ID",IF(OR(SUMPRODUCT(--(('ERP Snapshot'!$A$2:$A$101&amp;"")=(B389&amp;"")),--('ERP Snapshot'!$Q$2:$Q$101=E389),--('ERP Snapshot'!$R$2:$R$101=F389))&lt;&gt;1,SUMPRODUCT(--('Commercial Catalogs'!$A$2:$A$10=E389),--('Commercial Catalogs'!$B$2:$B$10=F389),--('Commercial Catalogs'!$C$2:$C$10="YES"),--('Commercial Catalogs'!$D$2:$D$10="IN SCOPE"))=0,AND(E389="Strategic Services",F389&lt;&gt;"N/A"),AND(E389="Brands",F389="N/A")),"PROJECT CLASSIFICATION MISMATCH",IF(AND(G389="MXN",NOT(AND(ISNUMBER(I389),Settings!$B$8="APPROVED",Settings!$B$9&lt;&gt;"",Settings!$B$10&lt;&gt;""))),"FX HOLD","VALID"))))))))))))))))))</x:f>
      </x:c>
      <x:c r="M389" s="57" t="str">
        <x:f>IF(ISNUMBER(C389),IF(AND(ISNUMBER(C389),C389&gt;=2,C389&lt;=2958465,C389=INT(C389)),YEAR(C389)&amp;"-"&amp;IF(MONTH(C389)&lt;10,"0","")&amp;MONTH(C389),""),"")</x:f>
      </x:c>
      <x:c r="N389" s="59" t="str">
        <x:f>IF(L389="VALID",IF(G389="USD",H389,I389),"")</x:f>
      </x:c>
      <x:c r="O389" s="57" t="n">
        <x:f>IF(L389="VALID",IF(COUNTIFS($B$2:B389,B389,$M$2:M389,M389,$L$2:L389,"VALID")=1,1,0),0)</x:f>
        <x:v>0</x:v>
      </x:c>
    </x:row>
    <x:row r="390">
      <x:c r="A390" s="47"/>
      <x:c r="B390" s="47"/>
      <x:c r="C390" s="69"/>
      <x:c r="D390" s="47"/>
      <x:c r="E390" s="47"/>
      <x:c r="F390" s="47"/>
      <x:c r="G390" s="47"/>
      <x:c r="H390" s="48"/>
      <x:c r="I390" s="48"/>
      <x:c r="J390" s="47"/>
      <x:c r="K390" s="47"/>
      <x:c r="L390" s="57" t="str">
        <x:f>IF(COUNTA(A390:K390)=0,"",IF(K390="CANCELLED","CANCELLED",IF(A390="","INVOICE ID REQUIRED",IF(B390="","PROJECT ID REQUIRED",IF(NOT(ISNUMBER(C390)),"INVALID INVOICE DATE",IF(NOT(AND(ISNUMBER(C390),C390&gt;=2,C390&lt;=2958465,C390=INT(C390))),"INVALID INVOICE DATE",IF(NOT(OR(D390="MX",D390="US")),"ENTITY REQUIRED",IF(NOT(OR(E390="Strategic Services",E390="Brands")),"UNIT REQUIRED",IF(F390="","BRAND / N/A REQUIRED",IF(NOT(OR(G390="USD",G390="MXN")),"CURRENCY REQUIRED",IF(NOT(ISNUMBER(H390)),"AMOUNT REQUIRED",IF(J390="","ERP SOURCE REQUIRED",IF(NOT(OR(K390="ISSUED",K390="CANCELLED")),"INVOICE STATUS REQUIRED",IF(COUNTIFS($A$2:$A$501,A390,$B$2:$B$501,B390,$D$2:$D$501,D390)&gt;1,"DUPLICATE INVOICE / PROJECT",IF(SUMPRODUCT(--(('ERP Snapshot'!$A$2:$A$101&amp;"")=(B390&amp;"")))=0,"PROJECT NOT FOUND",IF(SUMPRODUCT(--(('ERP Snapshot'!$A$2:$A$101&amp;"")=(B390&amp;"")))&gt;1,"DUPLICATE PROJECT ID",IF(OR(SUMPRODUCT(--(('ERP Snapshot'!$A$2:$A$101&amp;"")=(B390&amp;"")),--('ERP Snapshot'!$Q$2:$Q$101=E390),--('ERP Snapshot'!$R$2:$R$101=F390))&lt;&gt;1,SUMPRODUCT(--('Commercial Catalogs'!$A$2:$A$10=E390),--('Commercial Catalogs'!$B$2:$B$10=F390),--('Commercial Catalogs'!$C$2:$C$10="YES"),--('Commercial Catalogs'!$D$2:$D$10="IN SCOPE"))=0,AND(E390="Strategic Services",F390&lt;&gt;"N/A"),AND(E390="Brands",F390="N/A")),"PROJECT CLASSIFICATION MISMATCH",IF(AND(G390="MXN",NOT(AND(ISNUMBER(I390),Settings!$B$8="APPROVED",Settings!$B$9&lt;&gt;"",Settings!$B$10&lt;&gt;""))),"FX HOLD","VALID"))))))))))))))))))</x:f>
      </x:c>
      <x:c r="M390" s="57" t="str">
        <x:f>IF(ISNUMBER(C390),IF(AND(ISNUMBER(C390),C390&gt;=2,C390&lt;=2958465,C390=INT(C390)),YEAR(C390)&amp;"-"&amp;IF(MONTH(C390)&lt;10,"0","")&amp;MONTH(C390),""),"")</x:f>
      </x:c>
      <x:c r="N390" s="59" t="str">
        <x:f>IF(L390="VALID",IF(G390="USD",H390,I390),"")</x:f>
      </x:c>
      <x:c r="O390" s="57" t="n">
        <x:f>IF(L390="VALID",IF(COUNTIFS($B$2:B390,B390,$M$2:M390,M390,$L$2:L390,"VALID")=1,1,0),0)</x:f>
        <x:v>0</x:v>
      </x:c>
    </x:row>
    <x:row r="391">
      <x:c r="A391" s="47"/>
      <x:c r="B391" s="47"/>
      <x:c r="C391" s="69"/>
      <x:c r="D391" s="47"/>
      <x:c r="E391" s="47"/>
      <x:c r="F391" s="47"/>
      <x:c r="G391" s="47"/>
      <x:c r="H391" s="48"/>
      <x:c r="I391" s="48"/>
      <x:c r="J391" s="47"/>
      <x:c r="K391" s="47"/>
      <x:c r="L391" s="57" t="str">
        <x:f>IF(COUNTA(A391:K391)=0,"",IF(K391="CANCELLED","CANCELLED",IF(A391="","INVOICE ID REQUIRED",IF(B391="","PROJECT ID REQUIRED",IF(NOT(ISNUMBER(C391)),"INVALID INVOICE DATE",IF(NOT(AND(ISNUMBER(C391),C391&gt;=2,C391&lt;=2958465,C391=INT(C391))),"INVALID INVOICE DATE",IF(NOT(OR(D391="MX",D391="US")),"ENTITY REQUIRED",IF(NOT(OR(E391="Strategic Services",E391="Brands")),"UNIT REQUIRED",IF(F391="","BRAND / N/A REQUIRED",IF(NOT(OR(G391="USD",G391="MXN")),"CURRENCY REQUIRED",IF(NOT(ISNUMBER(H391)),"AMOUNT REQUIRED",IF(J391="","ERP SOURCE REQUIRED",IF(NOT(OR(K391="ISSUED",K391="CANCELLED")),"INVOICE STATUS REQUIRED",IF(COUNTIFS($A$2:$A$501,A391,$B$2:$B$501,B391,$D$2:$D$501,D391)&gt;1,"DUPLICATE INVOICE / PROJECT",IF(SUMPRODUCT(--(('ERP Snapshot'!$A$2:$A$101&amp;"")=(B391&amp;"")))=0,"PROJECT NOT FOUND",IF(SUMPRODUCT(--(('ERP Snapshot'!$A$2:$A$101&amp;"")=(B391&amp;"")))&gt;1,"DUPLICATE PROJECT ID",IF(OR(SUMPRODUCT(--(('ERP Snapshot'!$A$2:$A$101&amp;"")=(B391&amp;"")),--('ERP Snapshot'!$Q$2:$Q$101=E391),--('ERP Snapshot'!$R$2:$R$101=F391))&lt;&gt;1,SUMPRODUCT(--('Commercial Catalogs'!$A$2:$A$10=E391),--('Commercial Catalogs'!$B$2:$B$10=F391),--('Commercial Catalogs'!$C$2:$C$10="YES"),--('Commercial Catalogs'!$D$2:$D$10="IN SCOPE"))=0,AND(E391="Strategic Services",F391&lt;&gt;"N/A"),AND(E391="Brands",F391="N/A")),"PROJECT CLASSIFICATION MISMATCH",IF(AND(G391="MXN",NOT(AND(ISNUMBER(I391),Settings!$B$8="APPROVED",Settings!$B$9&lt;&gt;"",Settings!$B$10&lt;&gt;""))),"FX HOLD","VALID"))))))))))))))))))</x:f>
      </x:c>
      <x:c r="M391" s="57" t="str">
        <x:f>IF(ISNUMBER(C391),IF(AND(ISNUMBER(C391),C391&gt;=2,C391&lt;=2958465,C391=INT(C391)),YEAR(C391)&amp;"-"&amp;IF(MONTH(C391)&lt;10,"0","")&amp;MONTH(C391),""),"")</x:f>
      </x:c>
      <x:c r="N391" s="59" t="str">
        <x:f>IF(L391="VALID",IF(G391="USD",H391,I391),"")</x:f>
      </x:c>
      <x:c r="O391" s="57" t="n">
        <x:f>IF(L391="VALID",IF(COUNTIFS($B$2:B391,B391,$M$2:M391,M391,$L$2:L391,"VALID")=1,1,0),0)</x:f>
        <x:v>0</x:v>
      </x:c>
    </x:row>
    <x:row r="392">
      <x:c r="A392" s="47"/>
      <x:c r="B392" s="47"/>
      <x:c r="C392" s="69"/>
      <x:c r="D392" s="47"/>
      <x:c r="E392" s="47"/>
      <x:c r="F392" s="47"/>
      <x:c r="G392" s="47"/>
      <x:c r="H392" s="48"/>
      <x:c r="I392" s="48"/>
      <x:c r="J392" s="47"/>
      <x:c r="K392" s="47"/>
      <x:c r="L392" s="57" t="str">
        <x:f>IF(COUNTA(A392:K392)=0,"",IF(K392="CANCELLED","CANCELLED",IF(A392="","INVOICE ID REQUIRED",IF(B392="","PROJECT ID REQUIRED",IF(NOT(ISNUMBER(C392)),"INVALID INVOICE DATE",IF(NOT(AND(ISNUMBER(C392),C392&gt;=2,C392&lt;=2958465,C392=INT(C392))),"INVALID INVOICE DATE",IF(NOT(OR(D392="MX",D392="US")),"ENTITY REQUIRED",IF(NOT(OR(E392="Strategic Services",E392="Brands")),"UNIT REQUIRED",IF(F392="","BRAND / N/A REQUIRED",IF(NOT(OR(G392="USD",G392="MXN")),"CURRENCY REQUIRED",IF(NOT(ISNUMBER(H392)),"AMOUNT REQUIRED",IF(J392="","ERP SOURCE REQUIRED",IF(NOT(OR(K392="ISSUED",K392="CANCELLED")),"INVOICE STATUS REQUIRED",IF(COUNTIFS($A$2:$A$501,A392,$B$2:$B$501,B392,$D$2:$D$501,D392)&gt;1,"DUPLICATE INVOICE / PROJECT",IF(SUMPRODUCT(--(('ERP Snapshot'!$A$2:$A$101&amp;"")=(B392&amp;"")))=0,"PROJECT NOT FOUND",IF(SUMPRODUCT(--(('ERP Snapshot'!$A$2:$A$101&amp;"")=(B392&amp;"")))&gt;1,"DUPLICATE PROJECT ID",IF(OR(SUMPRODUCT(--(('ERP Snapshot'!$A$2:$A$101&amp;"")=(B392&amp;"")),--('ERP Snapshot'!$Q$2:$Q$101=E392),--('ERP Snapshot'!$R$2:$R$101=F392))&lt;&gt;1,SUMPRODUCT(--('Commercial Catalogs'!$A$2:$A$10=E392),--('Commercial Catalogs'!$B$2:$B$10=F392),--('Commercial Catalogs'!$C$2:$C$10="YES"),--('Commercial Catalogs'!$D$2:$D$10="IN SCOPE"))=0,AND(E392="Strategic Services",F392&lt;&gt;"N/A"),AND(E392="Brands",F392="N/A")),"PROJECT CLASSIFICATION MISMATCH",IF(AND(G392="MXN",NOT(AND(ISNUMBER(I392),Settings!$B$8="APPROVED",Settings!$B$9&lt;&gt;"",Settings!$B$10&lt;&gt;""))),"FX HOLD","VALID"))))))))))))))))))</x:f>
      </x:c>
      <x:c r="M392" s="57" t="str">
        <x:f>IF(ISNUMBER(C392),IF(AND(ISNUMBER(C392),C392&gt;=2,C392&lt;=2958465,C392=INT(C392)),YEAR(C392)&amp;"-"&amp;IF(MONTH(C392)&lt;10,"0","")&amp;MONTH(C392),""),"")</x:f>
      </x:c>
      <x:c r="N392" s="59" t="str">
        <x:f>IF(L392="VALID",IF(G392="USD",H392,I392),"")</x:f>
      </x:c>
      <x:c r="O392" s="57" t="n">
        <x:f>IF(L392="VALID",IF(COUNTIFS($B$2:B392,B392,$M$2:M392,M392,$L$2:L392,"VALID")=1,1,0),0)</x:f>
        <x:v>0</x:v>
      </x:c>
    </x:row>
    <x:row r="393">
      <x:c r="A393" s="47"/>
      <x:c r="B393" s="47"/>
      <x:c r="C393" s="69"/>
      <x:c r="D393" s="47"/>
      <x:c r="E393" s="47"/>
      <x:c r="F393" s="47"/>
      <x:c r="G393" s="47"/>
      <x:c r="H393" s="48"/>
      <x:c r="I393" s="48"/>
      <x:c r="J393" s="47"/>
      <x:c r="K393" s="47"/>
      <x:c r="L393" s="57" t="str">
        <x:f>IF(COUNTA(A393:K393)=0,"",IF(K393="CANCELLED","CANCELLED",IF(A393="","INVOICE ID REQUIRED",IF(B393="","PROJECT ID REQUIRED",IF(NOT(ISNUMBER(C393)),"INVALID INVOICE DATE",IF(NOT(AND(ISNUMBER(C393),C393&gt;=2,C393&lt;=2958465,C393=INT(C393))),"INVALID INVOICE DATE",IF(NOT(OR(D393="MX",D393="US")),"ENTITY REQUIRED",IF(NOT(OR(E393="Strategic Services",E393="Brands")),"UNIT REQUIRED",IF(F393="","BRAND / N/A REQUIRED",IF(NOT(OR(G393="USD",G393="MXN")),"CURRENCY REQUIRED",IF(NOT(ISNUMBER(H393)),"AMOUNT REQUIRED",IF(J393="","ERP SOURCE REQUIRED",IF(NOT(OR(K393="ISSUED",K393="CANCELLED")),"INVOICE STATUS REQUIRED",IF(COUNTIFS($A$2:$A$501,A393,$B$2:$B$501,B393,$D$2:$D$501,D393)&gt;1,"DUPLICATE INVOICE / PROJECT",IF(SUMPRODUCT(--(('ERP Snapshot'!$A$2:$A$101&amp;"")=(B393&amp;"")))=0,"PROJECT NOT FOUND",IF(SUMPRODUCT(--(('ERP Snapshot'!$A$2:$A$101&amp;"")=(B393&amp;"")))&gt;1,"DUPLICATE PROJECT ID",IF(OR(SUMPRODUCT(--(('ERP Snapshot'!$A$2:$A$101&amp;"")=(B393&amp;"")),--('ERP Snapshot'!$Q$2:$Q$101=E393),--('ERP Snapshot'!$R$2:$R$101=F393))&lt;&gt;1,SUMPRODUCT(--('Commercial Catalogs'!$A$2:$A$10=E393),--('Commercial Catalogs'!$B$2:$B$10=F393),--('Commercial Catalogs'!$C$2:$C$10="YES"),--('Commercial Catalogs'!$D$2:$D$10="IN SCOPE"))=0,AND(E393="Strategic Services",F393&lt;&gt;"N/A"),AND(E393="Brands",F393="N/A")),"PROJECT CLASSIFICATION MISMATCH",IF(AND(G393="MXN",NOT(AND(ISNUMBER(I393),Settings!$B$8="APPROVED",Settings!$B$9&lt;&gt;"",Settings!$B$10&lt;&gt;""))),"FX HOLD","VALID"))))))))))))))))))</x:f>
      </x:c>
      <x:c r="M393" s="57" t="str">
        <x:f>IF(ISNUMBER(C393),IF(AND(ISNUMBER(C393),C393&gt;=2,C393&lt;=2958465,C393=INT(C393)),YEAR(C393)&amp;"-"&amp;IF(MONTH(C393)&lt;10,"0","")&amp;MONTH(C393),""),"")</x:f>
      </x:c>
      <x:c r="N393" s="59" t="str">
        <x:f>IF(L393="VALID",IF(G393="USD",H393,I393),"")</x:f>
      </x:c>
      <x:c r="O393" s="57" t="n">
        <x:f>IF(L393="VALID",IF(COUNTIFS($B$2:B393,B393,$M$2:M393,M393,$L$2:L393,"VALID")=1,1,0),0)</x:f>
        <x:v>0</x:v>
      </x:c>
    </x:row>
    <x:row r="394">
      <x:c r="A394" s="47"/>
      <x:c r="B394" s="47"/>
      <x:c r="C394" s="69"/>
      <x:c r="D394" s="47"/>
      <x:c r="E394" s="47"/>
      <x:c r="F394" s="47"/>
      <x:c r="G394" s="47"/>
      <x:c r="H394" s="48"/>
      <x:c r="I394" s="48"/>
      <x:c r="J394" s="47"/>
      <x:c r="K394" s="47"/>
      <x:c r="L394" s="57" t="str">
        <x:f>IF(COUNTA(A394:K394)=0,"",IF(K394="CANCELLED","CANCELLED",IF(A394="","INVOICE ID REQUIRED",IF(B394="","PROJECT ID REQUIRED",IF(NOT(ISNUMBER(C394)),"INVALID INVOICE DATE",IF(NOT(AND(ISNUMBER(C394),C394&gt;=2,C394&lt;=2958465,C394=INT(C394))),"INVALID INVOICE DATE",IF(NOT(OR(D394="MX",D394="US")),"ENTITY REQUIRED",IF(NOT(OR(E394="Strategic Services",E394="Brands")),"UNIT REQUIRED",IF(F394="","BRAND / N/A REQUIRED",IF(NOT(OR(G394="USD",G394="MXN")),"CURRENCY REQUIRED",IF(NOT(ISNUMBER(H394)),"AMOUNT REQUIRED",IF(J394="","ERP SOURCE REQUIRED",IF(NOT(OR(K394="ISSUED",K394="CANCELLED")),"INVOICE STATUS REQUIRED",IF(COUNTIFS($A$2:$A$501,A394,$B$2:$B$501,B394,$D$2:$D$501,D394)&gt;1,"DUPLICATE INVOICE / PROJECT",IF(SUMPRODUCT(--(('ERP Snapshot'!$A$2:$A$101&amp;"")=(B394&amp;"")))=0,"PROJECT NOT FOUND",IF(SUMPRODUCT(--(('ERP Snapshot'!$A$2:$A$101&amp;"")=(B394&amp;"")))&gt;1,"DUPLICATE PROJECT ID",IF(OR(SUMPRODUCT(--(('ERP Snapshot'!$A$2:$A$101&amp;"")=(B394&amp;"")),--('ERP Snapshot'!$Q$2:$Q$101=E394),--('ERP Snapshot'!$R$2:$R$101=F394))&lt;&gt;1,SUMPRODUCT(--('Commercial Catalogs'!$A$2:$A$10=E394),--('Commercial Catalogs'!$B$2:$B$10=F394),--('Commercial Catalogs'!$C$2:$C$10="YES"),--('Commercial Catalogs'!$D$2:$D$10="IN SCOPE"))=0,AND(E394="Strategic Services",F394&lt;&gt;"N/A"),AND(E394="Brands",F394="N/A")),"PROJECT CLASSIFICATION MISMATCH",IF(AND(G394="MXN",NOT(AND(ISNUMBER(I394),Settings!$B$8="APPROVED",Settings!$B$9&lt;&gt;"",Settings!$B$10&lt;&gt;""))),"FX HOLD","VALID"))))))))))))))))))</x:f>
      </x:c>
      <x:c r="M394" s="57" t="str">
        <x:f>IF(ISNUMBER(C394),IF(AND(ISNUMBER(C394),C394&gt;=2,C394&lt;=2958465,C394=INT(C394)),YEAR(C394)&amp;"-"&amp;IF(MONTH(C394)&lt;10,"0","")&amp;MONTH(C394),""),"")</x:f>
      </x:c>
      <x:c r="N394" s="59" t="str">
        <x:f>IF(L394="VALID",IF(G394="USD",H394,I394),"")</x:f>
      </x:c>
      <x:c r="O394" s="57" t="n">
        <x:f>IF(L394="VALID",IF(COUNTIFS($B$2:B394,B394,$M$2:M394,M394,$L$2:L394,"VALID")=1,1,0),0)</x:f>
        <x:v>0</x:v>
      </x:c>
    </x:row>
    <x:row r="395">
      <x:c r="A395" s="47"/>
      <x:c r="B395" s="47"/>
      <x:c r="C395" s="69"/>
      <x:c r="D395" s="47"/>
      <x:c r="E395" s="47"/>
      <x:c r="F395" s="47"/>
      <x:c r="G395" s="47"/>
      <x:c r="H395" s="48"/>
      <x:c r="I395" s="48"/>
      <x:c r="J395" s="47"/>
      <x:c r="K395" s="47"/>
      <x:c r="L395" s="57" t="str">
        <x:f>IF(COUNTA(A395:K395)=0,"",IF(K395="CANCELLED","CANCELLED",IF(A395="","INVOICE ID REQUIRED",IF(B395="","PROJECT ID REQUIRED",IF(NOT(ISNUMBER(C395)),"INVALID INVOICE DATE",IF(NOT(AND(ISNUMBER(C395),C395&gt;=2,C395&lt;=2958465,C395=INT(C395))),"INVALID INVOICE DATE",IF(NOT(OR(D395="MX",D395="US")),"ENTITY REQUIRED",IF(NOT(OR(E395="Strategic Services",E395="Brands")),"UNIT REQUIRED",IF(F395="","BRAND / N/A REQUIRED",IF(NOT(OR(G395="USD",G395="MXN")),"CURRENCY REQUIRED",IF(NOT(ISNUMBER(H395)),"AMOUNT REQUIRED",IF(J395="","ERP SOURCE REQUIRED",IF(NOT(OR(K395="ISSUED",K395="CANCELLED")),"INVOICE STATUS REQUIRED",IF(COUNTIFS($A$2:$A$501,A395,$B$2:$B$501,B395,$D$2:$D$501,D395)&gt;1,"DUPLICATE INVOICE / PROJECT",IF(SUMPRODUCT(--(('ERP Snapshot'!$A$2:$A$101&amp;"")=(B395&amp;"")))=0,"PROJECT NOT FOUND",IF(SUMPRODUCT(--(('ERP Snapshot'!$A$2:$A$101&amp;"")=(B395&amp;"")))&gt;1,"DUPLICATE PROJECT ID",IF(OR(SUMPRODUCT(--(('ERP Snapshot'!$A$2:$A$101&amp;"")=(B395&amp;"")),--('ERP Snapshot'!$Q$2:$Q$101=E395),--('ERP Snapshot'!$R$2:$R$101=F395))&lt;&gt;1,SUMPRODUCT(--('Commercial Catalogs'!$A$2:$A$10=E395),--('Commercial Catalogs'!$B$2:$B$10=F395),--('Commercial Catalogs'!$C$2:$C$10="YES"),--('Commercial Catalogs'!$D$2:$D$10="IN SCOPE"))=0,AND(E395="Strategic Services",F395&lt;&gt;"N/A"),AND(E395="Brands",F395="N/A")),"PROJECT CLASSIFICATION MISMATCH",IF(AND(G395="MXN",NOT(AND(ISNUMBER(I395),Settings!$B$8="APPROVED",Settings!$B$9&lt;&gt;"",Settings!$B$10&lt;&gt;""))),"FX HOLD","VALID"))))))))))))))))))</x:f>
      </x:c>
      <x:c r="M395" s="57" t="str">
        <x:f>IF(ISNUMBER(C395),IF(AND(ISNUMBER(C395),C395&gt;=2,C395&lt;=2958465,C395=INT(C395)),YEAR(C395)&amp;"-"&amp;IF(MONTH(C395)&lt;10,"0","")&amp;MONTH(C395),""),"")</x:f>
      </x:c>
      <x:c r="N395" s="59" t="str">
        <x:f>IF(L395="VALID",IF(G395="USD",H395,I395),"")</x:f>
      </x:c>
      <x:c r="O395" s="57" t="n">
        <x:f>IF(L395="VALID",IF(COUNTIFS($B$2:B395,B395,$M$2:M395,M395,$L$2:L395,"VALID")=1,1,0),0)</x:f>
        <x:v>0</x:v>
      </x:c>
    </x:row>
    <x:row r="396">
      <x:c r="A396" s="47"/>
      <x:c r="B396" s="47"/>
      <x:c r="C396" s="69"/>
      <x:c r="D396" s="47"/>
      <x:c r="E396" s="47"/>
      <x:c r="F396" s="47"/>
      <x:c r="G396" s="47"/>
      <x:c r="H396" s="48"/>
      <x:c r="I396" s="48"/>
      <x:c r="J396" s="47"/>
      <x:c r="K396" s="47"/>
      <x:c r="L396" s="57" t="str">
        <x:f>IF(COUNTA(A396:K396)=0,"",IF(K396="CANCELLED","CANCELLED",IF(A396="","INVOICE ID REQUIRED",IF(B396="","PROJECT ID REQUIRED",IF(NOT(ISNUMBER(C396)),"INVALID INVOICE DATE",IF(NOT(AND(ISNUMBER(C396),C396&gt;=2,C396&lt;=2958465,C396=INT(C396))),"INVALID INVOICE DATE",IF(NOT(OR(D396="MX",D396="US")),"ENTITY REQUIRED",IF(NOT(OR(E396="Strategic Services",E396="Brands")),"UNIT REQUIRED",IF(F396="","BRAND / N/A REQUIRED",IF(NOT(OR(G396="USD",G396="MXN")),"CURRENCY REQUIRED",IF(NOT(ISNUMBER(H396)),"AMOUNT REQUIRED",IF(J396="","ERP SOURCE REQUIRED",IF(NOT(OR(K396="ISSUED",K396="CANCELLED")),"INVOICE STATUS REQUIRED",IF(COUNTIFS($A$2:$A$501,A396,$B$2:$B$501,B396,$D$2:$D$501,D396)&gt;1,"DUPLICATE INVOICE / PROJECT",IF(SUMPRODUCT(--(('ERP Snapshot'!$A$2:$A$101&amp;"")=(B396&amp;"")))=0,"PROJECT NOT FOUND",IF(SUMPRODUCT(--(('ERP Snapshot'!$A$2:$A$101&amp;"")=(B396&amp;"")))&gt;1,"DUPLICATE PROJECT ID",IF(OR(SUMPRODUCT(--(('ERP Snapshot'!$A$2:$A$101&amp;"")=(B396&amp;"")),--('ERP Snapshot'!$Q$2:$Q$101=E396),--('ERP Snapshot'!$R$2:$R$101=F396))&lt;&gt;1,SUMPRODUCT(--('Commercial Catalogs'!$A$2:$A$10=E396),--('Commercial Catalogs'!$B$2:$B$10=F396),--('Commercial Catalogs'!$C$2:$C$10="YES"),--('Commercial Catalogs'!$D$2:$D$10="IN SCOPE"))=0,AND(E396="Strategic Services",F396&lt;&gt;"N/A"),AND(E396="Brands",F396="N/A")),"PROJECT CLASSIFICATION MISMATCH",IF(AND(G396="MXN",NOT(AND(ISNUMBER(I396),Settings!$B$8="APPROVED",Settings!$B$9&lt;&gt;"",Settings!$B$10&lt;&gt;""))),"FX HOLD","VALID"))))))))))))))))))</x:f>
      </x:c>
      <x:c r="M396" s="57" t="str">
        <x:f>IF(ISNUMBER(C396),IF(AND(ISNUMBER(C396),C396&gt;=2,C396&lt;=2958465,C396=INT(C396)),YEAR(C396)&amp;"-"&amp;IF(MONTH(C396)&lt;10,"0","")&amp;MONTH(C396),""),"")</x:f>
      </x:c>
      <x:c r="N396" s="59" t="str">
        <x:f>IF(L396="VALID",IF(G396="USD",H396,I396),"")</x:f>
      </x:c>
      <x:c r="O396" s="57" t="n">
        <x:f>IF(L396="VALID",IF(COUNTIFS($B$2:B396,B396,$M$2:M396,M396,$L$2:L396,"VALID")=1,1,0),0)</x:f>
        <x:v>0</x:v>
      </x:c>
    </x:row>
    <x:row r="397">
      <x:c r="A397" s="47"/>
      <x:c r="B397" s="47"/>
      <x:c r="C397" s="69"/>
      <x:c r="D397" s="47"/>
      <x:c r="E397" s="47"/>
      <x:c r="F397" s="47"/>
      <x:c r="G397" s="47"/>
      <x:c r="H397" s="48"/>
      <x:c r="I397" s="48"/>
      <x:c r="J397" s="47"/>
      <x:c r="K397" s="47"/>
      <x:c r="L397" s="57" t="str">
        <x:f>IF(COUNTA(A397:K397)=0,"",IF(K397="CANCELLED","CANCELLED",IF(A397="","INVOICE ID REQUIRED",IF(B397="","PROJECT ID REQUIRED",IF(NOT(ISNUMBER(C397)),"INVALID INVOICE DATE",IF(NOT(AND(ISNUMBER(C397),C397&gt;=2,C397&lt;=2958465,C397=INT(C397))),"INVALID INVOICE DATE",IF(NOT(OR(D397="MX",D397="US")),"ENTITY REQUIRED",IF(NOT(OR(E397="Strategic Services",E397="Brands")),"UNIT REQUIRED",IF(F397="","BRAND / N/A REQUIRED",IF(NOT(OR(G397="USD",G397="MXN")),"CURRENCY REQUIRED",IF(NOT(ISNUMBER(H397)),"AMOUNT REQUIRED",IF(J397="","ERP SOURCE REQUIRED",IF(NOT(OR(K397="ISSUED",K397="CANCELLED")),"INVOICE STATUS REQUIRED",IF(COUNTIFS($A$2:$A$501,A397,$B$2:$B$501,B397,$D$2:$D$501,D397)&gt;1,"DUPLICATE INVOICE / PROJECT",IF(SUMPRODUCT(--(('ERP Snapshot'!$A$2:$A$101&amp;"")=(B397&amp;"")))=0,"PROJECT NOT FOUND",IF(SUMPRODUCT(--(('ERP Snapshot'!$A$2:$A$101&amp;"")=(B397&amp;"")))&gt;1,"DUPLICATE PROJECT ID",IF(OR(SUMPRODUCT(--(('ERP Snapshot'!$A$2:$A$101&amp;"")=(B397&amp;"")),--('ERP Snapshot'!$Q$2:$Q$101=E397),--('ERP Snapshot'!$R$2:$R$101=F397))&lt;&gt;1,SUMPRODUCT(--('Commercial Catalogs'!$A$2:$A$10=E397),--('Commercial Catalogs'!$B$2:$B$10=F397),--('Commercial Catalogs'!$C$2:$C$10="YES"),--('Commercial Catalogs'!$D$2:$D$10="IN SCOPE"))=0,AND(E397="Strategic Services",F397&lt;&gt;"N/A"),AND(E397="Brands",F397="N/A")),"PROJECT CLASSIFICATION MISMATCH",IF(AND(G397="MXN",NOT(AND(ISNUMBER(I397),Settings!$B$8="APPROVED",Settings!$B$9&lt;&gt;"",Settings!$B$10&lt;&gt;""))),"FX HOLD","VALID"))))))))))))))))))</x:f>
      </x:c>
      <x:c r="M397" s="57" t="str">
        <x:f>IF(ISNUMBER(C397),IF(AND(ISNUMBER(C397),C397&gt;=2,C397&lt;=2958465,C397=INT(C397)),YEAR(C397)&amp;"-"&amp;IF(MONTH(C397)&lt;10,"0","")&amp;MONTH(C397),""),"")</x:f>
      </x:c>
      <x:c r="N397" s="59" t="str">
        <x:f>IF(L397="VALID",IF(G397="USD",H397,I397),"")</x:f>
      </x:c>
      <x:c r="O397" s="57" t="n">
        <x:f>IF(L397="VALID",IF(COUNTIFS($B$2:B397,B397,$M$2:M397,M397,$L$2:L397,"VALID")=1,1,0),0)</x:f>
        <x:v>0</x:v>
      </x:c>
    </x:row>
    <x:row r="398">
      <x:c r="A398" s="47"/>
      <x:c r="B398" s="47"/>
      <x:c r="C398" s="69"/>
      <x:c r="D398" s="47"/>
      <x:c r="E398" s="47"/>
      <x:c r="F398" s="47"/>
      <x:c r="G398" s="47"/>
      <x:c r="H398" s="48"/>
      <x:c r="I398" s="48"/>
      <x:c r="J398" s="47"/>
      <x:c r="K398" s="47"/>
      <x:c r="L398" s="57" t="str">
        <x:f>IF(COUNTA(A398:K398)=0,"",IF(K398="CANCELLED","CANCELLED",IF(A398="","INVOICE ID REQUIRED",IF(B398="","PROJECT ID REQUIRED",IF(NOT(ISNUMBER(C398)),"INVALID INVOICE DATE",IF(NOT(AND(ISNUMBER(C398),C398&gt;=2,C398&lt;=2958465,C398=INT(C398))),"INVALID INVOICE DATE",IF(NOT(OR(D398="MX",D398="US")),"ENTITY REQUIRED",IF(NOT(OR(E398="Strategic Services",E398="Brands")),"UNIT REQUIRED",IF(F398="","BRAND / N/A REQUIRED",IF(NOT(OR(G398="USD",G398="MXN")),"CURRENCY REQUIRED",IF(NOT(ISNUMBER(H398)),"AMOUNT REQUIRED",IF(J398="","ERP SOURCE REQUIRED",IF(NOT(OR(K398="ISSUED",K398="CANCELLED")),"INVOICE STATUS REQUIRED",IF(COUNTIFS($A$2:$A$501,A398,$B$2:$B$501,B398,$D$2:$D$501,D398)&gt;1,"DUPLICATE INVOICE / PROJECT",IF(SUMPRODUCT(--(('ERP Snapshot'!$A$2:$A$101&amp;"")=(B398&amp;"")))=0,"PROJECT NOT FOUND",IF(SUMPRODUCT(--(('ERP Snapshot'!$A$2:$A$101&amp;"")=(B398&amp;"")))&gt;1,"DUPLICATE PROJECT ID",IF(OR(SUMPRODUCT(--(('ERP Snapshot'!$A$2:$A$101&amp;"")=(B398&amp;"")),--('ERP Snapshot'!$Q$2:$Q$101=E398),--('ERP Snapshot'!$R$2:$R$101=F398))&lt;&gt;1,SUMPRODUCT(--('Commercial Catalogs'!$A$2:$A$10=E398),--('Commercial Catalogs'!$B$2:$B$10=F398),--('Commercial Catalogs'!$C$2:$C$10="YES"),--('Commercial Catalogs'!$D$2:$D$10="IN SCOPE"))=0,AND(E398="Strategic Services",F398&lt;&gt;"N/A"),AND(E398="Brands",F398="N/A")),"PROJECT CLASSIFICATION MISMATCH",IF(AND(G398="MXN",NOT(AND(ISNUMBER(I398),Settings!$B$8="APPROVED",Settings!$B$9&lt;&gt;"",Settings!$B$10&lt;&gt;""))),"FX HOLD","VALID"))))))))))))))))))</x:f>
      </x:c>
      <x:c r="M398" s="57" t="str">
        <x:f>IF(ISNUMBER(C398),IF(AND(ISNUMBER(C398),C398&gt;=2,C398&lt;=2958465,C398=INT(C398)),YEAR(C398)&amp;"-"&amp;IF(MONTH(C398)&lt;10,"0","")&amp;MONTH(C398),""),"")</x:f>
      </x:c>
      <x:c r="N398" s="59" t="str">
        <x:f>IF(L398="VALID",IF(G398="USD",H398,I398),"")</x:f>
      </x:c>
      <x:c r="O398" s="57" t="n">
        <x:f>IF(L398="VALID",IF(COUNTIFS($B$2:B398,B398,$M$2:M398,M398,$L$2:L398,"VALID")=1,1,0),0)</x:f>
        <x:v>0</x:v>
      </x:c>
    </x:row>
    <x:row r="399">
      <x:c r="A399" s="47"/>
      <x:c r="B399" s="47"/>
      <x:c r="C399" s="69"/>
      <x:c r="D399" s="47"/>
      <x:c r="E399" s="47"/>
      <x:c r="F399" s="47"/>
      <x:c r="G399" s="47"/>
      <x:c r="H399" s="48"/>
      <x:c r="I399" s="48"/>
      <x:c r="J399" s="47"/>
      <x:c r="K399" s="47"/>
      <x:c r="L399" s="57" t="str">
        <x:f>IF(COUNTA(A399:K399)=0,"",IF(K399="CANCELLED","CANCELLED",IF(A399="","INVOICE ID REQUIRED",IF(B399="","PROJECT ID REQUIRED",IF(NOT(ISNUMBER(C399)),"INVALID INVOICE DATE",IF(NOT(AND(ISNUMBER(C399),C399&gt;=2,C399&lt;=2958465,C399=INT(C399))),"INVALID INVOICE DATE",IF(NOT(OR(D399="MX",D399="US")),"ENTITY REQUIRED",IF(NOT(OR(E399="Strategic Services",E399="Brands")),"UNIT REQUIRED",IF(F399="","BRAND / N/A REQUIRED",IF(NOT(OR(G399="USD",G399="MXN")),"CURRENCY REQUIRED",IF(NOT(ISNUMBER(H399)),"AMOUNT REQUIRED",IF(J399="","ERP SOURCE REQUIRED",IF(NOT(OR(K399="ISSUED",K399="CANCELLED")),"INVOICE STATUS REQUIRED",IF(COUNTIFS($A$2:$A$501,A399,$B$2:$B$501,B399,$D$2:$D$501,D399)&gt;1,"DUPLICATE INVOICE / PROJECT",IF(SUMPRODUCT(--(('ERP Snapshot'!$A$2:$A$101&amp;"")=(B399&amp;"")))=0,"PROJECT NOT FOUND",IF(SUMPRODUCT(--(('ERP Snapshot'!$A$2:$A$101&amp;"")=(B399&amp;"")))&gt;1,"DUPLICATE PROJECT ID",IF(OR(SUMPRODUCT(--(('ERP Snapshot'!$A$2:$A$101&amp;"")=(B399&amp;"")),--('ERP Snapshot'!$Q$2:$Q$101=E399),--('ERP Snapshot'!$R$2:$R$101=F399))&lt;&gt;1,SUMPRODUCT(--('Commercial Catalogs'!$A$2:$A$10=E399),--('Commercial Catalogs'!$B$2:$B$10=F399),--('Commercial Catalogs'!$C$2:$C$10="YES"),--('Commercial Catalogs'!$D$2:$D$10="IN SCOPE"))=0,AND(E399="Strategic Services",F399&lt;&gt;"N/A"),AND(E399="Brands",F399="N/A")),"PROJECT CLASSIFICATION MISMATCH",IF(AND(G399="MXN",NOT(AND(ISNUMBER(I399),Settings!$B$8="APPROVED",Settings!$B$9&lt;&gt;"",Settings!$B$10&lt;&gt;""))),"FX HOLD","VALID"))))))))))))))))))</x:f>
      </x:c>
      <x:c r="M399" s="57" t="str">
        <x:f>IF(ISNUMBER(C399),IF(AND(ISNUMBER(C399),C399&gt;=2,C399&lt;=2958465,C399=INT(C399)),YEAR(C399)&amp;"-"&amp;IF(MONTH(C399)&lt;10,"0","")&amp;MONTH(C399),""),"")</x:f>
      </x:c>
      <x:c r="N399" s="59" t="str">
        <x:f>IF(L399="VALID",IF(G399="USD",H399,I399),"")</x:f>
      </x:c>
      <x:c r="O399" s="57" t="n">
        <x:f>IF(L399="VALID",IF(COUNTIFS($B$2:B399,B399,$M$2:M399,M399,$L$2:L399,"VALID")=1,1,0),0)</x:f>
        <x:v>0</x:v>
      </x:c>
    </x:row>
    <x:row r="400">
      <x:c r="A400" s="47"/>
      <x:c r="B400" s="47"/>
      <x:c r="C400" s="69"/>
      <x:c r="D400" s="47"/>
      <x:c r="E400" s="47"/>
      <x:c r="F400" s="47"/>
      <x:c r="G400" s="47"/>
      <x:c r="H400" s="48"/>
      <x:c r="I400" s="48"/>
      <x:c r="J400" s="47"/>
      <x:c r="K400" s="47"/>
      <x:c r="L400" s="57" t="str">
        <x:f>IF(COUNTA(A400:K400)=0,"",IF(K400="CANCELLED","CANCELLED",IF(A400="","INVOICE ID REQUIRED",IF(B400="","PROJECT ID REQUIRED",IF(NOT(ISNUMBER(C400)),"INVALID INVOICE DATE",IF(NOT(AND(ISNUMBER(C400),C400&gt;=2,C400&lt;=2958465,C400=INT(C400))),"INVALID INVOICE DATE",IF(NOT(OR(D400="MX",D400="US")),"ENTITY REQUIRED",IF(NOT(OR(E400="Strategic Services",E400="Brands")),"UNIT REQUIRED",IF(F400="","BRAND / N/A REQUIRED",IF(NOT(OR(G400="USD",G400="MXN")),"CURRENCY REQUIRED",IF(NOT(ISNUMBER(H400)),"AMOUNT REQUIRED",IF(J400="","ERP SOURCE REQUIRED",IF(NOT(OR(K400="ISSUED",K400="CANCELLED")),"INVOICE STATUS REQUIRED",IF(COUNTIFS($A$2:$A$501,A400,$B$2:$B$501,B400,$D$2:$D$501,D400)&gt;1,"DUPLICATE INVOICE / PROJECT",IF(SUMPRODUCT(--(('ERP Snapshot'!$A$2:$A$101&amp;"")=(B400&amp;"")))=0,"PROJECT NOT FOUND",IF(SUMPRODUCT(--(('ERP Snapshot'!$A$2:$A$101&amp;"")=(B400&amp;"")))&gt;1,"DUPLICATE PROJECT ID",IF(OR(SUMPRODUCT(--(('ERP Snapshot'!$A$2:$A$101&amp;"")=(B400&amp;"")),--('ERP Snapshot'!$Q$2:$Q$101=E400),--('ERP Snapshot'!$R$2:$R$101=F400))&lt;&gt;1,SUMPRODUCT(--('Commercial Catalogs'!$A$2:$A$10=E400),--('Commercial Catalogs'!$B$2:$B$10=F400),--('Commercial Catalogs'!$C$2:$C$10="YES"),--('Commercial Catalogs'!$D$2:$D$10="IN SCOPE"))=0,AND(E400="Strategic Services",F400&lt;&gt;"N/A"),AND(E400="Brands",F400="N/A")),"PROJECT CLASSIFICATION MISMATCH",IF(AND(G400="MXN",NOT(AND(ISNUMBER(I400),Settings!$B$8="APPROVED",Settings!$B$9&lt;&gt;"",Settings!$B$10&lt;&gt;""))),"FX HOLD","VALID"))))))))))))))))))</x:f>
      </x:c>
      <x:c r="M400" s="57" t="str">
        <x:f>IF(ISNUMBER(C400),IF(AND(ISNUMBER(C400),C400&gt;=2,C400&lt;=2958465,C400=INT(C400)),YEAR(C400)&amp;"-"&amp;IF(MONTH(C400)&lt;10,"0","")&amp;MONTH(C400),""),"")</x:f>
      </x:c>
      <x:c r="N400" s="59" t="str">
        <x:f>IF(L400="VALID",IF(G400="USD",H400,I400),"")</x:f>
      </x:c>
      <x:c r="O400" s="57" t="n">
        <x:f>IF(L400="VALID",IF(COUNTIFS($B$2:B400,B400,$M$2:M400,M400,$L$2:L400,"VALID")=1,1,0),0)</x:f>
        <x:v>0</x:v>
      </x:c>
    </x:row>
    <x:row r="401">
      <x:c r="A401" s="47"/>
      <x:c r="B401" s="47"/>
      <x:c r="C401" s="69"/>
      <x:c r="D401" s="47"/>
      <x:c r="E401" s="47"/>
      <x:c r="F401" s="47"/>
      <x:c r="G401" s="47"/>
      <x:c r="H401" s="48"/>
      <x:c r="I401" s="48"/>
      <x:c r="J401" s="47"/>
      <x:c r="K401" s="47"/>
      <x:c r="L401" s="57" t="str">
        <x:f>IF(COUNTA(A401:K401)=0,"",IF(K401="CANCELLED","CANCELLED",IF(A401="","INVOICE ID REQUIRED",IF(B401="","PROJECT ID REQUIRED",IF(NOT(ISNUMBER(C401)),"INVALID INVOICE DATE",IF(NOT(AND(ISNUMBER(C401),C401&gt;=2,C401&lt;=2958465,C401=INT(C401))),"INVALID INVOICE DATE",IF(NOT(OR(D401="MX",D401="US")),"ENTITY REQUIRED",IF(NOT(OR(E401="Strategic Services",E401="Brands")),"UNIT REQUIRED",IF(F401="","BRAND / N/A REQUIRED",IF(NOT(OR(G401="USD",G401="MXN")),"CURRENCY REQUIRED",IF(NOT(ISNUMBER(H401)),"AMOUNT REQUIRED",IF(J401="","ERP SOURCE REQUIRED",IF(NOT(OR(K401="ISSUED",K401="CANCELLED")),"INVOICE STATUS REQUIRED",IF(COUNTIFS($A$2:$A$501,A401,$B$2:$B$501,B401,$D$2:$D$501,D401)&gt;1,"DUPLICATE INVOICE / PROJECT",IF(SUMPRODUCT(--(('ERP Snapshot'!$A$2:$A$101&amp;"")=(B401&amp;"")))=0,"PROJECT NOT FOUND",IF(SUMPRODUCT(--(('ERP Snapshot'!$A$2:$A$101&amp;"")=(B401&amp;"")))&gt;1,"DUPLICATE PROJECT ID",IF(OR(SUMPRODUCT(--(('ERP Snapshot'!$A$2:$A$101&amp;"")=(B401&amp;"")),--('ERP Snapshot'!$Q$2:$Q$101=E401),--('ERP Snapshot'!$R$2:$R$101=F401))&lt;&gt;1,SUMPRODUCT(--('Commercial Catalogs'!$A$2:$A$10=E401),--('Commercial Catalogs'!$B$2:$B$10=F401),--('Commercial Catalogs'!$C$2:$C$10="YES"),--('Commercial Catalogs'!$D$2:$D$10="IN SCOPE"))=0,AND(E401="Strategic Services",F401&lt;&gt;"N/A"),AND(E401="Brands",F401="N/A")),"PROJECT CLASSIFICATION MISMATCH",IF(AND(G401="MXN",NOT(AND(ISNUMBER(I401),Settings!$B$8="APPROVED",Settings!$B$9&lt;&gt;"",Settings!$B$10&lt;&gt;""))),"FX HOLD","VALID"))))))))))))))))))</x:f>
      </x:c>
      <x:c r="M401" s="57" t="str">
        <x:f>IF(ISNUMBER(C401),IF(AND(ISNUMBER(C401),C401&gt;=2,C401&lt;=2958465,C401=INT(C401)),YEAR(C401)&amp;"-"&amp;IF(MONTH(C401)&lt;10,"0","")&amp;MONTH(C401),""),"")</x:f>
      </x:c>
      <x:c r="N401" s="59" t="str">
        <x:f>IF(L401="VALID",IF(G401="USD",H401,I401),"")</x:f>
      </x:c>
      <x:c r="O401" s="57" t="n">
        <x:f>IF(L401="VALID",IF(COUNTIFS($B$2:B401,B401,$M$2:M401,M401,$L$2:L401,"VALID")=1,1,0),0)</x:f>
        <x:v>0</x:v>
      </x:c>
    </x:row>
    <x:row r="402">
      <x:c r="A402" s="47"/>
      <x:c r="B402" s="47"/>
      <x:c r="C402" s="69"/>
      <x:c r="D402" s="47"/>
      <x:c r="E402" s="47"/>
      <x:c r="F402" s="47"/>
      <x:c r="G402" s="47"/>
      <x:c r="H402" s="48"/>
      <x:c r="I402" s="48"/>
      <x:c r="J402" s="47"/>
      <x:c r="K402" s="47"/>
      <x:c r="L402" s="57" t="str">
        <x:f>IF(COUNTA(A402:K402)=0,"",IF(K402="CANCELLED","CANCELLED",IF(A402="","INVOICE ID REQUIRED",IF(B402="","PROJECT ID REQUIRED",IF(NOT(ISNUMBER(C402)),"INVALID INVOICE DATE",IF(NOT(AND(ISNUMBER(C402),C402&gt;=2,C402&lt;=2958465,C402=INT(C402))),"INVALID INVOICE DATE",IF(NOT(OR(D402="MX",D402="US")),"ENTITY REQUIRED",IF(NOT(OR(E402="Strategic Services",E402="Brands")),"UNIT REQUIRED",IF(F402="","BRAND / N/A REQUIRED",IF(NOT(OR(G402="USD",G402="MXN")),"CURRENCY REQUIRED",IF(NOT(ISNUMBER(H402)),"AMOUNT REQUIRED",IF(J402="","ERP SOURCE REQUIRED",IF(NOT(OR(K402="ISSUED",K402="CANCELLED")),"INVOICE STATUS REQUIRED",IF(COUNTIFS($A$2:$A$501,A402,$B$2:$B$501,B402,$D$2:$D$501,D402)&gt;1,"DUPLICATE INVOICE / PROJECT",IF(SUMPRODUCT(--(('ERP Snapshot'!$A$2:$A$101&amp;"")=(B402&amp;"")))=0,"PROJECT NOT FOUND",IF(SUMPRODUCT(--(('ERP Snapshot'!$A$2:$A$101&amp;"")=(B402&amp;"")))&gt;1,"DUPLICATE PROJECT ID",IF(OR(SUMPRODUCT(--(('ERP Snapshot'!$A$2:$A$101&amp;"")=(B402&amp;"")),--('ERP Snapshot'!$Q$2:$Q$101=E402),--('ERP Snapshot'!$R$2:$R$101=F402))&lt;&gt;1,SUMPRODUCT(--('Commercial Catalogs'!$A$2:$A$10=E402),--('Commercial Catalogs'!$B$2:$B$10=F402),--('Commercial Catalogs'!$C$2:$C$10="YES"),--('Commercial Catalogs'!$D$2:$D$10="IN SCOPE"))=0,AND(E402="Strategic Services",F402&lt;&gt;"N/A"),AND(E402="Brands",F402="N/A")),"PROJECT CLASSIFICATION MISMATCH",IF(AND(G402="MXN",NOT(AND(ISNUMBER(I402),Settings!$B$8="APPROVED",Settings!$B$9&lt;&gt;"",Settings!$B$10&lt;&gt;""))),"FX HOLD","VALID"))))))))))))))))))</x:f>
      </x:c>
      <x:c r="M402" s="57" t="str">
        <x:f>IF(ISNUMBER(C402),IF(AND(ISNUMBER(C402),C402&gt;=2,C402&lt;=2958465,C402=INT(C402)),YEAR(C402)&amp;"-"&amp;IF(MONTH(C402)&lt;10,"0","")&amp;MONTH(C402),""),"")</x:f>
      </x:c>
      <x:c r="N402" s="59" t="str">
        <x:f>IF(L402="VALID",IF(G402="USD",H402,I402),"")</x:f>
      </x:c>
      <x:c r="O402" s="57" t="n">
        <x:f>IF(L402="VALID",IF(COUNTIFS($B$2:B402,B402,$M$2:M402,M402,$L$2:L402,"VALID")=1,1,0),0)</x:f>
        <x:v>0</x:v>
      </x:c>
    </x:row>
    <x:row r="403">
      <x:c r="A403" s="47"/>
      <x:c r="B403" s="47"/>
      <x:c r="C403" s="69"/>
      <x:c r="D403" s="47"/>
      <x:c r="E403" s="47"/>
      <x:c r="F403" s="47"/>
      <x:c r="G403" s="47"/>
      <x:c r="H403" s="48"/>
      <x:c r="I403" s="48"/>
      <x:c r="J403" s="47"/>
      <x:c r="K403" s="47"/>
      <x:c r="L403" s="57" t="str">
        <x:f>IF(COUNTA(A403:K403)=0,"",IF(K403="CANCELLED","CANCELLED",IF(A403="","INVOICE ID REQUIRED",IF(B403="","PROJECT ID REQUIRED",IF(NOT(ISNUMBER(C403)),"INVALID INVOICE DATE",IF(NOT(AND(ISNUMBER(C403),C403&gt;=2,C403&lt;=2958465,C403=INT(C403))),"INVALID INVOICE DATE",IF(NOT(OR(D403="MX",D403="US")),"ENTITY REQUIRED",IF(NOT(OR(E403="Strategic Services",E403="Brands")),"UNIT REQUIRED",IF(F403="","BRAND / N/A REQUIRED",IF(NOT(OR(G403="USD",G403="MXN")),"CURRENCY REQUIRED",IF(NOT(ISNUMBER(H403)),"AMOUNT REQUIRED",IF(J403="","ERP SOURCE REQUIRED",IF(NOT(OR(K403="ISSUED",K403="CANCELLED")),"INVOICE STATUS REQUIRED",IF(COUNTIFS($A$2:$A$501,A403,$B$2:$B$501,B403,$D$2:$D$501,D403)&gt;1,"DUPLICATE INVOICE / PROJECT",IF(SUMPRODUCT(--(('ERP Snapshot'!$A$2:$A$101&amp;"")=(B403&amp;"")))=0,"PROJECT NOT FOUND",IF(SUMPRODUCT(--(('ERP Snapshot'!$A$2:$A$101&amp;"")=(B403&amp;"")))&gt;1,"DUPLICATE PROJECT ID",IF(OR(SUMPRODUCT(--(('ERP Snapshot'!$A$2:$A$101&amp;"")=(B403&amp;"")),--('ERP Snapshot'!$Q$2:$Q$101=E403),--('ERP Snapshot'!$R$2:$R$101=F403))&lt;&gt;1,SUMPRODUCT(--('Commercial Catalogs'!$A$2:$A$10=E403),--('Commercial Catalogs'!$B$2:$B$10=F403),--('Commercial Catalogs'!$C$2:$C$10="YES"),--('Commercial Catalogs'!$D$2:$D$10="IN SCOPE"))=0,AND(E403="Strategic Services",F403&lt;&gt;"N/A"),AND(E403="Brands",F403="N/A")),"PROJECT CLASSIFICATION MISMATCH",IF(AND(G403="MXN",NOT(AND(ISNUMBER(I403),Settings!$B$8="APPROVED",Settings!$B$9&lt;&gt;"",Settings!$B$10&lt;&gt;""))),"FX HOLD","VALID"))))))))))))))))))</x:f>
      </x:c>
      <x:c r="M403" s="57" t="str">
        <x:f>IF(ISNUMBER(C403),IF(AND(ISNUMBER(C403),C403&gt;=2,C403&lt;=2958465,C403=INT(C403)),YEAR(C403)&amp;"-"&amp;IF(MONTH(C403)&lt;10,"0","")&amp;MONTH(C403),""),"")</x:f>
      </x:c>
      <x:c r="N403" s="59" t="str">
        <x:f>IF(L403="VALID",IF(G403="USD",H403,I403),"")</x:f>
      </x:c>
      <x:c r="O403" s="57" t="n">
        <x:f>IF(L403="VALID",IF(COUNTIFS($B$2:B403,B403,$M$2:M403,M403,$L$2:L403,"VALID")=1,1,0),0)</x:f>
        <x:v>0</x:v>
      </x:c>
    </x:row>
    <x:row r="404">
      <x:c r="A404" s="47"/>
      <x:c r="B404" s="47"/>
      <x:c r="C404" s="69"/>
      <x:c r="D404" s="47"/>
      <x:c r="E404" s="47"/>
      <x:c r="F404" s="47"/>
      <x:c r="G404" s="47"/>
      <x:c r="H404" s="48"/>
      <x:c r="I404" s="48"/>
      <x:c r="J404" s="47"/>
      <x:c r="K404" s="47"/>
      <x:c r="L404" s="57" t="str">
        <x:f>IF(COUNTA(A404:K404)=0,"",IF(K404="CANCELLED","CANCELLED",IF(A404="","INVOICE ID REQUIRED",IF(B404="","PROJECT ID REQUIRED",IF(NOT(ISNUMBER(C404)),"INVALID INVOICE DATE",IF(NOT(AND(ISNUMBER(C404),C404&gt;=2,C404&lt;=2958465,C404=INT(C404))),"INVALID INVOICE DATE",IF(NOT(OR(D404="MX",D404="US")),"ENTITY REQUIRED",IF(NOT(OR(E404="Strategic Services",E404="Brands")),"UNIT REQUIRED",IF(F404="","BRAND / N/A REQUIRED",IF(NOT(OR(G404="USD",G404="MXN")),"CURRENCY REQUIRED",IF(NOT(ISNUMBER(H404)),"AMOUNT REQUIRED",IF(J404="","ERP SOURCE REQUIRED",IF(NOT(OR(K404="ISSUED",K404="CANCELLED")),"INVOICE STATUS REQUIRED",IF(COUNTIFS($A$2:$A$501,A404,$B$2:$B$501,B404,$D$2:$D$501,D404)&gt;1,"DUPLICATE INVOICE / PROJECT",IF(SUMPRODUCT(--(('ERP Snapshot'!$A$2:$A$101&amp;"")=(B404&amp;"")))=0,"PROJECT NOT FOUND",IF(SUMPRODUCT(--(('ERP Snapshot'!$A$2:$A$101&amp;"")=(B404&amp;"")))&gt;1,"DUPLICATE PROJECT ID",IF(OR(SUMPRODUCT(--(('ERP Snapshot'!$A$2:$A$101&amp;"")=(B404&amp;"")),--('ERP Snapshot'!$Q$2:$Q$101=E404),--('ERP Snapshot'!$R$2:$R$101=F404))&lt;&gt;1,SUMPRODUCT(--('Commercial Catalogs'!$A$2:$A$10=E404),--('Commercial Catalogs'!$B$2:$B$10=F404),--('Commercial Catalogs'!$C$2:$C$10="YES"),--('Commercial Catalogs'!$D$2:$D$10="IN SCOPE"))=0,AND(E404="Strategic Services",F404&lt;&gt;"N/A"),AND(E404="Brands",F404="N/A")),"PROJECT CLASSIFICATION MISMATCH",IF(AND(G404="MXN",NOT(AND(ISNUMBER(I404),Settings!$B$8="APPROVED",Settings!$B$9&lt;&gt;"",Settings!$B$10&lt;&gt;""))),"FX HOLD","VALID"))))))))))))))))))</x:f>
      </x:c>
      <x:c r="M404" s="57" t="str">
        <x:f>IF(ISNUMBER(C404),IF(AND(ISNUMBER(C404),C404&gt;=2,C404&lt;=2958465,C404=INT(C404)),YEAR(C404)&amp;"-"&amp;IF(MONTH(C404)&lt;10,"0","")&amp;MONTH(C404),""),"")</x:f>
      </x:c>
      <x:c r="N404" s="59" t="str">
        <x:f>IF(L404="VALID",IF(G404="USD",H404,I404),"")</x:f>
      </x:c>
      <x:c r="O404" s="57" t="n">
        <x:f>IF(L404="VALID",IF(COUNTIFS($B$2:B404,B404,$M$2:M404,M404,$L$2:L404,"VALID")=1,1,0),0)</x:f>
        <x:v>0</x:v>
      </x:c>
    </x:row>
    <x:row r="405">
      <x:c r="A405" s="47"/>
      <x:c r="B405" s="47"/>
      <x:c r="C405" s="69"/>
      <x:c r="D405" s="47"/>
      <x:c r="E405" s="47"/>
      <x:c r="F405" s="47"/>
      <x:c r="G405" s="47"/>
      <x:c r="H405" s="48"/>
      <x:c r="I405" s="48"/>
      <x:c r="J405" s="47"/>
      <x:c r="K405" s="47"/>
      <x:c r="L405" s="57" t="str">
        <x:f>IF(COUNTA(A405:K405)=0,"",IF(K405="CANCELLED","CANCELLED",IF(A405="","INVOICE ID REQUIRED",IF(B405="","PROJECT ID REQUIRED",IF(NOT(ISNUMBER(C405)),"INVALID INVOICE DATE",IF(NOT(AND(ISNUMBER(C405),C405&gt;=2,C405&lt;=2958465,C405=INT(C405))),"INVALID INVOICE DATE",IF(NOT(OR(D405="MX",D405="US")),"ENTITY REQUIRED",IF(NOT(OR(E405="Strategic Services",E405="Brands")),"UNIT REQUIRED",IF(F405="","BRAND / N/A REQUIRED",IF(NOT(OR(G405="USD",G405="MXN")),"CURRENCY REQUIRED",IF(NOT(ISNUMBER(H405)),"AMOUNT REQUIRED",IF(J405="","ERP SOURCE REQUIRED",IF(NOT(OR(K405="ISSUED",K405="CANCELLED")),"INVOICE STATUS REQUIRED",IF(COUNTIFS($A$2:$A$501,A405,$B$2:$B$501,B405,$D$2:$D$501,D405)&gt;1,"DUPLICATE INVOICE / PROJECT",IF(SUMPRODUCT(--(('ERP Snapshot'!$A$2:$A$101&amp;"")=(B405&amp;"")))=0,"PROJECT NOT FOUND",IF(SUMPRODUCT(--(('ERP Snapshot'!$A$2:$A$101&amp;"")=(B405&amp;"")))&gt;1,"DUPLICATE PROJECT ID",IF(OR(SUMPRODUCT(--(('ERP Snapshot'!$A$2:$A$101&amp;"")=(B405&amp;"")),--('ERP Snapshot'!$Q$2:$Q$101=E405),--('ERP Snapshot'!$R$2:$R$101=F405))&lt;&gt;1,SUMPRODUCT(--('Commercial Catalogs'!$A$2:$A$10=E405),--('Commercial Catalogs'!$B$2:$B$10=F405),--('Commercial Catalogs'!$C$2:$C$10="YES"),--('Commercial Catalogs'!$D$2:$D$10="IN SCOPE"))=0,AND(E405="Strategic Services",F405&lt;&gt;"N/A"),AND(E405="Brands",F405="N/A")),"PROJECT CLASSIFICATION MISMATCH",IF(AND(G405="MXN",NOT(AND(ISNUMBER(I405),Settings!$B$8="APPROVED",Settings!$B$9&lt;&gt;"",Settings!$B$10&lt;&gt;""))),"FX HOLD","VALID"))))))))))))))))))</x:f>
      </x:c>
      <x:c r="M405" s="57" t="str">
        <x:f>IF(ISNUMBER(C405),IF(AND(ISNUMBER(C405),C405&gt;=2,C405&lt;=2958465,C405=INT(C405)),YEAR(C405)&amp;"-"&amp;IF(MONTH(C405)&lt;10,"0","")&amp;MONTH(C405),""),"")</x:f>
      </x:c>
      <x:c r="N405" s="59" t="str">
        <x:f>IF(L405="VALID",IF(G405="USD",H405,I405),"")</x:f>
      </x:c>
      <x:c r="O405" s="57" t="n">
        <x:f>IF(L405="VALID",IF(COUNTIFS($B$2:B405,B405,$M$2:M405,M405,$L$2:L405,"VALID")=1,1,0),0)</x:f>
        <x:v>0</x:v>
      </x:c>
    </x:row>
    <x:row r="406">
      <x:c r="A406" s="47"/>
      <x:c r="B406" s="47"/>
      <x:c r="C406" s="69"/>
      <x:c r="D406" s="47"/>
      <x:c r="E406" s="47"/>
      <x:c r="F406" s="47"/>
      <x:c r="G406" s="47"/>
      <x:c r="H406" s="48"/>
      <x:c r="I406" s="48"/>
      <x:c r="J406" s="47"/>
      <x:c r="K406" s="47"/>
      <x:c r="L406" s="57" t="str">
        <x:f>IF(COUNTA(A406:K406)=0,"",IF(K406="CANCELLED","CANCELLED",IF(A406="","INVOICE ID REQUIRED",IF(B406="","PROJECT ID REQUIRED",IF(NOT(ISNUMBER(C406)),"INVALID INVOICE DATE",IF(NOT(AND(ISNUMBER(C406),C406&gt;=2,C406&lt;=2958465,C406=INT(C406))),"INVALID INVOICE DATE",IF(NOT(OR(D406="MX",D406="US")),"ENTITY REQUIRED",IF(NOT(OR(E406="Strategic Services",E406="Brands")),"UNIT REQUIRED",IF(F406="","BRAND / N/A REQUIRED",IF(NOT(OR(G406="USD",G406="MXN")),"CURRENCY REQUIRED",IF(NOT(ISNUMBER(H406)),"AMOUNT REQUIRED",IF(J406="","ERP SOURCE REQUIRED",IF(NOT(OR(K406="ISSUED",K406="CANCELLED")),"INVOICE STATUS REQUIRED",IF(COUNTIFS($A$2:$A$501,A406,$B$2:$B$501,B406,$D$2:$D$501,D406)&gt;1,"DUPLICATE INVOICE / PROJECT",IF(SUMPRODUCT(--(('ERP Snapshot'!$A$2:$A$101&amp;"")=(B406&amp;"")))=0,"PROJECT NOT FOUND",IF(SUMPRODUCT(--(('ERP Snapshot'!$A$2:$A$101&amp;"")=(B406&amp;"")))&gt;1,"DUPLICATE PROJECT ID",IF(OR(SUMPRODUCT(--(('ERP Snapshot'!$A$2:$A$101&amp;"")=(B406&amp;"")),--('ERP Snapshot'!$Q$2:$Q$101=E406),--('ERP Snapshot'!$R$2:$R$101=F406))&lt;&gt;1,SUMPRODUCT(--('Commercial Catalogs'!$A$2:$A$10=E406),--('Commercial Catalogs'!$B$2:$B$10=F406),--('Commercial Catalogs'!$C$2:$C$10="YES"),--('Commercial Catalogs'!$D$2:$D$10="IN SCOPE"))=0,AND(E406="Strategic Services",F406&lt;&gt;"N/A"),AND(E406="Brands",F406="N/A")),"PROJECT CLASSIFICATION MISMATCH",IF(AND(G406="MXN",NOT(AND(ISNUMBER(I406),Settings!$B$8="APPROVED",Settings!$B$9&lt;&gt;"",Settings!$B$10&lt;&gt;""))),"FX HOLD","VALID"))))))))))))))))))</x:f>
      </x:c>
      <x:c r="M406" s="57" t="str">
        <x:f>IF(ISNUMBER(C406),IF(AND(ISNUMBER(C406),C406&gt;=2,C406&lt;=2958465,C406=INT(C406)),YEAR(C406)&amp;"-"&amp;IF(MONTH(C406)&lt;10,"0","")&amp;MONTH(C406),""),"")</x:f>
      </x:c>
      <x:c r="N406" s="59" t="str">
        <x:f>IF(L406="VALID",IF(G406="USD",H406,I406),"")</x:f>
      </x:c>
      <x:c r="O406" s="57" t="n">
        <x:f>IF(L406="VALID",IF(COUNTIFS($B$2:B406,B406,$M$2:M406,M406,$L$2:L406,"VALID")=1,1,0),0)</x:f>
        <x:v>0</x:v>
      </x:c>
    </x:row>
    <x:row r="407">
      <x:c r="A407" s="47"/>
      <x:c r="B407" s="47"/>
      <x:c r="C407" s="69"/>
      <x:c r="D407" s="47"/>
      <x:c r="E407" s="47"/>
      <x:c r="F407" s="47"/>
      <x:c r="G407" s="47"/>
      <x:c r="H407" s="48"/>
      <x:c r="I407" s="48"/>
      <x:c r="J407" s="47"/>
      <x:c r="K407" s="47"/>
      <x:c r="L407" s="57" t="str">
        <x:f>IF(COUNTA(A407:K407)=0,"",IF(K407="CANCELLED","CANCELLED",IF(A407="","INVOICE ID REQUIRED",IF(B407="","PROJECT ID REQUIRED",IF(NOT(ISNUMBER(C407)),"INVALID INVOICE DATE",IF(NOT(AND(ISNUMBER(C407),C407&gt;=2,C407&lt;=2958465,C407=INT(C407))),"INVALID INVOICE DATE",IF(NOT(OR(D407="MX",D407="US")),"ENTITY REQUIRED",IF(NOT(OR(E407="Strategic Services",E407="Brands")),"UNIT REQUIRED",IF(F407="","BRAND / N/A REQUIRED",IF(NOT(OR(G407="USD",G407="MXN")),"CURRENCY REQUIRED",IF(NOT(ISNUMBER(H407)),"AMOUNT REQUIRED",IF(J407="","ERP SOURCE REQUIRED",IF(NOT(OR(K407="ISSUED",K407="CANCELLED")),"INVOICE STATUS REQUIRED",IF(COUNTIFS($A$2:$A$501,A407,$B$2:$B$501,B407,$D$2:$D$501,D407)&gt;1,"DUPLICATE INVOICE / PROJECT",IF(SUMPRODUCT(--(('ERP Snapshot'!$A$2:$A$101&amp;"")=(B407&amp;"")))=0,"PROJECT NOT FOUND",IF(SUMPRODUCT(--(('ERP Snapshot'!$A$2:$A$101&amp;"")=(B407&amp;"")))&gt;1,"DUPLICATE PROJECT ID",IF(OR(SUMPRODUCT(--(('ERP Snapshot'!$A$2:$A$101&amp;"")=(B407&amp;"")),--('ERP Snapshot'!$Q$2:$Q$101=E407),--('ERP Snapshot'!$R$2:$R$101=F407))&lt;&gt;1,SUMPRODUCT(--('Commercial Catalogs'!$A$2:$A$10=E407),--('Commercial Catalogs'!$B$2:$B$10=F407),--('Commercial Catalogs'!$C$2:$C$10="YES"),--('Commercial Catalogs'!$D$2:$D$10="IN SCOPE"))=0,AND(E407="Strategic Services",F407&lt;&gt;"N/A"),AND(E407="Brands",F407="N/A")),"PROJECT CLASSIFICATION MISMATCH",IF(AND(G407="MXN",NOT(AND(ISNUMBER(I407),Settings!$B$8="APPROVED",Settings!$B$9&lt;&gt;"",Settings!$B$10&lt;&gt;""))),"FX HOLD","VALID"))))))))))))))))))</x:f>
      </x:c>
      <x:c r="M407" s="57" t="str">
        <x:f>IF(ISNUMBER(C407),IF(AND(ISNUMBER(C407),C407&gt;=2,C407&lt;=2958465,C407=INT(C407)),YEAR(C407)&amp;"-"&amp;IF(MONTH(C407)&lt;10,"0","")&amp;MONTH(C407),""),"")</x:f>
      </x:c>
      <x:c r="N407" s="59" t="str">
        <x:f>IF(L407="VALID",IF(G407="USD",H407,I407),"")</x:f>
      </x:c>
      <x:c r="O407" s="57" t="n">
        <x:f>IF(L407="VALID",IF(COUNTIFS($B$2:B407,B407,$M$2:M407,M407,$L$2:L407,"VALID")=1,1,0),0)</x:f>
        <x:v>0</x:v>
      </x:c>
    </x:row>
    <x:row r="408">
      <x:c r="A408" s="47"/>
      <x:c r="B408" s="47"/>
      <x:c r="C408" s="69"/>
      <x:c r="D408" s="47"/>
      <x:c r="E408" s="47"/>
      <x:c r="F408" s="47"/>
      <x:c r="G408" s="47"/>
      <x:c r="H408" s="48"/>
      <x:c r="I408" s="48"/>
      <x:c r="J408" s="47"/>
      <x:c r="K408" s="47"/>
      <x:c r="L408" s="57" t="str">
        <x:f>IF(COUNTA(A408:K408)=0,"",IF(K408="CANCELLED","CANCELLED",IF(A408="","INVOICE ID REQUIRED",IF(B408="","PROJECT ID REQUIRED",IF(NOT(ISNUMBER(C408)),"INVALID INVOICE DATE",IF(NOT(AND(ISNUMBER(C408),C408&gt;=2,C408&lt;=2958465,C408=INT(C408))),"INVALID INVOICE DATE",IF(NOT(OR(D408="MX",D408="US")),"ENTITY REQUIRED",IF(NOT(OR(E408="Strategic Services",E408="Brands")),"UNIT REQUIRED",IF(F408="","BRAND / N/A REQUIRED",IF(NOT(OR(G408="USD",G408="MXN")),"CURRENCY REQUIRED",IF(NOT(ISNUMBER(H408)),"AMOUNT REQUIRED",IF(J408="","ERP SOURCE REQUIRED",IF(NOT(OR(K408="ISSUED",K408="CANCELLED")),"INVOICE STATUS REQUIRED",IF(COUNTIFS($A$2:$A$501,A408,$B$2:$B$501,B408,$D$2:$D$501,D408)&gt;1,"DUPLICATE INVOICE / PROJECT",IF(SUMPRODUCT(--(('ERP Snapshot'!$A$2:$A$101&amp;"")=(B408&amp;"")))=0,"PROJECT NOT FOUND",IF(SUMPRODUCT(--(('ERP Snapshot'!$A$2:$A$101&amp;"")=(B408&amp;"")))&gt;1,"DUPLICATE PROJECT ID",IF(OR(SUMPRODUCT(--(('ERP Snapshot'!$A$2:$A$101&amp;"")=(B408&amp;"")),--('ERP Snapshot'!$Q$2:$Q$101=E408),--('ERP Snapshot'!$R$2:$R$101=F408))&lt;&gt;1,SUMPRODUCT(--('Commercial Catalogs'!$A$2:$A$10=E408),--('Commercial Catalogs'!$B$2:$B$10=F408),--('Commercial Catalogs'!$C$2:$C$10="YES"),--('Commercial Catalogs'!$D$2:$D$10="IN SCOPE"))=0,AND(E408="Strategic Services",F408&lt;&gt;"N/A"),AND(E408="Brands",F408="N/A")),"PROJECT CLASSIFICATION MISMATCH",IF(AND(G408="MXN",NOT(AND(ISNUMBER(I408),Settings!$B$8="APPROVED",Settings!$B$9&lt;&gt;"",Settings!$B$10&lt;&gt;""))),"FX HOLD","VALID"))))))))))))))))))</x:f>
      </x:c>
      <x:c r="M408" s="57" t="str">
        <x:f>IF(ISNUMBER(C408),IF(AND(ISNUMBER(C408),C408&gt;=2,C408&lt;=2958465,C408=INT(C408)),YEAR(C408)&amp;"-"&amp;IF(MONTH(C408)&lt;10,"0","")&amp;MONTH(C408),""),"")</x:f>
      </x:c>
      <x:c r="N408" s="59" t="str">
        <x:f>IF(L408="VALID",IF(G408="USD",H408,I408),"")</x:f>
      </x:c>
      <x:c r="O408" s="57" t="n">
        <x:f>IF(L408="VALID",IF(COUNTIFS($B$2:B408,B408,$M$2:M408,M408,$L$2:L408,"VALID")=1,1,0),0)</x:f>
        <x:v>0</x:v>
      </x:c>
    </x:row>
    <x:row r="409">
      <x:c r="A409" s="47"/>
      <x:c r="B409" s="47"/>
      <x:c r="C409" s="69"/>
      <x:c r="D409" s="47"/>
      <x:c r="E409" s="47"/>
      <x:c r="F409" s="47"/>
      <x:c r="G409" s="47"/>
      <x:c r="H409" s="48"/>
      <x:c r="I409" s="48"/>
      <x:c r="J409" s="47"/>
      <x:c r="K409" s="47"/>
      <x:c r="L409" s="57" t="str">
        <x:f>IF(COUNTA(A409:K409)=0,"",IF(K409="CANCELLED","CANCELLED",IF(A409="","INVOICE ID REQUIRED",IF(B409="","PROJECT ID REQUIRED",IF(NOT(ISNUMBER(C409)),"INVALID INVOICE DATE",IF(NOT(AND(ISNUMBER(C409),C409&gt;=2,C409&lt;=2958465,C409=INT(C409))),"INVALID INVOICE DATE",IF(NOT(OR(D409="MX",D409="US")),"ENTITY REQUIRED",IF(NOT(OR(E409="Strategic Services",E409="Brands")),"UNIT REQUIRED",IF(F409="","BRAND / N/A REQUIRED",IF(NOT(OR(G409="USD",G409="MXN")),"CURRENCY REQUIRED",IF(NOT(ISNUMBER(H409)),"AMOUNT REQUIRED",IF(J409="","ERP SOURCE REQUIRED",IF(NOT(OR(K409="ISSUED",K409="CANCELLED")),"INVOICE STATUS REQUIRED",IF(COUNTIFS($A$2:$A$501,A409,$B$2:$B$501,B409,$D$2:$D$501,D409)&gt;1,"DUPLICATE INVOICE / PROJECT",IF(SUMPRODUCT(--(('ERP Snapshot'!$A$2:$A$101&amp;"")=(B409&amp;"")))=0,"PROJECT NOT FOUND",IF(SUMPRODUCT(--(('ERP Snapshot'!$A$2:$A$101&amp;"")=(B409&amp;"")))&gt;1,"DUPLICATE PROJECT ID",IF(OR(SUMPRODUCT(--(('ERP Snapshot'!$A$2:$A$101&amp;"")=(B409&amp;"")),--('ERP Snapshot'!$Q$2:$Q$101=E409),--('ERP Snapshot'!$R$2:$R$101=F409))&lt;&gt;1,SUMPRODUCT(--('Commercial Catalogs'!$A$2:$A$10=E409),--('Commercial Catalogs'!$B$2:$B$10=F409),--('Commercial Catalogs'!$C$2:$C$10="YES"),--('Commercial Catalogs'!$D$2:$D$10="IN SCOPE"))=0,AND(E409="Strategic Services",F409&lt;&gt;"N/A"),AND(E409="Brands",F409="N/A")),"PROJECT CLASSIFICATION MISMATCH",IF(AND(G409="MXN",NOT(AND(ISNUMBER(I409),Settings!$B$8="APPROVED",Settings!$B$9&lt;&gt;"",Settings!$B$10&lt;&gt;""))),"FX HOLD","VALID"))))))))))))))))))</x:f>
      </x:c>
      <x:c r="M409" s="57" t="str">
        <x:f>IF(ISNUMBER(C409),IF(AND(ISNUMBER(C409),C409&gt;=2,C409&lt;=2958465,C409=INT(C409)),YEAR(C409)&amp;"-"&amp;IF(MONTH(C409)&lt;10,"0","")&amp;MONTH(C409),""),"")</x:f>
      </x:c>
      <x:c r="N409" s="59" t="str">
        <x:f>IF(L409="VALID",IF(G409="USD",H409,I409),"")</x:f>
      </x:c>
      <x:c r="O409" s="57" t="n">
        <x:f>IF(L409="VALID",IF(COUNTIFS($B$2:B409,B409,$M$2:M409,M409,$L$2:L409,"VALID")=1,1,0),0)</x:f>
        <x:v>0</x:v>
      </x:c>
    </x:row>
    <x:row r="410">
      <x:c r="A410" s="47"/>
      <x:c r="B410" s="47"/>
      <x:c r="C410" s="69"/>
      <x:c r="D410" s="47"/>
      <x:c r="E410" s="47"/>
      <x:c r="F410" s="47"/>
      <x:c r="G410" s="47"/>
      <x:c r="H410" s="48"/>
      <x:c r="I410" s="48"/>
      <x:c r="J410" s="47"/>
      <x:c r="K410" s="47"/>
      <x:c r="L410" s="57" t="str">
        <x:f>IF(COUNTA(A410:K410)=0,"",IF(K410="CANCELLED","CANCELLED",IF(A410="","INVOICE ID REQUIRED",IF(B410="","PROJECT ID REQUIRED",IF(NOT(ISNUMBER(C410)),"INVALID INVOICE DATE",IF(NOT(AND(ISNUMBER(C410),C410&gt;=2,C410&lt;=2958465,C410=INT(C410))),"INVALID INVOICE DATE",IF(NOT(OR(D410="MX",D410="US")),"ENTITY REQUIRED",IF(NOT(OR(E410="Strategic Services",E410="Brands")),"UNIT REQUIRED",IF(F410="","BRAND / N/A REQUIRED",IF(NOT(OR(G410="USD",G410="MXN")),"CURRENCY REQUIRED",IF(NOT(ISNUMBER(H410)),"AMOUNT REQUIRED",IF(J410="","ERP SOURCE REQUIRED",IF(NOT(OR(K410="ISSUED",K410="CANCELLED")),"INVOICE STATUS REQUIRED",IF(COUNTIFS($A$2:$A$501,A410,$B$2:$B$501,B410,$D$2:$D$501,D410)&gt;1,"DUPLICATE INVOICE / PROJECT",IF(SUMPRODUCT(--(('ERP Snapshot'!$A$2:$A$101&amp;"")=(B410&amp;"")))=0,"PROJECT NOT FOUND",IF(SUMPRODUCT(--(('ERP Snapshot'!$A$2:$A$101&amp;"")=(B410&amp;"")))&gt;1,"DUPLICATE PROJECT ID",IF(OR(SUMPRODUCT(--(('ERP Snapshot'!$A$2:$A$101&amp;"")=(B410&amp;"")),--('ERP Snapshot'!$Q$2:$Q$101=E410),--('ERP Snapshot'!$R$2:$R$101=F410))&lt;&gt;1,SUMPRODUCT(--('Commercial Catalogs'!$A$2:$A$10=E410),--('Commercial Catalogs'!$B$2:$B$10=F410),--('Commercial Catalogs'!$C$2:$C$10="YES"),--('Commercial Catalogs'!$D$2:$D$10="IN SCOPE"))=0,AND(E410="Strategic Services",F410&lt;&gt;"N/A"),AND(E410="Brands",F410="N/A")),"PROJECT CLASSIFICATION MISMATCH",IF(AND(G410="MXN",NOT(AND(ISNUMBER(I410),Settings!$B$8="APPROVED",Settings!$B$9&lt;&gt;"",Settings!$B$10&lt;&gt;""))),"FX HOLD","VALID"))))))))))))))))))</x:f>
      </x:c>
      <x:c r="M410" s="57" t="str">
        <x:f>IF(ISNUMBER(C410),IF(AND(ISNUMBER(C410),C410&gt;=2,C410&lt;=2958465,C410=INT(C410)),YEAR(C410)&amp;"-"&amp;IF(MONTH(C410)&lt;10,"0","")&amp;MONTH(C410),""),"")</x:f>
      </x:c>
      <x:c r="N410" s="59" t="str">
        <x:f>IF(L410="VALID",IF(G410="USD",H410,I410),"")</x:f>
      </x:c>
      <x:c r="O410" s="57" t="n">
        <x:f>IF(L410="VALID",IF(COUNTIFS($B$2:B410,B410,$M$2:M410,M410,$L$2:L410,"VALID")=1,1,0),0)</x:f>
        <x:v>0</x:v>
      </x:c>
    </x:row>
    <x:row r="411">
      <x:c r="A411" s="47"/>
      <x:c r="B411" s="47"/>
      <x:c r="C411" s="69"/>
      <x:c r="D411" s="47"/>
      <x:c r="E411" s="47"/>
      <x:c r="F411" s="47"/>
      <x:c r="G411" s="47"/>
      <x:c r="H411" s="48"/>
      <x:c r="I411" s="48"/>
      <x:c r="J411" s="47"/>
      <x:c r="K411" s="47"/>
      <x:c r="L411" s="57" t="str">
        <x:f>IF(COUNTA(A411:K411)=0,"",IF(K411="CANCELLED","CANCELLED",IF(A411="","INVOICE ID REQUIRED",IF(B411="","PROJECT ID REQUIRED",IF(NOT(ISNUMBER(C411)),"INVALID INVOICE DATE",IF(NOT(AND(ISNUMBER(C411),C411&gt;=2,C411&lt;=2958465,C411=INT(C411))),"INVALID INVOICE DATE",IF(NOT(OR(D411="MX",D411="US")),"ENTITY REQUIRED",IF(NOT(OR(E411="Strategic Services",E411="Brands")),"UNIT REQUIRED",IF(F411="","BRAND / N/A REQUIRED",IF(NOT(OR(G411="USD",G411="MXN")),"CURRENCY REQUIRED",IF(NOT(ISNUMBER(H411)),"AMOUNT REQUIRED",IF(J411="","ERP SOURCE REQUIRED",IF(NOT(OR(K411="ISSUED",K411="CANCELLED")),"INVOICE STATUS REQUIRED",IF(COUNTIFS($A$2:$A$501,A411,$B$2:$B$501,B411,$D$2:$D$501,D411)&gt;1,"DUPLICATE INVOICE / PROJECT",IF(SUMPRODUCT(--(('ERP Snapshot'!$A$2:$A$101&amp;"")=(B411&amp;"")))=0,"PROJECT NOT FOUND",IF(SUMPRODUCT(--(('ERP Snapshot'!$A$2:$A$101&amp;"")=(B411&amp;"")))&gt;1,"DUPLICATE PROJECT ID",IF(OR(SUMPRODUCT(--(('ERP Snapshot'!$A$2:$A$101&amp;"")=(B411&amp;"")),--('ERP Snapshot'!$Q$2:$Q$101=E411),--('ERP Snapshot'!$R$2:$R$101=F411))&lt;&gt;1,SUMPRODUCT(--('Commercial Catalogs'!$A$2:$A$10=E411),--('Commercial Catalogs'!$B$2:$B$10=F411),--('Commercial Catalogs'!$C$2:$C$10="YES"),--('Commercial Catalogs'!$D$2:$D$10="IN SCOPE"))=0,AND(E411="Strategic Services",F411&lt;&gt;"N/A"),AND(E411="Brands",F411="N/A")),"PROJECT CLASSIFICATION MISMATCH",IF(AND(G411="MXN",NOT(AND(ISNUMBER(I411),Settings!$B$8="APPROVED",Settings!$B$9&lt;&gt;"",Settings!$B$10&lt;&gt;""))),"FX HOLD","VALID"))))))))))))))))))</x:f>
      </x:c>
      <x:c r="M411" s="57" t="str">
        <x:f>IF(ISNUMBER(C411),IF(AND(ISNUMBER(C411),C411&gt;=2,C411&lt;=2958465,C411=INT(C411)),YEAR(C411)&amp;"-"&amp;IF(MONTH(C411)&lt;10,"0","")&amp;MONTH(C411),""),"")</x:f>
      </x:c>
      <x:c r="N411" s="59" t="str">
        <x:f>IF(L411="VALID",IF(G411="USD",H411,I411),"")</x:f>
      </x:c>
      <x:c r="O411" s="57" t="n">
        <x:f>IF(L411="VALID",IF(COUNTIFS($B$2:B411,B411,$M$2:M411,M411,$L$2:L411,"VALID")=1,1,0),0)</x:f>
        <x:v>0</x:v>
      </x:c>
    </x:row>
    <x:row r="412">
      <x:c r="A412" s="47"/>
      <x:c r="B412" s="47"/>
      <x:c r="C412" s="69"/>
      <x:c r="D412" s="47"/>
      <x:c r="E412" s="47"/>
      <x:c r="F412" s="47"/>
      <x:c r="G412" s="47"/>
      <x:c r="H412" s="48"/>
      <x:c r="I412" s="48"/>
      <x:c r="J412" s="47"/>
      <x:c r="K412" s="47"/>
      <x:c r="L412" s="57" t="str">
        <x:f>IF(COUNTA(A412:K412)=0,"",IF(K412="CANCELLED","CANCELLED",IF(A412="","INVOICE ID REQUIRED",IF(B412="","PROJECT ID REQUIRED",IF(NOT(ISNUMBER(C412)),"INVALID INVOICE DATE",IF(NOT(AND(ISNUMBER(C412),C412&gt;=2,C412&lt;=2958465,C412=INT(C412))),"INVALID INVOICE DATE",IF(NOT(OR(D412="MX",D412="US")),"ENTITY REQUIRED",IF(NOT(OR(E412="Strategic Services",E412="Brands")),"UNIT REQUIRED",IF(F412="","BRAND / N/A REQUIRED",IF(NOT(OR(G412="USD",G412="MXN")),"CURRENCY REQUIRED",IF(NOT(ISNUMBER(H412)),"AMOUNT REQUIRED",IF(J412="","ERP SOURCE REQUIRED",IF(NOT(OR(K412="ISSUED",K412="CANCELLED")),"INVOICE STATUS REQUIRED",IF(COUNTIFS($A$2:$A$501,A412,$B$2:$B$501,B412,$D$2:$D$501,D412)&gt;1,"DUPLICATE INVOICE / PROJECT",IF(SUMPRODUCT(--(('ERP Snapshot'!$A$2:$A$101&amp;"")=(B412&amp;"")))=0,"PROJECT NOT FOUND",IF(SUMPRODUCT(--(('ERP Snapshot'!$A$2:$A$101&amp;"")=(B412&amp;"")))&gt;1,"DUPLICATE PROJECT ID",IF(OR(SUMPRODUCT(--(('ERP Snapshot'!$A$2:$A$101&amp;"")=(B412&amp;"")),--('ERP Snapshot'!$Q$2:$Q$101=E412),--('ERP Snapshot'!$R$2:$R$101=F412))&lt;&gt;1,SUMPRODUCT(--('Commercial Catalogs'!$A$2:$A$10=E412),--('Commercial Catalogs'!$B$2:$B$10=F412),--('Commercial Catalogs'!$C$2:$C$10="YES"),--('Commercial Catalogs'!$D$2:$D$10="IN SCOPE"))=0,AND(E412="Strategic Services",F412&lt;&gt;"N/A"),AND(E412="Brands",F412="N/A")),"PROJECT CLASSIFICATION MISMATCH",IF(AND(G412="MXN",NOT(AND(ISNUMBER(I412),Settings!$B$8="APPROVED",Settings!$B$9&lt;&gt;"",Settings!$B$10&lt;&gt;""))),"FX HOLD","VALID"))))))))))))))))))</x:f>
      </x:c>
      <x:c r="M412" s="57" t="str">
        <x:f>IF(ISNUMBER(C412),IF(AND(ISNUMBER(C412),C412&gt;=2,C412&lt;=2958465,C412=INT(C412)),YEAR(C412)&amp;"-"&amp;IF(MONTH(C412)&lt;10,"0","")&amp;MONTH(C412),""),"")</x:f>
      </x:c>
      <x:c r="N412" s="59" t="str">
        <x:f>IF(L412="VALID",IF(G412="USD",H412,I412),"")</x:f>
      </x:c>
      <x:c r="O412" s="57" t="n">
        <x:f>IF(L412="VALID",IF(COUNTIFS($B$2:B412,B412,$M$2:M412,M412,$L$2:L412,"VALID")=1,1,0),0)</x:f>
        <x:v>0</x:v>
      </x:c>
    </x:row>
    <x:row r="413">
      <x:c r="A413" s="47"/>
      <x:c r="B413" s="47"/>
      <x:c r="C413" s="69"/>
      <x:c r="D413" s="47"/>
      <x:c r="E413" s="47"/>
      <x:c r="F413" s="47"/>
      <x:c r="G413" s="47"/>
      <x:c r="H413" s="48"/>
      <x:c r="I413" s="48"/>
      <x:c r="J413" s="47"/>
      <x:c r="K413" s="47"/>
      <x:c r="L413" s="57" t="str">
        <x:f>IF(COUNTA(A413:K413)=0,"",IF(K413="CANCELLED","CANCELLED",IF(A413="","INVOICE ID REQUIRED",IF(B413="","PROJECT ID REQUIRED",IF(NOT(ISNUMBER(C413)),"INVALID INVOICE DATE",IF(NOT(AND(ISNUMBER(C413),C413&gt;=2,C413&lt;=2958465,C413=INT(C413))),"INVALID INVOICE DATE",IF(NOT(OR(D413="MX",D413="US")),"ENTITY REQUIRED",IF(NOT(OR(E413="Strategic Services",E413="Brands")),"UNIT REQUIRED",IF(F413="","BRAND / N/A REQUIRED",IF(NOT(OR(G413="USD",G413="MXN")),"CURRENCY REQUIRED",IF(NOT(ISNUMBER(H413)),"AMOUNT REQUIRED",IF(J413="","ERP SOURCE REQUIRED",IF(NOT(OR(K413="ISSUED",K413="CANCELLED")),"INVOICE STATUS REQUIRED",IF(COUNTIFS($A$2:$A$501,A413,$B$2:$B$501,B413,$D$2:$D$501,D413)&gt;1,"DUPLICATE INVOICE / PROJECT",IF(SUMPRODUCT(--(('ERP Snapshot'!$A$2:$A$101&amp;"")=(B413&amp;"")))=0,"PROJECT NOT FOUND",IF(SUMPRODUCT(--(('ERP Snapshot'!$A$2:$A$101&amp;"")=(B413&amp;"")))&gt;1,"DUPLICATE PROJECT ID",IF(OR(SUMPRODUCT(--(('ERP Snapshot'!$A$2:$A$101&amp;"")=(B413&amp;"")),--('ERP Snapshot'!$Q$2:$Q$101=E413),--('ERP Snapshot'!$R$2:$R$101=F413))&lt;&gt;1,SUMPRODUCT(--('Commercial Catalogs'!$A$2:$A$10=E413),--('Commercial Catalogs'!$B$2:$B$10=F413),--('Commercial Catalogs'!$C$2:$C$10="YES"),--('Commercial Catalogs'!$D$2:$D$10="IN SCOPE"))=0,AND(E413="Strategic Services",F413&lt;&gt;"N/A"),AND(E413="Brands",F413="N/A")),"PROJECT CLASSIFICATION MISMATCH",IF(AND(G413="MXN",NOT(AND(ISNUMBER(I413),Settings!$B$8="APPROVED",Settings!$B$9&lt;&gt;"",Settings!$B$10&lt;&gt;""))),"FX HOLD","VALID"))))))))))))))))))</x:f>
      </x:c>
      <x:c r="M413" s="57" t="str">
        <x:f>IF(ISNUMBER(C413),IF(AND(ISNUMBER(C413),C413&gt;=2,C413&lt;=2958465,C413=INT(C413)),YEAR(C413)&amp;"-"&amp;IF(MONTH(C413)&lt;10,"0","")&amp;MONTH(C413),""),"")</x:f>
      </x:c>
      <x:c r="N413" s="59" t="str">
        <x:f>IF(L413="VALID",IF(G413="USD",H413,I413),"")</x:f>
      </x:c>
      <x:c r="O413" s="57" t="n">
        <x:f>IF(L413="VALID",IF(COUNTIFS($B$2:B413,B413,$M$2:M413,M413,$L$2:L413,"VALID")=1,1,0),0)</x:f>
        <x:v>0</x:v>
      </x:c>
    </x:row>
    <x:row r="414">
      <x:c r="A414" s="47"/>
      <x:c r="B414" s="47"/>
      <x:c r="C414" s="69"/>
      <x:c r="D414" s="47"/>
      <x:c r="E414" s="47"/>
      <x:c r="F414" s="47"/>
      <x:c r="G414" s="47"/>
      <x:c r="H414" s="48"/>
      <x:c r="I414" s="48"/>
      <x:c r="J414" s="47"/>
      <x:c r="K414" s="47"/>
      <x:c r="L414" s="57" t="str">
        <x:f>IF(COUNTA(A414:K414)=0,"",IF(K414="CANCELLED","CANCELLED",IF(A414="","INVOICE ID REQUIRED",IF(B414="","PROJECT ID REQUIRED",IF(NOT(ISNUMBER(C414)),"INVALID INVOICE DATE",IF(NOT(AND(ISNUMBER(C414),C414&gt;=2,C414&lt;=2958465,C414=INT(C414))),"INVALID INVOICE DATE",IF(NOT(OR(D414="MX",D414="US")),"ENTITY REQUIRED",IF(NOT(OR(E414="Strategic Services",E414="Brands")),"UNIT REQUIRED",IF(F414="","BRAND / N/A REQUIRED",IF(NOT(OR(G414="USD",G414="MXN")),"CURRENCY REQUIRED",IF(NOT(ISNUMBER(H414)),"AMOUNT REQUIRED",IF(J414="","ERP SOURCE REQUIRED",IF(NOT(OR(K414="ISSUED",K414="CANCELLED")),"INVOICE STATUS REQUIRED",IF(COUNTIFS($A$2:$A$501,A414,$B$2:$B$501,B414,$D$2:$D$501,D414)&gt;1,"DUPLICATE INVOICE / PROJECT",IF(SUMPRODUCT(--(('ERP Snapshot'!$A$2:$A$101&amp;"")=(B414&amp;"")))=0,"PROJECT NOT FOUND",IF(SUMPRODUCT(--(('ERP Snapshot'!$A$2:$A$101&amp;"")=(B414&amp;"")))&gt;1,"DUPLICATE PROJECT ID",IF(OR(SUMPRODUCT(--(('ERP Snapshot'!$A$2:$A$101&amp;"")=(B414&amp;"")),--('ERP Snapshot'!$Q$2:$Q$101=E414),--('ERP Snapshot'!$R$2:$R$101=F414))&lt;&gt;1,SUMPRODUCT(--('Commercial Catalogs'!$A$2:$A$10=E414),--('Commercial Catalogs'!$B$2:$B$10=F414),--('Commercial Catalogs'!$C$2:$C$10="YES"),--('Commercial Catalogs'!$D$2:$D$10="IN SCOPE"))=0,AND(E414="Strategic Services",F414&lt;&gt;"N/A"),AND(E414="Brands",F414="N/A")),"PROJECT CLASSIFICATION MISMATCH",IF(AND(G414="MXN",NOT(AND(ISNUMBER(I414),Settings!$B$8="APPROVED",Settings!$B$9&lt;&gt;"",Settings!$B$10&lt;&gt;""))),"FX HOLD","VALID"))))))))))))))))))</x:f>
      </x:c>
      <x:c r="M414" s="57" t="str">
        <x:f>IF(ISNUMBER(C414),IF(AND(ISNUMBER(C414),C414&gt;=2,C414&lt;=2958465,C414=INT(C414)),YEAR(C414)&amp;"-"&amp;IF(MONTH(C414)&lt;10,"0","")&amp;MONTH(C414),""),"")</x:f>
      </x:c>
      <x:c r="N414" s="59" t="str">
        <x:f>IF(L414="VALID",IF(G414="USD",H414,I414),"")</x:f>
      </x:c>
      <x:c r="O414" s="57" t="n">
        <x:f>IF(L414="VALID",IF(COUNTIFS($B$2:B414,B414,$M$2:M414,M414,$L$2:L414,"VALID")=1,1,0),0)</x:f>
        <x:v>0</x:v>
      </x:c>
    </x:row>
    <x:row r="415">
      <x:c r="A415" s="47"/>
      <x:c r="B415" s="47"/>
      <x:c r="C415" s="69"/>
      <x:c r="D415" s="47"/>
      <x:c r="E415" s="47"/>
      <x:c r="F415" s="47"/>
      <x:c r="G415" s="47"/>
      <x:c r="H415" s="48"/>
      <x:c r="I415" s="48"/>
      <x:c r="J415" s="47"/>
      <x:c r="K415" s="47"/>
      <x:c r="L415" s="57" t="str">
        <x:f>IF(COUNTA(A415:K415)=0,"",IF(K415="CANCELLED","CANCELLED",IF(A415="","INVOICE ID REQUIRED",IF(B415="","PROJECT ID REQUIRED",IF(NOT(ISNUMBER(C415)),"INVALID INVOICE DATE",IF(NOT(AND(ISNUMBER(C415),C415&gt;=2,C415&lt;=2958465,C415=INT(C415))),"INVALID INVOICE DATE",IF(NOT(OR(D415="MX",D415="US")),"ENTITY REQUIRED",IF(NOT(OR(E415="Strategic Services",E415="Brands")),"UNIT REQUIRED",IF(F415="","BRAND / N/A REQUIRED",IF(NOT(OR(G415="USD",G415="MXN")),"CURRENCY REQUIRED",IF(NOT(ISNUMBER(H415)),"AMOUNT REQUIRED",IF(J415="","ERP SOURCE REQUIRED",IF(NOT(OR(K415="ISSUED",K415="CANCELLED")),"INVOICE STATUS REQUIRED",IF(COUNTIFS($A$2:$A$501,A415,$B$2:$B$501,B415,$D$2:$D$501,D415)&gt;1,"DUPLICATE INVOICE / PROJECT",IF(SUMPRODUCT(--(('ERP Snapshot'!$A$2:$A$101&amp;"")=(B415&amp;"")))=0,"PROJECT NOT FOUND",IF(SUMPRODUCT(--(('ERP Snapshot'!$A$2:$A$101&amp;"")=(B415&amp;"")))&gt;1,"DUPLICATE PROJECT ID",IF(OR(SUMPRODUCT(--(('ERP Snapshot'!$A$2:$A$101&amp;"")=(B415&amp;"")),--('ERP Snapshot'!$Q$2:$Q$101=E415),--('ERP Snapshot'!$R$2:$R$101=F415))&lt;&gt;1,SUMPRODUCT(--('Commercial Catalogs'!$A$2:$A$10=E415),--('Commercial Catalogs'!$B$2:$B$10=F415),--('Commercial Catalogs'!$C$2:$C$10="YES"),--('Commercial Catalogs'!$D$2:$D$10="IN SCOPE"))=0,AND(E415="Strategic Services",F415&lt;&gt;"N/A"),AND(E415="Brands",F415="N/A")),"PROJECT CLASSIFICATION MISMATCH",IF(AND(G415="MXN",NOT(AND(ISNUMBER(I415),Settings!$B$8="APPROVED",Settings!$B$9&lt;&gt;"",Settings!$B$10&lt;&gt;""))),"FX HOLD","VALID"))))))))))))))))))</x:f>
      </x:c>
      <x:c r="M415" s="57" t="str">
        <x:f>IF(ISNUMBER(C415),IF(AND(ISNUMBER(C415),C415&gt;=2,C415&lt;=2958465,C415=INT(C415)),YEAR(C415)&amp;"-"&amp;IF(MONTH(C415)&lt;10,"0","")&amp;MONTH(C415),""),"")</x:f>
      </x:c>
      <x:c r="N415" s="59" t="str">
        <x:f>IF(L415="VALID",IF(G415="USD",H415,I415),"")</x:f>
      </x:c>
      <x:c r="O415" s="57" t="n">
        <x:f>IF(L415="VALID",IF(COUNTIFS($B$2:B415,B415,$M$2:M415,M415,$L$2:L415,"VALID")=1,1,0),0)</x:f>
        <x:v>0</x:v>
      </x:c>
    </x:row>
    <x:row r="416">
      <x:c r="A416" s="47"/>
      <x:c r="B416" s="47"/>
      <x:c r="C416" s="69"/>
      <x:c r="D416" s="47"/>
      <x:c r="E416" s="47"/>
      <x:c r="F416" s="47"/>
      <x:c r="G416" s="47"/>
      <x:c r="H416" s="48"/>
      <x:c r="I416" s="48"/>
      <x:c r="J416" s="47"/>
      <x:c r="K416" s="47"/>
      <x:c r="L416" s="57" t="str">
        <x:f>IF(COUNTA(A416:K416)=0,"",IF(K416="CANCELLED","CANCELLED",IF(A416="","INVOICE ID REQUIRED",IF(B416="","PROJECT ID REQUIRED",IF(NOT(ISNUMBER(C416)),"INVALID INVOICE DATE",IF(NOT(AND(ISNUMBER(C416),C416&gt;=2,C416&lt;=2958465,C416=INT(C416))),"INVALID INVOICE DATE",IF(NOT(OR(D416="MX",D416="US")),"ENTITY REQUIRED",IF(NOT(OR(E416="Strategic Services",E416="Brands")),"UNIT REQUIRED",IF(F416="","BRAND / N/A REQUIRED",IF(NOT(OR(G416="USD",G416="MXN")),"CURRENCY REQUIRED",IF(NOT(ISNUMBER(H416)),"AMOUNT REQUIRED",IF(J416="","ERP SOURCE REQUIRED",IF(NOT(OR(K416="ISSUED",K416="CANCELLED")),"INVOICE STATUS REQUIRED",IF(COUNTIFS($A$2:$A$501,A416,$B$2:$B$501,B416,$D$2:$D$501,D416)&gt;1,"DUPLICATE INVOICE / PROJECT",IF(SUMPRODUCT(--(('ERP Snapshot'!$A$2:$A$101&amp;"")=(B416&amp;"")))=0,"PROJECT NOT FOUND",IF(SUMPRODUCT(--(('ERP Snapshot'!$A$2:$A$101&amp;"")=(B416&amp;"")))&gt;1,"DUPLICATE PROJECT ID",IF(OR(SUMPRODUCT(--(('ERP Snapshot'!$A$2:$A$101&amp;"")=(B416&amp;"")),--('ERP Snapshot'!$Q$2:$Q$101=E416),--('ERP Snapshot'!$R$2:$R$101=F416))&lt;&gt;1,SUMPRODUCT(--('Commercial Catalogs'!$A$2:$A$10=E416),--('Commercial Catalogs'!$B$2:$B$10=F416),--('Commercial Catalogs'!$C$2:$C$10="YES"),--('Commercial Catalogs'!$D$2:$D$10="IN SCOPE"))=0,AND(E416="Strategic Services",F416&lt;&gt;"N/A"),AND(E416="Brands",F416="N/A")),"PROJECT CLASSIFICATION MISMATCH",IF(AND(G416="MXN",NOT(AND(ISNUMBER(I416),Settings!$B$8="APPROVED",Settings!$B$9&lt;&gt;"",Settings!$B$10&lt;&gt;""))),"FX HOLD","VALID"))))))))))))))))))</x:f>
      </x:c>
      <x:c r="M416" s="57" t="str">
        <x:f>IF(ISNUMBER(C416),IF(AND(ISNUMBER(C416),C416&gt;=2,C416&lt;=2958465,C416=INT(C416)),YEAR(C416)&amp;"-"&amp;IF(MONTH(C416)&lt;10,"0","")&amp;MONTH(C416),""),"")</x:f>
      </x:c>
      <x:c r="N416" s="59" t="str">
        <x:f>IF(L416="VALID",IF(G416="USD",H416,I416),"")</x:f>
      </x:c>
      <x:c r="O416" s="57" t="n">
        <x:f>IF(L416="VALID",IF(COUNTIFS($B$2:B416,B416,$M$2:M416,M416,$L$2:L416,"VALID")=1,1,0),0)</x:f>
        <x:v>0</x:v>
      </x:c>
    </x:row>
    <x:row r="417">
      <x:c r="A417" s="47"/>
      <x:c r="B417" s="47"/>
      <x:c r="C417" s="69"/>
      <x:c r="D417" s="47"/>
      <x:c r="E417" s="47"/>
      <x:c r="F417" s="47"/>
      <x:c r="G417" s="47"/>
      <x:c r="H417" s="48"/>
      <x:c r="I417" s="48"/>
      <x:c r="J417" s="47"/>
      <x:c r="K417" s="47"/>
      <x:c r="L417" s="57" t="str">
        <x:f>IF(COUNTA(A417:K417)=0,"",IF(K417="CANCELLED","CANCELLED",IF(A417="","INVOICE ID REQUIRED",IF(B417="","PROJECT ID REQUIRED",IF(NOT(ISNUMBER(C417)),"INVALID INVOICE DATE",IF(NOT(AND(ISNUMBER(C417),C417&gt;=2,C417&lt;=2958465,C417=INT(C417))),"INVALID INVOICE DATE",IF(NOT(OR(D417="MX",D417="US")),"ENTITY REQUIRED",IF(NOT(OR(E417="Strategic Services",E417="Brands")),"UNIT REQUIRED",IF(F417="","BRAND / N/A REQUIRED",IF(NOT(OR(G417="USD",G417="MXN")),"CURRENCY REQUIRED",IF(NOT(ISNUMBER(H417)),"AMOUNT REQUIRED",IF(J417="","ERP SOURCE REQUIRED",IF(NOT(OR(K417="ISSUED",K417="CANCELLED")),"INVOICE STATUS REQUIRED",IF(COUNTIFS($A$2:$A$501,A417,$B$2:$B$501,B417,$D$2:$D$501,D417)&gt;1,"DUPLICATE INVOICE / PROJECT",IF(SUMPRODUCT(--(('ERP Snapshot'!$A$2:$A$101&amp;"")=(B417&amp;"")))=0,"PROJECT NOT FOUND",IF(SUMPRODUCT(--(('ERP Snapshot'!$A$2:$A$101&amp;"")=(B417&amp;"")))&gt;1,"DUPLICATE PROJECT ID",IF(OR(SUMPRODUCT(--(('ERP Snapshot'!$A$2:$A$101&amp;"")=(B417&amp;"")),--('ERP Snapshot'!$Q$2:$Q$101=E417),--('ERP Snapshot'!$R$2:$R$101=F417))&lt;&gt;1,SUMPRODUCT(--('Commercial Catalogs'!$A$2:$A$10=E417),--('Commercial Catalogs'!$B$2:$B$10=F417),--('Commercial Catalogs'!$C$2:$C$10="YES"),--('Commercial Catalogs'!$D$2:$D$10="IN SCOPE"))=0,AND(E417="Strategic Services",F417&lt;&gt;"N/A"),AND(E417="Brands",F417="N/A")),"PROJECT CLASSIFICATION MISMATCH",IF(AND(G417="MXN",NOT(AND(ISNUMBER(I417),Settings!$B$8="APPROVED",Settings!$B$9&lt;&gt;"",Settings!$B$10&lt;&gt;""))),"FX HOLD","VALID"))))))))))))))))))</x:f>
      </x:c>
      <x:c r="M417" s="57" t="str">
        <x:f>IF(ISNUMBER(C417),IF(AND(ISNUMBER(C417),C417&gt;=2,C417&lt;=2958465,C417=INT(C417)),YEAR(C417)&amp;"-"&amp;IF(MONTH(C417)&lt;10,"0","")&amp;MONTH(C417),""),"")</x:f>
      </x:c>
      <x:c r="N417" s="59" t="str">
        <x:f>IF(L417="VALID",IF(G417="USD",H417,I417),"")</x:f>
      </x:c>
      <x:c r="O417" s="57" t="n">
        <x:f>IF(L417="VALID",IF(COUNTIFS($B$2:B417,B417,$M$2:M417,M417,$L$2:L417,"VALID")=1,1,0),0)</x:f>
        <x:v>0</x:v>
      </x:c>
    </x:row>
    <x:row r="418">
      <x:c r="A418" s="47"/>
      <x:c r="B418" s="47"/>
      <x:c r="C418" s="69"/>
      <x:c r="D418" s="47"/>
      <x:c r="E418" s="47"/>
      <x:c r="F418" s="47"/>
      <x:c r="G418" s="47"/>
      <x:c r="H418" s="48"/>
      <x:c r="I418" s="48"/>
      <x:c r="J418" s="47"/>
      <x:c r="K418" s="47"/>
      <x:c r="L418" s="57" t="str">
        <x:f>IF(COUNTA(A418:K418)=0,"",IF(K418="CANCELLED","CANCELLED",IF(A418="","INVOICE ID REQUIRED",IF(B418="","PROJECT ID REQUIRED",IF(NOT(ISNUMBER(C418)),"INVALID INVOICE DATE",IF(NOT(AND(ISNUMBER(C418),C418&gt;=2,C418&lt;=2958465,C418=INT(C418))),"INVALID INVOICE DATE",IF(NOT(OR(D418="MX",D418="US")),"ENTITY REQUIRED",IF(NOT(OR(E418="Strategic Services",E418="Brands")),"UNIT REQUIRED",IF(F418="","BRAND / N/A REQUIRED",IF(NOT(OR(G418="USD",G418="MXN")),"CURRENCY REQUIRED",IF(NOT(ISNUMBER(H418)),"AMOUNT REQUIRED",IF(J418="","ERP SOURCE REQUIRED",IF(NOT(OR(K418="ISSUED",K418="CANCELLED")),"INVOICE STATUS REQUIRED",IF(COUNTIFS($A$2:$A$501,A418,$B$2:$B$501,B418,$D$2:$D$501,D418)&gt;1,"DUPLICATE INVOICE / PROJECT",IF(SUMPRODUCT(--(('ERP Snapshot'!$A$2:$A$101&amp;"")=(B418&amp;"")))=0,"PROJECT NOT FOUND",IF(SUMPRODUCT(--(('ERP Snapshot'!$A$2:$A$101&amp;"")=(B418&amp;"")))&gt;1,"DUPLICATE PROJECT ID",IF(OR(SUMPRODUCT(--(('ERP Snapshot'!$A$2:$A$101&amp;"")=(B418&amp;"")),--('ERP Snapshot'!$Q$2:$Q$101=E418),--('ERP Snapshot'!$R$2:$R$101=F418))&lt;&gt;1,SUMPRODUCT(--('Commercial Catalogs'!$A$2:$A$10=E418),--('Commercial Catalogs'!$B$2:$B$10=F418),--('Commercial Catalogs'!$C$2:$C$10="YES"),--('Commercial Catalogs'!$D$2:$D$10="IN SCOPE"))=0,AND(E418="Strategic Services",F418&lt;&gt;"N/A"),AND(E418="Brands",F418="N/A")),"PROJECT CLASSIFICATION MISMATCH",IF(AND(G418="MXN",NOT(AND(ISNUMBER(I418),Settings!$B$8="APPROVED",Settings!$B$9&lt;&gt;"",Settings!$B$10&lt;&gt;""))),"FX HOLD","VALID"))))))))))))))))))</x:f>
      </x:c>
      <x:c r="M418" s="57" t="str">
        <x:f>IF(ISNUMBER(C418),IF(AND(ISNUMBER(C418),C418&gt;=2,C418&lt;=2958465,C418=INT(C418)),YEAR(C418)&amp;"-"&amp;IF(MONTH(C418)&lt;10,"0","")&amp;MONTH(C418),""),"")</x:f>
      </x:c>
      <x:c r="N418" s="59" t="str">
        <x:f>IF(L418="VALID",IF(G418="USD",H418,I418),"")</x:f>
      </x:c>
      <x:c r="O418" s="57" t="n">
        <x:f>IF(L418="VALID",IF(COUNTIFS($B$2:B418,B418,$M$2:M418,M418,$L$2:L418,"VALID")=1,1,0),0)</x:f>
        <x:v>0</x:v>
      </x:c>
    </x:row>
    <x:row r="419">
      <x:c r="A419" s="47"/>
      <x:c r="B419" s="47"/>
      <x:c r="C419" s="69"/>
      <x:c r="D419" s="47"/>
      <x:c r="E419" s="47"/>
      <x:c r="F419" s="47"/>
      <x:c r="G419" s="47"/>
      <x:c r="H419" s="48"/>
      <x:c r="I419" s="48"/>
      <x:c r="J419" s="47"/>
      <x:c r="K419" s="47"/>
      <x:c r="L419" s="57" t="str">
        <x:f>IF(COUNTA(A419:K419)=0,"",IF(K419="CANCELLED","CANCELLED",IF(A419="","INVOICE ID REQUIRED",IF(B419="","PROJECT ID REQUIRED",IF(NOT(ISNUMBER(C419)),"INVALID INVOICE DATE",IF(NOT(AND(ISNUMBER(C419),C419&gt;=2,C419&lt;=2958465,C419=INT(C419))),"INVALID INVOICE DATE",IF(NOT(OR(D419="MX",D419="US")),"ENTITY REQUIRED",IF(NOT(OR(E419="Strategic Services",E419="Brands")),"UNIT REQUIRED",IF(F419="","BRAND / N/A REQUIRED",IF(NOT(OR(G419="USD",G419="MXN")),"CURRENCY REQUIRED",IF(NOT(ISNUMBER(H419)),"AMOUNT REQUIRED",IF(J419="","ERP SOURCE REQUIRED",IF(NOT(OR(K419="ISSUED",K419="CANCELLED")),"INVOICE STATUS REQUIRED",IF(COUNTIFS($A$2:$A$501,A419,$B$2:$B$501,B419,$D$2:$D$501,D419)&gt;1,"DUPLICATE INVOICE / PROJECT",IF(SUMPRODUCT(--(('ERP Snapshot'!$A$2:$A$101&amp;"")=(B419&amp;"")))=0,"PROJECT NOT FOUND",IF(SUMPRODUCT(--(('ERP Snapshot'!$A$2:$A$101&amp;"")=(B419&amp;"")))&gt;1,"DUPLICATE PROJECT ID",IF(OR(SUMPRODUCT(--(('ERP Snapshot'!$A$2:$A$101&amp;"")=(B419&amp;"")),--('ERP Snapshot'!$Q$2:$Q$101=E419),--('ERP Snapshot'!$R$2:$R$101=F419))&lt;&gt;1,SUMPRODUCT(--('Commercial Catalogs'!$A$2:$A$10=E419),--('Commercial Catalogs'!$B$2:$B$10=F419),--('Commercial Catalogs'!$C$2:$C$10="YES"),--('Commercial Catalogs'!$D$2:$D$10="IN SCOPE"))=0,AND(E419="Strategic Services",F419&lt;&gt;"N/A"),AND(E419="Brands",F419="N/A")),"PROJECT CLASSIFICATION MISMATCH",IF(AND(G419="MXN",NOT(AND(ISNUMBER(I419),Settings!$B$8="APPROVED",Settings!$B$9&lt;&gt;"",Settings!$B$10&lt;&gt;""))),"FX HOLD","VALID"))))))))))))))))))</x:f>
      </x:c>
      <x:c r="M419" s="57" t="str">
        <x:f>IF(ISNUMBER(C419),IF(AND(ISNUMBER(C419),C419&gt;=2,C419&lt;=2958465,C419=INT(C419)),YEAR(C419)&amp;"-"&amp;IF(MONTH(C419)&lt;10,"0","")&amp;MONTH(C419),""),"")</x:f>
      </x:c>
      <x:c r="N419" s="59" t="str">
        <x:f>IF(L419="VALID",IF(G419="USD",H419,I419),"")</x:f>
      </x:c>
      <x:c r="O419" s="57" t="n">
        <x:f>IF(L419="VALID",IF(COUNTIFS($B$2:B419,B419,$M$2:M419,M419,$L$2:L419,"VALID")=1,1,0),0)</x:f>
        <x:v>0</x:v>
      </x:c>
    </x:row>
    <x:row r="420">
      <x:c r="A420" s="47"/>
      <x:c r="B420" s="47"/>
      <x:c r="C420" s="69"/>
      <x:c r="D420" s="47"/>
      <x:c r="E420" s="47"/>
      <x:c r="F420" s="47"/>
      <x:c r="G420" s="47"/>
      <x:c r="H420" s="48"/>
      <x:c r="I420" s="48"/>
      <x:c r="J420" s="47"/>
      <x:c r="K420" s="47"/>
      <x:c r="L420" s="57" t="str">
        <x:f>IF(COUNTA(A420:K420)=0,"",IF(K420="CANCELLED","CANCELLED",IF(A420="","INVOICE ID REQUIRED",IF(B420="","PROJECT ID REQUIRED",IF(NOT(ISNUMBER(C420)),"INVALID INVOICE DATE",IF(NOT(AND(ISNUMBER(C420),C420&gt;=2,C420&lt;=2958465,C420=INT(C420))),"INVALID INVOICE DATE",IF(NOT(OR(D420="MX",D420="US")),"ENTITY REQUIRED",IF(NOT(OR(E420="Strategic Services",E420="Brands")),"UNIT REQUIRED",IF(F420="","BRAND / N/A REQUIRED",IF(NOT(OR(G420="USD",G420="MXN")),"CURRENCY REQUIRED",IF(NOT(ISNUMBER(H420)),"AMOUNT REQUIRED",IF(J420="","ERP SOURCE REQUIRED",IF(NOT(OR(K420="ISSUED",K420="CANCELLED")),"INVOICE STATUS REQUIRED",IF(COUNTIFS($A$2:$A$501,A420,$B$2:$B$501,B420,$D$2:$D$501,D420)&gt;1,"DUPLICATE INVOICE / PROJECT",IF(SUMPRODUCT(--(('ERP Snapshot'!$A$2:$A$101&amp;"")=(B420&amp;"")))=0,"PROJECT NOT FOUND",IF(SUMPRODUCT(--(('ERP Snapshot'!$A$2:$A$101&amp;"")=(B420&amp;"")))&gt;1,"DUPLICATE PROJECT ID",IF(OR(SUMPRODUCT(--(('ERP Snapshot'!$A$2:$A$101&amp;"")=(B420&amp;"")),--('ERP Snapshot'!$Q$2:$Q$101=E420),--('ERP Snapshot'!$R$2:$R$101=F420))&lt;&gt;1,SUMPRODUCT(--('Commercial Catalogs'!$A$2:$A$10=E420),--('Commercial Catalogs'!$B$2:$B$10=F420),--('Commercial Catalogs'!$C$2:$C$10="YES"),--('Commercial Catalogs'!$D$2:$D$10="IN SCOPE"))=0,AND(E420="Strategic Services",F420&lt;&gt;"N/A"),AND(E420="Brands",F420="N/A")),"PROJECT CLASSIFICATION MISMATCH",IF(AND(G420="MXN",NOT(AND(ISNUMBER(I420),Settings!$B$8="APPROVED",Settings!$B$9&lt;&gt;"",Settings!$B$10&lt;&gt;""))),"FX HOLD","VALID"))))))))))))))))))</x:f>
      </x:c>
      <x:c r="M420" s="57" t="str">
        <x:f>IF(ISNUMBER(C420),IF(AND(ISNUMBER(C420),C420&gt;=2,C420&lt;=2958465,C420=INT(C420)),YEAR(C420)&amp;"-"&amp;IF(MONTH(C420)&lt;10,"0","")&amp;MONTH(C420),""),"")</x:f>
      </x:c>
      <x:c r="N420" s="59" t="str">
        <x:f>IF(L420="VALID",IF(G420="USD",H420,I420),"")</x:f>
      </x:c>
      <x:c r="O420" s="57" t="n">
        <x:f>IF(L420="VALID",IF(COUNTIFS($B$2:B420,B420,$M$2:M420,M420,$L$2:L420,"VALID")=1,1,0),0)</x:f>
        <x:v>0</x:v>
      </x:c>
    </x:row>
    <x:row r="421">
      <x:c r="A421" s="47"/>
      <x:c r="B421" s="47"/>
      <x:c r="C421" s="69"/>
      <x:c r="D421" s="47"/>
      <x:c r="E421" s="47"/>
      <x:c r="F421" s="47"/>
      <x:c r="G421" s="47"/>
      <x:c r="H421" s="48"/>
      <x:c r="I421" s="48"/>
      <x:c r="J421" s="47"/>
      <x:c r="K421" s="47"/>
      <x:c r="L421" s="57" t="str">
        <x:f>IF(COUNTA(A421:K421)=0,"",IF(K421="CANCELLED","CANCELLED",IF(A421="","INVOICE ID REQUIRED",IF(B421="","PROJECT ID REQUIRED",IF(NOT(ISNUMBER(C421)),"INVALID INVOICE DATE",IF(NOT(AND(ISNUMBER(C421),C421&gt;=2,C421&lt;=2958465,C421=INT(C421))),"INVALID INVOICE DATE",IF(NOT(OR(D421="MX",D421="US")),"ENTITY REQUIRED",IF(NOT(OR(E421="Strategic Services",E421="Brands")),"UNIT REQUIRED",IF(F421="","BRAND / N/A REQUIRED",IF(NOT(OR(G421="USD",G421="MXN")),"CURRENCY REQUIRED",IF(NOT(ISNUMBER(H421)),"AMOUNT REQUIRED",IF(J421="","ERP SOURCE REQUIRED",IF(NOT(OR(K421="ISSUED",K421="CANCELLED")),"INVOICE STATUS REQUIRED",IF(COUNTIFS($A$2:$A$501,A421,$B$2:$B$501,B421,$D$2:$D$501,D421)&gt;1,"DUPLICATE INVOICE / PROJECT",IF(SUMPRODUCT(--(('ERP Snapshot'!$A$2:$A$101&amp;"")=(B421&amp;"")))=0,"PROJECT NOT FOUND",IF(SUMPRODUCT(--(('ERP Snapshot'!$A$2:$A$101&amp;"")=(B421&amp;"")))&gt;1,"DUPLICATE PROJECT ID",IF(OR(SUMPRODUCT(--(('ERP Snapshot'!$A$2:$A$101&amp;"")=(B421&amp;"")),--('ERP Snapshot'!$Q$2:$Q$101=E421),--('ERP Snapshot'!$R$2:$R$101=F421))&lt;&gt;1,SUMPRODUCT(--('Commercial Catalogs'!$A$2:$A$10=E421),--('Commercial Catalogs'!$B$2:$B$10=F421),--('Commercial Catalogs'!$C$2:$C$10="YES"),--('Commercial Catalogs'!$D$2:$D$10="IN SCOPE"))=0,AND(E421="Strategic Services",F421&lt;&gt;"N/A"),AND(E421="Brands",F421="N/A")),"PROJECT CLASSIFICATION MISMATCH",IF(AND(G421="MXN",NOT(AND(ISNUMBER(I421),Settings!$B$8="APPROVED",Settings!$B$9&lt;&gt;"",Settings!$B$10&lt;&gt;""))),"FX HOLD","VALID"))))))))))))))))))</x:f>
      </x:c>
      <x:c r="M421" s="57" t="str">
        <x:f>IF(ISNUMBER(C421),IF(AND(ISNUMBER(C421),C421&gt;=2,C421&lt;=2958465,C421=INT(C421)),YEAR(C421)&amp;"-"&amp;IF(MONTH(C421)&lt;10,"0","")&amp;MONTH(C421),""),"")</x:f>
      </x:c>
      <x:c r="N421" s="59" t="str">
        <x:f>IF(L421="VALID",IF(G421="USD",H421,I421),"")</x:f>
      </x:c>
      <x:c r="O421" s="57" t="n">
        <x:f>IF(L421="VALID",IF(COUNTIFS($B$2:B421,B421,$M$2:M421,M421,$L$2:L421,"VALID")=1,1,0),0)</x:f>
        <x:v>0</x:v>
      </x:c>
    </x:row>
    <x:row r="422">
      <x:c r="A422" s="47"/>
      <x:c r="B422" s="47"/>
      <x:c r="C422" s="69"/>
      <x:c r="D422" s="47"/>
      <x:c r="E422" s="47"/>
      <x:c r="F422" s="47"/>
      <x:c r="G422" s="47"/>
      <x:c r="H422" s="48"/>
      <x:c r="I422" s="48"/>
      <x:c r="J422" s="47"/>
      <x:c r="K422" s="47"/>
      <x:c r="L422" s="57" t="str">
        <x:f>IF(COUNTA(A422:K422)=0,"",IF(K422="CANCELLED","CANCELLED",IF(A422="","INVOICE ID REQUIRED",IF(B422="","PROJECT ID REQUIRED",IF(NOT(ISNUMBER(C422)),"INVALID INVOICE DATE",IF(NOT(AND(ISNUMBER(C422),C422&gt;=2,C422&lt;=2958465,C422=INT(C422))),"INVALID INVOICE DATE",IF(NOT(OR(D422="MX",D422="US")),"ENTITY REQUIRED",IF(NOT(OR(E422="Strategic Services",E422="Brands")),"UNIT REQUIRED",IF(F422="","BRAND / N/A REQUIRED",IF(NOT(OR(G422="USD",G422="MXN")),"CURRENCY REQUIRED",IF(NOT(ISNUMBER(H422)),"AMOUNT REQUIRED",IF(J422="","ERP SOURCE REQUIRED",IF(NOT(OR(K422="ISSUED",K422="CANCELLED")),"INVOICE STATUS REQUIRED",IF(COUNTIFS($A$2:$A$501,A422,$B$2:$B$501,B422,$D$2:$D$501,D422)&gt;1,"DUPLICATE INVOICE / PROJECT",IF(SUMPRODUCT(--(('ERP Snapshot'!$A$2:$A$101&amp;"")=(B422&amp;"")))=0,"PROJECT NOT FOUND",IF(SUMPRODUCT(--(('ERP Snapshot'!$A$2:$A$101&amp;"")=(B422&amp;"")))&gt;1,"DUPLICATE PROJECT ID",IF(OR(SUMPRODUCT(--(('ERP Snapshot'!$A$2:$A$101&amp;"")=(B422&amp;"")),--('ERP Snapshot'!$Q$2:$Q$101=E422),--('ERP Snapshot'!$R$2:$R$101=F422))&lt;&gt;1,SUMPRODUCT(--('Commercial Catalogs'!$A$2:$A$10=E422),--('Commercial Catalogs'!$B$2:$B$10=F422),--('Commercial Catalogs'!$C$2:$C$10="YES"),--('Commercial Catalogs'!$D$2:$D$10="IN SCOPE"))=0,AND(E422="Strategic Services",F422&lt;&gt;"N/A"),AND(E422="Brands",F422="N/A")),"PROJECT CLASSIFICATION MISMATCH",IF(AND(G422="MXN",NOT(AND(ISNUMBER(I422),Settings!$B$8="APPROVED",Settings!$B$9&lt;&gt;"",Settings!$B$10&lt;&gt;""))),"FX HOLD","VALID"))))))))))))))))))</x:f>
      </x:c>
      <x:c r="M422" s="57" t="str">
        <x:f>IF(ISNUMBER(C422),IF(AND(ISNUMBER(C422),C422&gt;=2,C422&lt;=2958465,C422=INT(C422)),YEAR(C422)&amp;"-"&amp;IF(MONTH(C422)&lt;10,"0","")&amp;MONTH(C422),""),"")</x:f>
      </x:c>
      <x:c r="N422" s="59" t="str">
        <x:f>IF(L422="VALID",IF(G422="USD",H422,I422),"")</x:f>
      </x:c>
      <x:c r="O422" s="57" t="n">
        <x:f>IF(L422="VALID",IF(COUNTIFS($B$2:B422,B422,$M$2:M422,M422,$L$2:L422,"VALID")=1,1,0),0)</x:f>
        <x:v>0</x:v>
      </x:c>
    </x:row>
    <x:row r="423">
      <x:c r="A423" s="47"/>
      <x:c r="B423" s="47"/>
      <x:c r="C423" s="69"/>
      <x:c r="D423" s="47"/>
      <x:c r="E423" s="47"/>
      <x:c r="F423" s="47"/>
      <x:c r="G423" s="47"/>
      <x:c r="H423" s="48"/>
      <x:c r="I423" s="48"/>
      <x:c r="J423" s="47"/>
      <x:c r="K423" s="47"/>
      <x:c r="L423" s="57" t="str">
        <x:f>IF(COUNTA(A423:K423)=0,"",IF(K423="CANCELLED","CANCELLED",IF(A423="","INVOICE ID REQUIRED",IF(B423="","PROJECT ID REQUIRED",IF(NOT(ISNUMBER(C423)),"INVALID INVOICE DATE",IF(NOT(AND(ISNUMBER(C423),C423&gt;=2,C423&lt;=2958465,C423=INT(C423))),"INVALID INVOICE DATE",IF(NOT(OR(D423="MX",D423="US")),"ENTITY REQUIRED",IF(NOT(OR(E423="Strategic Services",E423="Brands")),"UNIT REQUIRED",IF(F423="","BRAND / N/A REQUIRED",IF(NOT(OR(G423="USD",G423="MXN")),"CURRENCY REQUIRED",IF(NOT(ISNUMBER(H423)),"AMOUNT REQUIRED",IF(J423="","ERP SOURCE REQUIRED",IF(NOT(OR(K423="ISSUED",K423="CANCELLED")),"INVOICE STATUS REQUIRED",IF(COUNTIFS($A$2:$A$501,A423,$B$2:$B$501,B423,$D$2:$D$501,D423)&gt;1,"DUPLICATE INVOICE / PROJECT",IF(SUMPRODUCT(--(('ERP Snapshot'!$A$2:$A$101&amp;"")=(B423&amp;"")))=0,"PROJECT NOT FOUND",IF(SUMPRODUCT(--(('ERP Snapshot'!$A$2:$A$101&amp;"")=(B423&amp;"")))&gt;1,"DUPLICATE PROJECT ID",IF(OR(SUMPRODUCT(--(('ERP Snapshot'!$A$2:$A$101&amp;"")=(B423&amp;"")),--('ERP Snapshot'!$Q$2:$Q$101=E423),--('ERP Snapshot'!$R$2:$R$101=F423))&lt;&gt;1,SUMPRODUCT(--('Commercial Catalogs'!$A$2:$A$10=E423),--('Commercial Catalogs'!$B$2:$B$10=F423),--('Commercial Catalogs'!$C$2:$C$10="YES"),--('Commercial Catalogs'!$D$2:$D$10="IN SCOPE"))=0,AND(E423="Strategic Services",F423&lt;&gt;"N/A"),AND(E423="Brands",F423="N/A")),"PROJECT CLASSIFICATION MISMATCH",IF(AND(G423="MXN",NOT(AND(ISNUMBER(I423),Settings!$B$8="APPROVED",Settings!$B$9&lt;&gt;"",Settings!$B$10&lt;&gt;""))),"FX HOLD","VALID"))))))))))))))))))</x:f>
      </x:c>
      <x:c r="M423" s="57" t="str">
        <x:f>IF(ISNUMBER(C423),IF(AND(ISNUMBER(C423),C423&gt;=2,C423&lt;=2958465,C423=INT(C423)),YEAR(C423)&amp;"-"&amp;IF(MONTH(C423)&lt;10,"0","")&amp;MONTH(C423),""),"")</x:f>
      </x:c>
      <x:c r="N423" s="59" t="str">
        <x:f>IF(L423="VALID",IF(G423="USD",H423,I423),"")</x:f>
      </x:c>
      <x:c r="O423" s="57" t="n">
        <x:f>IF(L423="VALID",IF(COUNTIFS($B$2:B423,B423,$M$2:M423,M423,$L$2:L423,"VALID")=1,1,0),0)</x:f>
        <x:v>0</x:v>
      </x:c>
    </x:row>
    <x:row r="424">
      <x:c r="A424" s="47"/>
      <x:c r="B424" s="47"/>
      <x:c r="C424" s="69"/>
      <x:c r="D424" s="47"/>
      <x:c r="E424" s="47"/>
      <x:c r="F424" s="47"/>
      <x:c r="G424" s="47"/>
      <x:c r="H424" s="48"/>
      <x:c r="I424" s="48"/>
      <x:c r="J424" s="47"/>
      <x:c r="K424" s="47"/>
      <x:c r="L424" s="57" t="str">
        <x:f>IF(COUNTA(A424:K424)=0,"",IF(K424="CANCELLED","CANCELLED",IF(A424="","INVOICE ID REQUIRED",IF(B424="","PROJECT ID REQUIRED",IF(NOT(ISNUMBER(C424)),"INVALID INVOICE DATE",IF(NOT(AND(ISNUMBER(C424),C424&gt;=2,C424&lt;=2958465,C424=INT(C424))),"INVALID INVOICE DATE",IF(NOT(OR(D424="MX",D424="US")),"ENTITY REQUIRED",IF(NOT(OR(E424="Strategic Services",E424="Brands")),"UNIT REQUIRED",IF(F424="","BRAND / N/A REQUIRED",IF(NOT(OR(G424="USD",G424="MXN")),"CURRENCY REQUIRED",IF(NOT(ISNUMBER(H424)),"AMOUNT REQUIRED",IF(J424="","ERP SOURCE REQUIRED",IF(NOT(OR(K424="ISSUED",K424="CANCELLED")),"INVOICE STATUS REQUIRED",IF(COUNTIFS($A$2:$A$501,A424,$B$2:$B$501,B424,$D$2:$D$501,D424)&gt;1,"DUPLICATE INVOICE / PROJECT",IF(SUMPRODUCT(--(('ERP Snapshot'!$A$2:$A$101&amp;"")=(B424&amp;"")))=0,"PROJECT NOT FOUND",IF(SUMPRODUCT(--(('ERP Snapshot'!$A$2:$A$101&amp;"")=(B424&amp;"")))&gt;1,"DUPLICATE PROJECT ID",IF(OR(SUMPRODUCT(--(('ERP Snapshot'!$A$2:$A$101&amp;"")=(B424&amp;"")),--('ERP Snapshot'!$Q$2:$Q$101=E424),--('ERP Snapshot'!$R$2:$R$101=F424))&lt;&gt;1,SUMPRODUCT(--('Commercial Catalogs'!$A$2:$A$10=E424),--('Commercial Catalogs'!$B$2:$B$10=F424),--('Commercial Catalogs'!$C$2:$C$10="YES"),--('Commercial Catalogs'!$D$2:$D$10="IN SCOPE"))=0,AND(E424="Strategic Services",F424&lt;&gt;"N/A"),AND(E424="Brands",F424="N/A")),"PROJECT CLASSIFICATION MISMATCH",IF(AND(G424="MXN",NOT(AND(ISNUMBER(I424),Settings!$B$8="APPROVED",Settings!$B$9&lt;&gt;"",Settings!$B$10&lt;&gt;""))),"FX HOLD","VALID"))))))))))))))))))</x:f>
      </x:c>
      <x:c r="M424" s="57" t="str">
        <x:f>IF(ISNUMBER(C424),IF(AND(ISNUMBER(C424),C424&gt;=2,C424&lt;=2958465,C424=INT(C424)),YEAR(C424)&amp;"-"&amp;IF(MONTH(C424)&lt;10,"0","")&amp;MONTH(C424),""),"")</x:f>
      </x:c>
      <x:c r="N424" s="59" t="str">
        <x:f>IF(L424="VALID",IF(G424="USD",H424,I424),"")</x:f>
      </x:c>
      <x:c r="O424" s="57" t="n">
        <x:f>IF(L424="VALID",IF(COUNTIFS($B$2:B424,B424,$M$2:M424,M424,$L$2:L424,"VALID")=1,1,0),0)</x:f>
        <x:v>0</x:v>
      </x:c>
    </x:row>
    <x:row r="425">
      <x:c r="A425" s="47"/>
      <x:c r="B425" s="47"/>
      <x:c r="C425" s="69"/>
      <x:c r="D425" s="47"/>
      <x:c r="E425" s="47"/>
      <x:c r="F425" s="47"/>
      <x:c r="G425" s="47"/>
      <x:c r="H425" s="48"/>
      <x:c r="I425" s="48"/>
      <x:c r="J425" s="47"/>
      <x:c r="K425" s="47"/>
      <x:c r="L425" s="57" t="str">
        <x:f>IF(COUNTA(A425:K425)=0,"",IF(K425="CANCELLED","CANCELLED",IF(A425="","INVOICE ID REQUIRED",IF(B425="","PROJECT ID REQUIRED",IF(NOT(ISNUMBER(C425)),"INVALID INVOICE DATE",IF(NOT(AND(ISNUMBER(C425),C425&gt;=2,C425&lt;=2958465,C425=INT(C425))),"INVALID INVOICE DATE",IF(NOT(OR(D425="MX",D425="US")),"ENTITY REQUIRED",IF(NOT(OR(E425="Strategic Services",E425="Brands")),"UNIT REQUIRED",IF(F425="","BRAND / N/A REQUIRED",IF(NOT(OR(G425="USD",G425="MXN")),"CURRENCY REQUIRED",IF(NOT(ISNUMBER(H425)),"AMOUNT REQUIRED",IF(J425="","ERP SOURCE REQUIRED",IF(NOT(OR(K425="ISSUED",K425="CANCELLED")),"INVOICE STATUS REQUIRED",IF(COUNTIFS($A$2:$A$501,A425,$B$2:$B$501,B425,$D$2:$D$501,D425)&gt;1,"DUPLICATE INVOICE / PROJECT",IF(SUMPRODUCT(--(('ERP Snapshot'!$A$2:$A$101&amp;"")=(B425&amp;"")))=0,"PROJECT NOT FOUND",IF(SUMPRODUCT(--(('ERP Snapshot'!$A$2:$A$101&amp;"")=(B425&amp;"")))&gt;1,"DUPLICATE PROJECT ID",IF(OR(SUMPRODUCT(--(('ERP Snapshot'!$A$2:$A$101&amp;"")=(B425&amp;"")),--('ERP Snapshot'!$Q$2:$Q$101=E425),--('ERP Snapshot'!$R$2:$R$101=F425))&lt;&gt;1,SUMPRODUCT(--('Commercial Catalogs'!$A$2:$A$10=E425),--('Commercial Catalogs'!$B$2:$B$10=F425),--('Commercial Catalogs'!$C$2:$C$10="YES"),--('Commercial Catalogs'!$D$2:$D$10="IN SCOPE"))=0,AND(E425="Strategic Services",F425&lt;&gt;"N/A"),AND(E425="Brands",F425="N/A")),"PROJECT CLASSIFICATION MISMATCH",IF(AND(G425="MXN",NOT(AND(ISNUMBER(I425),Settings!$B$8="APPROVED",Settings!$B$9&lt;&gt;"",Settings!$B$10&lt;&gt;""))),"FX HOLD","VALID"))))))))))))))))))</x:f>
      </x:c>
      <x:c r="M425" s="57" t="str">
        <x:f>IF(ISNUMBER(C425),IF(AND(ISNUMBER(C425),C425&gt;=2,C425&lt;=2958465,C425=INT(C425)),YEAR(C425)&amp;"-"&amp;IF(MONTH(C425)&lt;10,"0","")&amp;MONTH(C425),""),"")</x:f>
      </x:c>
      <x:c r="N425" s="59" t="str">
        <x:f>IF(L425="VALID",IF(G425="USD",H425,I425),"")</x:f>
      </x:c>
      <x:c r="O425" s="57" t="n">
        <x:f>IF(L425="VALID",IF(COUNTIFS($B$2:B425,B425,$M$2:M425,M425,$L$2:L425,"VALID")=1,1,0),0)</x:f>
        <x:v>0</x:v>
      </x:c>
    </x:row>
    <x:row r="426">
      <x:c r="A426" s="47"/>
      <x:c r="B426" s="47"/>
      <x:c r="C426" s="69"/>
      <x:c r="D426" s="47"/>
      <x:c r="E426" s="47"/>
      <x:c r="F426" s="47"/>
      <x:c r="G426" s="47"/>
      <x:c r="H426" s="48"/>
      <x:c r="I426" s="48"/>
      <x:c r="J426" s="47"/>
      <x:c r="K426" s="47"/>
      <x:c r="L426" s="57" t="str">
        <x:f>IF(COUNTA(A426:K426)=0,"",IF(K426="CANCELLED","CANCELLED",IF(A426="","INVOICE ID REQUIRED",IF(B426="","PROJECT ID REQUIRED",IF(NOT(ISNUMBER(C426)),"INVALID INVOICE DATE",IF(NOT(AND(ISNUMBER(C426),C426&gt;=2,C426&lt;=2958465,C426=INT(C426))),"INVALID INVOICE DATE",IF(NOT(OR(D426="MX",D426="US")),"ENTITY REQUIRED",IF(NOT(OR(E426="Strategic Services",E426="Brands")),"UNIT REQUIRED",IF(F426="","BRAND / N/A REQUIRED",IF(NOT(OR(G426="USD",G426="MXN")),"CURRENCY REQUIRED",IF(NOT(ISNUMBER(H426)),"AMOUNT REQUIRED",IF(J426="","ERP SOURCE REQUIRED",IF(NOT(OR(K426="ISSUED",K426="CANCELLED")),"INVOICE STATUS REQUIRED",IF(COUNTIFS($A$2:$A$501,A426,$B$2:$B$501,B426,$D$2:$D$501,D426)&gt;1,"DUPLICATE INVOICE / PROJECT",IF(SUMPRODUCT(--(('ERP Snapshot'!$A$2:$A$101&amp;"")=(B426&amp;"")))=0,"PROJECT NOT FOUND",IF(SUMPRODUCT(--(('ERP Snapshot'!$A$2:$A$101&amp;"")=(B426&amp;"")))&gt;1,"DUPLICATE PROJECT ID",IF(OR(SUMPRODUCT(--(('ERP Snapshot'!$A$2:$A$101&amp;"")=(B426&amp;"")),--('ERP Snapshot'!$Q$2:$Q$101=E426),--('ERP Snapshot'!$R$2:$R$101=F426))&lt;&gt;1,SUMPRODUCT(--('Commercial Catalogs'!$A$2:$A$10=E426),--('Commercial Catalogs'!$B$2:$B$10=F426),--('Commercial Catalogs'!$C$2:$C$10="YES"),--('Commercial Catalogs'!$D$2:$D$10="IN SCOPE"))=0,AND(E426="Strategic Services",F426&lt;&gt;"N/A"),AND(E426="Brands",F426="N/A")),"PROJECT CLASSIFICATION MISMATCH",IF(AND(G426="MXN",NOT(AND(ISNUMBER(I426),Settings!$B$8="APPROVED",Settings!$B$9&lt;&gt;"",Settings!$B$10&lt;&gt;""))),"FX HOLD","VALID"))))))))))))))))))</x:f>
      </x:c>
      <x:c r="M426" s="57" t="str">
        <x:f>IF(ISNUMBER(C426),IF(AND(ISNUMBER(C426),C426&gt;=2,C426&lt;=2958465,C426=INT(C426)),YEAR(C426)&amp;"-"&amp;IF(MONTH(C426)&lt;10,"0","")&amp;MONTH(C426),""),"")</x:f>
      </x:c>
      <x:c r="N426" s="59" t="str">
        <x:f>IF(L426="VALID",IF(G426="USD",H426,I426),"")</x:f>
      </x:c>
      <x:c r="O426" s="57" t="n">
        <x:f>IF(L426="VALID",IF(COUNTIFS($B$2:B426,B426,$M$2:M426,M426,$L$2:L426,"VALID")=1,1,0),0)</x:f>
        <x:v>0</x:v>
      </x:c>
    </x:row>
    <x:row r="427">
      <x:c r="A427" s="47"/>
      <x:c r="B427" s="47"/>
      <x:c r="C427" s="69"/>
      <x:c r="D427" s="47"/>
      <x:c r="E427" s="47"/>
      <x:c r="F427" s="47"/>
      <x:c r="G427" s="47"/>
      <x:c r="H427" s="48"/>
      <x:c r="I427" s="48"/>
      <x:c r="J427" s="47"/>
      <x:c r="K427" s="47"/>
      <x:c r="L427" s="57" t="str">
        <x:f>IF(COUNTA(A427:K427)=0,"",IF(K427="CANCELLED","CANCELLED",IF(A427="","INVOICE ID REQUIRED",IF(B427="","PROJECT ID REQUIRED",IF(NOT(ISNUMBER(C427)),"INVALID INVOICE DATE",IF(NOT(AND(ISNUMBER(C427),C427&gt;=2,C427&lt;=2958465,C427=INT(C427))),"INVALID INVOICE DATE",IF(NOT(OR(D427="MX",D427="US")),"ENTITY REQUIRED",IF(NOT(OR(E427="Strategic Services",E427="Brands")),"UNIT REQUIRED",IF(F427="","BRAND / N/A REQUIRED",IF(NOT(OR(G427="USD",G427="MXN")),"CURRENCY REQUIRED",IF(NOT(ISNUMBER(H427)),"AMOUNT REQUIRED",IF(J427="","ERP SOURCE REQUIRED",IF(NOT(OR(K427="ISSUED",K427="CANCELLED")),"INVOICE STATUS REQUIRED",IF(COUNTIFS($A$2:$A$501,A427,$B$2:$B$501,B427,$D$2:$D$501,D427)&gt;1,"DUPLICATE INVOICE / PROJECT",IF(SUMPRODUCT(--(('ERP Snapshot'!$A$2:$A$101&amp;"")=(B427&amp;"")))=0,"PROJECT NOT FOUND",IF(SUMPRODUCT(--(('ERP Snapshot'!$A$2:$A$101&amp;"")=(B427&amp;"")))&gt;1,"DUPLICATE PROJECT ID",IF(OR(SUMPRODUCT(--(('ERP Snapshot'!$A$2:$A$101&amp;"")=(B427&amp;"")),--('ERP Snapshot'!$Q$2:$Q$101=E427),--('ERP Snapshot'!$R$2:$R$101=F427))&lt;&gt;1,SUMPRODUCT(--('Commercial Catalogs'!$A$2:$A$10=E427),--('Commercial Catalogs'!$B$2:$B$10=F427),--('Commercial Catalogs'!$C$2:$C$10="YES"),--('Commercial Catalogs'!$D$2:$D$10="IN SCOPE"))=0,AND(E427="Strategic Services",F427&lt;&gt;"N/A"),AND(E427="Brands",F427="N/A")),"PROJECT CLASSIFICATION MISMATCH",IF(AND(G427="MXN",NOT(AND(ISNUMBER(I427),Settings!$B$8="APPROVED",Settings!$B$9&lt;&gt;"",Settings!$B$10&lt;&gt;""))),"FX HOLD","VALID"))))))))))))))))))</x:f>
      </x:c>
      <x:c r="M427" s="57" t="str">
        <x:f>IF(ISNUMBER(C427),IF(AND(ISNUMBER(C427),C427&gt;=2,C427&lt;=2958465,C427=INT(C427)),YEAR(C427)&amp;"-"&amp;IF(MONTH(C427)&lt;10,"0","")&amp;MONTH(C427),""),"")</x:f>
      </x:c>
      <x:c r="N427" s="59" t="str">
        <x:f>IF(L427="VALID",IF(G427="USD",H427,I427),"")</x:f>
      </x:c>
      <x:c r="O427" s="57" t="n">
        <x:f>IF(L427="VALID",IF(COUNTIFS($B$2:B427,B427,$M$2:M427,M427,$L$2:L427,"VALID")=1,1,0),0)</x:f>
        <x:v>0</x:v>
      </x:c>
    </x:row>
    <x:row r="428">
      <x:c r="A428" s="47"/>
      <x:c r="B428" s="47"/>
      <x:c r="C428" s="69"/>
      <x:c r="D428" s="47"/>
      <x:c r="E428" s="47"/>
      <x:c r="F428" s="47"/>
      <x:c r="G428" s="47"/>
      <x:c r="H428" s="48"/>
      <x:c r="I428" s="48"/>
      <x:c r="J428" s="47"/>
      <x:c r="K428" s="47"/>
      <x:c r="L428" s="57" t="str">
        <x:f>IF(COUNTA(A428:K428)=0,"",IF(K428="CANCELLED","CANCELLED",IF(A428="","INVOICE ID REQUIRED",IF(B428="","PROJECT ID REQUIRED",IF(NOT(ISNUMBER(C428)),"INVALID INVOICE DATE",IF(NOT(AND(ISNUMBER(C428),C428&gt;=2,C428&lt;=2958465,C428=INT(C428))),"INVALID INVOICE DATE",IF(NOT(OR(D428="MX",D428="US")),"ENTITY REQUIRED",IF(NOT(OR(E428="Strategic Services",E428="Brands")),"UNIT REQUIRED",IF(F428="","BRAND / N/A REQUIRED",IF(NOT(OR(G428="USD",G428="MXN")),"CURRENCY REQUIRED",IF(NOT(ISNUMBER(H428)),"AMOUNT REQUIRED",IF(J428="","ERP SOURCE REQUIRED",IF(NOT(OR(K428="ISSUED",K428="CANCELLED")),"INVOICE STATUS REQUIRED",IF(COUNTIFS($A$2:$A$501,A428,$B$2:$B$501,B428,$D$2:$D$501,D428)&gt;1,"DUPLICATE INVOICE / PROJECT",IF(SUMPRODUCT(--(('ERP Snapshot'!$A$2:$A$101&amp;"")=(B428&amp;"")))=0,"PROJECT NOT FOUND",IF(SUMPRODUCT(--(('ERP Snapshot'!$A$2:$A$101&amp;"")=(B428&amp;"")))&gt;1,"DUPLICATE PROJECT ID",IF(OR(SUMPRODUCT(--(('ERP Snapshot'!$A$2:$A$101&amp;"")=(B428&amp;"")),--('ERP Snapshot'!$Q$2:$Q$101=E428),--('ERP Snapshot'!$R$2:$R$101=F428))&lt;&gt;1,SUMPRODUCT(--('Commercial Catalogs'!$A$2:$A$10=E428),--('Commercial Catalogs'!$B$2:$B$10=F428),--('Commercial Catalogs'!$C$2:$C$10="YES"),--('Commercial Catalogs'!$D$2:$D$10="IN SCOPE"))=0,AND(E428="Strategic Services",F428&lt;&gt;"N/A"),AND(E428="Brands",F428="N/A")),"PROJECT CLASSIFICATION MISMATCH",IF(AND(G428="MXN",NOT(AND(ISNUMBER(I428),Settings!$B$8="APPROVED",Settings!$B$9&lt;&gt;"",Settings!$B$10&lt;&gt;""))),"FX HOLD","VALID"))))))))))))))))))</x:f>
      </x:c>
      <x:c r="M428" s="57" t="str">
        <x:f>IF(ISNUMBER(C428),IF(AND(ISNUMBER(C428),C428&gt;=2,C428&lt;=2958465,C428=INT(C428)),YEAR(C428)&amp;"-"&amp;IF(MONTH(C428)&lt;10,"0","")&amp;MONTH(C428),""),"")</x:f>
      </x:c>
      <x:c r="N428" s="59" t="str">
        <x:f>IF(L428="VALID",IF(G428="USD",H428,I428),"")</x:f>
      </x:c>
      <x:c r="O428" s="57" t="n">
        <x:f>IF(L428="VALID",IF(COUNTIFS($B$2:B428,B428,$M$2:M428,M428,$L$2:L428,"VALID")=1,1,0),0)</x:f>
        <x:v>0</x:v>
      </x:c>
    </x:row>
    <x:row r="429">
      <x:c r="A429" s="47"/>
      <x:c r="B429" s="47"/>
      <x:c r="C429" s="69"/>
      <x:c r="D429" s="47"/>
      <x:c r="E429" s="47"/>
      <x:c r="F429" s="47"/>
      <x:c r="G429" s="47"/>
      <x:c r="H429" s="48"/>
      <x:c r="I429" s="48"/>
      <x:c r="J429" s="47"/>
      <x:c r="K429" s="47"/>
      <x:c r="L429" s="57" t="str">
        <x:f>IF(COUNTA(A429:K429)=0,"",IF(K429="CANCELLED","CANCELLED",IF(A429="","INVOICE ID REQUIRED",IF(B429="","PROJECT ID REQUIRED",IF(NOT(ISNUMBER(C429)),"INVALID INVOICE DATE",IF(NOT(AND(ISNUMBER(C429),C429&gt;=2,C429&lt;=2958465,C429=INT(C429))),"INVALID INVOICE DATE",IF(NOT(OR(D429="MX",D429="US")),"ENTITY REQUIRED",IF(NOT(OR(E429="Strategic Services",E429="Brands")),"UNIT REQUIRED",IF(F429="","BRAND / N/A REQUIRED",IF(NOT(OR(G429="USD",G429="MXN")),"CURRENCY REQUIRED",IF(NOT(ISNUMBER(H429)),"AMOUNT REQUIRED",IF(J429="","ERP SOURCE REQUIRED",IF(NOT(OR(K429="ISSUED",K429="CANCELLED")),"INVOICE STATUS REQUIRED",IF(COUNTIFS($A$2:$A$501,A429,$B$2:$B$501,B429,$D$2:$D$501,D429)&gt;1,"DUPLICATE INVOICE / PROJECT",IF(SUMPRODUCT(--(('ERP Snapshot'!$A$2:$A$101&amp;"")=(B429&amp;"")))=0,"PROJECT NOT FOUND",IF(SUMPRODUCT(--(('ERP Snapshot'!$A$2:$A$101&amp;"")=(B429&amp;"")))&gt;1,"DUPLICATE PROJECT ID",IF(OR(SUMPRODUCT(--(('ERP Snapshot'!$A$2:$A$101&amp;"")=(B429&amp;"")),--('ERP Snapshot'!$Q$2:$Q$101=E429),--('ERP Snapshot'!$R$2:$R$101=F429))&lt;&gt;1,SUMPRODUCT(--('Commercial Catalogs'!$A$2:$A$10=E429),--('Commercial Catalogs'!$B$2:$B$10=F429),--('Commercial Catalogs'!$C$2:$C$10="YES"),--('Commercial Catalogs'!$D$2:$D$10="IN SCOPE"))=0,AND(E429="Strategic Services",F429&lt;&gt;"N/A"),AND(E429="Brands",F429="N/A")),"PROJECT CLASSIFICATION MISMATCH",IF(AND(G429="MXN",NOT(AND(ISNUMBER(I429),Settings!$B$8="APPROVED",Settings!$B$9&lt;&gt;"",Settings!$B$10&lt;&gt;""))),"FX HOLD","VALID"))))))))))))))))))</x:f>
      </x:c>
      <x:c r="M429" s="57" t="str">
        <x:f>IF(ISNUMBER(C429),IF(AND(ISNUMBER(C429),C429&gt;=2,C429&lt;=2958465,C429=INT(C429)),YEAR(C429)&amp;"-"&amp;IF(MONTH(C429)&lt;10,"0","")&amp;MONTH(C429),""),"")</x:f>
      </x:c>
      <x:c r="N429" s="59" t="str">
        <x:f>IF(L429="VALID",IF(G429="USD",H429,I429),"")</x:f>
      </x:c>
      <x:c r="O429" s="57" t="n">
        <x:f>IF(L429="VALID",IF(COUNTIFS($B$2:B429,B429,$M$2:M429,M429,$L$2:L429,"VALID")=1,1,0),0)</x:f>
        <x:v>0</x:v>
      </x:c>
    </x:row>
    <x:row r="430">
      <x:c r="A430" s="47"/>
      <x:c r="B430" s="47"/>
      <x:c r="C430" s="69"/>
      <x:c r="D430" s="47"/>
      <x:c r="E430" s="47"/>
      <x:c r="F430" s="47"/>
      <x:c r="G430" s="47"/>
      <x:c r="H430" s="48"/>
      <x:c r="I430" s="48"/>
      <x:c r="J430" s="47"/>
      <x:c r="K430" s="47"/>
      <x:c r="L430" s="57" t="str">
        <x:f>IF(COUNTA(A430:K430)=0,"",IF(K430="CANCELLED","CANCELLED",IF(A430="","INVOICE ID REQUIRED",IF(B430="","PROJECT ID REQUIRED",IF(NOT(ISNUMBER(C430)),"INVALID INVOICE DATE",IF(NOT(AND(ISNUMBER(C430),C430&gt;=2,C430&lt;=2958465,C430=INT(C430))),"INVALID INVOICE DATE",IF(NOT(OR(D430="MX",D430="US")),"ENTITY REQUIRED",IF(NOT(OR(E430="Strategic Services",E430="Brands")),"UNIT REQUIRED",IF(F430="","BRAND / N/A REQUIRED",IF(NOT(OR(G430="USD",G430="MXN")),"CURRENCY REQUIRED",IF(NOT(ISNUMBER(H430)),"AMOUNT REQUIRED",IF(J430="","ERP SOURCE REQUIRED",IF(NOT(OR(K430="ISSUED",K430="CANCELLED")),"INVOICE STATUS REQUIRED",IF(COUNTIFS($A$2:$A$501,A430,$B$2:$B$501,B430,$D$2:$D$501,D430)&gt;1,"DUPLICATE INVOICE / PROJECT",IF(SUMPRODUCT(--(('ERP Snapshot'!$A$2:$A$101&amp;"")=(B430&amp;"")))=0,"PROJECT NOT FOUND",IF(SUMPRODUCT(--(('ERP Snapshot'!$A$2:$A$101&amp;"")=(B430&amp;"")))&gt;1,"DUPLICATE PROJECT ID",IF(OR(SUMPRODUCT(--(('ERP Snapshot'!$A$2:$A$101&amp;"")=(B430&amp;"")),--('ERP Snapshot'!$Q$2:$Q$101=E430),--('ERP Snapshot'!$R$2:$R$101=F430))&lt;&gt;1,SUMPRODUCT(--('Commercial Catalogs'!$A$2:$A$10=E430),--('Commercial Catalogs'!$B$2:$B$10=F430),--('Commercial Catalogs'!$C$2:$C$10="YES"),--('Commercial Catalogs'!$D$2:$D$10="IN SCOPE"))=0,AND(E430="Strategic Services",F430&lt;&gt;"N/A"),AND(E430="Brands",F430="N/A")),"PROJECT CLASSIFICATION MISMATCH",IF(AND(G430="MXN",NOT(AND(ISNUMBER(I430),Settings!$B$8="APPROVED",Settings!$B$9&lt;&gt;"",Settings!$B$10&lt;&gt;""))),"FX HOLD","VALID"))))))))))))))))))</x:f>
      </x:c>
      <x:c r="M430" s="57" t="str">
        <x:f>IF(ISNUMBER(C430),IF(AND(ISNUMBER(C430),C430&gt;=2,C430&lt;=2958465,C430=INT(C430)),YEAR(C430)&amp;"-"&amp;IF(MONTH(C430)&lt;10,"0","")&amp;MONTH(C430),""),"")</x:f>
      </x:c>
      <x:c r="N430" s="59" t="str">
        <x:f>IF(L430="VALID",IF(G430="USD",H430,I430),"")</x:f>
      </x:c>
      <x:c r="O430" s="57" t="n">
        <x:f>IF(L430="VALID",IF(COUNTIFS($B$2:B430,B430,$M$2:M430,M430,$L$2:L430,"VALID")=1,1,0),0)</x:f>
        <x:v>0</x:v>
      </x:c>
    </x:row>
    <x:row r="431">
      <x:c r="A431" s="47"/>
      <x:c r="B431" s="47"/>
      <x:c r="C431" s="69"/>
      <x:c r="D431" s="47"/>
      <x:c r="E431" s="47"/>
      <x:c r="F431" s="47"/>
      <x:c r="G431" s="47"/>
      <x:c r="H431" s="48"/>
      <x:c r="I431" s="48"/>
      <x:c r="J431" s="47"/>
      <x:c r="K431" s="47"/>
      <x:c r="L431" s="57" t="str">
        <x:f>IF(COUNTA(A431:K431)=0,"",IF(K431="CANCELLED","CANCELLED",IF(A431="","INVOICE ID REQUIRED",IF(B431="","PROJECT ID REQUIRED",IF(NOT(ISNUMBER(C431)),"INVALID INVOICE DATE",IF(NOT(AND(ISNUMBER(C431),C431&gt;=2,C431&lt;=2958465,C431=INT(C431))),"INVALID INVOICE DATE",IF(NOT(OR(D431="MX",D431="US")),"ENTITY REQUIRED",IF(NOT(OR(E431="Strategic Services",E431="Brands")),"UNIT REQUIRED",IF(F431="","BRAND / N/A REQUIRED",IF(NOT(OR(G431="USD",G431="MXN")),"CURRENCY REQUIRED",IF(NOT(ISNUMBER(H431)),"AMOUNT REQUIRED",IF(J431="","ERP SOURCE REQUIRED",IF(NOT(OR(K431="ISSUED",K431="CANCELLED")),"INVOICE STATUS REQUIRED",IF(COUNTIFS($A$2:$A$501,A431,$B$2:$B$501,B431,$D$2:$D$501,D431)&gt;1,"DUPLICATE INVOICE / PROJECT",IF(SUMPRODUCT(--(('ERP Snapshot'!$A$2:$A$101&amp;"")=(B431&amp;"")))=0,"PROJECT NOT FOUND",IF(SUMPRODUCT(--(('ERP Snapshot'!$A$2:$A$101&amp;"")=(B431&amp;"")))&gt;1,"DUPLICATE PROJECT ID",IF(OR(SUMPRODUCT(--(('ERP Snapshot'!$A$2:$A$101&amp;"")=(B431&amp;"")),--('ERP Snapshot'!$Q$2:$Q$101=E431),--('ERP Snapshot'!$R$2:$R$101=F431))&lt;&gt;1,SUMPRODUCT(--('Commercial Catalogs'!$A$2:$A$10=E431),--('Commercial Catalogs'!$B$2:$B$10=F431),--('Commercial Catalogs'!$C$2:$C$10="YES"),--('Commercial Catalogs'!$D$2:$D$10="IN SCOPE"))=0,AND(E431="Strategic Services",F431&lt;&gt;"N/A"),AND(E431="Brands",F431="N/A")),"PROJECT CLASSIFICATION MISMATCH",IF(AND(G431="MXN",NOT(AND(ISNUMBER(I431),Settings!$B$8="APPROVED",Settings!$B$9&lt;&gt;"",Settings!$B$10&lt;&gt;""))),"FX HOLD","VALID"))))))))))))))))))</x:f>
      </x:c>
      <x:c r="M431" s="57" t="str">
        <x:f>IF(ISNUMBER(C431),IF(AND(ISNUMBER(C431),C431&gt;=2,C431&lt;=2958465,C431=INT(C431)),YEAR(C431)&amp;"-"&amp;IF(MONTH(C431)&lt;10,"0","")&amp;MONTH(C431),""),"")</x:f>
      </x:c>
      <x:c r="N431" s="59" t="str">
        <x:f>IF(L431="VALID",IF(G431="USD",H431,I431),"")</x:f>
      </x:c>
      <x:c r="O431" s="57" t="n">
        <x:f>IF(L431="VALID",IF(COUNTIFS($B$2:B431,B431,$M$2:M431,M431,$L$2:L431,"VALID")=1,1,0),0)</x:f>
        <x:v>0</x:v>
      </x:c>
    </x:row>
    <x:row r="432">
      <x:c r="A432" s="47"/>
      <x:c r="B432" s="47"/>
      <x:c r="C432" s="69"/>
      <x:c r="D432" s="47"/>
      <x:c r="E432" s="47"/>
      <x:c r="F432" s="47"/>
      <x:c r="G432" s="47"/>
      <x:c r="H432" s="48"/>
      <x:c r="I432" s="48"/>
      <x:c r="J432" s="47"/>
      <x:c r="K432" s="47"/>
      <x:c r="L432" s="57" t="str">
        <x:f>IF(COUNTA(A432:K432)=0,"",IF(K432="CANCELLED","CANCELLED",IF(A432="","INVOICE ID REQUIRED",IF(B432="","PROJECT ID REQUIRED",IF(NOT(ISNUMBER(C432)),"INVALID INVOICE DATE",IF(NOT(AND(ISNUMBER(C432),C432&gt;=2,C432&lt;=2958465,C432=INT(C432))),"INVALID INVOICE DATE",IF(NOT(OR(D432="MX",D432="US")),"ENTITY REQUIRED",IF(NOT(OR(E432="Strategic Services",E432="Brands")),"UNIT REQUIRED",IF(F432="","BRAND / N/A REQUIRED",IF(NOT(OR(G432="USD",G432="MXN")),"CURRENCY REQUIRED",IF(NOT(ISNUMBER(H432)),"AMOUNT REQUIRED",IF(J432="","ERP SOURCE REQUIRED",IF(NOT(OR(K432="ISSUED",K432="CANCELLED")),"INVOICE STATUS REQUIRED",IF(COUNTIFS($A$2:$A$501,A432,$B$2:$B$501,B432,$D$2:$D$501,D432)&gt;1,"DUPLICATE INVOICE / PROJECT",IF(SUMPRODUCT(--(('ERP Snapshot'!$A$2:$A$101&amp;"")=(B432&amp;"")))=0,"PROJECT NOT FOUND",IF(SUMPRODUCT(--(('ERP Snapshot'!$A$2:$A$101&amp;"")=(B432&amp;"")))&gt;1,"DUPLICATE PROJECT ID",IF(OR(SUMPRODUCT(--(('ERP Snapshot'!$A$2:$A$101&amp;"")=(B432&amp;"")),--('ERP Snapshot'!$Q$2:$Q$101=E432),--('ERP Snapshot'!$R$2:$R$101=F432))&lt;&gt;1,SUMPRODUCT(--('Commercial Catalogs'!$A$2:$A$10=E432),--('Commercial Catalogs'!$B$2:$B$10=F432),--('Commercial Catalogs'!$C$2:$C$10="YES"),--('Commercial Catalogs'!$D$2:$D$10="IN SCOPE"))=0,AND(E432="Strategic Services",F432&lt;&gt;"N/A"),AND(E432="Brands",F432="N/A")),"PROJECT CLASSIFICATION MISMATCH",IF(AND(G432="MXN",NOT(AND(ISNUMBER(I432),Settings!$B$8="APPROVED",Settings!$B$9&lt;&gt;"",Settings!$B$10&lt;&gt;""))),"FX HOLD","VALID"))))))))))))))))))</x:f>
      </x:c>
      <x:c r="M432" s="57" t="str">
        <x:f>IF(ISNUMBER(C432),IF(AND(ISNUMBER(C432),C432&gt;=2,C432&lt;=2958465,C432=INT(C432)),YEAR(C432)&amp;"-"&amp;IF(MONTH(C432)&lt;10,"0","")&amp;MONTH(C432),""),"")</x:f>
      </x:c>
      <x:c r="N432" s="59" t="str">
        <x:f>IF(L432="VALID",IF(G432="USD",H432,I432),"")</x:f>
      </x:c>
      <x:c r="O432" s="57" t="n">
        <x:f>IF(L432="VALID",IF(COUNTIFS($B$2:B432,B432,$M$2:M432,M432,$L$2:L432,"VALID")=1,1,0),0)</x:f>
        <x:v>0</x:v>
      </x:c>
    </x:row>
    <x:row r="433">
      <x:c r="A433" s="47"/>
      <x:c r="B433" s="47"/>
      <x:c r="C433" s="69"/>
      <x:c r="D433" s="47"/>
      <x:c r="E433" s="47"/>
      <x:c r="F433" s="47"/>
      <x:c r="G433" s="47"/>
      <x:c r="H433" s="48"/>
      <x:c r="I433" s="48"/>
      <x:c r="J433" s="47"/>
      <x:c r="K433" s="47"/>
      <x:c r="L433" s="57" t="str">
        <x:f>IF(COUNTA(A433:K433)=0,"",IF(K433="CANCELLED","CANCELLED",IF(A433="","INVOICE ID REQUIRED",IF(B433="","PROJECT ID REQUIRED",IF(NOT(ISNUMBER(C433)),"INVALID INVOICE DATE",IF(NOT(AND(ISNUMBER(C433),C433&gt;=2,C433&lt;=2958465,C433=INT(C433))),"INVALID INVOICE DATE",IF(NOT(OR(D433="MX",D433="US")),"ENTITY REQUIRED",IF(NOT(OR(E433="Strategic Services",E433="Brands")),"UNIT REQUIRED",IF(F433="","BRAND / N/A REQUIRED",IF(NOT(OR(G433="USD",G433="MXN")),"CURRENCY REQUIRED",IF(NOT(ISNUMBER(H433)),"AMOUNT REQUIRED",IF(J433="","ERP SOURCE REQUIRED",IF(NOT(OR(K433="ISSUED",K433="CANCELLED")),"INVOICE STATUS REQUIRED",IF(COUNTIFS($A$2:$A$501,A433,$B$2:$B$501,B433,$D$2:$D$501,D433)&gt;1,"DUPLICATE INVOICE / PROJECT",IF(SUMPRODUCT(--(('ERP Snapshot'!$A$2:$A$101&amp;"")=(B433&amp;"")))=0,"PROJECT NOT FOUND",IF(SUMPRODUCT(--(('ERP Snapshot'!$A$2:$A$101&amp;"")=(B433&amp;"")))&gt;1,"DUPLICATE PROJECT ID",IF(OR(SUMPRODUCT(--(('ERP Snapshot'!$A$2:$A$101&amp;"")=(B433&amp;"")),--('ERP Snapshot'!$Q$2:$Q$101=E433),--('ERP Snapshot'!$R$2:$R$101=F433))&lt;&gt;1,SUMPRODUCT(--('Commercial Catalogs'!$A$2:$A$10=E433),--('Commercial Catalogs'!$B$2:$B$10=F433),--('Commercial Catalogs'!$C$2:$C$10="YES"),--('Commercial Catalogs'!$D$2:$D$10="IN SCOPE"))=0,AND(E433="Strategic Services",F433&lt;&gt;"N/A"),AND(E433="Brands",F433="N/A")),"PROJECT CLASSIFICATION MISMATCH",IF(AND(G433="MXN",NOT(AND(ISNUMBER(I433),Settings!$B$8="APPROVED",Settings!$B$9&lt;&gt;"",Settings!$B$10&lt;&gt;""))),"FX HOLD","VALID"))))))))))))))))))</x:f>
      </x:c>
      <x:c r="M433" s="57" t="str">
        <x:f>IF(ISNUMBER(C433),IF(AND(ISNUMBER(C433),C433&gt;=2,C433&lt;=2958465,C433=INT(C433)),YEAR(C433)&amp;"-"&amp;IF(MONTH(C433)&lt;10,"0","")&amp;MONTH(C433),""),"")</x:f>
      </x:c>
      <x:c r="N433" s="59" t="str">
        <x:f>IF(L433="VALID",IF(G433="USD",H433,I433),"")</x:f>
      </x:c>
      <x:c r="O433" s="57" t="n">
        <x:f>IF(L433="VALID",IF(COUNTIFS($B$2:B433,B433,$M$2:M433,M433,$L$2:L433,"VALID")=1,1,0),0)</x:f>
        <x:v>0</x:v>
      </x:c>
    </x:row>
    <x:row r="434">
      <x:c r="A434" s="47"/>
      <x:c r="B434" s="47"/>
      <x:c r="C434" s="69"/>
      <x:c r="D434" s="47"/>
      <x:c r="E434" s="47"/>
      <x:c r="F434" s="47"/>
      <x:c r="G434" s="47"/>
      <x:c r="H434" s="48"/>
      <x:c r="I434" s="48"/>
      <x:c r="J434" s="47"/>
      <x:c r="K434" s="47"/>
      <x:c r="L434" s="57" t="str">
        <x:f>IF(COUNTA(A434:K434)=0,"",IF(K434="CANCELLED","CANCELLED",IF(A434="","INVOICE ID REQUIRED",IF(B434="","PROJECT ID REQUIRED",IF(NOT(ISNUMBER(C434)),"INVALID INVOICE DATE",IF(NOT(AND(ISNUMBER(C434),C434&gt;=2,C434&lt;=2958465,C434=INT(C434))),"INVALID INVOICE DATE",IF(NOT(OR(D434="MX",D434="US")),"ENTITY REQUIRED",IF(NOT(OR(E434="Strategic Services",E434="Brands")),"UNIT REQUIRED",IF(F434="","BRAND / N/A REQUIRED",IF(NOT(OR(G434="USD",G434="MXN")),"CURRENCY REQUIRED",IF(NOT(ISNUMBER(H434)),"AMOUNT REQUIRED",IF(J434="","ERP SOURCE REQUIRED",IF(NOT(OR(K434="ISSUED",K434="CANCELLED")),"INVOICE STATUS REQUIRED",IF(COUNTIFS($A$2:$A$501,A434,$B$2:$B$501,B434,$D$2:$D$501,D434)&gt;1,"DUPLICATE INVOICE / PROJECT",IF(SUMPRODUCT(--(('ERP Snapshot'!$A$2:$A$101&amp;"")=(B434&amp;"")))=0,"PROJECT NOT FOUND",IF(SUMPRODUCT(--(('ERP Snapshot'!$A$2:$A$101&amp;"")=(B434&amp;"")))&gt;1,"DUPLICATE PROJECT ID",IF(OR(SUMPRODUCT(--(('ERP Snapshot'!$A$2:$A$101&amp;"")=(B434&amp;"")),--('ERP Snapshot'!$Q$2:$Q$101=E434),--('ERP Snapshot'!$R$2:$R$101=F434))&lt;&gt;1,SUMPRODUCT(--('Commercial Catalogs'!$A$2:$A$10=E434),--('Commercial Catalogs'!$B$2:$B$10=F434),--('Commercial Catalogs'!$C$2:$C$10="YES"),--('Commercial Catalogs'!$D$2:$D$10="IN SCOPE"))=0,AND(E434="Strategic Services",F434&lt;&gt;"N/A"),AND(E434="Brands",F434="N/A")),"PROJECT CLASSIFICATION MISMATCH",IF(AND(G434="MXN",NOT(AND(ISNUMBER(I434),Settings!$B$8="APPROVED",Settings!$B$9&lt;&gt;"",Settings!$B$10&lt;&gt;""))),"FX HOLD","VALID"))))))))))))))))))</x:f>
      </x:c>
      <x:c r="M434" s="57" t="str">
        <x:f>IF(ISNUMBER(C434),IF(AND(ISNUMBER(C434),C434&gt;=2,C434&lt;=2958465,C434=INT(C434)),YEAR(C434)&amp;"-"&amp;IF(MONTH(C434)&lt;10,"0","")&amp;MONTH(C434),""),"")</x:f>
      </x:c>
      <x:c r="N434" s="59" t="str">
        <x:f>IF(L434="VALID",IF(G434="USD",H434,I434),"")</x:f>
      </x:c>
      <x:c r="O434" s="57" t="n">
        <x:f>IF(L434="VALID",IF(COUNTIFS($B$2:B434,B434,$M$2:M434,M434,$L$2:L434,"VALID")=1,1,0),0)</x:f>
        <x:v>0</x:v>
      </x:c>
    </x:row>
    <x:row r="435">
      <x:c r="A435" s="47"/>
      <x:c r="B435" s="47"/>
      <x:c r="C435" s="69"/>
      <x:c r="D435" s="47"/>
      <x:c r="E435" s="47"/>
      <x:c r="F435" s="47"/>
      <x:c r="G435" s="47"/>
      <x:c r="H435" s="48"/>
      <x:c r="I435" s="48"/>
      <x:c r="J435" s="47"/>
      <x:c r="K435" s="47"/>
      <x:c r="L435" s="57" t="str">
        <x:f>IF(COUNTA(A435:K435)=0,"",IF(K435="CANCELLED","CANCELLED",IF(A435="","INVOICE ID REQUIRED",IF(B435="","PROJECT ID REQUIRED",IF(NOT(ISNUMBER(C435)),"INVALID INVOICE DATE",IF(NOT(AND(ISNUMBER(C435),C435&gt;=2,C435&lt;=2958465,C435=INT(C435))),"INVALID INVOICE DATE",IF(NOT(OR(D435="MX",D435="US")),"ENTITY REQUIRED",IF(NOT(OR(E435="Strategic Services",E435="Brands")),"UNIT REQUIRED",IF(F435="","BRAND / N/A REQUIRED",IF(NOT(OR(G435="USD",G435="MXN")),"CURRENCY REQUIRED",IF(NOT(ISNUMBER(H435)),"AMOUNT REQUIRED",IF(J435="","ERP SOURCE REQUIRED",IF(NOT(OR(K435="ISSUED",K435="CANCELLED")),"INVOICE STATUS REQUIRED",IF(COUNTIFS($A$2:$A$501,A435,$B$2:$B$501,B435,$D$2:$D$501,D435)&gt;1,"DUPLICATE INVOICE / PROJECT",IF(SUMPRODUCT(--(('ERP Snapshot'!$A$2:$A$101&amp;"")=(B435&amp;"")))=0,"PROJECT NOT FOUND",IF(SUMPRODUCT(--(('ERP Snapshot'!$A$2:$A$101&amp;"")=(B435&amp;"")))&gt;1,"DUPLICATE PROJECT ID",IF(OR(SUMPRODUCT(--(('ERP Snapshot'!$A$2:$A$101&amp;"")=(B435&amp;"")),--('ERP Snapshot'!$Q$2:$Q$101=E435),--('ERP Snapshot'!$R$2:$R$101=F435))&lt;&gt;1,SUMPRODUCT(--('Commercial Catalogs'!$A$2:$A$10=E435),--('Commercial Catalogs'!$B$2:$B$10=F435),--('Commercial Catalogs'!$C$2:$C$10="YES"),--('Commercial Catalogs'!$D$2:$D$10="IN SCOPE"))=0,AND(E435="Strategic Services",F435&lt;&gt;"N/A"),AND(E435="Brands",F435="N/A")),"PROJECT CLASSIFICATION MISMATCH",IF(AND(G435="MXN",NOT(AND(ISNUMBER(I435),Settings!$B$8="APPROVED",Settings!$B$9&lt;&gt;"",Settings!$B$10&lt;&gt;""))),"FX HOLD","VALID"))))))))))))))))))</x:f>
      </x:c>
      <x:c r="M435" s="57" t="str">
        <x:f>IF(ISNUMBER(C435),IF(AND(ISNUMBER(C435),C435&gt;=2,C435&lt;=2958465,C435=INT(C435)),YEAR(C435)&amp;"-"&amp;IF(MONTH(C435)&lt;10,"0","")&amp;MONTH(C435),""),"")</x:f>
      </x:c>
      <x:c r="N435" s="59" t="str">
        <x:f>IF(L435="VALID",IF(G435="USD",H435,I435),"")</x:f>
      </x:c>
      <x:c r="O435" s="57" t="n">
        <x:f>IF(L435="VALID",IF(COUNTIFS($B$2:B435,B435,$M$2:M435,M435,$L$2:L435,"VALID")=1,1,0),0)</x:f>
        <x:v>0</x:v>
      </x:c>
    </x:row>
    <x:row r="436">
      <x:c r="A436" s="47"/>
      <x:c r="B436" s="47"/>
      <x:c r="C436" s="69"/>
      <x:c r="D436" s="47"/>
      <x:c r="E436" s="47"/>
      <x:c r="F436" s="47"/>
      <x:c r="G436" s="47"/>
      <x:c r="H436" s="48"/>
      <x:c r="I436" s="48"/>
      <x:c r="J436" s="47"/>
      <x:c r="K436" s="47"/>
      <x:c r="L436" s="57" t="str">
        <x:f>IF(COUNTA(A436:K436)=0,"",IF(K436="CANCELLED","CANCELLED",IF(A436="","INVOICE ID REQUIRED",IF(B436="","PROJECT ID REQUIRED",IF(NOT(ISNUMBER(C436)),"INVALID INVOICE DATE",IF(NOT(AND(ISNUMBER(C436),C436&gt;=2,C436&lt;=2958465,C436=INT(C436))),"INVALID INVOICE DATE",IF(NOT(OR(D436="MX",D436="US")),"ENTITY REQUIRED",IF(NOT(OR(E436="Strategic Services",E436="Brands")),"UNIT REQUIRED",IF(F436="","BRAND / N/A REQUIRED",IF(NOT(OR(G436="USD",G436="MXN")),"CURRENCY REQUIRED",IF(NOT(ISNUMBER(H436)),"AMOUNT REQUIRED",IF(J436="","ERP SOURCE REQUIRED",IF(NOT(OR(K436="ISSUED",K436="CANCELLED")),"INVOICE STATUS REQUIRED",IF(COUNTIFS($A$2:$A$501,A436,$B$2:$B$501,B436,$D$2:$D$501,D436)&gt;1,"DUPLICATE INVOICE / PROJECT",IF(SUMPRODUCT(--(('ERP Snapshot'!$A$2:$A$101&amp;"")=(B436&amp;"")))=0,"PROJECT NOT FOUND",IF(SUMPRODUCT(--(('ERP Snapshot'!$A$2:$A$101&amp;"")=(B436&amp;"")))&gt;1,"DUPLICATE PROJECT ID",IF(OR(SUMPRODUCT(--(('ERP Snapshot'!$A$2:$A$101&amp;"")=(B436&amp;"")),--('ERP Snapshot'!$Q$2:$Q$101=E436),--('ERP Snapshot'!$R$2:$R$101=F436))&lt;&gt;1,SUMPRODUCT(--('Commercial Catalogs'!$A$2:$A$10=E436),--('Commercial Catalogs'!$B$2:$B$10=F436),--('Commercial Catalogs'!$C$2:$C$10="YES"),--('Commercial Catalogs'!$D$2:$D$10="IN SCOPE"))=0,AND(E436="Strategic Services",F436&lt;&gt;"N/A"),AND(E436="Brands",F436="N/A")),"PROJECT CLASSIFICATION MISMATCH",IF(AND(G436="MXN",NOT(AND(ISNUMBER(I436),Settings!$B$8="APPROVED",Settings!$B$9&lt;&gt;"",Settings!$B$10&lt;&gt;""))),"FX HOLD","VALID"))))))))))))))))))</x:f>
      </x:c>
      <x:c r="M436" s="57" t="str">
        <x:f>IF(ISNUMBER(C436),IF(AND(ISNUMBER(C436),C436&gt;=2,C436&lt;=2958465,C436=INT(C436)),YEAR(C436)&amp;"-"&amp;IF(MONTH(C436)&lt;10,"0","")&amp;MONTH(C436),""),"")</x:f>
      </x:c>
      <x:c r="N436" s="59" t="str">
        <x:f>IF(L436="VALID",IF(G436="USD",H436,I436),"")</x:f>
      </x:c>
      <x:c r="O436" s="57" t="n">
        <x:f>IF(L436="VALID",IF(COUNTIFS($B$2:B436,B436,$M$2:M436,M436,$L$2:L436,"VALID")=1,1,0),0)</x:f>
        <x:v>0</x:v>
      </x:c>
    </x:row>
    <x:row r="437">
      <x:c r="A437" s="47"/>
      <x:c r="B437" s="47"/>
      <x:c r="C437" s="69"/>
      <x:c r="D437" s="47"/>
      <x:c r="E437" s="47"/>
      <x:c r="F437" s="47"/>
      <x:c r="G437" s="47"/>
      <x:c r="H437" s="48"/>
      <x:c r="I437" s="48"/>
      <x:c r="J437" s="47"/>
      <x:c r="K437" s="47"/>
      <x:c r="L437" s="57" t="str">
        <x:f>IF(COUNTA(A437:K437)=0,"",IF(K437="CANCELLED","CANCELLED",IF(A437="","INVOICE ID REQUIRED",IF(B437="","PROJECT ID REQUIRED",IF(NOT(ISNUMBER(C437)),"INVALID INVOICE DATE",IF(NOT(AND(ISNUMBER(C437),C437&gt;=2,C437&lt;=2958465,C437=INT(C437))),"INVALID INVOICE DATE",IF(NOT(OR(D437="MX",D437="US")),"ENTITY REQUIRED",IF(NOT(OR(E437="Strategic Services",E437="Brands")),"UNIT REQUIRED",IF(F437="","BRAND / N/A REQUIRED",IF(NOT(OR(G437="USD",G437="MXN")),"CURRENCY REQUIRED",IF(NOT(ISNUMBER(H437)),"AMOUNT REQUIRED",IF(J437="","ERP SOURCE REQUIRED",IF(NOT(OR(K437="ISSUED",K437="CANCELLED")),"INVOICE STATUS REQUIRED",IF(COUNTIFS($A$2:$A$501,A437,$B$2:$B$501,B437,$D$2:$D$501,D437)&gt;1,"DUPLICATE INVOICE / PROJECT",IF(SUMPRODUCT(--(('ERP Snapshot'!$A$2:$A$101&amp;"")=(B437&amp;"")))=0,"PROJECT NOT FOUND",IF(SUMPRODUCT(--(('ERP Snapshot'!$A$2:$A$101&amp;"")=(B437&amp;"")))&gt;1,"DUPLICATE PROJECT ID",IF(OR(SUMPRODUCT(--(('ERP Snapshot'!$A$2:$A$101&amp;"")=(B437&amp;"")),--('ERP Snapshot'!$Q$2:$Q$101=E437),--('ERP Snapshot'!$R$2:$R$101=F437))&lt;&gt;1,SUMPRODUCT(--('Commercial Catalogs'!$A$2:$A$10=E437),--('Commercial Catalogs'!$B$2:$B$10=F437),--('Commercial Catalogs'!$C$2:$C$10="YES"),--('Commercial Catalogs'!$D$2:$D$10="IN SCOPE"))=0,AND(E437="Strategic Services",F437&lt;&gt;"N/A"),AND(E437="Brands",F437="N/A")),"PROJECT CLASSIFICATION MISMATCH",IF(AND(G437="MXN",NOT(AND(ISNUMBER(I437),Settings!$B$8="APPROVED",Settings!$B$9&lt;&gt;"",Settings!$B$10&lt;&gt;""))),"FX HOLD","VALID"))))))))))))))))))</x:f>
      </x:c>
      <x:c r="M437" s="57" t="str">
        <x:f>IF(ISNUMBER(C437),IF(AND(ISNUMBER(C437),C437&gt;=2,C437&lt;=2958465,C437=INT(C437)),YEAR(C437)&amp;"-"&amp;IF(MONTH(C437)&lt;10,"0","")&amp;MONTH(C437),""),"")</x:f>
      </x:c>
      <x:c r="N437" s="59" t="str">
        <x:f>IF(L437="VALID",IF(G437="USD",H437,I437),"")</x:f>
      </x:c>
      <x:c r="O437" s="57" t="n">
        <x:f>IF(L437="VALID",IF(COUNTIFS($B$2:B437,B437,$M$2:M437,M437,$L$2:L437,"VALID")=1,1,0),0)</x:f>
        <x:v>0</x:v>
      </x:c>
    </x:row>
    <x:row r="438">
      <x:c r="A438" s="47"/>
      <x:c r="B438" s="47"/>
      <x:c r="C438" s="69"/>
      <x:c r="D438" s="47"/>
      <x:c r="E438" s="47"/>
      <x:c r="F438" s="47"/>
      <x:c r="G438" s="47"/>
      <x:c r="H438" s="48"/>
      <x:c r="I438" s="48"/>
      <x:c r="J438" s="47"/>
      <x:c r="K438" s="47"/>
      <x:c r="L438" s="57" t="str">
        <x:f>IF(COUNTA(A438:K438)=0,"",IF(K438="CANCELLED","CANCELLED",IF(A438="","INVOICE ID REQUIRED",IF(B438="","PROJECT ID REQUIRED",IF(NOT(ISNUMBER(C438)),"INVALID INVOICE DATE",IF(NOT(AND(ISNUMBER(C438),C438&gt;=2,C438&lt;=2958465,C438=INT(C438))),"INVALID INVOICE DATE",IF(NOT(OR(D438="MX",D438="US")),"ENTITY REQUIRED",IF(NOT(OR(E438="Strategic Services",E438="Brands")),"UNIT REQUIRED",IF(F438="","BRAND / N/A REQUIRED",IF(NOT(OR(G438="USD",G438="MXN")),"CURRENCY REQUIRED",IF(NOT(ISNUMBER(H438)),"AMOUNT REQUIRED",IF(J438="","ERP SOURCE REQUIRED",IF(NOT(OR(K438="ISSUED",K438="CANCELLED")),"INVOICE STATUS REQUIRED",IF(COUNTIFS($A$2:$A$501,A438,$B$2:$B$501,B438,$D$2:$D$501,D438)&gt;1,"DUPLICATE INVOICE / PROJECT",IF(SUMPRODUCT(--(('ERP Snapshot'!$A$2:$A$101&amp;"")=(B438&amp;"")))=0,"PROJECT NOT FOUND",IF(SUMPRODUCT(--(('ERP Snapshot'!$A$2:$A$101&amp;"")=(B438&amp;"")))&gt;1,"DUPLICATE PROJECT ID",IF(OR(SUMPRODUCT(--(('ERP Snapshot'!$A$2:$A$101&amp;"")=(B438&amp;"")),--('ERP Snapshot'!$Q$2:$Q$101=E438),--('ERP Snapshot'!$R$2:$R$101=F438))&lt;&gt;1,SUMPRODUCT(--('Commercial Catalogs'!$A$2:$A$10=E438),--('Commercial Catalogs'!$B$2:$B$10=F438),--('Commercial Catalogs'!$C$2:$C$10="YES"),--('Commercial Catalogs'!$D$2:$D$10="IN SCOPE"))=0,AND(E438="Strategic Services",F438&lt;&gt;"N/A"),AND(E438="Brands",F438="N/A")),"PROJECT CLASSIFICATION MISMATCH",IF(AND(G438="MXN",NOT(AND(ISNUMBER(I438),Settings!$B$8="APPROVED",Settings!$B$9&lt;&gt;"",Settings!$B$10&lt;&gt;""))),"FX HOLD","VALID"))))))))))))))))))</x:f>
      </x:c>
      <x:c r="M438" s="57" t="str">
        <x:f>IF(ISNUMBER(C438),IF(AND(ISNUMBER(C438),C438&gt;=2,C438&lt;=2958465,C438=INT(C438)),YEAR(C438)&amp;"-"&amp;IF(MONTH(C438)&lt;10,"0","")&amp;MONTH(C438),""),"")</x:f>
      </x:c>
      <x:c r="N438" s="59" t="str">
        <x:f>IF(L438="VALID",IF(G438="USD",H438,I438),"")</x:f>
      </x:c>
      <x:c r="O438" s="57" t="n">
        <x:f>IF(L438="VALID",IF(COUNTIFS($B$2:B438,B438,$M$2:M438,M438,$L$2:L438,"VALID")=1,1,0),0)</x:f>
        <x:v>0</x:v>
      </x:c>
    </x:row>
    <x:row r="439">
      <x:c r="A439" s="47"/>
      <x:c r="B439" s="47"/>
      <x:c r="C439" s="69"/>
      <x:c r="D439" s="47"/>
      <x:c r="E439" s="47"/>
      <x:c r="F439" s="47"/>
      <x:c r="G439" s="47"/>
      <x:c r="H439" s="48"/>
      <x:c r="I439" s="48"/>
      <x:c r="J439" s="47"/>
      <x:c r="K439" s="47"/>
      <x:c r="L439" s="57" t="str">
        <x:f>IF(COUNTA(A439:K439)=0,"",IF(K439="CANCELLED","CANCELLED",IF(A439="","INVOICE ID REQUIRED",IF(B439="","PROJECT ID REQUIRED",IF(NOT(ISNUMBER(C439)),"INVALID INVOICE DATE",IF(NOT(AND(ISNUMBER(C439),C439&gt;=2,C439&lt;=2958465,C439=INT(C439))),"INVALID INVOICE DATE",IF(NOT(OR(D439="MX",D439="US")),"ENTITY REQUIRED",IF(NOT(OR(E439="Strategic Services",E439="Brands")),"UNIT REQUIRED",IF(F439="","BRAND / N/A REQUIRED",IF(NOT(OR(G439="USD",G439="MXN")),"CURRENCY REQUIRED",IF(NOT(ISNUMBER(H439)),"AMOUNT REQUIRED",IF(J439="","ERP SOURCE REQUIRED",IF(NOT(OR(K439="ISSUED",K439="CANCELLED")),"INVOICE STATUS REQUIRED",IF(COUNTIFS($A$2:$A$501,A439,$B$2:$B$501,B439,$D$2:$D$501,D439)&gt;1,"DUPLICATE INVOICE / PROJECT",IF(SUMPRODUCT(--(('ERP Snapshot'!$A$2:$A$101&amp;"")=(B439&amp;"")))=0,"PROJECT NOT FOUND",IF(SUMPRODUCT(--(('ERP Snapshot'!$A$2:$A$101&amp;"")=(B439&amp;"")))&gt;1,"DUPLICATE PROJECT ID",IF(OR(SUMPRODUCT(--(('ERP Snapshot'!$A$2:$A$101&amp;"")=(B439&amp;"")),--('ERP Snapshot'!$Q$2:$Q$101=E439),--('ERP Snapshot'!$R$2:$R$101=F439))&lt;&gt;1,SUMPRODUCT(--('Commercial Catalogs'!$A$2:$A$10=E439),--('Commercial Catalogs'!$B$2:$B$10=F439),--('Commercial Catalogs'!$C$2:$C$10="YES"),--('Commercial Catalogs'!$D$2:$D$10="IN SCOPE"))=0,AND(E439="Strategic Services",F439&lt;&gt;"N/A"),AND(E439="Brands",F439="N/A")),"PROJECT CLASSIFICATION MISMATCH",IF(AND(G439="MXN",NOT(AND(ISNUMBER(I439),Settings!$B$8="APPROVED",Settings!$B$9&lt;&gt;"",Settings!$B$10&lt;&gt;""))),"FX HOLD","VALID"))))))))))))))))))</x:f>
      </x:c>
      <x:c r="M439" s="57" t="str">
        <x:f>IF(ISNUMBER(C439),IF(AND(ISNUMBER(C439),C439&gt;=2,C439&lt;=2958465,C439=INT(C439)),YEAR(C439)&amp;"-"&amp;IF(MONTH(C439)&lt;10,"0","")&amp;MONTH(C439),""),"")</x:f>
      </x:c>
      <x:c r="N439" s="59" t="str">
        <x:f>IF(L439="VALID",IF(G439="USD",H439,I439),"")</x:f>
      </x:c>
      <x:c r="O439" s="57" t="n">
        <x:f>IF(L439="VALID",IF(COUNTIFS($B$2:B439,B439,$M$2:M439,M439,$L$2:L439,"VALID")=1,1,0),0)</x:f>
        <x:v>0</x:v>
      </x:c>
    </x:row>
    <x:row r="440">
      <x:c r="A440" s="47"/>
      <x:c r="B440" s="47"/>
      <x:c r="C440" s="69"/>
      <x:c r="D440" s="47"/>
      <x:c r="E440" s="47"/>
      <x:c r="F440" s="47"/>
      <x:c r="G440" s="47"/>
      <x:c r="H440" s="48"/>
      <x:c r="I440" s="48"/>
      <x:c r="J440" s="47"/>
      <x:c r="K440" s="47"/>
      <x:c r="L440" s="57" t="str">
        <x:f>IF(COUNTA(A440:K440)=0,"",IF(K440="CANCELLED","CANCELLED",IF(A440="","INVOICE ID REQUIRED",IF(B440="","PROJECT ID REQUIRED",IF(NOT(ISNUMBER(C440)),"INVALID INVOICE DATE",IF(NOT(AND(ISNUMBER(C440),C440&gt;=2,C440&lt;=2958465,C440=INT(C440))),"INVALID INVOICE DATE",IF(NOT(OR(D440="MX",D440="US")),"ENTITY REQUIRED",IF(NOT(OR(E440="Strategic Services",E440="Brands")),"UNIT REQUIRED",IF(F440="","BRAND / N/A REQUIRED",IF(NOT(OR(G440="USD",G440="MXN")),"CURRENCY REQUIRED",IF(NOT(ISNUMBER(H440)),"AMOUNT REQUIRED",IF(J440="","ERP SOURCE REQUIRED",IF(NOT(OR(K440="ISSUED",K440="CANCELLED")),"INVOICE STATUS REQUIRED",IF(COUNTIFS($A$2:$A$501,A440,$B$2:$B$501,B440,$D$2:$D$501,D440)&gt;1,"DUPLICATE INVOICE / PROJECT",IF(SUMPRODUCT(--(('ERP Snapshot'!$A$2:$A$101&amp;"")=(B440&amp;"")))=0,"PROJECT NOT FOUND",IF(SUMPRODUCT(--(('ERP Snapshot'!$A$2:$A$101&amp;"")=(B440&amp;"")))&gt;1,"DUPLICATE PROJECT ID",IF(OR(SUMPRODUCT(--(('ERP Snapshot'!$A$2:$A$101&amp;"")=(B440&amp;"")),--('ERP Snapshot'!$Q$2:$Q$101=E440),--('ERP Snapshot'!$R$2:$R$101=F440))&lt;&gt;1,SUMPRODUCT(--('Commercial Catalogs'!$A$2:$A$10=E440),--('Commercial Catalogs'!$B$2:$B$10=F440),--('Commercial Catalogs'!$C$2:$C$10="YES"),--('Commercial Catalogs'!$D$2:$D$10="IN SCOPE"))=0,AND(E440="Strategic Services",F440&lt;&gt;"N/A"),AND(E440="Brands",F440="N/A")),"PROJECT CLASSIFICATION MISMATCH",IF(AND(G440="MXN",NOT(AND(ISNUMBER(I440),Settings!$B$8="APPROVED",Settings!$B$9&lt;&gt;"",Settings!$B$10&lt;&gt;""))),"FX HOLD","VALID"))))))))))))))))))</x:f>
      </x:c>
      <x:c r="M440" s="57" t="str">
        <x:f>IF(ISNUMBER(C440),IF(AND(ISNUMBER(C440),C440&gt;=2,C440&lt;=2958465,C440=INT(C440)),YEAR(C440)&amp;"-"&amp;IF(MONTH(C440)&lt;10,"0","")&amp;MONTH(C440),""),"")</x:f>
      </x:c>
      <x:c r="N440" s="59" t="str">
        <x:f>IF(L440="VALID",IF(G440="USD",H440,I440),"")</x:f>
      </x:c>
      <x:c r="O440" s="57" t="n">
        <x:f>IF(L440="VALID",IF(COUNTIFS($B$2:B440,B440,$M$2:M440,M440,$L$2:L440,"VALID")=1,1,0),0)</x:f>
        <x:v>0</x:v>
      </x:c>
    </x:row>
    <x:row r="441">
      <x:c r="A441" s="47"/>
      <x:c r="B441" s="47"/>
      <x:c r="C441" s="69"/>
      <x:c r="D441" s="47"/>
      <x:c r="E441" s="47"/>
      <x:c r="F441" s="47"/>
      <x:c r="G441" s="47"/>
      <x:c r="H441" s="48"/>
      <x:c r="I441" s="48"/>
      <x:c r="J441" s="47"/>
      <x:c r="K441" s="47"/>
      <x:c r="L441" s="57" t="str">
        <x:f>IF(COUNTA(A441:K441)=0,"",IF(K441="CANCELLED","CANCELLED",IF(A441="","INVOICE ID REQUIRED",IF(B441="","PROJECT ID REQUIRED",IF(NOT(ISNUMBER(C441)),"INVALID INVOICE DATE",IF(NOT(AND(ISNUMBER(C441),C441&gt;=2,C441&lt;=2958465,C441=INT(C441))),"INVALID INVOICE DATE",IF(NOT(OR(D441="MX",D441="US")),"ENTITY REQUIRED",IF(NOT(OR(E441="Strategic Services",E441="Brands")),"UNIT REQUIRED",IF(F441="","BRAND / N/A REQUIRED",IF(NOT(OR(G441="USD",G441="MXN")),"CURRENCY REQUIRED",IF(NOT(ISNUMBER(H441)),"AMOUNT REQUIRED",IF(J441="","ERP SOURCE REQUIRED",IF(NOT(OR(K441="ISSUED",K441="CANCELLED")),"INVOICE STATUS REQUIRED",IF(COUNTIFS($A$2:$A$501,A441,$B$2:$B$501,B441,$D$2:$D$501,D441)&gt;1,"DUPLICATE INVOICE / PROJECT",IF(SUMPRODUCT(--(('ERP Snapshot'!$A$2:$A$101&amp;"")=(B441&amp;"")))=0,"PROJECT NOT FOUND",IF(SUMPRODUCT(--(('ERP Snapshot'!$A$2:$A$101&amp;"")=(B441&amp;"")))&gt;1,"DUPLICATE PROJECT ID",IF(OR(SUMPRODUCT(--(('ERP Snapshot'!$A$2:$A$101&amp;"")=(B441&amp;"")),--('ERP Snapshot'!$Q$2:$Q$101=E441),--('ERP Snapshot'!$R$2:$R$101=F441))&lt;&gt;1,SUMPRODUCT(--('Commercial Catalogs'!$A$2:$A$10=E441),--('Commercial Catalogs'!$B$2:$B$10=F441),--('Commercial Catalogs'!$C$2:$C$10="YES"),--('Commercial Catalogs'!$D$2:$D$10="IN SCOPE"))=0,AND(E441="Strategic Services",F441&lt;&gt;"N/A"),AND(E441="Brands",F441="N/A")),"PROJECT CLASSIFICATION MISMATCH",IF(AND(G441="MXN",NOT(AND(ISNUMBER(I441),Settings!$B$8="APPROVED",Settings!$B$9&lt;&gt;"",Settings!$B$10&lt;&gt;""))),"FX HOLD","VALID"))))))))))))))))))</x:f>
      </x:c>
      <x:c r="M441" s="57" t="str">
        <x:f>IF(ISNUMBER(C441),IF(AND(ISNUMBER(C441),C441&gt;=2,C441&lt;=2958465,C441=INT(C441)),YEAR(C441)&amp;"-"&amp;IF(MONTH(C441)&lt;10,"0","")&amp;MONTH(C441),""),"")</x:f>
      </x:c>
      <x:c r="N441" s="59" t="str">
        <x:f>IF(L441="VALID",IF(G441="USD",H441,I441),"")</x:f>
      </x:c>
      <x:c r="O441" s="57" t="n">
        <x:f>IF(L441="VALID",IF(COUNTIFS($B$2:B441,B441,$M$2:M441,M441,$L$2:L441,"VALID")=1,1,0),0)</x:f>
        <x:v>0</x:v>
      </x:c>
    </x:row>
    <x:row r="442">
      <x:c r="A442" s="47"/>
      <x:c r="B442" s="47"/>
      <x:c r="C442" s="69"/>
      <x:c r="D442" s="47"/>
      <x:c r="E442" s="47"/>
      <x:c r="F442" s="47"/>
      <x:c r="G442" s="47"/>
      <x:c r="H442" s="48"/>
      <x:c r="I442" s="48"/>
      <x:c r="J442" s="47"/>
      <x:c r="K442" s="47"/>
      <x:c r="L442" s="57" t="str">
        <x:f>IF(COUNTA(A442:K442)=0,"",IF(K442="CANCELLED","CANCELLED",IF(A442="","INVOICE ID REQUIRED",IF(B442="","PROJECT ID REQUIRED",IF(NOT(ISNUMBER(C442)),"INVALID INVOICE DATE",IF(NOT(AND(ISNUMBER(C442),C442&gt;=2,C442&lt;=2958465,C442=INT(C442))),"INVALID INVOICE DATE",IF(NOT(OR(D442="MX",D442="US")),"ENTITY REQUIRED",IF(NOT(OR(E442="Strategic Services",E442="Brands")),"UNIT REQUIRED",IF(F442="","BRAND / N/A REQUIRED",IF(NOT(OR(G442="USD",G442="MXN")),"CURRENCY REQUIRED",IF(NOT(ISNUMBER(H442)),"AMOUNT REQUIRED",IF(J442="","ERP SOURCE REQUIRED",IF(NOT(OR(K442="ISSUED",K442="CANCELLED")),"INVOICE STATUS REQUIRED",IF(COUNTIFS($A$2:$A$501,A442,$B$2:$B$501,B442,$D$2:$D$501,D442)&gt;1,"DUPLICATE INVOICE / PROJECT",IF(SUMPRODUCT(--(('ERP Snapshot'!$A$2:$A$101&amp;"")=(B442&amp;"")))=0,"PROJECT NOT FOUND",IF(SUMPRODUCT(--(('ERP Snapshot'!$A$2:$A$101&amp;"")=(B442&amp;"")))&gt;1,"DUPLICATE PROJECT ID",IF(OR(SUMPRODUCT(--(('ERP Snapshot'!$A$2:$A$101&amp;"")=(B442&amp;"")),--('ERP Snapshot'!$Q$2:$Q$101=E442),--('ERP Snapshot'!$R$2:$R$101=F442))&lt;&gt;1,SUMPRODUCT(--('Commercial Catalogs'!$A$2:$A$10=E442),--('Commercial Catalogs'!$B$2:$B$10=F442),--('Commercial Catalogs'!$C$2:$C$10="YES"),--('Commercial Catalogs'!$D$2:$D$10="IN SCOPE"))=0,AND(E442="Strategic Services",F442&lt;&gt;"N/A"),AND(E442="Brands",F442="N/A")),"PROJECT CLASSIFICATION MISMATCH",IF(AND(G442="MXN",NOT(AND(ISNUMBER(I442),Settings!$B$8="APPROVED",Settings!$B$9&lt;&gt;"",Settings!$B$10&lt;&gt;""))),"FX HOLD","VALID"))))))))))))))))))</x:f>
      </x:c>
      <x:c r="M442" s="57" t="str">
        <x:f>IF(ISNUMBER(C442),IF(AND(ISNUMBER(C442),C442&gt;=2,C442&lt;=2958465,C442=INT(C442)),YEAR(C442)&amp;"-"&amp;IF(MONTH(C442)&lt;10,"0","")&amp;MONTH(C442),""),"")</x:f>
      </x:c>
      <x:c r="N442" s="59" t="str">
        <x:f>IF(L442="VALID",IF(G442="USD",H442,I442),"")</x:f>
      </x:c>
      <x:c r="O442" s="57" t="n">
        <x:f>IF(L442="VALID",IF(COUNTIFS($B$2:B442,B442,$M$2:M442,M442,$L$2:L442,"VALID")=1,1,0),0)</x:f>
        <x:v>0</x:v>
      </x:c>
    </x:row>
    <x:row r="443">
      <x:c r="A443" s="47"/>
      <x:c r="B443" s="47"/>
      <x:c r="C443" s="69"/>
      <x:c r="D443" s="47"/>
      <x:c r="E443" s="47"/>
      <x:c r="F443" s="47"/>
      <x:c r="G443" s="47"/>
      <x:c r="H443" s="48"/>
      <x:c r="I443" s="48"/>
      <x:c r="J443" s="47"/>
      <x:c r="K443" s="47"/>
      <x:c r="L443" s="57" t="str">
        <x:f>IF(COUNTA(A443:K443)=0,"",IF(K443="CANCELLED","CANCELLED",IF(A443="","INVOICE ID REQUIRED",IF(B443="","PROJECT ID REQUIRED",IF(NOT(ISNUMBER(C443)),"INVALID INVOICE DATE",IF(NOT(AND(ISNUMBER(C443),C443&gt;=2,C443&lt;=2958465,C443=INT(C443))),"INVALID INVOICE DATE",IF(NOT(OR(D443="MX",D443="US")),"ENTITY REQUIRED",IF(NOT(OR(E443="Strategic Services",E443="Brands")),"UNIT REQUIRED",IF(F443="","BRAND / N/A REQUIRED",IF(NOT(OR(G443="USD",G443="MXN")),"CURRENCY REQUIRED",IF(NOT(ISNUMBER(H443)),"AMOUNT REQUIRED",IF(J443="","ERP SOURCE REQUIRED",IF(NOT(OR(K443="ISSUED",K443="CANCELLED")),"INVOICE STATUS REQUIRED",IF(COUNTIFS($A$2:$A$501,A443,$B$2:$B$501,B443,$D$2:$D$501,D443)&gt;1,"DUPLICATE INVOICE / PROJECT",IF(SUMPRODUCT(--(('ERP Snapshot'!$A$2:$A$101&amp;"")=(B443&amp;"")))=0,"PROJECT NOT FOUND",IF(SUMPRODUCT(--(('ERP Snapshot'!$A$2:$A$101&amp;"")=(B443&amp;"")))&gt;1,"DUPLICATE PROJECT ID",IF(OR(SUMPRODUCT(--(('ERP Snapshot'!$A$2:$A$101&amp;"")=(B443&amp;"")),--('ERP Snapshot'!$Q$2:$Q$101=E443),--('ERP Snapshot'!$R$2:$R$101=F443))&lt;&gt;1,SUMPRODUCT(--('Commercial Catalogs'!$A$2:$A$10=E443),--('Commercial Catalogs'!$B$2:$B$10=F443),--('Commercial Catalogs'!$C$2:$C$10="YES"),--('Commercial Catalogs'!$D$2:$D$10="IN SCOPE"))=0,AND(E443="Strategic Services",F443&lt;&gt;"N/A"),AND(E443="Brands",F443="N/A")),"PROJECT CLASSIFICATION MISMATCH",IF(AND(G443="MXN",NOT(AND(ISNUMBER(I443),Settings!$B$8="APPROVED",Settings!$B$9&lt;&gt;"",Settings!$B$10&lt;&gt;""))),"FX HOLD","VALID"))))))))))))))))))</x:f>
      </x:c>
      <x:c r="M443" s="57" t="str">
        <x:f>IF(ISNUMBER(C443),IF(AND(ISNUMBER(C443),C443&gt;=2,C443&lt;=2958465,C443=INT(C443)),YEAR(C443)&amp;"-"&amp;IF(MONTH(C443)&lt;10,"0","")&amp;MONTH(C443),""),"")</x:f>
      </x:c>
      <x:c r="N443" s="59" t="str">
        <x:f>IF(L443="VALID",IF(G443="USD",H443,I443),"")</x:f>
      </x:c>
      <x:c r="O443" s="57" t="n">
        <x:f>IF(L443="VALID",IF(COUNTIFS($B$2:B443,B443,$M$2:M443,M443,$L$2:L443,"VALID")=1,1,0),0)</x:f>
        <x:v>0</x:v>
      </x:c>
    </x:row>
    <x:row r="444">
      <x:c r="A444" s="47"/>
      <x:c r="B444" s="47"/>
      <x:c r="C444" s="69"/>
      <x:c r="D444" s="47"/>
      <x:c r="E444" s="47"/>
      <x:c r="F444" s="47"/>
      <x:c r="G444" s="47"/>
      <x:c r="H444" s="48"/>
      <x:c r="I444" s="48"/>
      <x:c r="J444" s="47"/>
      <x:c r="K444" s="47"/>
      <x:c r="L444" s="57" t="str">
        <x:f>IF(COUNTA(A444:K444)=0,"",IF(K444="CANCELLED","CANCELLED",IF(A444="","INVOICE ID REQUIRED",IF(B444="","PROJECT ID REQUIRED",IF(NOT(ISNUMBER(C444)),"INVALID INVOICE DATE",IF(NOT(AND(ISNUMBER(C444),C444&gt;=2,C444&lt;=2958465,C444=INT(C444))),"INVALID INVOICE DATE",IF(NOT(OR(D444="MX",D444="US")),"ENTITY REQUIRED",IF(NOT(OR(E444="Strategic Services",E444="Brands")),"UNIT REQUIRED",IF(F444="","BRAND / N/A REQUIRED",IF(NOT(OR(G444="USD",G444="MXN")),"CURRENCY REQUIRED",IF(NOT(ISNUMBER(H444)),"AMOUNT REQUIRED",IF(J444="","ERP SOURCE REQUIRED",IF(NOT(OR(K444="ISSUED",K444="CANCELLED")),"INVOICE STATUS REQUIRED",IF(COUNTIFS($A$2:$A$501,A444,$B$2:$B$501,B444,$D$2:$D$501,D444)&gt;1,"DUPLICATE INVOICE / PROJECT",IF(SUMPRODUCT(--(('ERP Snapshot'!$A$2:$A$101&amp;"")=(B444&amp;"")))=0,"PROJECT NOT FOUND",IF(SUMPRODUCT(--(('ERP Snapshot'!$A$2:$A$101&amp;"")=(B444&amp;"")))&gt;1,"DUPLICATE PROJECT ID",IF(OR(SUMPRODUCT(--(('ERP Snapshot'!$A$2:$A$101&amp;"")=(B444&amp;"")),--('ERP Snapshot'!$Q$2:$Q$101=E444),--('ERP Snapshot'!$R$2:$R$101=F444))&lt;&gt;1,SUMPRODUCT(--('Commercial Catalogs'!$A$2:$A$10=E444),--('Commercial Catalogs'!$B$2:$B$10=F444),--('Commercial Catalogs'!$C$2:$C$10="YES"),--('Commercial Catalogs'!$D$2:$D$10="IN SCOPE"))=0,AND(E444="Strategic Services",F444&lt;&gt;"N/A"),AND(E444="Brands",F444="N/A")),"PROJECT CLASSIFICATION MISMATCH",IF(AND(G444="MXN",NOT(AND(ISNUMBER(I444),Settings!$B$8="APPROVED",Settings!$B$9&lt;&gt;"",Settings!$B$10&lt;&gt;""))),"FX HOLD","VALID"))))))))))))))))))</x:f>
      </x:c>
      <x:c r="M444" s="57" t="str">
        <x:f>IF(ISNUMBER(C444),IF(AND(ISNUMBER(C444),C444&gt;=2,C444&lt;=2958465,C444=INT(C444)),YEAR(C444)&amp;"-"&amp;IF(MONTH(C444)&lt;10,"0","")&amp;MONTH(C444),""),"")</x:f>
      </x:c>
      <x:c r="N444" s="59" t="str">
        <x:f>IF(L444="VALID",IF(G444="USD",H444,I444),"")</x:f>
      </x:c>
      <x:c r="O444" s="57" t="n">
        <x:f>IF(L444="VALID",IF(COUNTIFS($B$2:B444,B444,$M$2:M444,M444,$L$2:L444,"VALID")=1,1,0),0)</x:f>
        <x:v>0</x:v>
      </x:c>
    </x:row>
    <x:row r="445">
      <x:c r="A445" s="47"/>
      <x:c r="B445" s="47"/>
      <x:c r="C445" s="69"/>
      <x:c r="D445" s="47"/>
      <x:c r="E445" s="47"/>
      <x:c r="F445" s="47"/>
      <x:c r="G445" s="47"/>
      <x:c r="H445" s="48"/>
      <x:c r="I445" s="48"/>
      <x:c r="J445" s="47"/>
      <x:c r="K445" s="47"/>
      <x:c r="L445" s="57" t="str">
        <x:f>IF(COUNTA(A445:K445)=0,"",IF(K445="CANCELLED","CANCELLED",IF(A445="","INVOICE ID REQUIRED",IF(B445="","PROJECT ID REQUIRED",IF(NOT(ISNUMBER(C445)),"INVALID INVOICE DATE",IF(NOT(AND(ISNUMBER(C445),C445&gt;=2,C445&lt;=2958465,C445=INT(C445))),"INVALID INVOICE DATE",IF(NOT(OR(D445="MX",D445="US")),"ENTITY REQUIRED",IF(NOT(OR(E445="Strategic Services",E445="Brands")),"UNIT REQUIRED",IF(F445="","BRAND / N/A REQUIRED",IF(NOT(OR(G445="USD",G445="MXN")),"CURRENCY REQUIRED",IF(NOT(ISNUMBER(H445)),"AMOUNT REQUIRED",IF(J445="","ERP SOURCE REQUIRED",IF(NOT(OR(K445="ISSUED",K445="CANCELLED")),"INVOICE STATUS REQUIRED",IF(COUNTIFS($A$2:$A$501,A445,$B$2:$B$501,B445,$D$2:$D$501,D445)&gt;1,"DUPLICATE INVOICE / PROJECT",IF(SUMPRODUCT(--(('ERP Snapshot'!$A$2:$A$101&amp;"")=(B445&amp;"")))=0,"PROJECT NOT FOUND",IF(SUMPRODUCT(--(('ERP Snapshot'!$A$2:$A$101&amp;"")=(B445&amp;"")))&gt;1,"DUPLICATE PROJECT ID",IF(OR(SUMPRODUCT(--(('ERP Snapshot'!$A$2:$A$101&amp;"")=(B445&amp;"")),--('ERP Snapshot'!$Q$2:$Q$101=E445),--('ERP Snapshot'!$R$2:$R$101=F445))&lt;&gt;1,SUMPRODUCT(--('Commercial Catalogs'!$A$2:$A$10=E445),--('Commercial Catalogs'!$B$2:$B$10=F445),--('Commercial Catalogs'!$C$2:$C$10="YES"),--('Commercial Catalogs'!$D$2:$D$10="IN SCOPE"))=0,AND(E445="Strategic Services",F445&lt;&gt;"N/A"),AND(E445="Brands",F445="N/A")),"PROJECT CLASSIFICATION MISMATCH",IF(AND(G445="MXN",NOT(AND(ISNUMBER(I445),Settings!$B$8="APPROVED",Settings!$B$9&lt;&gt;"",Settings!$B$10&lt;&gt;""))),"FX HOLD","VALID"))))))))))))))))))</x:f>
      </x:c>
      <x:c r="M445" s="57" t="str">
        <x:f>IF(ISNUMBER(C445),IF(AND(ISNUMBER(C445),C445&gt;=2,C445&lt;=2958465,C445=INT(C445)),YEAR(C445)&amp;"-"&amp;IF(MONTH(C445)&lt;10,"0","")&amp;MONTH(C445),""),"")</x:f>
      </x:c>
      <x:c r="N445" s="59" t="str">
        <x:f>IF(L445="VALID",IF(G445="USD",H445,I445),"")</x:f>
      </x:c>
      <x:c r="O445" s="57" t="n">
        <x:f>IF(L445="VALID",IF(COUNTIFS($B$2:B445,B445,$M$2:M445,M445,$L$2:L445,"VALID")=1,1,0),0)</x:f>
        <x:v>0</x:v>
      </x:c>
    </x:row>
    <x:row r="446">
      <x:c r="A446" s="47"/>
      <x:c r="B446" s="47"/>
      <x:c r="C446" s="69"/>
      <x:c r="D446" s="47"/>
      <x:c r="E446" s="47"/>
      <x:c r="F446" s="47"/>
      <x:c r="G446" s="47"/>
      <x:c r="H446" s="48"/>
      <x:c r="I446" s="48"/>
      <x:c r="J446" s="47"/>
      <x:c r="K446" s="47"/>
      <x:c r="L446" s="57" t="str">
        <x:f>IF(COUNTA(A446:K446)=0,"",IF(K446="CANCELLED","CANCELLED",IF(A446="","INVOICE ID REQUIRED",IF(B446="","PROJECT ID REQUIRED",IF(NOT(ISNUMBER(C446)),"INVALID INVOICE DATE",IF(NOT(AND(ISNUMBER(C446),C446&gt;=2,C446&lt;=2958465,C446=INT(C446))),"INVALID INVOICE DATE",IF(NOT(OR(D446="MX",D446="US")),"ENTITY REQUIRED",IF(NOT(OR(E446="Strategic Services",E446="Brands")),"UNIT REQUIRED",IF(F446="","BRAND / N/A REQUIRED",IF(NOT(OR(G446="USD",G446="MXN")),"CURRENCY REQUIRED",IF(NOT(ISNUMBER(H446)),"AMOUNT REQUIRED",IF(J446="","ERP SOURCE REQUIRED",IF(NOT(OR(K446="ISSUED",K446="CANCELLED")),"INVOICE STATUS REQUIRED",IF(COUNTIFS($A$2:$A$501,A446,$B$2:$B$501,B446,$D$2:$D$501,D446)&gt;1,"DUPLICATE INVOICE / PROJECT",IF(SUMPRODUCT(--(('ERP Snapshot'!$A$2:$A$101&amp;"")=(B446&amp;"")))=0,"PROJECT NOT FOUND",IF(SUMPRODUCT(--(('ERP Snapshot'!$A$2:$A$101&amp;"")=(B446&amp;"")))&gt;1,"DUPLICATE PROJECT ID",IF(OR(SUMPRODUCT(--(('ERP Snapshot'!$A$2:$A$101&amp;"")=(B446&amp;"")),--('ERP Snapshot'!$Q$2:$Q$101=E446),--('ERP Snapshot'!$R$2:$R$101=F446))&lt;&gt;1,SUMPRODUCT(--('Commercial Catalogs'!$A$2:$A$10=E446),--('Commercial Catalogs'!$B$2:$B$10=F446),--('Commercial Catalogs'!$C$2:$C$10="YES"),--('Commercial Catalogs'!$D$2:$D$10="IN SCOPE"))=0,AND(E446="Strategic Services",F446&lt;&gt;"N/A"),AND(E446="Brands",F446="N/A")),"PROJECT CLASSIFICATION MISMATCH",IF(AND(G446="MXN",NOT(AND(ISNUMBER(I446),Settings!$B$8="APPROVED",Settings!$B$9&lt;&gt;"",Settings!$B$10&lt;&gt;""))),"FX HOLD","VALID"))))))))))))))))))</x:f>
      </x:c>
      <x:c r="M446" s="57" t="str">
        <x:f>IF(ISNUMBER(C446),IF(AND(ISNUMBER(C446),C446&gt;=2,C446&lt;=2958465,C446=INT(C446)),YEAR(C446)&amp;"-"&amp;IF(MONTH(C446)&lt;10,"0","")&amp;MONTH(C446),""),"")</x:f>
      </x:c>
      <x:c r="N446" s="59" t="str">
        <x:f>IF(L446="VALID",IF(G446="USD",H446,I446),"")</x:f>
      </x:c>
      <x:c r="O446" s="57" t="n">
        <x:f>IF(L446="VALID",IF(COUNTIFS($B$2:B446,B446,$M$2:M446,M446,$L$2:L446,"VALID")=1,1,0),0)</x:f>
        <x:v>0</x:v>
      </x:c>
    </x:row>
    <x:row r="447">
      <x:c r="A447" s="47"/>
      <x:c r="B447" s="47"/>
      <x:c r="C447" s="69"/>
      <x:c r="D447" s="47"/>
      <x:c r="E447" s="47"/>
      <x:c r="F447" s="47"/>
      <x:c r="G447" s="47"/>
      <x:c r="H447" s="48"/>
      <x:c r="I447" s="48"/>
      <x:c r="J447" s="47"/>
      <x:c r="K447" s="47"/>
      <x:c r="L447" s="57" t="str">
        <x:f>IF(COUNTA(A447:K447)=0,"",IF(K447="CANCELLED","CANCELLED",IF(A447="","INVOICE ID REQUIRED",IF(B447="","PROJECT ID REQUIRED",IF(NOT(ISNUMBER(C447)),"INVALID INVOICE DATE",IF(NOT(AND(ISNUMBER(C447),C447&gt;=2,C447&lt;=2958465,C447=INT(C447))),"INVALID INVOICE DATE",IF(NOT(OR(D447="MX",D447="US")),"ENTITY REQUIRED",IF(NOT(OR(E447="Strategic Services",E447="Brands")),"UNIT REQUIRED",IF(F447="","BRAND / N/A REQUIRED",IF(NOT(OR(G447="USD",G447="MXN")),"CURRENCY REQUIRED",IF(NOT(ISNUMBER(H447)),"AMOUNT REQUIRED",IF(J447="","ERP SOURCE REQUIRED",IF(NOT(OR(K447="ISSUED",K447="CANCELLED")),"INVOICE STATUS REQUIRED",IF(COUNTIFS($A$2:$A$501,A447,$B$2:$B$501,B447,$D$2:$D$501,D447)&gt;1,"DUPLICATE INVOICE / PROJECT",IF(SUMPRODUCT(--(('ERP Snapshot'!$A$2:$A$101&amp;"")=(B447&amp;"")))=0,"PROJECT NOT FOUND",IF(SUMPRODUCT(--(('ERP Snapshot'!$A$2:$A$101&amp;"")=(B447&amp;"")))&gt;1,"DUPLICATE PROJECT ID",IF(OR(SUMPRODUCT(--(('ERP Snapshot'!$A$2:$A$101&amp;"")=(B447&amp;"")),--('ERP Snapshot'!$Q$2:$Q$101=E447),--('ERP Snapshot'!$R$2:$R$101=F447))&lt;&gt;1,SUMPRODUCT(--('Commercial Catalogs'!$A$2:$A$10=E447),--('Commercial Catalogs'!$B$2:$B$10=F447),--('Commercial Catalogs'!$C$2:$C$10="YES"),--('Commercial Catalogs'!$D$2:$D$10="IN SCOPE"))=0,AND(E447="Strategic Services",F447&lt;&gt;"N/A"),AND(E447="Brands",F447="N/A")),"PROJECT CLASSIFICATION MISMATCH",IF(AND(G447="MXN",NOT(AND(ISNUMBER(I447),Settings!$B$8="APPROVED",Settings!$B$9&lt;&gt;"",Settings!$B$10&lt;&gt;""))),"FX HOLD","VALID"))))))))))))))))))</x:f>
      </x:c>
      <x:c r="M447" s="57" t="str">
        <x:f>IF(ISNUMBER(C447),IF(AND(ISNUMBER(C447),C447&gt;=2,C447&lt;=2958465,C447=INT(C447)),YEAR(C447)&amp;"-"&amp;IF(MONTH(C447)&lt;10,"0","")&amp;MONTH(C447),""),"")</x:f>
      </x:c>
      <x:c r="N447" s="59" t="str">
        <x:f>IF(L447="VALID",IF(G447="USD",H447,I447),"")</x:f>
      </x:c>
      <x:c r="O447" s="57" t="n">
        <x:f>IF(L447="VALID",IF(COUNTIFS($B$2:B447,B447,$M$2:M447,M447,$L$2:L447,"VALID")=1,1,0),0)</x:f>
        <x:v>0</x:v>
      </x:c>
    </x:row>
    <x:row r="448">
      <x:c r="A448" s="47"/>
      <x:c r="B448" s="47"/>
      <x:c r="C448" s="69"/>
      <x:c r="D448" s="47"/>
      <x:c r="E448" s="47"/>
      <x:c r="F448" s="47"/>
      <x:c r="G448" s="47"/>
      <x:c r="H448" s="48"/>
      <x:c r="I448" s="48"/>
      <x:c r="J448" s="47"/>
      <x:c r="K448" s="47"/>
      <x:c r="L448" s="57" t="str">
        <x:f>IF(COUNTA(A448:K448)=0,"",IF(K448="CANCELLED","CANCELLED",IF(A448="","INVOICE ID REQUIRED",IF(B448="","PROJECT ID REQUIRED",IF(NOT(ISNUMBER(C448)),"INVALID INVOICE DATE",IF(NOT(AND(ISNUMBER(C448),C448&gt;=2,C448&lt;=2958465,C448=INT(C448))),"INVALID INVOICE DATE",IF(NOT(OR(D448="MX",D448="US")),"ENTITY REQUIRED",IF(NOT(OR(E448="Strategic Services",E448="Brands")),"UNIT REQUIRED",IF(F448="","BRAND / N/A REQUIRED",IF(NOT(OR(G448="USD",G448="MXN")),"CURRENCY REQUIRED",IF(NOT(ISNUMBER(H448)),"AMOUNT REQUIRED",IF(J448="","ERP SOURCE REQUIRED",IF(NOT(OR(K448="ISSUED",K448="CANCELLED")),"INVOICE STATUS REQUIRED",IF(COUNTIFS($A$2:$A$501,A448,$B$2:$B$501,B448,$D$2:$D$501,D448)&gt;1,"DUPLICATE INVOICE / PROJECT",IF(SUMPRODUCT(--(('ERP Snapshot'!$A$2:$A$101&amp;"")=(B448&amp;"")))=0,"PROJECT NOT FOUND",IF(SUMPRODUCT(--(('ERP Snapshot'!$A$2:$A$101&amp;"")=(B448&amp;"")))&gt;1,"DUPLICATE PROJECT ID",IF(OR(SUMPRODUCT(--(('ERP Snapshot'!$A$2:$A$101&amp;"")=(B448&amp;"")),--('ERP Snapshot'!$Q$2:$Q$101=E448),--('ERP Snapshot'!$R$2:$R$101=F448))&lt;&gt;1,SUMPRODUCT(--('Commercial Catalogs'!$A$2:$A$10=E448),--('Commercial Catalogs'!$B$2:$B$10=F448),--('Commercial Catalogs'!$C$2:$C$10="YES"),--('Commercial Catalogs'!$D$2:$D$10="IN SCOPE"))=0,AND(E448="Strategic Services",F448&lt;&gt;"N/A"),AND(E448="Brands",F448="N/A")),"PROJECT CLASSIFICATION MISMATCH",IF(AND(G448="MXN",NOT(AND(ISNUMBER(I448),Settings!$B$8="APPROVED",Settings!$B$9&lt;&gt;"",Settings!$B$10&lt;&gt;""))),"FX HOLD","VALID"))))))))))))))))))</x:f>
      </x:c>
      <x:c r="M448" s="57" t="str">
        <x:f>IF(ISNUMBER(C448),IF(AND(ISNUMBER(C448),C448&gt;=2,C448&lt;=2958465,C448=INT(C448)),YEAR(C448)&amp;"-"&amp;IF(MONTH(C448)&lt;10,"0","")&amp;MONTH(C448),""),"")</x:f>
      </x:c>
      <x:c r="N448" s="59" t="str">
        <x:f>IF(L448="VALID",IF(G448="USD",H448,I448),"")</x:f>
      </x:c>
      <x:c r="O448" s="57" t="n">
        <x:f>IF(L448="VALID",IF(COUNTIFS($B$2:B448,B448,$M$2:M448,M448,$L$2:L448,"VALID")=1,1,0),0)</x:f>
        <x:v>0</x:v>
      </x:c>
    </x:row>
    <x:row r="449">
      <x:c r="A449" s="47"/>
      <x:c r="B449" s="47"/>
      <x:c r="C449" s="69"/>
      <x:c r="D449" s="47"/>
      <x:c r="E449" s="47"/>
      <x:c r="F449" s="47"/>
      <x:c r="G449" s="47"/>
      <x:c r="H449" s="48"/>
      <x:c r="I449" s="48"/>
      <x:c r="J449" s="47"/>
      <x:c r="K449" s="47"/>
      <x:c r="L449" s="57" t="str">
        <x:f>IF(COUNTA(A449:K449)=0,"",IF(K449="CANCELLED","CANCELLED",IF(A449="","INVOICE ID REQUIRED",IF(B449="","PROJECT ID REQUIRED",IF(NOT(ISNUMBER(C449)),"INVALID INVOICE DATE",IF(NOT(AND(ISNUMBER(C449),C449&gt;=2,C449&lt;=2958465,C449=INT(C449))),"INVALID INVOICE DATE",IF(NOT(OR(D449="MX",D449="US")),"ENTITY REQUIRED",IF(NOT(OR(E449="Strategic Services",E449="Brands")),"UNIT REQUIRED",IF(F449="","BRAND / N/A REQUIRED",IF(NOT(OR(G449="USD",G449="MXN")),"CURRENCY REQUIRED",IF(NOT(ISNUMBER(H449)),"AMOUNT REQUIRED",IF(J449="","ERP SOURCE REQUIRED",IF(NOT(OR(K449="ISSUED",K449="CANCELLED")),"INVOICE STATUS REQUIRED",IF(COUNTIFS($A$2:$A$501,A449,$B$2:$B$501,B449,$D$2:$D$501,D449)&gt;1,"DUPLICATE INVOICE / PROJECT",IF(SUMPRODUCT(--(('ERP Snapshot'!$A$2:$A$101&amp;"")=(B449&amp;"")))=0,"PROJECT NOT FOUND",IF(SUMPRODUCT(--(('ERP Snapshot'!$A$2:$A$101&amp;"")=(B449&amp;"")))&gt;1,"DUPLICATE PROJECT ID",IF(OR(SUMPRODUCT(--(('ERP Snapshot'!$A$2:$A$101&amp;"")=(B449&amp;"")),--('ERP Snapshot'!$Q$2:$Q$101=E449),--('ERP Snapshot'!$R$2:$R$101=F449))&lt;&gt;1,SUMPRODUCT(--('Commercial Catalogs'!$A$2:$A$10=E449),--('Commercial Catalogs'!$B$2:$B$10=F449),--('Commercial Catalogs'!$C$2:$C$10="YES"),--('Commercial Catalogs'!$D$2:$D$10="IN SCOPE"))=0,AND(E449="Strategic Services",F449&lt;&gt;"N/A"),AND(E449="Brands",F449="N/A")),"PROJECT CLASSIFICATION MISMATCH",IF(AND(G449="MXN",NOT(AND(ISNUMBER(I449),Settings!$B$8="APPROVED",Settings!$B$9&lt;&gt;"",Settings!$B$10&lt;&gt;""))),"FX HOLD","VALID"))))))))))))))))))</x:f>
      </x:c>
      <x:c r="M449" s="57" t="str">
        <x:f>IF(ISNUMBER(C449),IF(AND(ISNUMBER(C449),C449&gt;=2,C449&lt;=2958465,C449=INT(C449)),YEAR(C449)&amp;"-"&amp;IF(MONTH(C449)&lt;10,"0","")&amp;MONTH(C449),""),"")</x:f>
      </x:c>
      <x:c r="N449" s="59" t="str">
        <x:f>IF(L449="VALID",IF(G449="USD",H449,I449),"")</x:f>
      </x:c>
      <x:c r="O449" s="57" t="n">
        <x:f>IF(L449="VALID",IF(COUNTIFS($B$2:B449,B449,$M$2:M449,M449,$L$2:L449,"VALID")=1,1,0),0)</x:f>
        <x:v>0</x:v>
      </x:c>
    </x:row>
    <x:row r="450">
      <x:c r="A450" s="47"/>
      <x:c r="B450" s="47"/>
      <x:c r="C450" s="69"/>
      <x:c r="D450" s="47"/>
      <x:c r="E450" s="47"/>
      <x:c r="F450" s="47"/>
      <x:c r="G450" s="47"/>
      <x:c r="H450" s="48"/>
      <x:c r="I450" s="48"/>
      <x:c r="J450" s="47"/>
      <x:c r="K450" s="47"/>
      <x:c r="L450" s="57" t="str">
        <x:f>IF(COUNTA(A450:K450)=0,"",IF(K450="CANCELLED","CANCELLED",IF(A450="","INVOICE ID REQUIRED",IF(B450="","PROJECT ID REQUIRED",IF(NOT(ISNUMBER(C450)),"INVALID INVOICE DATE",IF(NOT(AND(ISNUMBER(C450),C450&gt;=2,C450&lt;=2958465,C450=INT(C450))),"INVALID INVOICE DATE",IF(NOT(OR(D450="MX",D450="US")),"ENTITY REQUIRED",IF(NOT(OR(E450="Strategic Services",E450="Brands")),"UNIT REQUIRED",IF(F450="","BRAND / N/A REQUIRED",IF(NOT(OR(G450="USD",G450="MXN")),"CURRENCY REQUIRED",IF(NOT(ISNUMBER(H450)),"AMOUNT REQUIRED",IF(J450="","ERP SOURCE REQUIRED",IF(NOT(OR(K450="ISSUED",K450="CANCELLED")),"INVOICE STATUS REQUIRED",IF(COUNTIFS($A$2:$A$501,A450,$B$2:$B$501,B450,$D$2:$D$501,D450)&gt;1,"DUPLICATE INVOICE / PROJECT",IF(SUMPRODUCT(--(('ERP Snapshot'!$A$2:$A$101&amp;"")=(B450&amp;"")))=0,"PROJECT NOT FOUND",IF(SUMPRODUCT(--(('ERP Snapshot'!$A$2:$A$101&amp;"")=(B450&amp;"")))&gt;1,"DUPLICATE PROJECT ID",IF(OR(SUMPRODUCT(--(('ERP Snapshot'!$A$2:$A$101&amp;"")=(B450&amp;"")),--('ERP Snapshot'!$Q$2:$Q$101=E450),--('ERP Snapshot'!$R$2:$R$101=F450))&lt;&gt;1,SUMPRODUCT(--('Commercial Catalogs'!$A$2:$A$10=E450),--('Commercial Catalogs'!$B$2:$B$10=F450),--('Commercial Catalogs'!$C$2:$C$10="YES"),--('Commercial Catalogs'!$D$2:$D$10="IN SCOPE"))=0,AND(E450="Strategic Services",F450&lt;&gt;"N/A"),AND(E450="Brands",F450="N/A")),"PROJECT CLASSIFICATION MISMATCH",IF(AND(G450="MXN",NOT(AND(ISNUMBER(I450),Settings!$B$8="APPROVED",Settings!$B$9&lt;&gt;"",Settings!$B$10&lt;&gt;""))),"FX HOLD","VALID"))))))))))))))))))</x:f>
      </x:c>
      <x:c r="M450" s="57" t="str">
        <x:f>IF(ISNUMBER(C450),IF(AND(ISNUMBER(C450),C450&gt;=2,C450&lt;=2958465,C450=INT(C450)),YEAR(C450)&amp;"-"&amp;IF(MONTH(C450)&lt;10,"0","")&amp;MONTH(C450),""),"")</x:f>
      </x:c>
      <x:c r="N450" s="59" t="str">
        <x:f>IF(L450="VALID",IF(G450="USD",H450,I450),"")</x:f>
      </x:c>
      <x:c r="O450" s="57" t="n">
        <x:f>IF(L450="VALID",IF(COUNTIFS($B$2:B450,B450,$M$2:M450,M450,$L$2:L450,"VALID")=1,1,0),0)</x:f>
        <x:v>0</x:v>
      </x:c>
    </x:row>
    <x:row r="451">
      <x:c r="A451" s="47"/>
      <x:c r="B451" s="47"/>
      <x:c r="C451" s="69"/>
      <x:c r="D451" s="47"/>
      <x:c r="E451" s="47"/>
      <x:c r="F451" s="47"/>
      <x:c r="G451" s="47"/>
      <x:c r="H451" s="48"/>
      <x:c r="I451" s="48"/>
      <x:c r="J451" s="47"/>
      <x:c r="K451" s="47"/>
      <x:c r="L451" s="57" t="str">
        <x:f>IF(COUNTA(A451:K451)=0,"",IF(K451="CANCELLED","CANCELLED",IF(A451="","INVOICE ID REQUIRED",IF(B451="","PROJECT ID REQUIRED",IF(NOT(ISNUMBER(C451)),"INVALID INVOICE DATE",IF(NOT(AND(ISNUMBER(C451),C451&gt;=2,C451&lt;=2958465,C451=INT(C451))),"INVALID INVOICE DATE",IF(NOT(OR(D451="MX",D451="US")),"ENTITY REQUIRED",IF(NOT(OR(E451="Strategic Services",E451="Brands")),"UNIT REQUIRED",IF(F451="","BRAND / N/A REQUIRED",IF(NOT(OR(G451="USD",G451="MXN")),"CURRENCY REQUIRED",IF(NOT(ISNUMBER(H451)),"AMOUNT REQUIRED",IF(J451="","ERP SOURCE REQUIRED",IF(NOT(OR(K451="ISSUED",K451="CANCELLED")),"INVOICE STATUS REQUIRED",IF(COUNTIFS($A$2:$A$501,A451,$B$2:$B$501,B451,$D$2:$D$501,D451)&gt;1,"DUPLICATE INVOICE / PROJECT",IF(SUMPRODUCT(--(('ERP Snapshot'!$A$2:$A$101&amp;"")=(B451&amp;"")))=0,"PROJECT NOT FOUND",IF(SUMPRODUCT(--(('ERP Snapshot'!$A$2:$A$101&amp;"")=(B451&amp;"")))&gt;1,"DUPLICATE PROJECT ID",IF(OR(SUMPRODUCT(--(('ERP Snapshot'!$A$2:$A$101&amp;"")=(B451&amp;"")),--('ERP Snapshot'!$Q$2:$Q$101=E451),--('ERP Snapshot'!$R$2:$R$101=F451))&lt;&gt;1,SUMPRODUCT(--('Commercial Catalogs'!$A$2:$A$10=E451),--('Commercial Catalogs'!$B$2:$B$10=F451),--('Commercial Catalogs'!$C$2:$C$10="YES"),--('Commercial Catalogs'!$D$2:$D$10="IN SCOPE"))=0,AND(E451="Strategic Services",F451&lt;&gt;"N/A"),AND(E451="Brands",F451="N/A")),"PROJECT CLASSIFICATION MISMATCH",IF(AND(G451="MXN",NOT(AND(ISNUMBER(I451),Settings!$B$8="APPROVED",Settings!$B$9&lt;&gt;"",Settings!$B$10&lt;&gt;""))),"FX HOLD","VALID"))))))))))))))))))</x:f>
      </x:c>
      <x:c r="M451" s="57" t="str">
        <x:f>IF(ISNUMBER(C451),IF(AND(ISNUMBER(C451),C451&gt;=2,C451&lt;=2958465,C451=INT(C451)),YEAR(C451)&amp;"-"&amp;IF(MONTH(C451)&lt;10,"0","")&amp;MONTH(C451),""),"")</x:f>
      </x:c>
      <x:c r="N451" s="59" t="str">
        <x:f>IF(L451="VALID",IF(G451="USD",H451,I451),"")</x:f>
      </x:c>
      <x:c r="O451" s="57" t="n">
        <x:f>IF(L451="VALID",IF(COUNTIFS($B$2:B451,B451,$M$2:M451,M451,$L$2:L451,"VALID")=1,1,0),0)</x:f>
        <x:v>0</x:v>
      </x:c>
    </x:row>
    <x:row r="452">
      <x:c r="A452" s="47"/>
      <x:c r="B452" s="47"/>
      <x:c r="C452" s="69"/>
      <x:c r="D452" s="47"/>
      <x:c r="E452" s="47"/>
      <x:c r="F452" s="47"/>
      <x:c r="G452" s="47"/>
      <x:c r="H452" s="48"/>
      <x:c r="I452" s="48"/>
      <x:c r="J452" s="47"/>
      <x:c r="K452" s="47"/>
      <x:c r="L452" s="57" t="str">
        <x:f>IF(COUNTA(A452:K452)=0,"",IF(K452="CANCELLED","CANCELLED",IF(A452="","INVOICE ID REQUIRED",IF(B452="","PROJECT ID REQUIRED",IF(NOT(ISNUMBER(C452)),"INVALID INVOICE DATE",IF(NOT(AND(ISNUMBER(C452),C452&gt;=2,C452&lt;=2958465,C452=INT(C452))),"INVALID INVOICE DATE",IF(NOT(OR(D452="MX",D452="US")),"ENTITY REQUIRED",IF(NOT(OR(E452="Strategic Services",E452="Brands")),"UNIT REQUIRED",IF(F452="","BRAND / N/A REQUIRED",IF(NOT(OR(G452="USD",G452="MXN")),"CURRENCY REQUIRED",IF(NOT(ISNUMBER(H452)),"AMOUNT REQUIRED",IF(J452="","ERP SOURCE REQUIRED",IF(NOT(OR(K452="ISSUED",K452="CANCELLED")),"INVOICE STATUS REQUIRED",IF(COUNTIFS($A$2:$A$501,A452,$B$2:$B$501,B452,$D$2:$D$501,D452)&gt;1,"DUPLICATE INVOICE / PROJECT",IF(SUMPRODUCT(--(('ERP Snapshot'!$A$2:$A$101&amp;"")=(B452&amp;"")))=0,"PROJECT NOT FOUND",IF(SUMPRODUCT(--(('ERP Snapshot'!$A$2:$A$101&amp;"")=(B452&amp;"")))&gt;1,"DUPLICATE PROJECT ID",IF(OR(SUMPRODUCT(--(('ERP Snapshot'!$A$2:$A$101&amp;"")=(B452&amp;"")),--('ERP Snapshot'!$Q$2:$Q$101=E452),--('ERP Snapshot'!$R$2:$R$101=F452))&lt;&gt;1,SUMPRODUCT(--('Commercial Catalogs'!$A$2:$A$10=E452),--('Commercial Catalogs'!$B$2:$B$10=F452),--('Commercial Catalogs'!$C$2:$C$10="YES"),--('Commercial Catalogs'!$D$2:$D$10="IN SCOPE"))=0,AND(E452="Strategic Services",F452&lt;&gt;"N/A"),AND(E452="Brands",F452="N/A")),"PROJECT CLASSIFICATION MISMATCH",IF(AND(G452="MXN",NOT(AND(ISNUMBER(I452),Settings!$B$8="APPROVED",Settings!$B$9&lt;&gt;"",Settings!$B$10&lt;&gt;""))),"FX HOLD","VALID"))))))))))))))))))</x:f>
      </x:c>
      <x:c r="M452" s="57" t="str">
        <x:f>IF(ISNUMBER(C452),IF(AND(ISNUMBER(C452),C452&gt;=2,C452&lt;=2958465,C452=INT(C452)),YEAR(C452)&amp;"-"&amp;IF(MONTH(C452)&lt;10,"0","")&amp;MONTH(C452),""),"")</x:f>
      </x:c>
      <x:c r="N452" s="59" t="str">
        <x:f>IF(L452="VALID",IF(G452="USD",H452,I452),"")</x:f>
      </x:c>
      <x:c r="O452" s="57" t="n">
        <x:f>IF(L452="VALID",IF(COUNTIFS($B$2:B452,B452,$M$2:M452,M452,$L$2:L452,"VALID")=1,1,0),0)</x:f>
        <x:v>0</x:v>
      </x:c>
    </x:row>
    <x:row r="453">
      <x:c r="A453" s="47"/>
      <x:c r="B453" s="47"/>
      <x:c r="C453" s="69"/>
      <x:c r="D453" s="47"/>
      <x:c r="E453" s="47"/>
      <x:c r="F453" s="47"/>
      <x:c r="G453" s="47"/>
      <x:c r="H453" s="48"/>
      <x:c r="I453" s="48"/>
      <x:c r="J453" s="47"/>
      <x:c r="K453" s="47"/>
      <x:c r="L453" s="57" t="str">
        <x:f>IF(COUNTA(A453:K453)=0,"",IF(K453="CANCELLED","CANCELLED",IF(A453="","INVOICE ID REQUIRED",IF(B453="","PROJECT ID REQUIRED",IF(NOT(ISNUMBER(C453)),"INVALID INVOICE DATE",IF(NOT(AND(ISNUMBER(C453),C453&gt;=2,C453&lt;=2958465,C453=INT(C453))),"INVALID INVOICE DATE",IF(NOT(OR(D453="MX",D453="US")),"ENTITY REQUIRED",IF(NOT(OR(E453="Strategic Services",E453="Brands")),"UNIT REQUIRED",IF(F453="","BRAND / N/A REQUIRED",IF(NOT(OR(G453="USD",G453="MXN")),"CURRENCY REQUIRED",IF(NOT(ISNUMBER(H453)),"AMOUNT REQUIRED",IF(J453="","ERP SOURCE REQUIRED",IF(NOT(OR(K453="ISSUED",K453="CANCELLED")),"INVOICE STATUS REQUIRED",IF(COUNTIFS($A$2:$A$501,A453,$B$2:$B$501,B453,$D$2:$D$501,D453)&gt;1,"DUPLICATE INVOICE / PROJECT",IF(SUMPRODUCT(--(('ERP Snapshot'!$A$2:$A$101&amp;"")=(B453&amp;"")))=0,"PROJECT NOT FOUND",IF(SUMPRODUCT(--(('ERP Snapshot'!$A$2:$A$101&amp;"")=(B453&amp;"")))&gt;1,"DUPLICATE PROJECT ID",IF(OR(SUMPRODUCT(--(('ERP Snapshot'!$A$2:$A$101&amp;"")=(B453&amp;"")),--('ERP Snapshot'!$Q$2:$Q$101=E453),--('ERP Snapshot'!$R$2:$R$101=F453))&lt;&gt;1,SUMPRODUCT(--('Commercial Catalogs'!$A$2:$A$10=E453),--('Commercial Catalogs'!$B$2:$B$10=F453),--('Commercial Catalogs'!$C$2:$C$10="YES"),--('Commercial Catalogs'!$D$2:$D$10="IN SCOPE"))=0,AND(E453="Strategic Services",F453&lt;&gt;"N/A"),AND(E453="Brands",F453="N/A")),"PROJECT CLASSIFICATION MISMATCH",IF(AND(G453="MXN",NOT(AND(ISNUMBER(I453),Settings!$B$8="APPROVED",Settings!$B$9&lt;&gt;"",Settings!$B$10&lt;&gt;""))),"FX HOLD","VALID"))))))))))))))))))</x:f>
      </x:c>
      <x:c r="M453" s="57" t="str">
        <x:f>IF(ISNUMBER(C453),IF(AND(ISNUMBER(C453),C453&gt;=2,C453&lt;=2958465,C453=INT(C453)),YEAR(C453)&amp;"-"&amp;IF(MONTH(C453)&lt;10,"0","")&amp;MONTH(C453),""),"")</x:f>
      </x:c>
      <x:c r="N453" s="59" t="str">
        <x:f>IF(L453="VALID",IF(G453="USD",H453,I453),"")</x:f>
      </x:c>
      <x:c r="O453" s="57" t="n">
        <x:f>IF(L453="VALID",IF(COUNTIFS($B$2:B453,B453,$M$2:M453,M453,$L$2:L453,"VALID")=1,1,0),0)</x:f>
        <x:v>0</x:v>
      </x:c>
    </x:row>
    <x:row r="454">
      <x:c r="A454" s="47"/>
      <x:c r="B454" s="47"/>
      <x:c r="C454" s="69"/>
      <x:c r="D454" s="47"/>
      <x:c r="E454" s="47"/>
      <x:c r="F454" s="47"/>
      <x:c r="G454" s="47"/>
      <x:c r="H454" s="48"/>
      <x:c r="I454" s="48"/>
      <x:c r="J454" s="47"/>
      <x:c r="K454" s="47"/>
      <x:c r="L454" s="57" t="str">
        <x:f>IF(COUNTA(A454:K454)=0,"",IF(K454="CANCELLED","CANCELLED",IF(A454="","INVOICE ID REQUIRED",IF(B454="","PROJECT ID REQUIRED",IF(NOT(ISNUMBER(C454)),"INVALID INVOICE DATE",IF(NOT(AND(ISNUMBER(C454),C454&gt;=2,C454&lt;=2958465,C454=INT(C454))),"INVALID INVOICE DATE",IF(NOT(OR(D454="MX",D454="US")),"ENTITY REQUIRED",IF(NOT(OR(E454="Strategic Services",E454="Brands")),"UNIT REQUIRED",IF(F454="","BRAND / N/A REQUIRED",IF(NOT(OR(G454="USD",G454="MXN")),"CURRENCY REQUIRED",IF(NOT(ISNUMBER(H454)),"AMOUNT REQUIRED",IF(J454="","ERP SOURCE REQUIRED",IF(NOT(OR(K454="ISSUED",K454="CANCELLED")),"INVOICE STATUS REQUIRED",IF(COUNTIFS($A$2:$A$501,A454,$B$2:$B$501,B454,$D$2:$D$501,D454)&gt;1,"DUPLICATE INVOICE / PROJECT",IF(SUMPRODUCT(--(('ERP Snapshot'!$A$2:$A$101&amp;"")=(B454&amp;"")))=0,"PROJECT NOT FOUND",IF(SUMPRODUCT(--(('ERP Snapshot'!$A$2:$A$101&amp;"")=(B454&amp;"")))&gt;1,"DUPLICATE PROJECT ID",IF(OR(SUMPRODUCT(--(('ERP Snapshot'!$A$2:$A$101&amp;"")=(B454&amp;"")),--('ERP Snapshot'!$Q$2:$Q$101=E454),--('ERP Snapshot'!$R$2:$R$101=F454))&lt;&gt;1,SUMPRODUCT(--('Commercial Catalogs'!$A$2:$A$10=E454),--('Commercial Catalogs'!$B$2:$B$10=F454),--('Commercial Catalogs'!$C$2:$C$10="YES"),--('Commercial Catalogs'!$D$2:$D$10="IN SCOPE"))=0,AND(E454="Strategic Services",F454&lt;&gt;"N/A"),AND(E454="Brands",F454="N/A")),"PROJECT CLASSIFICATION MISMATCH",IF(AND(G454="MXN",NOT(AND(ISNUMBER(I454),Settings!$B$8="APPROVED",Settings!$B$9&lt;&gt;"",Settings!$B$10&lt;&gt;""))),"FX HOLD","VALID"))))))))))))))))))</x:f>
      </x:c>
      <x:c r="M454" s="57" t="str">
        <x:f>IF(ISNUMBER(C454),IF(AND(ISNUMBER(C454),C454&gt;=2,C454&lt;=2958465,C454=INT(C454)),YEAR(C454)&amp;"-"&amp;IF(MONTH(C454)&lt;10,"0","")&amp;MONTH(C454),""),"")</x:f>
      </x:c>
      <x:c r="N454" s="59" t="str">
        <x:f>IF(L454="VALID",IF(G454="USD",H454,I454),"")</x:f>
      </x:c>
      <x:c r="O454" s="57" t="n">
        <x:f>IF(L454="VALID",IF(COUNTIFS($B$2:B454,B454,$M$2:M454,M454,$L$2:L454,"VALID")=1,1,0),0)</x:f>
        <x:v>0</x:v>
      </x:c>
    </x:row>
    <x:row r="455">
      <x:c r="A455" s="47"/>
      <x:c r="B455" s="47"/>
      <x:c r="C455" s="69"/>
      <x:c r="D455" s="47"/>
      <x:c r="E455" s="47"/>
      <x:c r="F455" s="47"/>
      <x:c r="G455" s="47"/>
      <x:c r="H455" s="48"/>
      <x:c r="I455" s="48"/>
      <x:c r="J455" s="47"/>
      <x:c r="K455" s="47"/>
      <x:c r="L455" s="57" t="str">
        <x:f>IF(COUNTA(A455:K455)=0,"",IF(K455="CANCELLED","CANCELLED",IF(A455="","INVOICE ID REQUIRED",IF(B455="","PROJECT ID REQUIRED",IF(NOT(ISNUMBER(C455)),"INVALID INVOICE DATE",IF(NOT(AND(ISNUMBER(C455),C455&gt;=2,C455&lt;=2958465,C455=INT(C455))),"INVALID INVOICE DATE",IF(NOT(OR(D455="MX",D455="US")),"ENTITY REQUIRED",IF(NOT(OR(E455="Strategic Services",E455="Brands")),"UNIT REQUIRED",IF(F455="","BRAND / N/A REQUIRED",IF(NOT(OR(G455="USD",G455="MXN")),"CURRENCY REQUIRED",IF(NOT(ISNUMBER(H455)),"AMOUNT REQUIRED",IF(J455="","ERP SOURCE REQUIRED",IF(NOT(OR(K455="ISSUED",K455="CANCELLED")),"INVOICE STATUS REQUIRED",IF(COUNTIFS($A$2:$A$501,A455,$B$2:$B$501,B455,$D$2:$D$501,D455)&gt;1,"DUPLICATE INVOICE / PROJECT",IF(SUMPRODUCT(--(('ERP Snapshot'!$A$2:$A$101&amp;"")=(B455&amp;"")))=0,"PROJECT NOT FOUND",IF(SUMPRODUCT(--(('ERP Snapshot'!$A$2:$A$101&amp;"")=(B455&amp;"")))&gt;1,"DUPLICATE PROJECT ID",IF(OR(SUMPRODUCT(--(('ERP Snapshot'!$A$2:$A$101&amp;"")=(B455&amp;"")),--('ERP Snapshot'!$Q$2:$Q$101=E455),--('ERP Snapshot'!$R$2:$R$101=F455))&lt;&gt;1,SUMPRODUCT(--('Commercial Catalogs'!$A$2:$A$10=E455),--('Commercial Catalogs'!$B$2:$B$10=F455),--('Commercial Catalogs'!$C$2:$C$10="YES"),--('Commercial Catalogs'!$D$2:$D$10="IN SCOPE"))=0,AND(E455="Strategic Services",F455&lt;&gt;"N/A"),AND(E455="Brands",F455="N/A")),"PROJECT CLASSIFICATION MISMATCH",IF(AND(G455="MXN",NOT(AND(ISNUMBER(I455),Settings!$B$8="APPROVED",Settings!$B$9&lt;&gt;"",Settings!$B$10&lt;&gt;""))),"FX HOLD","VALID"))))))))))))))))))</x:f>
      </x:c>
      <x:c r="M455" s="57" t="str">
        <x:f>IF(ISNUMBER(C455),IF(AND(ISNUMBER(C455),C455&gt;=2,C455&lt;=2958465,C455=INT(C455)),YEAR(C455)&amp;"-"&amp;IF(MONTH(C455)&lt;10,"0","")&amp;MONTH(C455),""),"")</x:f>
      </x:c>
      <x:c r="N455" s="59" t="str">
        <x:f>IF(L455="VALID",IF(G455="USD",H455,I455),"")</x:f>
      </x:c>
      <x:c r="O455" s="57" t="n">
        <x:f>IF(L455="VALID",IF(COUNTIFS($B$2:B455,B455,$M$2:M455,M455,$L$2:L455,"VALID")=1,1,0),0)</x:f>
        <x:v>0</x:v>
      </x:c>
    </x:row>
    <x:row r="456">
      <x:c r="A456" s="47"/>
      <x:c r="B456" s="47"/>
      <x:c r="C456" s="69"/>
      <x:c r="D456" s="47"/>
      <x:c r="E456" s="47"/>
      <x:c r="F456" s="47"/>
      <x:c r="G456" s="47"/>
      <x:c r="H456" s="48"/>
      <x:c r="I456" s="48"/>
      <x:c r="J456" s="47"/>
      <x:c r="K456" s="47"/>
      <x:c r="L456" s="57" t="str">
        <x:f>IF(COUNTA(A456:K456)=0,"",IF(K456="CANCELLED","CANCELLED",IF(A456="","INVOICE ID REQUIRED",IF(B456="","PROJECT ID REQUIRED",IF(NOT(ISNUMBER(C456)),"INVALID INVOICE DATE",IF(NOT(AND(ISNUMBER(C456),C456&gt;=2,C456&lt;=2958465,C456=INT(C456))),"INVALID INVOICE DATE",IF(NOT(OR(D456="MX",D456="US")),"ENTITY REQUIRED",IF(NOT(OR(E456="Strategic Services",E456="Brands")),"UNIT REQUIRED",IF(F456="","BRAND / N/A REQUIRED",IF(NOT(OR(G456="USD",G456="MXN")),"CURRENCY REQUIRED",IF(NOT(ISNUMBER(H456)),"AMOUNT REQUIRED",IF(J456="","ERP SOURCE REQUIRED",IF(NOT(OR(K456="ISSUED",K456="CANCELLED")),"INVOICE STATUS REQUIRED",IF(COUNTIFS($A$2:$A$501,A456,$B$2:$B$501,B456,$D$2:$D$501,D456)&gt;1,"DUPLICATE INVOICE / PROJECT",IF(SUMPRODUCT(--(('ERP Snapshot'!$A$2:$A$101&amp;"")=(B456&amp;"")))=0,"PROJECT NOT FOUND",IF(SUMPRODUCT(--(('ERP Snapshot'!$A$2:$A$101&amp;"")=(B456&amp;"")))&gt;1,"DUPLICATE PROJECT ID",IF(OR(SUMPRODUCT(--(('ERP Snapshot'!$A$2:$A$101&amp;"")=(B456&amp;"")),--('ERP Snapshot'!$Q$2:$Q$101=E456),--('ERP Snapshot'!$R$2:$R$101=F456))&lt;&gt;1,SUMPRODUCT(--('Commercial Catalogs'!$A$2:$A$10=E456),--('Commercial Catalogs'!$B$2:$B$10=F456),--('Commercial Catalogs'!$C$2:$C$10="YES"),--('Commercial Catalogs'!$D$2:$D$10="IN SCOPE"))=0,AND(E456="Strategic Services",F456&lt;&gt;"N/A"),AND(E456="Brands",F456="N/A")),"PROJECT CLASSIFICATION MISMATCH",IF(AND(G456="MXN",NOT(AND(ISNUMBER(I456),Settings!$B$8="APPROVED",Settings!$B$9&lt;&gt;"",Settings!$B$10&lt;&gt;""))),"FX HOLD","VALID"))))))))))))))))))</x:f>
      </x:c>
      <x:c r="M456" s="57" t="str">
        <x:f>IF(ISNUMBER(C456),IF(AND(ISNUMBER(C456),C456&gt;=2,C456&lt;=2958465,C456=INT(C456)),YEAR(C456)&amp;"-"&amp;IF(MONTH(C456)&lt;10,"0","")&amp;MONTH(C456),""),"")</x:f>
      </x:c>
      <x:c r="N456" s="59" t="str">
        <x:f>IF(L456="VALID",IF(G456="USD",H456,I456),"")</x:f>
      </x:c>
      <x:c r="O456" s="57" t="n">
        <x:f>IF(L456="VALID",IF(COUNTIFS($B$2:B456,B456,$M$2:M456,M456,$L$2:L456,"VALID")=1,1,0),0)</x:f>
        <x:v>0</x:v>
      </x:c>
    </x:row>
    <x:row r="457">
      <x:c r="A457" s="47"/>
      <x:c r="B457" s="47"/>
      <x:c r="C457" s="69"/>
      <x:c r="D457" s="47"/>
      <x:c r="E457" s="47"/>
      <x:c r="F457" s="47"/>
      <x:c r="G457" s="47"/>
      <x:c r="H457" s="48"/>
      <x:c r="I457" s="48"/>
      <x:c r="J457" s="47"/>
      <x:c r="K457" s="47"/>
      <x:c r="L457" s="57" t="str">
        <x:f>IF(COUNTA(A457:K457)=0,"",IF(K457="CANCELLED","CANCELLED",IF(A457="","INVOICE ID REQUIRED",IF(B457="","PROJECT ID REQUIRED",IF(NOT(ISNUMBER(C457)),"INVALID INVOICE DATE",IF(NOT(AND(ISNUMBER(C457),C457&gt;=2,C457&lt;=2958465,C457=INT(C457))),"INVALID INVOICE DATE",IF(NOT(OR(D457="MX",D457="US")),"ENTITY REQUIRED",IF(NOT(OR(E457="Strategic Services",E457="Brands")),"UNIT REQUIRED",IF(F457="","BRAND / N/A REQUIRED",IF(NOT(OR(G457="USD",G457="MXN")),"CURRENCY REQUIRED",IF(NOT(ISNUMBER(H457)),"AMOUNT REQUIRED",IF(J457="","ERP SOURCE REQUIRED",IF(NOT(OR(K457="ISSUED",K457="CANCELLED")),"INVOICE STATUS REQUIRED",IF(COUNTIFS($A$2:$A$501,A457,$B$2:$B$501,B457,$D$2:$D$501,D457)&gt;1,"DUPLICATE INVOICE / PROJECT",IF(SUMPRODUCT(--(('ERP Snapshot'!$A$2:$A$101&amp;"")=(B457&amp;"")))=0,"PROJECT NOT FOUND",IF(SUMPRODUCT(--(('ERP Snapshot'!$A$2:$A$101&amp;"")=(B457&amp;"")))&gt;1,"DUPLICATE PROJECT ID",IF(OR(SUMPRODUCT(--(('ERP Snapshot'!$A$2:$A$101&amp;"")=(B457&amp;"")),--('ERP Snapshot'!$Q$2:$Q$101=E457),--('ERP Snapshot'!$R$2:$R$101=F457))&lt;&gt;1,SUMPRODUCT(--('Commercial Catalogs'!$A$2:$A$10=E457),--('Commercial Catalogs'!$B$2:$B$10=F457),--('Commercial Catalogs'!$C$2:$C$10="YES"),--('Commercial Catalogs'!$D$2:$D$10="IN SCOPE"))=0,AND(E457="Strategic Services",F457&lt;&gt;"N/A"),AND(E457="Brands",F457="N/A")),"PROJECT CLASSIFICATION MISMATCH",IF(AND(G457="MXN",NOT(AND(ISNUMBER(I457),Settings!$B$8="APPROVED",Settings!$B$9&lt;&gt;"",Settings!$B$10&lt;&gt;""))),"FX HOLD","VALID"))))))))))))))))))</x:f>
      </x:c>
      <x:c r="M457" s="57" t="str">
        <x:f>IF(ISNUMBER(C457),IF(AND(ISNUMBER(C457),C457&gt;=2,C457&lt;=2958465,C457=INT(C457)),YEAR(C457)&amp;"-"&amp;IF(MONTH(C457)&lt;10,"0","")&amp;MONTH(C457),""),"")</x:f>
      </x:c>
      <x:c r="N457" s="59" t="str">
        <x:f>IF(L457="VALID",IF(G457="USD",H457,I457),"")</x:f>
      </x:c>
      <x:c r="O457" s="57" t="n">
        <x:f>IF(L457="VALID",IF(COUNTIFS($B$2:B457,B457,$M$2:M457,M457,$L$2:L457,"VALID")=1,1,0),0)</x:f>
        <x:v>0</x:v>
      </x:c>
    </x:row>
    <x:row r="458">
      <x:c r="A458" s="47"/>
      <x:c r="B458" s="47"/>
      <x:c r="C458" s="69"/>
      <x:c r="D458" s="47"/>
      <x:c r="E458" s="47"/>
      <x:c r="F458" s="47"/>
      <x:c r="G458" s="47"/>
      <x:c r="H458" s="48"/>
      <x:c r="I458" s="48"/>
      <x:c r="J458" s="47"/>
      <x:c r="K458" s="47"/>
      <x:c r="L458" s="57" t="str">
        <x:f>IF(COUNTA(A458:K458)=0,"",IF(K458="CANCELLED","CANCELLED",IF(A458="","INVOICE ID REQUIRED",IF(B458="","PROJECT ID REQUIRED",IF(NOT(ISNUMBER(C458)),"INVALID INVOICE DATE",IF(NOT(AND(ISNUMBER(C458),C458&gt;=2,C458&lt;=2958465,C458=INT(C458))),"INVALID INVOICE DATE",IF(NOT(OR(D458="MX",D458="US")),"ENTITY REQUIRED",IF(NOT(OR(E458="Strategic Services",E458="Brands")),"UNIT REQUIRED",IF(F458="","BRAND / N/A REQUIRED",IF(NOT(OR(G458="USD",G458="MXN")),"CURRENCY REQUIRED",IF(NOT(ISNUMBER(H458)),"AMOUNT REQUIRED",IF(J458="","ERP SOURCE REQUIRED",IF(NOT(OR(K458="ISSUED",K458="CANCELLED")),"INVOICE STATUS REQUIRED",IF(COUNTIFS($A$2:$A$501,A458,$B$2:$B$501,B458,$D$2:$D$501,D458)&gt;1,"DUPLICATE INVOICE / PROJECT",IF(SUMPRODUCT(--(('ERP Snapshot'!$A$2:$A$101&amp;"")=(B458&amp;"")))=0,"PROJECT NOT FOUND",IF(SUMPRODUCT(--(('ERP Snapshot'!$A$2:$A$101&amp;"")=(B458&amp;"")))&gt;1,"DUPLICATE PROJECT ID",IF(OR(SUMPRODUCT(--(('ERP Snapshot'!$A$2:$A$101&amp;"")=(B458&amp;"")),--('ERP Snapshot'!$Q$2:$Q$101=E458),--('ERP Snapshot'!$R$2:$R$101=F458))&lt;&gt;1,SUMPRODUCT(--('Commercial Catalogs'!$A$2:$A$10=E458),--('Commercial Catalogs'!$B$2:$B$10=F458),--('Commercial Catalogs'!$C$2:$C$10="YES"),--('Commercial Catalogs'!$D$2:$D$10="IN SCOPE"))=0,AND(E458="Strategic Services",F458&lt;&gt;"N/A"),AND(E458="Brands",F458="N/A")),"PROJECT CLASSIFICATION MISMATCH",IF(AND(G458="MXN",NOT(AND(ISNUMBER(I458),Settings!$B$8="APPROVED",Settings!$B$9&lt;&gt;"",Settings!$B$10&lt;&gt;""))),"FX HOLD","VALID"))))))))))))))))))</x:f>
      </x:c>
      <x:c r="M458" s="57" t="str">
        <x:f>IF(ISNUMBER(C458),IF(AND(ISNUMBER(C458),C458&gt;=2,C458&lt;=2958465,C458=INT(C458)),YEAR(C458)&amp;"-"&amp;IF(MONTH(C458)&lt;10,"0","")&amp;MONTH(C458),""),"")</x:f>
      </x:c>
      <x:c r="N458" s="59" t="str">
        <x:f>IF(L458="VALID",IF(G458="USD",H458,I458),"")</x:f>
      </x:c>
      <x:c r="O458" s="57" t="n">
        <x:f>IF(L458="VALID",IF(COUNTIFS($B$2:B458,B458,$M$2:M458,M458,$L$2:L458,"VALID")=1,1,0),0)</x:f>
        <x:v>0</x:v>
      </x:c>
    </x:row>
    <x:row r="459">
      <x:c r="A459" s="47"/>
      <x:c r="B459" s="47"/>
      <x:c r="C459" s="69"/>
      <x:c r="D459" s="47"/>
      <x:c r="E459" s="47"/>
      <x:c r="F459" s="47"/>
      <x:c r="G459" s="47"/>
      <x:c r="H459" s="48"/>
      <x:c r="I459" s="48"/>
      <x:c r="J459" s="47"/>
      <x:c r="K459" s="47"/>
      <x:c r="L459" s="57" t="str">
        <x:f>IF(COUNTA(A459:K459)=0,"",IF(K459="CANCELLED","CANCELLED",IF(A459="","INVOICE ID REQUIRED",IF(B459="","PROJECT ID REQUIRED",IF(NOT(ISNUMBER(C459)),"INVALID INVOICE DATE",IF(NOT(AND(ISNUMBER(C459),C459&gt;=2,C459&lt;=2958465,C459=INT(C459))),"INVALID INVOICE DATE",IF(NOT(OR(D459="MX",D459="US")),"ENTITY REQUIRED",IF(NOT(OR(E459="Strategic Services",E459="Brands")),"UNIT REQUIRED",IF(F459="","BRAND / N/A REQUIRED",IF(NOT(OR(G459="USD",G459="MXN")),"CURRENCY REQUIRED",IF(NOT(ISNUMBER(H459)),"AMOUNT REQUIRED",IF(J459="","ERP SOURCE REQUIRED",IF(NOT(OR(K459="ISSUED",K459="CANCELLED")),"INVOICE STATUS REQUIRED",IF(COUNTIFS($A$2:$A$501,A459,$B$2:$B$501,B459,$D$2:$D$501,D459)&gt;1,"DUPLICATE INVOICE / PROJECT",IF(SUMPRODUCT(--(('ERP Snapshot'!$A$2:$A$101&amp;"")=(B459&amp;"")))=0,"PROJECT NOT FOUND",IF(SUMPRODUCT(--(('ERP Snapshot'!$A$2:$A$101&amp;"")=(B459&amp;"")))&gt;1,"DUPLICATE PROJECT ID",IF(OR(SUMPRODUCT(--(('ERP Snapshot'!$A$2:$A$101&amp;"")=(B459&amp;"")),--('ERP Snapshot'!$Q$2:$Q$101=E459),--('ERP Snapshot'!$R$2:$R$101=F459))&lt;&gt;1,SUMPRODUCT(--('Commercial Catalogs'!$A$2:$A$10=E459),--('Commercial Catalogs'!$B$2:$B$10=F459),--('Commercial Catalogs'!$C$2:$C$10="YES"),--('Commercial Catalogs'!$D$2:$D$10="IN SCOPE"))=0,AND(E459="Strategic Services",F459&lt;&gt;"N/A"),AND(E459="Brands",F459="N/A")),"PROJECT CLASSIFICATION MISMATCH",IF(AND(G459="MXN",NOT(AND(ISNUMBER(I459),Settings!$B$8="APPROVED",Settings!$B$9&lt;&gt;"",Settings!$B$10&lt;&gt;""))),"FX HOLD","VALID"))))))))))))))))))</x:f>
      </x:c>
      <x:c r="M459" s="57" t="str">
        <x:f>IF(ISNUMBER(C459),IF(AND(ISNUMBER(C459),C459&gt;=2,C459&lt;=2958465,C459=INT(C459)),YEAR(C459)&amp;"-"&amp;IF(MONTH(C459)&lt;10,"0","")&amp;MONTH(C459),""),"")</x:f>
      </x:c>
      <x:c r="N459" s="59" t="str">
        <x:f>IF(L459="VALID",IF(G459="USD",H459,I459),"")</x:f>
      </x:c>
      <x:c r="O459" s="57" t="n">
        <x:f>IF(L459="VALID",IF(COUNTIFS($B$2:B459,B459,$M$2:M459,M459,$L$2:L459,"VALID")=1,1,0),0)</x:f>
        <x:v>0</x:v>
      </x:c>
    </x:row>
    <x:row r="460">
      <x:c r="A460" s="47"/>
      <x:c r="B460" s="47"/>
      <x:c r="C460" s="69"/>
      <x:c r="D460" s="47"/>
      <x:c r="E460" s="47"/>
      <x:c r="F460" s="47"/>
      <x:c r="G460" s="47"/>
      <x:c r="H460" s="48"/>
      <x:c r="I460" s="48"/>
      <x:c r="J460" s="47"/>
      <x:c r="K460" s="47"/>
      <x:c r="L460" s="57" t="str">
        <x:f>IF(COUNTA(A460:K460)=0,"",IF(K460="CANCELLED","CANCELLED",IF(A460="","INVOICE ID REQUIRED",IF(B460="","PROJECT ID REQUIRED",IF(NOT(ISNUMBER(C460)),"INVALID INVOICE DATE",IF(NOT(AND(ISNUMBER(C460),C460&gt;=2,C460&lt;=2958465,C460=INT(C460))),"INVALID INVOICE DATE",IF(NOT(OR(D460="MX",D460="US")),"ENTITY REQUIRED",IF(NOT(OR(E460="Strategic Services",E460="Brands")),"UNIT REQUIRED",IF(F460="","BRAND / N/A REQUIRED",IF(NOT(OR(G460="USD",G460="MXN")),"CURRENCY REQUIRED",IF(NOT(ISNUMBER(H460)),"AMOUNT REQUIRED",IF(J460="","ERP SOURCE REQUIRED",IF(NOT(OR(K460="ISSUED",K460="CANCELLED")),"INVOICE STATUS REQUIRED",IF(COUNTIFS($A$2:$A$501,A460,$B$2:$B$501,B460,$D$2:$D$501,D460)&gt;1,"DUPLICATE INVOICE / PROJECT",IF(SUMPRODUCT(--(('ERP Snapshot'!$A$2:$A$101&amp;"")=(B460&amp;"")))=0,"PROJECT NOT FOUND",IF(SUMPRODUCT(--(('ERP Snapshot'!$A$2:$A$101&amp;"")=(B460&amp;"")))&gt;1,"DUPLICATE PROJECT ID",IF(OR(SUMPRODUCT(--(('ERP Snapshot'!$A$2:$A$101&amp;"")=(B460&amp;"")),--('ERP Snapshot'!$Q$2:$Q$101=E460),--('ERP Snapshot'!$R$2:$R$101=F460))&lt;&gt;1,SUMPRODUCT(--('Commercial Catalogs'!$A$2:$A$10=E460),--('Commercial Catalogs'!$B$2:$B$10=F460),--('Commercial Catalogs'!$C$2:$C$10="YES"),--('Commercial Catalogs'!$D$2:$D$10="IN SCOPE"))=0,AND(E460="Strategic Services",F460&lt;&gt;"N/A"),AND(E460="Brands",F460="N/A")),"PROJECT CLASSIFICATION MISMATCH",IF(AND(G460="MXN",NOT(AND(ISNUMBER(I460),Settings!$B$8="APPROVED",Settings!$B$9&lt;&gt;"",Settings!$B$10&lt;&gt;""))),"FX HOLD","VALID"))))))))))))))))))</x:f>
      </x:c>
      <x:c r="M460" s="57" t="str">
        <x:f>IF(ISNUMBER(C460),IF(AND(ISNUMBER(C460),C460&gt;=2,C460&lt;=2958465,C460=INT(C460)),YEAR(C460)&amp;"-"&amp;IF(MONTH(C460)&lt;10,"0","")&amp;MONTH(C460),""),"")</x:f>
      </x:c>
      <x:c r="N460" s="59" t="str">
        <x:f>IF(L460="VALID",IF(G460="USD",H460,I460),"")</x:f>
      </x:c>
      <x:c r="O460" s="57" t="n">
        <x:f>IF(L460="VALID",IF(COUNTIFS($B$2:B460,B460,$M$2:M460,M460,$L$2:L460,"VALID")=1,1,0),0)</x:f>
        <x:v>0</x:v>
      </x:c>
    </x:row>
    <x:row r="461">
      <x:c r="A461" s="47"/>
      <x:c r="B461" s="47"/>
      <x:c r="C461" s="69"/>
      <x:c r="D461" s="47"/>
      <x:c r="E461" s="47"/>
      <x:c r="F461" s="47"/>
      <x:c r="G461" s="47"/>
      <x:c r="H461" s="48"/>
      <x:c r="I461" s="48"/>
      <x:c r="J461" s="47"/>
      <x:c r="K461" s="47"/>
      <x:c r="L461" s="57" t="str">
        <x:f>IF(COUNTA(A461:K461)=0,"",IF(K461="CANCELLED","CANCELLED",IF(A461="","INVOICE ID REQUIRED",IF(B461="","PROJECT ID REQUIRED",IF(NOT(ISNUMBER(C461)),"INVALID INVOICE DATE",IF(NOT(AND(ISNUMBER(C461),C461&gt;=2,C461&lt;=2958465,C461=INT(C461))),"INVALID INVOICE DATE",IF(NOT(OR(D461="MX",D461="US")),"ENTITY REQUIRED",IF(NOT(OR(E461="Strategic Services",E461="Brands")),"UNIT REQUIRED",IF(F461="","BRAND / N/A REQUIRED",IF(NOT(OR(G461="USD",G461="MXN")),"CURRENCY REQUIRED",IF(NOT(ISNUMBER(H461)),"AMOUNT REQUIRED",IF(J461="","ERP SOURCE REQUIRED",IF(NOT(OR(K461="ISSUED",K461="CANCELLED")),"INVOICE STATUS REQUIRED",IF(COUNTIFS($A$2:$A$501,A461,$B$2:$B$501,B461,$D$2:$D$501,D461)&gt;1,"DUPLICATE INVOICE / PROJECT",IF(SUMPRODUCT(--(('ERP Snapshot'!$A$2:$A$101&amp;"")=(B461&amp;"")))=0,"PROJECT NOT FOUND",IF(SUMPRODUCT(--(('ERP Snapshot'!$A$2:$A$101&amp;"")=(B461&amp;"")))&gt;1,"DUPLICATE PROJECT ID",IF(OR(SUMPRODUCT(--(('ERP Snapshot'!$A$2:$A$101&amp;"")=(B461&amp;"")),--('ERP Snapshot'!$Q$2:$Q$101=E461),--('ERP Snapshot'!$R$2:$R$101=F461))&lt;&gt;1,SUMPRODUCT(--('Commercial Catalogs'!$A$2:$A$10=E461),--('Commercial Catalogs'!$B$2:$B$10=F461),--('Commercial Catalogs'!$C$2:$C$10="YES"),--('Commercial Catalogs'!$D$2:$D$10="IN SCOPE"))=0,AND(E461="Strategic Services",F461&lt;&gt;"N/A"),AND(E461="Brands",F461="N/A")),"PROJECT CLASSIFICATION MISMATCH",IF(AND(G461="MXN",NOT(AND(ISNUMBER(I461),Settings!$B$8="APPROVED",Settings!$B$9&lt;&gt;"",Settings!$B$10&lt;&gt;""))),"FX HOLD","VALID"))))))))))))))))))</x:f>
      </x:c>
      <x:c r="M461" s="57" t="str">
        <x:f>IF(ISNUMBER(C461),IF(AND(ISNUMBER(C461),C461&gt;=2,C461&lt;=2958465,C461=INT(C461)),YEAR(C461)&amp;"-"&amp;IF(MONTH(C461)&lt;10,"0","")&amp;MONTH(C461),""),"")</x:f>
      </x:c>
      <x:c r="N461" s="59" t="str">
        <x:f>IF(L461="VALID",IF(G461="USD",H461,I461),"")</x:f>
      </x:c>
      <x:c r="O461" s="57" t="n">
        <x:f>IF(L461="VALID",IF(COUNTIFS($B$2:B461,B461,$M$2:M461,M461,$L$2:L461,"VALID")=1,1,0),0)</x:f>
        <x:v>0</x:v>
      </x:c>
    </x:row>
    <x:row r="462">
      <x:c r="A462" s="47"/>
      <x:c r="B462" s="47"/>
      <x:c r="C462" s="69"/>
      <x:c r="D462" s="47"/>
      <x:c r="E462" s="47"/>
      <x:c r="F462" s="47"/>
      <x:c r="G462" s="47"/>
      <x:c r="H462" s="48"/>
      <x:c r="I462" s="48"/>
      <x:c r="J462" s="47"/>
      <x:c r="K462" s="47"/>
      <x:c r="L462" s="57" t="str">
        <x:f>IF(COUNTA(A462:K462)=0,"",IF(K462="CANCELLED","CANCELLED",IF(A462="","INVOICE ID REQUIRED",IF(B462="","PROJECT ID REQUIRED",IF(NOT(ISNUMBER(C462)),"INVALID INVOICE DATE",IF(NOT(AND(ISNUMBER(C462),C462&gt;=2,C462&lt;=2958465,C462=INT(C462))),"INVALID INVOICE DATE",IF(NOT(OR(D462="MX",D462="US")),"ENTITY REQUIRED",IF(NOT(OR(E462="Strategic Services",E462="Brands")),"UNIT REQUIRED",IF(F462="","BRAND / N/A REQUIRED",IF(NOT(OR(G462="USD",G462="MXN")),"CURRENCY REQUIRED",IF(NOT(ISNUMBER(H462)),"AMOUNT REQUIRED",IF(J462="","ERP SOURCE REQUIRED",IF(NOT(OR(K462="ISSUED",K462="CANCELLED")),"INVOICE STATUS REQUIRED",IF(COUNTIFS($A$2:$A$501,A462,$B$2:$B$501,B462,$D$2:$D$501,D462)&gt;1,"DUPLICATE INVOICE / PROJECT",IF(SUMPRODUCT(--(('ERP Snapshot'!$A$2:$A$101&amp;"")=(B462&amp;"")))=0,"PROJECT NOT FOUND",IF(SUMPRODUCT(--(('ERP Snapshot'!$A$2:$A$101&amp;"")=(B462&amp;"")))&gt;1,"DUPLICATE PROJECT ID",IF(OR(SUMPRODUCT(--(('ERP Snapshot'!$A$2:$A$101&amp;"")=(B462&amp;"")),--('ERP Snapshot'!$Q$2:$Q$101=E462),--('ERP Snapshot'!$R$2:$R$101=F462))&lt;&gt;1,SUMPRODUCT(--('Commercial Catalogs'!$A$2:$A$10=E462),--('Commercial Catalogs'!$B$2:$B$10=F462),--('Commercial Catalogs'!$C$2:$C$10="YES"),--('Commercial Catalogs'!$D$2:$D$10="IN SCOPE"))=0,AND(E462="Strategic Services",F462&lt;&gt;"N/A"),AND(E462="Brands",F462="N/A")),"PROJECT CLASSIFICATION MISMATCH",IF(AND(G462="MXN",NOT(AND(ISNUMBER(I462),Settings!$B$8="APPROVED",Settings!$B$9&lt;&gt;"",Settings!$B$10&lt;&gt;""))),"FX HOLD","VALID"))))))))))))))))))</x:f>
      </x:c>
      <x:c r="M462" s="57" t="str">
        <x:f>IF(ISNUMBER(C462),IF(AND(ISNUMBER(C462),C462&gt;=2,C462&lt;=2958465,C462=INT(C462)),YEAR(C462)&amp;"-"&amp;IF(MONTH(C462)&lt;10,"0","")&amp;MONTH(C462),""),"")</x:f>
      </x:c>
      <x:c r="N462" s="59" t="str">
        <x:f>IF(L462="VALID",IF(G462="USD",H462,I462),"")</x:f>
      </x:c>
      <x:c r="O462" s="57" t="n">
        <x:f>IF(L462="VALID",IF(COUNTIFS($B$2:B462,B462,$M$2:M462,M462,$L$2:L462,"VALID")=1,1,0),0)</x:f>
        <x:v>0</x:v>
      </x:c>
    </x:row>
    <x:row r="463">
      <x:c r="A463" s="47"/>
      <x:c r="B463" s="47"/>
      <x:c r="C463" s="69"/>
      <x:c r="D463" s="47"/>
      <x:c r="E463" s="47"/>
      <x:c r="F463" s="47"/>
      <x:c r="G463" s="47"/>
      <x:c r="H463" s="48"/>
      <x:c r="I463" s="48"/>
      <x:c r="J463" s="47"/>
      <x:c r="K463" s="47"/>
      <x:c r="L463" s="57" t="str">
        <x:f>IF(COUNTA(A463:K463)=0,"",IF(K463="CANCELLED","CANCELLED",IF(A463="","INVOICE ID REQUIRED",IF(B463="","PROJECT ID REQUIRED",IF(NOT(ISNUMBER(C463)),"INVALID INVOICE DATE",IF(NOT(AND(ISNUMBER(C463),C463&gt;=2,C463&lt;=2958465,C463=INT(C463))),"INVALID INVOICE DATE",IF(NOT(OR(D463="MX",D463="US")),"ENTITY REQUIRED",IF(NOT(OR(E463="Strategic Services",E463="Brands")),"UNIT REQUIRED",IF(F463="","BRAND / N/A REQUIRED",IF(NOT(OR(G463="USD",G463="MXN")),"CURRENCY REQUIRED",IF(NOT(ISNUMBER(H463)),"AMOUNT REQUIRED",IF(J463="","ERP SOURCE REQUIRED",IF(NOT(OR(K463="ISSUED",K463="CANCELLED")),"INVOICE STATUS REQUIRED",IF(COUNTIFS($A$2:$A$501,A463,$B$2:$B$501,B463,$D$2:$D$501,D463)&gt;1,"DUPLICATE INVOICE / PROJECT",IF(SUMPRODUCT(--(('ERP Snapshot'!$A$2:$A$101&amp;"")=(B463&amp;"")))=0,"PROJECT NOT FOUND",IF(SUMPRODUCT(--(('ERP Snapshot'!$A$2:$A$101&amp;"")=(B463&amp;"")))&gt;1,"DUPLICATE PROJECT ID",IF(OR(SUMPRODUCT(--(('ERP Snapshot'!$A$2:$A$101&amp;"")=(B463&amp;"")),--('ERP Snapshot'!$Q$2:$Q$101=E463),--('ERP Snapshot'!$R$2:$R$101=F463))&lt;&gt;1,SUMPRODUCT(--('Commercial Catalogs'!$A$2:$A$10=E463),--('Commercial Catalogs'!$B$2:$B$10=F463),--('Commercial Catalogs'!$C$2:$C$10="YES"),--('Commercial Catalogs'!$D$2:$D$10="IN SCOPE"))=0,AND(E463="Strategic Services",F463&lt;&gt;"N/A"),AND(E463="Brands",F463="N/A")),"PROJECT CLASSIFICATION MISMATCH",IF(AND(G463="MXN",NOT(AND(ISNUMBER(I463),Settings!$B$8="APPROVED",Settings!$B$9&lt;&gt;"",Settings!$B$10&lt;&gt;""))),"FX HOLD","VALID"))))))))))))))))))</x:f>
      </x:c>
      <x:c r="M463" s="57" t="str">
        <x:f>IF(ISNUMBER(C463),IF(AND(ISNUMBER(C463),C463&gt;=2,C463&lt;=2958465,C463=INT(C463)),YEAR(C463)&amp;"-"&amp;IF(MONTH(C463)&lt;10,"0","")&amp;MONTH(C463),""),"")</x:f>
      </x:c>
      <x:c r="N463" s="59" t="str">
        <x:f>IF(L463="VALID",IF(G463="USD",H463,I463),"")</x:f>
      </x:c>
      <x:c r="O463" s="57" t="n">
        <x:f>IF(L463="VALID",IF(COUNTIFS($B$2:B463,B463,$M$2:M463,M463,$L$2:L463,"VALID")=1,1,0),0)</x:f>
        <x:v>0</x:v>
      </x:c>
    </x:row>
    <x:row r="464">
      <x:c r="A464" s="47"/>
      <x:c r="B464" s="47"/>
      <x:c r="C464" s="69"/>
      <x:c r="D464" s="47"/>
      <x:c r="E464" s="47"/>
      <x:c r="F464" s="47"/>
      <x:c r="G464" s="47"/>
      <x:c r="H464" s="48"/>
      <x:c r="I464" s="48"/>
      <x:c r="J464" s="47"/>
      <x:c r="K464" s="47"/>
      <x:c r="L464" s="57" t="str">
        <x:f>IF(COUNTA(A464:K464)=0,"",IF(K464="CANCELLED","CANCELLED",IF(A464="","INVOICE ID REQUIRED",IF(B464="","PROJECT ID REQUIRED",IF(NOT(ISNUMBER(C464)),"INVALID INVOICE DATE",IF(NOT(AND(ISNUMBER(C464),C464&gt;=2,C464&lt;=2958465,C464=INT(C464))),"INVALID INVOICE DATE",IF(NOT(OR(D464="MX",D464="US")),"ENTITY REQUIRED",IF(NOT(OR(E464="Strategic Services",E464="Brands")),"UNIT REQUIRED",IF(F464="","BRAND / N/A REQUIRED",IF(NOT(OR(G464="USD",G464="MXN")),"CURRENCY REQUIRED",IF(NOT(ISNUMBER(H464)),"AMOUNT REQUIRED",IF(J464="","ERP SOURCE REQUIRED",IF(NOT(OR(K464="ISSUED",K464="CANCELLED")),"INVOICE STATUS REQUIRED",IF(COUNTIFS($A$2:$A$501,A464,$B$2:$B$501,B464,$D$2:$D$501,D464)&gt;1,"DUPLICATE INVOICE / PROJECT",IF(SUMPRODUCT(--(('ERP Snapshot'!$A$2:$A$101&amp;"")=(B464&amp;"")))=0,"PROJECT NOT FOUND",IF(SUMPRODUCT(--(('ERP Snapshot'!$A$2:$A$101&amp;"")=(B464&amp;"")))&gt;1,"DUPLICATE PROJECT ID",IF(OR(SUMPRODUCT(--(('ERP Snapshot'!$A$2:$A$101&amp;"")=(B464&amp;"")),--('ERP Snapshot'!$Q$2:$Q$101=E464),--('ERP Snapshot'!$R$2:$R$101=F464))&lt;&gt;1,SUMPRODUCT(--('Commercial Catalogs'!$A$2:$A$10=E464),--('Commercial Catalogs'!$B$2:$B$10=F464),--('Commercial Catalogs'!$C$2:$C$10="YES"),--('Commercial Catalogs'!$D$2:$D$10="IN SCOPE"))=0,AND(E464="Strategic Services",F464&lt;&gt;"N/A"),AND(E464="Brands",F464="N/A")),"PROJECT CLASSIFICATION MISMATCH",IF(AND(G464="MXN",NOT(AND(ISNUMBER(I464),Settings!$B$8="APPROVED",Settings!$B$9&lt;&gt;"",Settings!$B$10&lt;&gt;""))),"FX HOLD","VALID"))))))))))))))))))</x:f>
      </x:c>
      <x:c r="M464" s="57" t="str">
        <x:f>IF(ISNUMBER(C464),IF(AND(ISNUMBER(C464),C464&gt;=2,C464&lt;=2958465,C464=INT(C464)),YEAR(C464)&amp;"-"&amp;IF(MONTH(C464)&lt;10,"0","")&amp;MONTH(C464),""),"")</x:f>
      </x:c>
      <x:c r="N464" s="59" t="str">
        <x:f>IF(L464="VALID",IF(G464="USD",H464,I464),"")</x:f>
      </x:c>
      <x:c r="O464" s="57" t="n">
        <x:f>IF(L464="VALID",IF(COUNTIFS($B$2:B464,B464,$M$2:M464,M464,$L$2:L464,"VALID")=1,1,0),0)</x:f>
        <x:v>0</x:v>
      </x:c>
    </x:row>
    <x:row r="465">
      <x:c r="A465" s="47"/>
      <x:c r="B465" s="47"/>
      <x:c r="C465" s="69"/>
      <x:c r="D465" s="47"/>
      <x:c r="E465" s="47"/>
      <x:c r="F465" s="47"/>
      <x:c r="G465" s="47"/>
      <x:c r="H465" s="48"/>
      <x:c r="I465" s="48"/>
      <x:c r="J465" s="47"/>
      <x:c r="K465" s="47"/>
      <x:c r="L465" s="57" t="str">
        <x:f>IF(COUNTA(A465:K465)=0,"",IF(K465="CANCELLED","CANCELLED",IF(A465="","INVOICE ID REQUIRED",IF(B465="","PROJECT ID REQUIRED",IF(NOT(ISNUMBER(C465)),"INVALID INVOICE DATE",IF(NOT(AND(ISNUMBER(C465),C465&gt;=2,C465&lt;=2958465,C465=INT(C465))),"INVALID INVOICE DATE",IF(NOT(OR(D465="MX",D465="US")),"ENTITY REQUIRED",IF(NOT(OR(E465="Strategic Services",E465="Brands")),"UNIT REQUIRED",IF(F465="","BRAND / N/A REQUIRED",IF(NOT(OR(G465="USD",G465="MXN")),"CURRENCY REQUIRED",IF(NOT(ISNUMBER(H465)),"AMOUNT REQUIRED",IF(J465="","ERP SOURCE REQUIRED",IF(NOT(OR(K465="ISSUED",K465="CANCELLED")),"INVOICE STATUS REQUIRED",IF(COUNTIFS($A$2:$A$501,A465,$B$2:$B$501,B465,$D$2:$D$501,D465)&gt;1,"DUPLICATE INVOICE / PROJECT",IF(SUMPRODUCT(--(('ERP Snapshot'!$A$2:$A$101&amp;"")=(B465&amp;"")))=0,"PROJECT NOT FOUND",IF(SUMPRODUCT(--(('ERP Snapshot'!$A$2:$A$101&amp;"")=(B465&amp;"")))&gt;1,"DUPLICATE PROJECT ID",IF(OR(SUMPRODUCT(--(('ERP Snapshot'!$A$2:$A$101&amp;"")=(B465&amp;"")),--('ERP Snapshot'!$Q$2:$Q$101=E465),--('ERP Snapshot'!$R$2:$R$101=F465))&lt;&gt;1,SUMPRODUCT(--('Commercial Catalogs'!$A$2:$A$10=E465),--('Commercial Catalogs'!$B$2:$B$10=F465),--('Commercial Catalogs'!$C$2:$C$10="YES"),--('Commercial Catalogs'!$D$2:$D$10="IN SCOPE"))=0,AND(E465="Strategic Services",F465&lt;&gt;"N/A"),AND(E465="Brands",F465="N/A")),"PROJECT CLASSIFICATION MISMATCH",IF(AND(G465="MXN",NOT(AND(ISNUMBER(I465),Settings!$B$8="APPROVED",Settings!$B$9&lt;&gt;"",Settings!$B$10&lt;&gt;""))),"FX HOLD","VALID"))))))))))))))))))</x:f>
      </x:c>
      <x:c r="M465" s="57" t="str">
        <x:f>IF(ISNUMBER(C465),IF(AND(ISNUMBER(C465),C465&gt;=2,C465&lt;=2958465,C465=INT(C465)),YEAR(C465)&amp;"-"&amp;IF(MONTH(C465)&lt;10,"0","")&amp;MONTH(C465),""),"")</x:f>
      </x:c>
      <x:c r="N465" s="59" t="str">
        <x:f>IF(L465="VALID",IF(G465="USD",H465,I465),"")</x:f>
      </x:c>
      <x:c r="O465" s="57" t="n">
        <x:f>IF(L465="VALID",IF(COUNTIFS($B$2:B465,B465,$M$2:M465,M465,$L$2:L465,"VALID")=1,1,0),0)</x:f>
        <x:v>0</x:v>
      </x:c>
    </x:row>
    <x:row r="466">
      <x:c r="A466" s="47"/>
      <x:c r="B466" s="47"/>
      <x:c r="C466" s="69"/>
      <x:c r="D466" s="47"/>
      <x:c r="E466" s="47"/>
      <x:c r="F466" s="47"/>
      <x:c r="G466" s="47"/>
      <x:c r="H466" s="48"/>
      <x:c r="I466" s="48"/>
      <x:c r="J466" s="47"/>
      <x:c r="K466" s="47"/>
      <x:c r="L466" s="57" t="str">
        <x:f>IF(COUNTA(A466:K466)=0,"",IF(K466="CANCELLED","CANCELLED",IF(A466="","INVOICE ID REQUIRED",IF(B466="","PROJECT ID REQUIRED",IF(NOT(ISNUMBER(C466)),"INVALID INVOICE DATE",IF(NOT(AND(ISNUMBER(C466),C466&gt;=2,C466&lt;=2958465,C466=INT(C466))),"INVALID INVOICE DATE",IF(NOT(OR(D466="MX",D466="US")),"ENTITY REQUIRED",IF(NOT(OR(E466="Strategic Services",E466="Brands")),"UNIT REQUIRED",IF(F466="","BRAND / N/A REQUIRED",IF(NOT(OR(G466="USD",G466="MXN")),"CURRENCY REQUIRED",IF(NOT(ISNUMBER(H466)),"AMOUNT REQUIRED",IF(J466="","ERP SOURCE REQUIRED",IF(NOT(OR(K466="ISSUED",K466="CANCELLED")),"INVOICE STATUS REQUIRED",IF(COUNTIFS($A$2:$A$501,A466,$B$2:$B$501,B466,$D$2:$D$501,D466)&gt;1,"DUPLICATE INVOICE / PROJECT",IF(SUMPRODUCT(--(('ERP Snapshot'!$A$2:$A$101&amp;"")=(B466&amp;"")))=0,"PROJECT NOT FOUND",IF(SUMPRODUCT(--(('ERP Snapshot'!$A$2:$A$101&amp;"")=(B466&amp;"")))&gt;1,"DUPLICATE PROJECT ID",IF(OR(SUMPRODUCT(--(('ERP Snapshot'!$A$2:$A$101&amp;"")=(B466&amp;"")),--('ERP Snapshot'!$Q$2:$Q$101=E466),--('ERP Snapshot'!$R$2:$R$101=F466))&lt;&gt;1,SUMPRODUCT(--('Commercial Catalogs'!$A$2:$A$10=E466),--('Commercial Catalogs'!$B$2:$B$10=F466),--('Commercial Catalogs'!$C$2:$C$10="YES"),--('Commercial Catalogs'!$D$2:$D$10="IN SCOPE"))=0,AND(E466="Strategic Services",F466&lt;&gt;"N/A"),AND(E466="Brands",F466="N/A")),"PROJECT CLASSIFICATION MISMATCH",IF(AND(G466="MXN",NOT(AND(ISNUMBER(I466),Settings!$B$8="APPROVED",Settings!$B$9&lt;&gt;"",Settings!$B$10&lt;&gt;""))),"FX HOLD","VALID"))))))))))))))))))</x:f>
      </x:c>
      <x:c r="M466" s="57" t="str">
        <x:f>IF(ISNUMBER(C466),IF(AND(ISNUMBER(C466),C466&gt;=2,C466&lt;=2958465,C466=INT(C466)),YEAR(C466)&amp;"-"&amp;IF(MONTH(C466)&lt;10,"0","")&amp;MONTH(C466),""),"")</x:f>
      </x:c>
      <x:c r="N466" s="59" t="str">
        <x:f>IF(L466="VALID",IF(G466="USD",H466,I466),"")</x:f>
      </x:c>
      <x:c r="O466" s="57" t="n">
        <x:f>IF(L466="VALID",IF(COUNTIFS($B$2:B466,B466,$M$2:M466,M466,$L$2:L466,"VALID")=1,1,0),0)</x:f>
        <x:v>0</x:v>
      </x:c>
    </x:row>
    <x:row r="467">
      <x:c r="A467" s="47"/>
      <x:c r="B467" s="47"/>
      <x:c r="C467" s="69"/>
      <x:c r="D467" s="47"/>
      <x:c r="E467" s="47"/>
      <x:c r="F467" s="47"/>
      <x:c r="G467" s="47"/>
      <x:c r="H467" s="48"/>
      <x:c r="I467" s="48"/>
      <x:c r="J467" s="47"/>
      <x:c r="K467" s="47"/>
      <x:c r="L467" s="57" t="str">
        <x:f>IF(COUNTA(A467:K467)=0,"",IF(K467="CANCELLED","CANCELLED",IF(A467="","INVOICE ID REQUIRED",IF(B467="","PROJECT ID REQUIRED",IF(NOT(ISNUMBER(C467)),"INVALID INVOICE DATE",IF(NOT(AND(ISNUMBER(C467),C467&gt;=2,C467&lt;=2958465,C467=INT(C467))),"INVALID INVOICE DATE",IF(NOT(OR(D467="MX",D467="US")),"ENTITY REQUIRED",IF(NOT(OR(E467="Strategic Services",E467="Brands")),"UNIT REQUIRED",IF(F467="","BRAND / N/A REQUIRED",IF(NOT(OR(G467="USD",G467="MXN")),"CURRENCY REQUIRED",IF(NOT(ISNUMBER(H467)),"AMOUNT REQUIRED",IF(J467="","ERP SOURCE REQUIRED",IF(NOT(OR(K467="ISSUED",K467="CANCELLED")),"INVOICE STATUS REQUIRED",IF(COUNTIFS($A$2:$A$501,A467,$B$2:$B$501,B467,$D$2:$D$501,D467)&gt;1,"DUPLICATE INVOICE / PROJECT",IF(SUMPRODUCT(--(('ERP Snapshot'!$A$2:$A$101&amp;"")=(B467&amp;"")))=0,"PROJECT NOT FOUND",IF(SUMPRODUCT(--(('ERP Snapshot'!$A$2:$A$101&amp;"")=(B467&amp;"")))&gt;1,"DUPLICATE PROJECT ID",IF(OR(SUMPRODUCT(--(('ERP Snapshot'!$A$2:$A$101&amp;"")=(B467&amp;"")),--('ERP Snapshot'!$Q$2:$Q$101=E467),--('ERP Snapshot'!$R$2:$R$101=F467))&lt;&gt;1,SUMPRODUCT(--('Commercial Catalogs'!$A$2:$A$10=E467),--('Commercial Catalogs'!$B$2:$B$10=F467),--('Commercial Catalogs'!$C$2:$C$10="YES"),--('Commercial Catalogs'!$D$2:$D$10="IN SCOPE"))=0,AND(E467="Strategic Services",F467&lt;&gt;"N/A"),AND(E467="Brands",F467="N/A")),"PROJECT CLASSIFICATION MISMATCH",IF(AND(G467="MXN",NOT(AND(ISNUMBER(I467),Settings!$B$8="APPROVED",Settings!$B$9&lt;&gt;"",Settings!$B$10&lt;&gt;""))),"FX HOLD","VALID"))))))))))))))))))</x:f>
      </x:c>
      <x:c r="M467" s="57" t="str">
        <x:f>IF(ISNUMBER(C467),IF(AND(ISNUMBER(C467),C467&gt;=2,C467&lt;=2958465,C467=INT(C467)),YEAR(C467)&amp;"-"&amp;IF(MONTH(C467)&lt;10,"0","")&amp;MONTH(C467),""),"")</x:f>
      </x:c>
      <x:c r="N467" s="59" t="str">
        <x:f>IF(L467="VALID",IF(G467="USD",H467,I467),"")</x:f>
      </x:c>
      <x:c r="O467" s="57" t="n">
        <x:f>IF(L467="VALID",IF(COUNTIFS($B$2:B467,B467,$M$2:M467,M467,$L$2:L467,"VALID")=1,1,0),0)</x:f>
        <x:v>0</x:v>
      </x:c>
    </x:row>
    <x:row r="468">
      <x:c r="A468" s="47"/>
      <x:c r="B468" s="47"/>
      <x:c r="C468" s="69"/>
      <x:c r="D468" s="47"/>
      <x:c r="E468" s="47"/>
      <x:c r="F468" s="47"/>
      <x:c r="G468" s="47"/>
      <x:c r="H468" s="48"/>
      <x:c r="I468" s="48"/>
      <x:c r="J468" s="47"/>
      <x:c r="K468" s="47"/>
      <x:c r="L468" s="57" t="str">
        <x:f>IF(COUNTA(A468:K468)=0,"",IF(K468="CANCELLED","CANCELLED",IF(A468="","INVOICE ID REQUIRED",IF(B468="","PROJECT ID REQUIRED",IF(NOT(ISNUMBER(C468)),"INVALID INVOICE DATE",IF(NOT(AND(ISNUMBER(C468),C468&gt;=2,C468&lt;=2958465,C468=INT(C468))),"INVALID INVOICE DATE",IF(NOT(OR(D468="MX",D468="US")),"ENTITY REQUIRED",IF(NOT(OR(E468="Strategic Services",E468="Brands")),"UNIT REQUIRED",IF(F468="","BRAND / N/A REQUIRED",IF(NOT(OR(G468="USD",G468="MXN")),"CURRENCY REQUIRED",IF(NOT(ISNUMBER(H468)),"AMOUNT REQUIRED",IF(J468="","ERP SOURCE REQUIRED",IF(NOT(OR(K468="ISSUED",K468="CANCELLED")),"INVOICE STATUS REQUIRED",IF(COUNTIFS($A$2:$A$501,A468,$B$2:$B$501,B468,$D$2:$D$501,D468)&gt;1,"DUPLICATE INVOICE / PROJECT",IF(SUMPRODUCT(--(('ERP Snapshot'!$A$2:$A$101&amp;"")=(B468&amp;"")))=0,"PROJECT NOT FOUND",IF(SUMPRODUCT(--(('ERP Snapshot'!$A$2:$A$101&amp;"")=(B468&amp;"")))&gt;1,"DUPLICATE PROJECT ID",IF(OR(SUMPRODUCT(--(('ERP Snapshot'!$A$2:$A$101&amp;"")=(B468&amp;"")),--('ERP Snapshot'!$Q$2:$Q$101=E468),--('ERP Snapshot'!$R$2:$R$101=F468))&lt;&gt;1,SUMPRODUCT(--('Commercial Catalogs'!$A$2:$A$10=E468),--('Commercial Catalogs'!$B$2:$B$10=F468),--('Commercial Catalogs'!$C$2:$C$10="YES"),--('Commercial Catalogs'!$D$2:$D$10="IN SCOPE"))=0,AND(E468="Strategic Services",F468&lt;&gt;"N/A"),AND(E468="Brands",F468="N/A")),"PROJECT CLASSIFICATION MISMATCH",IF(AND(G468="MXN",NOT(AND(ISNUMBER(I468),Settings!$B$8="APPROVED",Settings!$B$9&lt;&gt;"",Settings!$B$10&lt;&gt;""))),"FX HOLD","VALID"))))))))))))))))))</x:f>
      </x:c>
      <x:c r="M468" s="57" t="str">
        <x:f>IF(ISNUMBER(C468),IF(AND(ISNUMBER(C468),C468&gt;=2,C468&lt;=2958465,C468=INT(C468)),YEAR(C468)&amp;"-"&amp;IF(MONTH(C468)&lt;10,"0","")&amp;MONTH(C468),""),"")</x:f>
      </x:c>
      <x:c r="N468" s="59" t="str">
        <x:f>IF(L468="VALID",IF(G468="USD",H468,I468),"")</x:f>
      </x:c>
      <x:c r="O468" s="57" t="n">
        <x:f>IF(L468="VALID",IF(COUNTIFS($B$2:B468,B468,$M$2:M468,M468,$L$2:L468,"VALID")=1,1,0),0)</x:f>
        <x:v>0</x:v>
      </x:c>
    </x:row>
    <x:row r="469">
      <x:c r="A469" s="47"/>
      <x:c r="B469" s="47"/>
      <x:c r="C469" s="69"/>
      <x:c r="D469" s="47"/>
      <x:c r="E469" s="47"/>
      <x:c r="F469" s="47"/>
      <x:c r="G469" s="47"/>
      <x:c r="H469" s="48"/>
      <x:c r="I469" s="48"/>
      <x:c r="J469" s="47"/>
      <x:c r="K469" s="47"/>
      <x:c r="L469" s="57" t="str">
        <x:f>IF(COUNTA(A469:K469)=0,"",IF(K469="CANCELLED","CANCELLED",IF(A469="","INVOICE ID REQUIRED",IF(B469="","PROJECT ID REQUIRED",IF(NOT(ISNUMBER(C469)),"INVALID INVOICE DATE",IF(NOT(AND(ISNUMBER(C469),C469&gt;=2,C469&lt;=2958465,C469=INT(C469))),"INVALID INVOICE DATE",IF(NOT(OR(D469="MX",D469="US")),"ENTITY REQUIRED",IF(NOT(OR(E469="Strategic Services",E469="Brands")),"UNIT REQUIRED",IF(F469="","BRAND / N/A REQUIRED",IF(NOT(OR(G469="USD",G469="MXN")),"CURRENCY REQUIRED",IF(NOT(ISNUMBER(H469)),"AMOUNT REQUIRED",IF(J469="","ERP SOURCE REQUIRED",IF(NOT(OR(K469="ISSUED",K469="CANCELLED")),"INVOICE STATUS REQUIRED",IF(COUNTIFS($A$2:$A$501,A469,$B$2:$B$501,B469,$D$2:$D$501,D469)&gt;1,"DUPLICATE INVOICE / PROJECT",IF(SUMPRODUCT(--(('ERP Snapshot'!$A$2:$A$101&amp;"")=(B469&amp;"")))=0,"PROJECT NOT FOUND",IF(SUMPRODUCT(--(('ERP Snapshot'!$A$2:$A$101&amp;"")=(B469&amp;"")))&gt;1,"DUPLICATE PROJECT ID",IF(OR(SUMPRODUCT(--(('ERP Snapshot'!$A$2:$A$101&amp;"")=(B469&amp;"")),--('ERP Snapshot'!$Q$2:$Q$101=E469),--('ERP Snapshot'!$R$2:$R$101=F469))&lt;&gt;1,SUMPRODUCT(--('Commercial Catalogs'!$A$2:$A$10=E469),--('Commercial Catalogs'!$B$2:$B$10=F469),--('Commercial Catalogs'!$C$2:$C$10="YES"),--('Commercial Catalogs'!$D$2:$D$10="IN SCOPE"))=0,AND(E469="Strategic Services",F469&lt;&gt;"N/A"),AND(E469="Brands",F469="N/A")),"PROJECT CLASSIFICATION MISMATCH",IF(AND(G469="MXN",NOT(AND(ISNUMBER(I469),Settings!$B$8="APPROVED",Settings!$B$9&lt;&gt;"",Settings!$B$10&lt;&gt;""))),"FX HOLD","VALID"))))))))))))))))))</x:f>
      </x:c>
      <x:c r="M469" s="57" t="str">
        <x:f>IF(ISNUMBER(C469),IF(AND(ISNUMBER(C469),C469&gt;=2,C469&lt;=2958465,C469=INT(C469)),YEAR(C469)&amp;"-"&amp;IF(MONTH(C469)&lt;10,"0","")&amp;MONTH(C469),""),"")</x:f>
      </x:c>
      <x:c r="N469" s="59" t="str">
        <x:f>IF(L469="VALID",IF(G469="USD",H469,I469),"")</x:f>
      </x:c>
      <x:c r="O469" s="57" t="n">
        <x:f>IF(L469="VALID",IF(COUNTIFS($B$2:B469,B469,$M$2:M469,M469,$L$2:L469,"VALID")=1,1,0),0)</x:f>
        <x:v>0</x:v>
      </x:c>
    </x:row>
    <x:row r="470">
      <x:c r="A470" s="47"/>
      <x:c r="B470" s="47"/>
      <x:c r="C470" s="69"/>
      <x:c r="D470" s="47"/>
      <x:c r="E470" s="47"/>
      <x:c r="F470" s="47"/>
      <x:c r="G470" s="47"/>
      <x:c r="H470" s="48"/>
      <x:c r="I470" s="48"/>
      <x:c r="J470" s="47"/>
      <x:c r="K470" s="47"/>
      <x:c r="L470" s="57" t="str">
        <x:f>IF(COUNTA(A470:K470)=0,"",IF(K470="CANCELLED","CANCELLED",IF(A470="","INVOICE ID REQUIRED",IF(B470="","PROJECT ID REQUIRED",IF(NOT(ISNUMBER(C470)),"INVALID INVOICE DATE",IF(NOT(AND(ISNUMBER(C470),C470&gt;=2,C470&lt;=2958465,C470=INT(C470))),"INVALID INVOICE DATE",IF(NOT(OR(D470="MX",D470="US")),"ENTITY REQUIRED",IF(NOT(OR(E470="Strategic Services",E470="Brands")),"UNIT REQUIRED",IF(F470="","BRAND / N/A REQUIRED",IF(NOT(OR(G470="USD",G470="MXN")),"CURRENCY REQUIRED",IF(NOT(ISNUMBER(H470)),"AMOUNT REQUIRED",IF(J470="","ERP SOURCE REQUIRED",IF(NOT(OR(K470="ISSUED",K470="CANCELLED")),"INVOICE STATUS REQUIRED",IF(COUNTIFS($A$2:$A$501,A470,$B$2:$B$501,B470,$D$2:$D$501,D470)&gt;1,"DUPLICATE INVOICE / PROJECT",IF(SUMPRODUCT(--(('ERP Snapshot'!$A$2:$A$101&amp;"")=(B470&amp;"")))=0,"PROJECT NOT FOUND",IF(SUMPRODUCT(--(('ERP Snapshot'!$A$2:$A$101&amp;"")=(B470&amp;"")))&gt;1,"DUPLICATE PROJECT ID",IF(OR(SUMPRODUCT(--(('ERP Snapshot'!$A$2:$A$101&amp;"")=(B470&amp;"")),--('ERP Snapshot'!$Q$2:$Q$101=E470),--('ERP Snapshot'!$R$2:$R$101=F470))&lt;&gt;1,SUMPRODUCT(--('Commercial Catalogs'!$A$2:$A$10=E470),--('Commercial Catalogs'!$B$2:$B$10=F470),--('Commercial Catalogs'!$C$2:$C$10="YES"),--('Commercial Catalogs'!$D$2:$D$10="IN SCOPE"))=0,AND(E470="Strategic Services",F470&lt;&gt;"N/A"),AND(E470="Brands",F470="N/A")),"PROJECT CLASSIFICATION MISMATCH",IF(AND(G470="MXN",NOT(AND(ISNUMBER(I470),Settings!$B$8="APPROVED",Settings!$B$9&lt;&gt;"",Settings!$B$10&lt;&gt;""))),"FX HOLD","VALID"))))))))))))))))))</x:f>
      </x:c>
      <x:c r="M470" s="57" t="str">
        <x:f>IF(ISNUMBER(C470),IF(AND(ISNUMBER(C470),C470&gt;=2,C470&lt;=2958465,C470=INT(C470)),YEAR(C470)&amp;"-"&amp;IF(MONTH(C470)&lt;10,"0","")&amp;MONTH(C470),""),"")</x:f>
      </x:c>
      <x:c r="N470" s="59" t="str">
        <x:f>IF(L470="VALID",IF(G470="USD",H470,I470),"")</x:f>
      </x:c>
      <x:c r="O470" s="57" t="n">
        <x:f>IF(L470="VALID",IF(COUNTIFS($B$2:B470,B470,$M$2:M470,M470,$L$2:L470,"VALID")=1,1,0),0)</x:f>
        <x:v>0</x:v>
      </x:c>
    </x:row>
    <x:row r="471">
      <x:c r="A471" s="47"/>
      <x:c r="B471" s="47"/>
      <x:c r="C471" s="69"/>
      <x:c r="D471" s="47"/>
      <x:c r="E471" s="47"/>
      <x:c r="F471" s="47"/>
      <x:c r="G471" s="47"/>
      <x:c r="H471" s="48"/>
      <x:c r="I471" s="48"/>
      <x:c r="J471" s="47"/>
      <x:c r="K471" s="47"/>
      <x:c r="L471" s="57" t="str">
        <x:f>IF(COUNTA(A471:K471)=0,"",IF(K471="CANCELLED","CANCELLED",IF(A471="","INVOICE ID REQUIRED",IF(B471="","PROJECT ID REQUIRED",IF(NOT(ISNUMBER(C471)),"INVALID INVOICE DATE",IF(NOT(AND(ISNUMBER(C471),C471&gt;=2,C471&lt;=2958465,C471=INT(C471))),"INVALID INVOICE DATE",IF(NOT(OR(D471="MX",D471="US")),"ENTITY REQUIRED",IF(NOT(OR(E471="Strategic Services",E471="Brands")),"UNIT REQUIRED",IF(F471="","BRAND / N/A REQUIRED",IF(NOT(OR(G471="USD",G471="MXN")),"CURRENCY REQUIRED",IF(NOT(ISNUMBER(H471)),"AMOUNT REQUIRED",IF(J471="","ERP SOURCE REQUIRED",IF(NOT(OR(K471="ISSUED",K471="CANCELLED")),"INVOICE STATUS REQUIRED",IF(COUNTIFS($A$2:$A$501,A471,$B$2:$B$501,B471,$D$2:$D$501,D471)&gt;1,"DUPLICATE INVOICE / PROJECT",IF(SUMPRODUCT(--(('ERP Snapshot'!$A$2:$A$101&amp;"")=(B471&amp;"")))=0,"PROJECT NOT FOUND",IF(SUMPRODUCT(--(('ERP Snapshot'!$A$2:$A$101&amp;"")=(B471&amp;"")))&gt;1,"DUPLICATE PROJECT ID",IF(OR(SUMPRODUCT(--(('ERP Snapshot'!$A$2:$A$101&amp;"")=(B471&amp;"")),--('ERP Snapshot'!$Q$2:$Q$101=E471),--('ERP Snapshot'!$R$2:$R$101=F471))&lt;&gt;1,SUMPRODUCT(--('Commercial Catalogs'!$A$2:$A$10=E471),--('Commercial Catalogs'!$B$2:$B$10=F471),--('Commercial Catalogs'!$C$2:$C$10="YES"),--('Commercial Catalogs'!$D$2:$D$10="IN SCOPE"))=0,AND(E471="Strategic Services",F471&lt;&gt;"N/A"),AND(E471="Brands",F471="N/A")),"PROJECT CLASSIFICATION MISMATCH",IF(AND(G471="MXN",NOT(AND(ISNUMBER(I471),Settings!$B$8="APPROVED",Settings!$B$9&lt;&gt;"",Settings!$B$10&lt;&gt;""))),"FX HOLD","VALID"))))))))))))))))))</x:f>
      </x:c>
      <x:c r="M471" s="57" t="str">
        <x:f>IF(ISNUMBER(C471),IF(AND(ISNUMBER(C471),C471&gt;=2,C471&lt;=2958465,C471=INT(C471)),YEAR(C471)&amp;"-"&amp;IF(MONTH(C471)&lt;10,"0","")&amp;MONTH(C471),""),"")</x:f>
      </x:c>
      <x:c r="N471" s="59" t="str">
        <x:f>IF(L471="VALID",IF(G471="USD",H471,I471),"")</x:f>
      </x:c>
      <x:c r="O471" s="57" t="n">
        <x:f>IF(L471="VALID",IF(COUNTIFS($B$2:B471,B471,$M$2:M471,M471,$L$2:L471,"VALID")=1,1,0),0)</x:f>
        <x:v>0</x:v>
      </x:c>
    </x:row>
    <x:row r="472">
      <x:c r="A472" s="47"/>
      <x:c r="B472" s="47"/>
      <x:c r="C472" s="69"/>
      <x:c r="D472" s="47"/>
      <x:c r="E472" s="47"/>
      <x:c r="F472" s="47"/>
      <x:c r="G472" s="47"/>
      <x:c r="H472" s="48"/>
      <x:c r="I472" s="48"/>
      <x:c r="J472" s="47"/>
      <x:c r="K472" s="47"/>
      <x:c r="L472" s="57" t="str">
        <x:f>IF(COUNTA(A472:K472)=0,"",IF(K472="CANCELLED","CANCELLED",IF(A472="","INVOICE ID REQUIRED",IF(B472="","PROJECT ID REQUIRED",IF(NOT(ISNUMBER(C472)),"INVALID INVOICE DATE",IF(NOT(AND(ISNUMBER(C472),C472&gt;=2,C472&lt;=2958465,C472=INT(C472))),"INVALID INVOICE DATE",IF(NOT(OR(D472="MX",D472="US")),"ENTITY REQUIRED",IF(NOT(OR(E472="Strategic Services",E472="Brands")),"UNIT REQUIRED",IF(F472="","BRAND / N/A REQUIRED",IF(NOT(OR(G472="USD",G472="MXN")),"CURRENCY REQUIRED",IF(NOT(ISNUMBER(H472)),"AMOUNT REQUIRED",IF(J472="","ERP SOURCE REQUIRED",IF(NOT(OR(K472="ISSUED",K472="CANCELLED")),"INVOICE STATUS REQUIRED",IF(COUNTIFS($A$2:$A$501,A472,$B$2:$B$501,B472,$D$2:$D$501,D472)&gt;1,"DUPLICATE INVOICE / PROJECT",IF(SUMPRODUCT(--(('ERP Snapshot'!$A$2:$A$101&amp;"")=(B472&amp;"")))=0,"PROJECT NOT FOUND",IF(SUMPRODUCT(--(('ERP Snapshot'!$A$2:$A$101&amp;"")=(B472&amp;"")))&gt;1,"DUPLICATE PROJECT ID",IF(OR(SUMPRODUCT(--(('ERP Snapshot'!$A$2:$A$101&amp;"")=(B472&amp;"")),--('ERP Snapshot'!$Q$2:$Q$101=E472),--('ERP Snapshot'!$R$2:$R$101=F472))&lt;&gt;1,SUMPRODUCT(--('Commercial Catalogs'!$A$2:$A$10=E472),--('Commercial Catalogs'!$B$2:$B$10=F472),--('Commercial Catalogs'!$C$2:$C$10="YES"),--('Commercial Catalogs'!$D$2:$D$10="IN SCOPE"))=0,AND(E472="Strategic Services",F472&lt;&gt;"N/A"),AND(E472="Brands",F472="N/A")),"PROJECT CLASSIFICATION MISMATCH",IF(AND(G472="MXN",NOT(AND(ISNUMBER(I472),Settings!$B$8="APPROVED",Settings!$B$9&lt;&gt;"",Settings!$B$10&lt;&gt;""))),"FX HOLD","VALID"))))))))))))))))))</x:f>
      </x:c>
      <x:c r="M472" s="57" t="str">
        <x:f>IF(ISNUMBER(C472),IF(AND(ISNUMBER(C472),C472&gt;=2,C472&lt;=2958465,C472=INT(C472)),YEAR(C472)&amp;"-"&amp;IF(MONTH(C472)&lt;10,"0","")&amp;MONTH(C472),""),"")</x:f>
      </x:c>
      <x:c r="N472" s="59" t="str">
        <x:f>IF(L472="VALID",IF(G472="USD",H472,I472),"")</x:f>
      </x:c>
      <x:c r="O472" s="57" t="n">
        <x:f>IF(L472="VALID",IF(COUNTIFS($B$2:B472,B472,$M$2:M472,M472,$L$2:L472,"VALID")=1,1,0),0)</x:f>
        <x:v>0</x:v>
      </x:c>
    </x:row>
    <x:row r="473">
      <x:c r="A473" s="47"/>
      <x:c r="B473" s="47"/>
      <x:c r="C473" s="69"/>
      <x:c r="D473" s="47"/>
      <x:c r="E473" s="47"/>
      <x:c r="F473" s="47"/>
      <x:c r="G473" s="47"/>
      <x:c r="H473" s="48"/>
      <x:c r="I473" s="48"/>
      <x:c r="J473" s="47"/>
      <x:c r="K473" s="47"/>
      <x:c r="L473" s="57" t="str">
        <x:f>IF(COUNTA(A473:K473)=0,"",IF(K473="CANCELLED","CANCELLED",IF(A473="","INVOICE ID REQUIRED",IF(B473="","PROJECT ID REQUIRED",IF(NOT(ISNUMBER(C473)),"INVALID INVOICE DATE",IF(NOT(AND(ISNUMBER(C473),C473&gt;=2,C473&lt;=2958465,C473=INT(C473))),"INVALID INVOICE DATE",IF(NOT(OR(D473="MX",D473="US")),"ENTITY REQUIRED",IF(NOT(OR(E473="Strategic Services",E473="Brands")),"UNIT REQUIRED",IF(F473="","BRAND / N/A REQUIRED",IF(NOT(OR(G473="USD",G473="MXN")),"CURRENCY REQUIRED",IF(NOT(ISNUMBER(H473)),"AMOUNT REQUIRED",IF(J473="","ERP SOURCE REQUIRED",IF(NOT(OR(K473="ISSUED",K473="CANCELLED")),"INVOICE STATUS REQUIRED",IF(COUNTIFS($A$2:$A$501,A473,$B$2:$B$501,B473,$D$2:$D$501,D473)&gt;1,"DUPLICATE INVOICE / PROJECT",IF(SUMPRODUCT(--(('ERP Snapshot'!$A$2:$A$101&amp;"")=(B473&amp;"")))=0,"PROJECT NOT FOUND",IF(SUMPRODUCT(--(('ERP Snapshot'!$A$2:$A$101&amp;"")=(B473&amp;"")))&gt;1,"DUPLICATE PROJECT ID",IF(OR(SUMPRODUCT(--(('ERP Snapshot'!$A$2:$A$101&amp;"")=(B473&amp;"")),--('ERP Snapshot'!$Q$2:$Q$101=E473),--('ERP Snapshot'!$R$2:$R$101=F473))&lt;&gt;1,SUMPRODUCT(--('Commercial Catalogs'!$A$2:$A$10=E473),--('Commercial Catalogs'!$B$2:$B$10=F473),--('Commercial Catalogs'!$C$2:$C$10="YES"),--('Commercial Catalogs'!$D$2:$D$10="IN SCOPE"))=0,AND(E473="Strategic Services",F473&lt;&gt;"N/A"),AND(E473="Brands",F473="N/A")),"PROJECT CLASSIFICATION MISMATCH",IF(AND(G473="MXN",NOT(AND(ISNUMBER(I473),Settings!$B$8="APPROVED",Settings!$B$9&lt;&gt;"",Settings!$B$10&lt;&gt;""))),"FX HOLD","VALID"))))))))))))))))))</x:f>
      </x:c>
      <x:c r="M473" s="57" t="str">
        <x:f>IF(ISNUMBER(C473),IF(AND(ISNUMBER(C473),C473&gt;=2,C473&lt;=2958465,C473=INT(C473)),YEAR(C473)&amp;"-"&amp;IF(MONTH(C473)&lt;10,"0","")&amp;MONTH(C473),""),"")</x:f>
      </x:c>
      <x:c r="N473" s="59" t="str">
        <x:f>IF(L473="VALID",IF(G473="USD",H473,I473),"")</x:f>
      </x:c>
      <x:c r="O473" s="57" t="n">
        <x:f>IF(L473="VALID",IF(COUNTIFS($B$2:B473,B473,$M$2:M473,M473,$L$2:L473,"VALID")=1,1,0),0)</x:f>
        <x:v>0</x:v>
      </x:c>
    </x:row>
    <x:row r="474">
      <x:c r="A474" s="47"/>
      <x:c r="B474" s="47"/>
      <x:c r="C474" s="69"/>
      <x:c r="D474" s="47"/>
      <x:c r="E474" s="47"/>
      <x:c r="F474" s="47"/>
      <x:c r="G474" s="47"/>
      <x:c r="H474" s="48"/>
      <x:c r="I474" s="48"/>
      <x:c r="J474" s="47"/>
      <x:c r="K474" s="47"/>
      <x:c r="L474" s="57" t="str">
        <x:f>IF(COUNTA(A474:K474)=0,"",IF(K474="CANCELLED","CANCELLED",IF(A474="","INVOICE ID REQUIRED",IF(B474="","PROJECT ID REQUIRED",IF(NOT(ISNUMBER(C474)),"INVALID INVOICE DATE",IF(NOT(AND(ISNUMBER(C474),C474&gt;=2,C474&lt;=2958465,C474=INT(C474))),"INVALID INVOICE DATE",IF(NOT(OR(D474="MX",D474="US")),"ENTITY REQUIRED",IF(NOT(OR(E474="Strategic Services",E474="Brands")),"UNIT REQUIRED",IF(F474="","BRAND / N/A REQUIRED",IF(NOT(OR(G474="USD",G474="MXN")),"CURRENCY REQUIRED",IF(NOT(ISNUMBER(H474)),"AMOUNT REQUIRED",IF(J474="","ERP SOURCE REQUIRED",IF(NOT(OR(K474="ISSUED",K474="CANCELLED")),"INVOICE STATUS REQUIRED",IF(COUNTIFS($A$2:$A$501,A474,$B$2:$B$501,B474,$D$2:$D$501,D474)&gt;1,"DUPLICATE INVOICE / PROJECT",IF(SUMPRODUCT(--(('ERP Snapshot'!$A$2:$A$101&amp;"")=(B474&amp;"")))=0,"PROJECT NOT FOUND",IF(SUMPRODUCT(--(('ERP Snapshot'!$A$2:$A$101&amp;"")=(B474&amp;"")))&gt;1,"DUPLICATE PROJECT ID",IF(OR(SUMPRODUCT(--(('ERP Snapshot'!$A$2:$A$101&amp;"")=(B474&amp;"")),--('ERP Snapshot'!$Q$2:$Q$101=E474),--('ERP Snapshot'!$R$2:$R$101=F474))&lt;&gt;1,SUMPRODUCT(--('Commercial Catalogs'!$A$2:$A$10=E474),--('Commercial Catalogs'!$B$2:$B$10=F474),--('Commercial Catalogs'!$C$2:$C$10="YES"),--('Commercial Catalogs'!$D$2:$D$10="IN SCOPE"))=0,AND(E474="Strategic Services",F474&lt;&gt;"N/A"),AND(E474="Brands",F474="N/A")),"PROJECT CLASSIFICATION MISMATCH",IF(AND(G474="MXN",NOT(AND(ISNUMBER(I474),Settings!$B$8="APPROVED",Settings!$B$9&lt;&gt;"",Settings!$B$10&lt;&gt;""))),"FX HOLD","VALID"))))))))))))))))))</x:f>
      </x:c>
      <x:c r="M474" s="57" t="str">
        <x:f>IF(ISNUMBER(C474),IF(AND(ISNUMBER(C474),C474&gt;=2,C474&lt;=2958465,C474=INT(C474)),YEAR(C474)&amp;"-"&amp;IF(MONTH(C474)&lt;10,"0","")&amp;MONTH(C474),""),"")</x:f>
      </x:c>
      <x:c r="N474" s="59" t="str">
        <x:f>IF(L474="VALID",IF(G474="USD",H474,I474),"")</x:f>
      </x:c>
      <x:c r="O474" s="57" t="n">
        <x:f>IF(L474="VALID",IF(COUNTIFS($B$2:B474,B474,$M$2:M474,M474,$L$2:L474,"VALID")=1,1,0),0)</x:f>
        <x:v>0</x:v>
      </x:c>
    </x:row>
    <x:row r="475">
      <x:c r="A475" s="47"/>
      <x:c r="B475" s="47"/>
      <x:c r="C475" s="69"/>
      <x:c r="D475" s="47"/>
      <x:c r="E475" s="47"/>
      <x:c r="F475" s="47"/>
      <x:c r="G475" s="47"/>
      <x:c r="H475" s="48"/>
      <x:c r="I475" s="48"/>
      <x:c r="J475" s="47"/>
      <x:c r="K475" s="47"/>
      <x:c r="L475" s="57" t="str">
        <x:f>IF(COUNTA(A475:K475)=0,"",IF(K475="CANCELLED","CANCELLED",IF(A475="","INVOICE ID REQUIRED",IF(B475="","PROJECT ID REQUIRED",IF(NOT(ISNUMBER(C475)),"INVALID INVOICE DATE",IF(NOT(AND(ISNUMBER(C475),C475&gt;=2,C475&lt;=2958465,C475=INT(C475))),"INVALID INVOICE DATE",IF(NOT(OR(D475="MX",D475="US")),"ENTITY REQUIRED",IF(NOT(OR(E475="Strategic Services",E475="Brands")),"UNIT REQUIRED",IF(F475="","BRAND / N/A REQUIRED",IF(NOT(OR(G475="USD",G475="MXN")),"CURRENCY REQUIRED",IF(NOT(ISNUMBER(H475)),"AMOUNT REQUIRED",IF(J475="","ERP SOURCE REQUIRED",IF(NOT(OR(K475="ISSUED",K475="CANCELLED")),"INVOICE STATUS REQUIRED",IF(COUNTIFS($A$2:$A$501,A475,$B$2:$B$501,B475,$D$2:$D$501,D475)&gt;1,"DUPLICATE INVOICE / PROJECT",IF(SUMPRODUCT(--(('ERP Snapshot'!$A$2:$A$101&amp;"")=(B475&amp;"")))=0,"PROJECT NOT FOUND",IF(SUMPRODUCT(--(('ERP Snapshot'!$A$2:$A$101&amp;"")=(B475&amp;"")))&gt;1,"DUPLICATE PROJECT ID",IF(OR(SUMPRODUCT(--(('ERP Snapshot'!$A$2:$A$101&amp;"")=(B475&amp;"")),--('ERP Snapshot'!$Q$2:$Q$101=E475),--('ERP Snapshot'!$R$2:$R$101=F475))&lt;&gt;1,SUMPRODUCT(--('Commercial Catalogs'!$A$2:$A$10=E475),--('Commercial Catalogs'!$B$2:$B$10=F475),--('Commercial Catalogs'!$C$2:$C$10="YES"),--('Commercial Catalogs'!$D$2:$D$10="IN SCOPE"))=0,AND(E475="Strategic Services",F475&lt;&gt;"N/A"),AND(E475="Brands",F475="N/A")),"PROJECT CLASSIFICATION MISMATCH",IF(AND(G475="MXN",NOT(AND(ISNUMBER(I475),Settings!$B$8="APPROVED",Settings!$B$9&lt;&gt;"",Settings!$B$10&lt;&gt;""))),"FX HOLD","VALID"))))))))))))))))))</x:f>
      </x:c>
      <x:c r="M475" s="57" t="str">
        <x:f>IF(ISNUMBER(C475),IF(AND(ISNUMBER(C475),C475&gt;=2,C475&lt;=2958465,C475=INT(C475)),YEAR(C475)&amp;"-"&amp;IF(MONTH(C475)&lt;10,"0","")&amp;MONTH(C475),""),"")</x:f>
      </x:c>
      <x:c r="N475" s="59" t="str">
        <x:f>IF(L475="VALID",IF(G475="USD",H475,I475),"")</x:f>
      </x:c>
      <x:c r="O475" s="57" t="n">
        <x:f>IF(L475="VALID",IF(COUNTIFS($B$2:B475,B475,$M$2:M475,M475,$L$2:L475,"VALID")=1,1,0),0)</x:f>
        <x:v>0</x:v>
      </x:c>
    </x:row>
    <x:row r="476">
      <x:c r="A476" s="47"/>
      <x:c r="B476" s="47"/>
      <x:c r="C476" s="69"/>
      <x:c r="D476" s="47"/>
      <x:c r="E476" s="47"/>
      <x:c r="F476" s="47"/>
      <x:c r="G476" s="47"/>
      <x:c r="H476" s="48"/>
      <x:c r="I476" s="48"/>
      <x:c r="J476" s="47"/>
      <x:c r="K476" s="47"/>
      <x:c r="L476" s="57" t="str">
        <x:f>IF(COUNTA(A476:K476)=0,"",IF(K476="CANCELLED","CANCELLED",IF(A476="","INVOICE ID REQUIRED",IF(B476="","PROJECT ID REQUIRED",IF(NOT(ISNUMBER(C476)),"INVALID INVOICE DATE",IF(NOT(AND(ISNUMBER(C476),C476&gt;=2,C476&lt;=2958465,C476=INT(C476))),"INVALID INVOICE DATE",IF(NOT(OR(D476="MX",D476="US")),"ENTITY REQUIRED",IF(NOT(OR(E476="Strategic Services",E476="Brands")),"UNIT REQUIRED",IF(F476="","BRAND / N/A REQUIRED",IF(NOT(OR(G476="USD",G476="MXN")),"CURRENCY REQUIRED",IF(NOT(ISNUMBER(H476)),"AMOUNT REQUIRED",IF(J476="","ERP SOURCE REQUIRED",IF(NOT(OR(K476="ISSUED",K476="CANCELLED")),"INVOICE STATUS REQUIRED",IF(COUNTIFS($A$2:$A$501,A476,$B$2:$B$501,B476,$D$2:$D$501,D476)&gt;1,"DUPLICATE INVOICE / PROJECT",IF(SUMPRODUCT(--(('ERP Snapshot'!$A$2:$A$101&amp;"")=(B476&amp;"")))=0,"PROJECT NOT FOUND",IF(SUMPRODUCT(--(('ERP Snapshot'!$A$2:$A$101&amp;"")=(B476&amp;"")))&gt;1,"DUPLICATE PROJECT ID",IF(OR(SUMPRODUCT(--(('ERP Snapshot'!$A$2:$A$101&amp;"")=(B476&amp;"")),--('ERP Snapshot'!$Q$2:$Q$101=E476),--('ERP Snapshot'!$R$2:$R$101=F476))&lt;&gt;1,SUMPRODUCT(--('Commercial Catalogs'!$A$2:$A$10=E476),--('Commercial Catalogs'!$B$2:$B$10=F476),--('Commercial Catalogs'!$C$2:$C$10="YES"),--('Commercial Catalogs'!$D$2:$D$10="IN SCOPE"))=0,AND(E476="Strategic Services",F476&lt;&gt;"N/A"),AND(E476="Brands",F476="N/A")),"PROJECT CLASSIFICATION MISMATCH",IF(AND(G476="MXN",NOT(AND(ISNUMBER(I476),Settings!$B$8="APPROVED",Settings!$B$9&lt;&gt;"",Settings!$B$10&lt;&gt;""))),"FX HOLD","VALID"))))))))))))))))))</x:f>
      </x:c>
      <x:c r="M476" s="57" t="str">
        <x:f>IF(ISNUMBER(C476),IF(AND(ISNUMBER(C476),C476&gt;=2,C476&lt;=2958465,C476=INT(C476)),YEAR(C476)&amp;"-"&amp;IF(MONTH(C476)&lt;10,"0","")&amp;MONTH(C476),""),"")</x:f>
      </x:c>
      <x:c r="N476" s="59" t="str">
        <x:f>IF(L476="VALID",IF(G476="USD",H476,I476),"")</x:f>
      </x:c>
      <x:c r="O476" s="57" t="n">
        <x:f>IF(L476="VALID",IF(COUNTIFS($B$2:B476,B476,$M$2:M476,M476,$L$2:L476,"VALID")=1,1,0),0)</x:f>
        <x:v>0</x:v>
      </x:c>
    </x:row>
    <x:row r="477">
      <x:c r="A477" s="47"/>
      <x:c r="B477" s="47"/>
      <x:c r="C477" s="69"/>
      <x:c r="D477" s="47"/>
      <x:c r="E477" s="47"/>
      <x:c r="F477" s="47"/>
      <x:c r="G477" s="47"/>
      <x:c r="H477" s="48"/>
      <x:c r="I477" s="48"/>
      <x:c r="J477" s="47"/>
      <x:c r="K477" s="47"/>
      <x:c r="L477" s="57" t="str">
        <x:f>IF(COUNTA(A477:K477)=0,"",IF(K477="CANCELLED","CANCELLED",IF(A477="","INVOICE ID REQUIRED",IF(B477="","PROJECT ID REQUIRED",IF(NOT(ISNUMBER(C477)),"INVALID INVOICE DATE",IF(NOT(AND(ISNUMBER(C477),C477&gt;=2,C477&lt;=2958465,C477=INT(C477))),"INVALID INVOICE DATE",IF(NOT(OR(D477="MX",D477="US")),"ENTITY REQUIRED",IF(NOT(OR(E477="Strategic Services",E477="Brands")),"UNIT REQUIRED",IF(F477="","BRAND / N/A REQUIRED",IF(NOT(OR(G477="USD",G477="MXN")),"CURRENCY REQUIRED",IF(NOT(ISNUMBER(H477)),"AMOUNT REQUIRED",IF(J477="","ERP SOURCE REQUIRED",IF(NOT(OR(K477="ISSUED",K477="CANCELLED")),"INVOICE STATUS REQUIRED",IF(COUNTIFS($A$2:$A$501,A477,$B$2:$B$501,B477,$D$2:$D$501,D477)&gt;1,"DUPLICATE INVOICE / PROJECT",IF(SUMPRODUCT(--(('ERP Snapshot'!$A$2:$A$101&amp;"")=(B477&amp;"")))=0,"PROJECT NOT FOUND",IF(SUMPRODUCT(--(('ERP Snapshot'!$A$2:$A$101&amp;"")=(B477&amp;"")))&gt;1,"DUPLICATE PROJECT ID",IF(OR(SUMPRODUCT(--(('ERP Snapshot'!$A$2:$A$101&amp;"")=(B477&amp;"")),--('ERP Snapshot'!$Q$2:$Q$101=E477),--('ERP Snapshot'!$R$2:$R$101=F477))&lt;&gt;1,SUMPRODUCT(--('Commercial Catalogs'!$A$2:$A$10=E477),--('Commercial Catalogs'!$B$2:$B$10=F477),--('Commercial Catalogs'!$C$2:$C$10="YES"),--('Commercial Catalogs'!$D$2:$D$10="IN SCOPE"))=0,AND(E477="Strategic Services",F477&lt;&gt;"N/A"),AND(E477="Brands",F477="N/A")),"PROJECT CLASSIFICATION MISMATCH",IF(AND(G477="MXN",NOT(AND(ISNUMBER(I477),Settings!$B$8="APPROVED",Settings!$B$9&lt;&gt;"",Settings!$B$10&lt;&gt;""))),"FX HOLD","VALID"))))))))))))))))))</x:f>
      </x:c>
      <x:c r="M477" s="57" t="str">
        <x:f>IF(ISNUMBER(C477),IF(AND(ISNUMBER(C477),C477&gt;=2,C477&lt;=2958465,C477=INT(C477)),YEAR(C477)&amp;"-"&amp;IF(MONTH(C477)&lt;10,"0","")&amp;MONTH(C477),""),"")</x:f>
      </x:c>
      <x:c r="N477" s="59" t="str">
        <x:f>IF(L477="VALID",IF(G477="USD",H477,I477),"")</x:f>
      </x:c>
      <x:c r="O477" s="57" t="n">
        <x:f>IF(L477="VALID",IF(COUNTIFS($B$2:B477,B477,$M$2:M477,M477,$L$2:L477,"VALID")=1,1,0),0)</x:f>
        <x:v>0</x:v>
      </x:c>
    </x:row>
    <x:row r="478">
      <x:c r="A478" s="47"/>
      <x:c r="B478" s="47"/>
      <x:c r="C478" s="69"/>
      <x:c r="D478" s="47"/>
      <x:c r="E478" s="47"/>
      <x:c r="F478" s="47"/>
      <x:c r="G478" s="47"/>
      <x:c r="H478" s="48"/>
      <x:c r="I478" s="48"/>
      <x:c r="J478" s="47"/>
      <x:c r="K478" s="47"/>
      <x:c r="L478" s="57" t="str">
        <x:f>IF(COUNTA(A478:K478)=0,"",IF(K478="CANCELLED","CANCELLED",IF(A478="","INVOICE ID REQUIRED",IF(B478="","PROJECT ID REQUIRED",IF(NOT(ISNUMBER(C478)),"INVALID INVOICE DATE",IF(NOT(AND(ISNUMBER(C478),C478&gt;=2,C478&lt;=2958465,C478=INT(C478))),"INVALID INVOICE DATE",IF(NOT(OR(D478="MX",D478="US")),"ENTITY REQUIRED",IF(NOT(OR(E478="Strategic Services",E478="Brands")),"UNIT REQUIRED",IF(F478="","BRAND / N/A REQUIRED",IF(NOT(OR(G478="USD",G478="MXN")),"CURRENCY REQUIRED",IF(NOT(ISNUMBER(H478)),"AMOUNT REQUIRED",IF(J478="","ERP SOURCE REQUIRED",IF(NOT(OR(K478="ISSUED",K478="CANCELLED")),"INVOICE STATUS REQUIRED",IF(COUNTIFS($A$2:$A$501,A478,$B$2:$B$501,B478,$D$2:$D$501,D478)&gt;1,"DUPLICATE INVOICE / PROJECT",IF(SUMPRODUCT(--(('ERP Snapshot'!$A$2:$A$101&amp;"")=(B478&amp;"")))=0,"PROJECT NOT FOUND",IF(SUMPRODUCT(--(('ERP Snapshot'!$A$2:$A$101&amp;"")=(B478&amp;"")))&gt;1,"DUPLICATE PROJECT ID",IF(OR(SUMPRODUCT(--(('ERP Snapshot'!$A$2:$A$101&amp;"")=(B478&amp;"")),--('ERP Snapshot'!$Q$2:$Q$101=E478),--('ERP Snapshot'!$R$2:$R$101=F478))&lt;&gt;1,SUMPRODUCT(--('Commercial Catalogs'!$A$2:$A$10=E478),--('Commercial Catalogs'!$B$2:$B$10=F478),--('Commercial Catalogs'!$C$2:$C$10="YES"),--('Commercial Catalogs'!$D$2:$D$10="IN SCOPE"))=0,AND(E478="Strategic Services",F478&lt;&gt;"N/A"),AND(E478="Brands",F478="N/A")),"PROJECT CLASSIFICATION MISMATCH",IF(AND(G478="MXN",NOT(AND(ISNUMBER(I478),Settings!$B$8="APPROVED",Settings!$B$9&lt;&gt;"",Settings!$B$10&lt;&gt;""))),"FX HOLD","VALID"))))))))))))))))))</x:f>
      </x:c>
      <x:c r="M478" s="57" t="str">
        <x:f>IF(ISNUMBER(C478),IF(AND(ISNUMBER(C478),C478&gt;=2,C478&lt;=2958465,C478=INT(C478)),YEAR(C478)&amp;"-"&amp;IF(MONTH(C478)&lt;10,"0","")&amp;MONTH(C478),""),"")</x:f>
      </x:c>
      <x:c r="N478" s="59" t="str">
        <x:f>IF(L478="VALID",IF(G478="USD",H478,I478),"")</x:f>
      </x:c>
      <x:c r="O478" s="57" t="n">
        <x:f>IF(L478="VALID",IF(COUNTIFS($B$2:B478,B478,$M$2:M478,M478,$L$2:L478,"VALID")=1,1,0),0)</x:f>
        <x:v>0</x:v>
      </x:c>
    </x:row>
    <x:row r="479">
      <x:c r="A479" s="47"/>
      <x:c r="B479" s="47"/>
      <x:c r="C479" s="69"/>
      <x:c r="D479" s="47"/>
      <x:c r="E479" s="47"/>
      <x:c r="F479" s="47"/>
      <x:c r="G479" s="47"/>
      <x:c r="H479" s="48"/>
      <x:c r="I479" s="48"/>
      <x:c r="J479" s="47"/>
      <x:c r="K479" s="47"/>
      <x:c r="L479" s="57" t="str">
        <x:f>IF(COUNTA(A479:K479)=0,"",IF(K479="CANCELLED","CANCELLED",IF(A479="","INVOICE ID REQUIRED",IF(B479="","PROJECT ID REQUIRED",IF(NOT(ISNUMBER(C479)),"INVALID INVOICE DATE",IF(NOT(AND(ISNUMBER(C479),C479&gt;=2,C479&lt;=2958465,C479=INT(C479))),"INVALID INVOICE DATE",IF(NOT(OR(D479="MX",D479="US")),"ENTITY REQUIRED",IF(NOT(OR(E479="Strategic Services",E479="Brands")),"UNIT REQUIRED",IF(F479="","BRAND / N/A REQUIRED",IF(NOT(OR(G479="USD",G479="MXN")),"CURRENCY REQUIRED",IF(NOT(ISNUMBER(H479)),"AMOUNT REQUIRED",IF(J479="","ERP SOURCE REQUIRED",IF(NOT(OR(K479="ISSUED",K479="CANCELLED")),"INVOICE STATUS REQUIRED",IF(COUNTIFS($A$2:$A$501,A479,$B$2:$B$501,B479,$D$2:$D$501,D479)&gt;1,"DUPLICATE INVOICE / PROJECT",IF(SUMPRODUCT(--(('ERP Snapshot'!$A$2:$A$101&amp;"")=(B479&amp;"")))=0,"PROJECT NOT FOUND",IF(SUMPRODUCT(--(('ERP Snapshot'!$A$2:$A$101&amp;"")=(B479&amp;"")))&gt;1,"DUPLICATE PROJECT ID",IF(OR(SUMPRODUCT(--(('ERP Snapshot'!$A$2:$A$101&amp;"")=(B479&amp;"")),--('ERP Snapshot'!$Q$2:$Q$101=E479),--('ERP Snapshot'!$R$2:$R$101=F479))&lt;&gt;1,SUMPRODUCT(--('Commercial Catalogs'!$A$2:$A$10=E479),--('Commercial Catalogs'!$B$2:$B$10=F479),--('Commercial Catalogs'!$C$2:$C$10="YES"),--('Commercial Catalogs'!$D$2:$D$10="IN SCOPE"))=0,AND(E479="Strategic Services",F479&lt;&gt;"N/A"),AND(E479="Brands",F479="N/A")),"PROJECT CLASSIFICATION MISMATCH",IF(AND(G479="MXN",NOT(AND(ISNUMBER(I479),Settings!$B$8="APPROVED",Settings!$B$9&lt;&gt;"",Settings!$B$10&lt;&gt;""))),"FX HOLD","VALID"))))))))))))))))))</x:f>
      </x:c>
      <x:c r="M479" s="57" t="str">
        <x:f>IF(ISNUMBER(C479),IF(AND(ISNUMBER(C479),C479&gt;=2,C479&lt;=2958465,C479=INT(C479)),YEAR(C479)&amp;"-"&amp;IF(MONTH(C479)&lt;10,"0","")&amp;MONTH(C479),""),"")</x:f>
      </x:c>
      <x:c r="N479" s="59" t="str">
        <x:f>IF(L479="VALID",IF(G479="USD",H479,I479),"")</x:f>
      </x:c>
      <x:c r="O479" s="57" t="n">
        <x:f>IF(L479="VALID",IF(COUNTIFS($B$2:B479,B479,$M$2:M479,M479,$L$2:L479,"VALID")=1,1,0),0)</x:f>
        <x:v>0</x:v>
      </x:c>
    </x:row>
    <x:row r="480">
      <x:c r="A480" s="47"/>
      <x:c r="B480" s="47"/>
      <x:c r="C480" s="69"/>
      <x:c r="D480" s="47"/>
      <x:c r="E480" s="47"/>
      <x:c r="F480" s="47"/>
      <x:c r="G480" s="47"/>
      <x:c r="H480" s="48"/>
      <x:c r="I480" s="48"/>
      <x:c r="J480" s="47"/>
      <x:c r="K480" s="47"/>
      <x:c r="L480" s="57" t="str">
        <x:f>IF(COUNTA(A480:K480)=0,"",IF(K480="CANCELLED","CANCELLED",IF(A480="","INVOICE ID REQUIRED",IF(B480="","PROJECT ID REQUIRED",IF(NOT(ISNUMBER(C480)),"INVALID INVOICE DATE",IF(NOT(AND(ISNUMBER(C480),C480&gt;=2,C480&lt;=2958465,C480=INT(C480))),"INVALID INVOICE DATE",IF(NOT(OR(D480="MX",D480="US")),"ENTITY REQUIRED",IF(NOT(OR(E480="Strategic Services",E480="Brands")),"UNIT REQUIRED",IF(F480="","BRAND / N/A REQUIRED",IF(NOT(OR(G480="USD",G480="MXN")),"CURRENCY REQUIRED",IF(NOT(ISNUMBER(H480)),"AMOUNT REQUIRED",IF(J480="","ERP SOURCE REQUIRED",IF(NOT(OR(K480="ISSUED",K480="CANCELLED")),"INVOICE STATUS REQUIRED",IF(COUNTIFS($A$2:$A$501,A480,$B$2:$B$501,B480,$D$2:$D$501,D480)&gt;1,"DUPLICATE INVOICE / PROJECT",IF(SUMPRODUCT(--(('ERP Snapshot'!$A$2:$A$101&amp;"")=(B480&amp;"")))=0,"PROJECT NOT FOUND",IF(SUMPRODUCT(--(('ERP Snapshot'!$A$2:$A$101&amp;"")=(B480&amp;"")))&gt;1,"DUPLICATE PROJECT ID",IF(OR(SUMPRODUCT(--(('ERP Snapshot'!$A$2:$A$101&amp;"")=(B480&amp;"")),--('ERP Snapshot'!$Q$2:$Q$101=E480),--('ERP Snapshot'!$R$2:$R$101=F480))&lt;&gt;1,SUMPRODUCT(--('Commercial Catalogs'!$A$2:$A$10=E480),--('Commercial Catalogs'!$B$2:$B$10=F480),--('Commercial Catalogs'!$C$2:$C$10="YES"),--('Commercial Catalogs'!$D$2:$D$10="IN SCOPE"))=0,AND(E480="Strategic Services",F480&lt;&gt;"N/A"),AND(E480="Brands",F480="N/A")),"PROJECT CLASSIFICATION MISMATCH",IF(AND(G480="MXN",NOT(AND(ISNUMBER(I480),Settings!$B$8="APPROVED",Settings!$B$9&lt;&gt;"",Settings!$B$10&lt;&gt;""))),"FX HOLD","VALID"))))))))))))))))))</x:f>
      </x:c>
      <x:c r="M480" s="57" t="str">
        <x:f>IF(ISNUMBER(C480),IF(AND(ISNUMBER(C480),C480&gt;=2,C480&lt;=2958465,C480=INT(C480)),YEAR(C480)&amp;"-"&amp;IF(MONTH(C480)&lt;10,"0","")&amp;MONTH(C480),""),"")</x:f>
      </x:c>
      <x:c r="N480" s="59" t="str">
        <x:f>IF(L480="VALID",IF(G480="USD",H480,I480),"")</x:f>
      </x:c>
      <x:c r="O480" s="57" t="n">
        <x:f>IF(L480="VALID",IF(COUNTIFS($B$2:B480,B480,$M$2:M480,M480,$L$2:L480,"VALID")=1,1,0),0)</x:f>
        <x:v>0</x:v>
      </x:c>
    </x:row>
    <x:row r="481">
      <x:c r="A481" s="47"/>
      <x:c r="B481" s="47"/>
      <x:c r="C481" s="69"/>
      <x:c r="D481" s="47"/>
      <x:c r="E481" s="47"/>
      <x:c r="F481" s="47"/>
      <x:c r="G481" s="47"/>
      <x:c r="H481" s="48"/>
      <x:c r="I481" s="48"/>
      <x:c r="J481" s="47"/>
      <x:c r="K481" s="47"/>
      <x:c r="L481" s="57" t="str">
        <x:f>IF(COUNTA(A481:K481)=0,"",IF(K481="CANCELLED","CANCELLED",IF(A481="","INVOICE ID REQUIRED",IF(B481="","PROJECT ID REQUIRED",IF(NOT(ISNUMBER(C481)),"INVALID INVOICE DATE",IF(NOT(AND(ISNUMBER(C481),C481&gt;=2,C481&lt;=2958465,C481=INT(C481))),"INVALID INVOICE DATE",IF(NOT(OR(D481="MX",D481="US")),"ENTITY REQUIRED",IF(NOT(OR(E481="Strategic Services",E481="Brands")),"UNIT REQUIRED",IF(F481="","BRAND / N/A REQUIRED",IF(NOT(OR(G481="USD",G481="MXN")),"CURRENCY REQUIRED",IF(NOT(ISNUMBER(H481)),"AMOUNT REQUIRED",IF(J481="","ERP SOURCE REQUIRED",IF(NOT(OR(K481="ISSUED",K481="CANCELLED")),"INVOICE STATUS REQUIRED",IF(COUNTIFS($A$2:$A$501,A481,$B$2:$B$501,B481,$D$2:$D$501,D481)&gt;1,"DUPLICATE INVOICE / PROJECT",IF(SUMPRODUCT(--(('ERP Snapshot'!$A$2:$A$101&amp;"")=(B481&amp;"")))=0,"PROJECT NOT FOUND",IF(SUMPRODUCT(--(('ERP Snapshot'!$A$2:$A$101&amp;"")=(B481&amp;"")))&gt;1,"DUPLICATE PROJECT ID",IF(OR(SUMPRODUCT(--(('ERP Snapshot'!$A$2:$A$101&amp;"")=(B481&amp;"")),--('ERP Snapshot'!$Q$2:$Q$101=E481),--('ERP Snapshot'!$R$2:$R$101=F481))&lt;&gt;1,SUMPRODUCT(--('Commercial Catalogs'!$A$2:$A$10=E481),--('Commercial Catalogs'!$B$2:$B$10=F481),--('Commercial Catalogs'!$C$2:$C$10="YES"),--('Commercial Catalogs'!$D$2:$D$10="IN SCOPE"))=0,AND(E481="Strategic Services",F481&lt;&gt;"N/A"),AND(E481="Brands",F481="N/A")),"PROJECT CLASSIFICATION MISMATCH",IF(AND(G481="MXN",NOT(AND(ISNUMBER(I481),Settings!$B$8="APPROVED",Settings!$B$9&lt;&gt;"",Settings!$B$10&lt;&gt;""))),"FX HOLD","VALID"))))))))))))))))))</x:f>
      </x:c>
      <x:c r="M481" s="57" t="str">
        <x:f>IF(ISNUMBER(C481),IF(AND(ISNUMBER(C481),C481&gt;=2,C481&lt;=2958465,C481=INT(C481)),YEAR(C481)&amp;"-"&amp;IF(MONTH(C481)&lt;10,"0","")&amp;MONTH(C481),""),"")</x:f>
      </x:c>
      <x:c r="N481" s="59" t="str">
        <x:f>IF(L481="VALID",IF(G481="USD",H481,I481),"")</x:f>
      </x:c>
      <x:c r="O481" s="57" t="n">
        <x:f>IF(L481="VALID",IF(COUNTIFS($B$2:B481,B481,$M$2:M481,M481,$L$2:L481,"VALID")=1,1,0),0)</x:f>
        <x:v>0</x:v>
      </x:c>
    </x:row>
    <x:row r="482">
      <x:c r="A482" s="47"/>
      <x:c r="B482" s="47"/>
      <x:c r="C482" s="69"/>
      <x:c r="D482" s="47"/>
      <x:c r="E482" s="47"/>
      <x:c r="F482" s="47"/>
      <x:c r="G482" s="47"/>
      <x:c r="H482" s="48"/>
      <x:c r="I482" s="48"/>
      <x:c r="J482" s="47"/>
      <x:c r="K482" s="47"/>
      <x:c r="L482" s="57" t="str">
        <x:f>IF(COUNTA(A482:K482)=0,"",IF(K482="CANCELLED","CANCELLED",IF(A482="","INVOICE ID REQUIRED",IF(B482="","PROJECT ID REQUIRED",IF(NOT(ISNUMBER(C482)),"INVALID INVOICE DATE",IF(NOT(AND(ISNUMBER(C482),C482&gt;=2,C482&lt;=2958465,C482=INT(C482))),"INVALID INVOICE DATE",IF(NOT(OR(D482="MX",D482="US")),"ENTITY REQUIRED",IF(NOT(OR(E482="Strategic Services",E482="Brands")),"UNIT REQUIRED",IF(F482="","BRAND / N/A REQUIRED",IF(NOT(OR(G482="USD",G482="MXN")),"CURRENCY REQUIRED",IF(NOT(ISNUMBER(H482)),"AMOUNT REQUIRED",IF(J482="","ERP SOURCE REQUIRED",IF(NOT(OR(K482="ISSUED",K482="CANCELLED")),"INVOICE STATUS REQUIRED",IF(COUNTIFS($A$2:$A$501,A482,$B$2:$B$501,B482,$D$2:$D$501,D482)&gt;1,"DUPLICATE INVOICE / PROJECT",IF(SUMPRODUCT(--(('ERP Snapshot'!$A$2:$A$101&amp;"")=(B482&amp;"")))=0,"PROJECT NOT FOUND",IF(SUMPRODUCT(--(('ERP Snapshot'!$A$2:$A$101&amp;"")=(B482&amp;"")))&gt;1,"DUPLICATE PROJECT ID",IF(OR(SUMPRODUCT(--(('ERP Snapshot'!$A$2:$A$101&amp;"")=(B482&amp;"")),--('ERP Snapshot'!$Q$2:$Q$101=E482),--('ERP Snapshot'!$R$2:$R$101=F482))&lt;&gt;1,SUMPRODUCT(--('Commercial Catalogs'!$A$2:$A$10=E482),--('Commercial Catalogs'!$B$2:$B$10=F482),--('Commercial Catalogs'!$C$2:$C$10="YES"),--('Commercial Catalogs'!$D$2:$D$10="IN SCOPE"))=0,AND(E482="Strategic Services",F482&lt;&gt;"N/A"),AND(E482="Brands",F482="N/A")),"PROJECT CLASSIFICATION MISMATCH",IF(AND(G482="MXN",NOT(AND(ISNUMBER(I482),Settings!$B$8="APPROVED",Settings!$B$9&lt;&gt;"",Settings!$B$10&lt;&gt;""))),"FX HOLD","VALID"))))))))))))))))))</x:f>
      </x:c>
      <x:c r="M482" s="57" t="str">
        <x:f>IF(ISNUMBER(C482),IF(AND(ISNUMBER(C482),C482&gt;=2,C482&lt;=2958465,C482=INT(C482)),YEAR(C482)&amp;"-"&amp;IF(MONTH(C482)&lt;10,"0","")&amp;MONTH(C482),""),"")</x:f>
      </x:c>
      <x:c r="N482" s="59" t="str">
        <x:f>IF(L482="VALID",IF(G482="USD",H482,I482),"")</x:f>
      </x:c>
      <x:c r="O482" s="57" t="n">
        <x:f>IF(L482="VALID",IF(COUNTIFS($B$2:B482,B482,$M$2:M482,M482,$L$2:L482,"VALID")=1,1,0),0)</x:f>
        <x:v>0</x:v>
      </x:c>
    </x:row>
    <x:row r="483">
      <x:c r="A483" s="47"/>
      <x:c r="B483" s="47"/>
      <x:c r="C483" s="69"/>
      <x:c r="D483" s="47"/>
      <x:c r="E483" s="47"/>
      <x:c r="F483" s="47"/>
      <x:c r="G483" s="47"/>
      <x:c r="H483" s="48"/>
      <x:c r="I483" s="48"/>
      <x:c r="J483" s="47"/>
      <x:c r="K483" s="47"/>
      <x:c r="L483" s="57" t="str">
        <x:f>IF(COUNTA(A483:K483)=0,"",IF(K483="CANCELLED","CANCELLED",IF(A483="","INVOICE ID REQUIRED",IF(B483="","PROJECT ID REQUIRED",IF(NOT(ISNUMBER(C483)),"INVALID INVOICE DATE",IF(NOT(AND(ISNUMBER(C483),C483&gt;=2,C483&lt;=2958465,C483=INT(C483))),"INVALID INVOICE DATE",IF(NOT(OR(D483="MX",D483="US")),"ENTITY REQUIRED",IF(NOT(OR(E483="Strategic Services",E483="Brands")),"UNIT REQUIRED",IF(F483="","BRAND / N/A REQUIRED",IF(NOT(OR(G483="USD",G483="MXN")),"CURRENCY REQUIRED",IF(NOT(ISNUMBER(H483)),"AMOUNT REQUIRED",IF(J483="","ERP SOURCE REQUIRED",IF(NOT(OR(K483="ISSUED",K483="CANCELLED")),"INVOICE STATUS REQUIRED",IF(COUNTIFS($A$2:$A$501,A483,$B$2:$B$501,B483,$D$2:$D$501,D483)&gt;1,"DUPLICATE INVOICE / PROJECT",IF(SUMPRODUCT(--(('ERP Snapshot'!$A$2:$A$101&amp;"")=(B483&amp;"")))=0,"PROJECT NOT FOUND",IF(SUMPRODUCT(--(('ERP Snapshot'!$A$2:$A$101&amp;"")=(B483&amp;"")))&gt;1,"DUPLICATE PROJECT ID",IF(OR(SUMPRODUCT(--(('ERP Snapshot'!$A$2:$A$101&amp;"")=(B483&amp;"")),--('ERP Snapshot'!$Q$2:$Q$101=E483),--('ERP Snapshot'!$R$2:$R$101=F483))&lt;&gt;1,SUMPRODUCT(--('Commercial Catalogs'!$A$2:$A$10=E483),--('Commercial Catalogs'!$B$2:$B$10=F483),--('Commercial Catalogs'!$C$2:$C$10="YES"),--('Commercial Catalogs'!$D$2:$D$10="IN SCOPE"))=0,AND(E483="Strategic Services",F483&lt;&gt;"N/A"),AND(E483="Brands",F483="N/A")),"PROJECT CLASSIFICATION MISMATCH",IF(AND(G483="MXN",NOT(AND(ISNUMBER(I483),Settings!$B$8="APPROVED",Settings!$B$9&lt;&gt;"",Settings!$B$10&lt;&gt;""))),"FX HOLD","VALID"))))))))))))))))))</x:f>
      </x:c>
      <x:c r="M483" s="57" t="str">
        <x:f>IF(ISNUMBER(C483),IF(AND(ISNUMBER(C483),C483&gt;=2,C483&lt;=2958465,C483=INT(C483)),YEAR(C483)&amp;"-"&amp;IF(MONTH(C483)&lt;10,"0","")&amp;MONTH(C483),""),"")</x:f>
      </x:c>
      <x:c r="N483" s="59" t="str">
        <x:f>IF(L483="VALID",IF(G483="USD",H483,I483),"")</x:f>
      </x:c>
      <x:c r="O483" s="57" t="n">
        <x:f>IF(L483="VALID",IF(COUNTIFS($B$2:B483,B483,$M$2:M483,M483,$L$2:L483,"VALID")=1,1,0),0)</x:f>
        <x:v>0</x:v>
      </x:c>
    </x:row>
    <x:row r="484">
      <x:c r="A484" s="47"/>
      <x:c r="B484" s="47"/>
      <x:c r="C484" s="69"/>
      <x:c r="D484" s="47"/>
      <x:c r="E484" s="47"/>
      <x:c r="F484" s="47"/>
      <x:c r="G484" s="47"/>
      <x:c r="H484" s="48"/>
      <x:c r="I484" s="48"/>
      <x:c r="J484" s="47"/>
      <x:c r="K484" s="47"/>
      <x:c r="L484" s="57" t="str">
        <x:f>IF(COUNTA(A484:K484)=0,"",IF(K484="CANCELLED","CANCELLED",IF(A484="","INVOICE ID REQUIRED",IF(B484="","PROJECT ID REQUIRED",IF(NOT(ISNUMBER(C484)),"INVALID INVOICE DATE",IF(NOT(AND(ISNUMBER(C484),C484&gt;=2,C484&lt;=2958465,C484=INT(C484))),"INVALID INVOICE DATE",IF(NOT(OR(D484="MX",D484="US")),"ENTITY REQUIRED",IF(NOT(OR(E484="Strategic Services",E484="Brands")),"UNIT REQUIRED",IF(F484="","BRAND / N/A REQUIRED",IF(NOT(OR(G484="USD",G484="MXN")),"CURRENCY REQUIRED",IF(NOT(ISNUMBER(H484)),"AMOUNT REQUIRED",IF(J484="","ERP SOURCE REQUIRED",IF(NOT(OR(K484="ISSUED",K484="CANCELLED")),"INVOICE STATUS REQUIRED",IF(COUNTIFS($A$2:$A$501,A484,$B$2:$B$501,B484,$D$2:$D$501,D484)&gt;1,"DUPLICATE INVOICE / PROJECT",IF(SUMPRODUCT(--(('ERP Snapshot'!$A$2:$A$101&amp;"")=(B484&amp;"")))=0,"PROJECT NOT FOUND",IF(SUMPRODUCT(--(('ERP Snapshot'!$A$2:$A$101&amp;"")=(B484&amp;"")))&gt;1,"DUPLICATE PROJECT ID",IF(OR(SUMPRODUCT(--(('ERP Snapshot'!$A$2:$A$101&amp;"")=(B484&amp;"")),--('ERP Snapshot'!$Q$2:$Q$101=E484),--('ERP Snapshot'!$R$2:$R$101=F484))&lt;&gt;1,SUMPRODUCT(--('Commercial Catalogs'!$A$2:$A$10=E484),--('Commercial Catalogs'!$B$2:$B$10=F484),--('Commercial Catalogs'!$C$2:$C$10="YES"),--('Commercial Catalogs'!$D$2:$D$10="IN SCOPE"))=0,AND(E484="Strategic Services",F484&lt;&gt;"N/A"),AND(E484="Brands",F484="N/A")),"PROJECT CLASSIFICATION MISMATCH",IF(AND(G484="MXN",NOT(AND(ISNUMBER(I484),Settings!$B$8="APPROVED",Settings!$B$9&lt;&gt;"",Settings!$B$10&lt;&gt;""))),"FX HOLD","VALID"))))))))))))))))))</x:f>
      </x:c>
      <x:c r="M484" s="57" t="str">
        <x:f>IF(ISNUMBER(C484),IF(AND(ISNUMBER(C484),C484&gt;=2,C484&lt;=2958465,C484=INT(C484)),YEAR(C484)&amp;"-"&amp;IF(MONTH(C484)&lt;10,"0","")&amp;MONTH(C484),""),"")</x:f>
      </x:c>
      <x:c r="N484" s="59" t="str">
        <x:f>IF(L484="VALID",IF(G484="USD",H484,I484),"")</x:f>
      </x:c>
      <x:c r="O484" s="57" t="n">
        <x:f>IF(L484="VALID",IF(COUNTIFS($B$2:B484,B484,$M$2:M484,M484,$L$2:L484,"VALID")=1,1,0),0)</x:f>
        <x:v>0</x:v>
      </x:c>
    </x:row>
    <x:row r="485">
      <x:c r="A485" s="47"/>
      <x:c r="B485" s="47"/>
      <x:c r="C485" s="69"/>
      <x:c r="D485" s="47"/>
      <x:c r="E485" s="47"/>
      <x:c r="F485" s="47"/>
      <x:c r="G485" s="47"/>
      <x:c r="H485" s="48"/>
      <x:c r="I485" s="48"/>
      <x:c r="J485" s="47"/>
      <x:c r="K485" s="47"/>
      <x:c r="L485" s="57" t="str">
        <x:f>IF(COUNTA(A485:K485)=0,"",IF(K485="CANCELLED","CANCELLED",IF(A485="","INVOICE ID REQUIRED",IF(B485="","PROJECT ID REQUIRED",IF(NOT(ISNUMBER(C485)),"INVALID INVOICE DATE",IF(NOT(AND(ISNUMBER(C485),C485&gt;=2,C485&lt;=2958465,C485=INT(C485))),"INVALID INVOICE DATE",IF(NOT(OR(D485="MX",D485="US")),"ENTITY REQUIRED",IF(NOT(OR(E485="Strategic Services",E485="Brands")),"UNIT REQUIRED",IF(F485="","BRAND / N/A REQUIRED",IF(NOT(OR(G485="USD",G485="MXN")),"CURRENCY REQUIRED",IF(NOT(ISNUMBER(H485)),"AMOUNT REQUIRED",IF(J485="","ERP SOURCE REQUIRED",IF(NOT(OR(K485="ISSUED",K485="CANCELLED")),"INVOICE STATUS REQUIRED",IF(COUNTIFS($A$2:$A$501,A485,$B$2:$B$501,B485,$D$2:$D$501,D485)&gt;1,"DUPLICATE INVOICE / PROJECT",IF(SUMPRODUCT(--(('ERP Snapshot'!$A$2:$A$101&amp;"")=(B485&amp;"")))=0,"PROJECT NOT FOUND",IF(SUMPRODUCT(--(('ERP Snapshot'!$A$2:$A$101&amp;"")=(B485&amp;"")))&gt;1,"DUPLICATE PROJECT ID",IF(OR(SUMPRODUCT(--(('ERP Snapshot'!$A$2:$A$101&amp;"")=(B485&amp;"")),--('ERP Snapshot'!$Q$2:$Q$101=E485),--('ERP Snapshot'!$R$2:$R$101=F485))&lt;&gt;1,SUMPRODUCT(--('Commercial Catalogs'!$A$2:$A$10=E485),--('Commercial Catalogs'!$B$2:$B$10=F485),--('Commercial Catalogs'!$C$2:$C$10="YES"),--('Commercial Catalogs'!$D$2:$D$10="IN SCOPE"))=0,AND(E485="Strategic Services",F485&lt;&gt;"N/A"),AND(E485="Brands",F485="N/A")),"PROJECT CLASSIFICATION MISMATCH",IF(AND(G485="MXN",NOT(AND(ISNUMBER(I485),Settings!$B$8="APPROVED",Settings!$B$9&lt;&gt;"",Settings!$B$10&lt;&gt;""))),"FX HOLD","VALID"))))))))))))))))))</x:f>
      </x:c>
      <x:c r="M485" s="57" t="str">
        <x:f>IF(ISNUMBER(C485),IF(AND(ISNUMBER(C485),C485&gt;=2,C485&lt;=2958465,C485=INT(C485)),YEAR(C485)&amp;"-"&amp;IF(MONTH(C485)&lt;10,"0","")&amp;MONTH(C485),""),"")</x:f>
      </x:c>
      <x:c r="N485" s="59" t="str">
        <x:f>IF(L485="VALID",IF(G485="USD",H485,I485),"")</x:f>
      </x:c>
      <x:c r="O485" s="57" t="n">
        <x:f>IF(L485="VALID",IF(COUNTIFS($B$2:B485,B485,$M$2:M485,M485,$L$2:L485,"VALID")=1,1,0),0)</x:f>
        <x:v>0</x:v>
      </x:c>
    </x:row>
    <x:row r="486">
      <x:c r="A486" s="47"/>
      <x:c r="B486" s="47"/>
      <x:c r="C486" s="69"/>
      <x:c r="D486" s="47"/>
      <x:c r="E486" s="47"/>
      <x:c r="F486" s="47"/>
      <x:c r="G486" s="47"/>
      <x:c r="H486" s="48"/>
      <x:c r="I486" s="48"/>
      <x:c r="J486" s="47"/>
      <x:c r="K486" s="47"/>
      <x:c r="L486" s="57" t="str">
        <x:f>IF(COUNTA(A486:K486)=0,"",IF(K486="CANCELLED","CANCELLED",IF(A486="","INVOICE ID REQUIRED",IF(B486="","PROJECT ID REQUIRED",IF(NOT(ISNUMBER(C486)),"INVALID INVOICE DATE",IF(NOT(AND(ISNUMBER(C486),C486&gt;=2,C486&lt;=2958465,C486=INT(C486))),"INVALID INVOICE DATE",IF(NOT(OR(D486="MX",D486="US")),"ENTITY REQUIRED",IF(NOT(OR(E486="Strategic Services",E486="Brands")),"UNIT REQUIRED",IF(F486="","BRAND / N/A REQUIRED",IF(NOT(OR(G486="USD",G486="MXN")),"CURRENCY REQUIRED",IF(NOT(ISNUMBER(H486)),"AMOUNT REQUIRED",IF(J486="","ERP SOURCE REQUIRED",IF(NOT(OR(K486="ISSUED",K486="CANCELLED")),"INVOICE STATUS REQUIRED",IF(COUNTIFS($A$2:$A$501,A486,$B$2:$B$501,B486,$D$2:$D$501,D486)&gt;1,"DUPLICATE INVOICE / PROJECT",IF(SUMPRODUCT(--(('ERP Snapshot'!$A$2:$A$101&amp;"")=(B486&amp;"")))=0,"PROJECT NOT FOUND",IF(SUMPRODUCT(--(('ERP Snapshot'!$A$2:$A$101&amp;"")=(B486&amp;"")))&gt;1,"DUPLICATE PROJECT ID",IF(OR(SUMPRODUCT(--(('ERP Snapshot'!$A$2:$A$101&amp;"")=(B486&amp;"")),--('ERP Snapshot'!$Q$2:$Q$101=E486),--('ERP Snapshot'!$R$2:$R$101=F486))&lt;&gt;1,SUMPRODUCT(--('Commercial Catalogs'!$A$2:$A$10=E486),--('Commercial Catalogs'!$B$2:$B$10=F486),--('Commercial Catalogs'!$C$2:$C$10="YES"),--('Commercial Catalogs'!$D$2:$D$10="IN SCOPE"))=0,AND(E486="Strategic Services",F486&lt;&gt;"N/A"),AND(E486="Brands",F486="N/A")),"PROJECT CLASSIFICATION MISMATCH",IF(AND(G486="MXN",NOT(AND(ISNUMBER(I486),Settings!$B$8="APPROVED",Settings!$B$9&lt;&gt;"",Settings!$B$10&lt;&gt;""))),"FX HOLD","VALID"))))))))))))))))))</x:f>
      </x:c>
      <x:c r="M486" s="57" t="str">
        <x:f>IF(ISNUMBER(C486),IF(AND(ISNUMBER(C486),C486&gt;=2,C486&lt;=2958465,C486=INT(C486)),YEAR(C486)&amp;"-"&amp;IF(MONTH(C486)&lt;10,"0","")&amp;MONTH(C486),""),"")</x:f>
      </x:c>
      <x:c r="N486" s="59" t="str">
        <x:f>IF(L486="VALID",IF(G486="USD",H486,I486),"")</x:f>
      </x:c>
      <x:c r="O486" s="57" t="n">
        <x:f>IF(L486="VALID",IF(COUNTIFS($B$2:B486,B486,$M$2:M486,M486,$L$2:L486,"VALID")=1,1,0),0)</x:f>
        <x:v>0</x:v>
      </x:c>
    </x:row>
    <x:row r="487">
      <x:c r="A487" s="47"/>
      <x:c r="B487" s="47"/>
      <x:c r="C487" s="69"/>
      <x:c r="D487" s="47"/>
      <x:c r="E487" s="47"/>
      <x:c r="F487" s="47"/>
      <x:c r="G487" s="47"/>
      <x:c r="H487" s="48"/>
      <x:c r="I487" s="48"/>
      <x:c r="J487" s="47"/>
      <x:c r="K487" s="47"/>
      <x:c r="L487" s="57" t="str">
        <x:f>IF(COUNTA(A487:K487)=0,"",IF(K487="CANCELLED","CANCELLED",IF(A487="","INVOICE ID REQUIRED",IF(B487="","PROJECT ID REQUIRED",IF(NOT(ISNUMBER(C487)),"INVALID INVOICE DATE",IF(NOT(AND(ISNUMBER(C487),C487&gt;=2,C487&lt;=2958465,C487=INT(C487))),"INVALID INVOICE DATE",IF(NOT(OR(D487="MX",D487="US")),"ENTITY REQUIRED",IF(NOT(OR(E487="Strategic Services",E487="Brands")),"UNIT REQUIRED",IF(F487="","BRAND / N/A REQUIRED",IF(NOT(OR(G487="USD",G487="MXN")),"CURRENCY REQUIRED",IF(NOT(ISNUMBER(H487)),"AMOUNT REQUIRED",IF(J487="","ERP SOURCE REQUIRED",IF(NOT(OR(K487="ISSUED",K487="CANCELLED")),"INVOICE STATUS REQUIRED",IF(COUNTIFS($A$2:$A$501,A487,$B$2:$B$501,B487,$D$2:$D$501,D487)&gt;1,"DUPLICATE INVOICE / PROJECT",IF(SUMPRODUCT(--(('ERP Snapshot'!$A$2:$A$101&amp;"")=(B487&amp;"")))=0,"PROJECT NOT FOUND",IF(SUMPRODUCT(--(('ERP Snapshot'!$A$2:$A$101&amp;"")=(B487&amp;"")))&gt;1,"DUPLICATE PROJECT ID",IF(OR(SUMPRODUCT(--(('ERP Snapshot'!$A$2:$A$101&amp;"")=(B487&amp;"")),--('ERP Snapshot'!$Q$2:$Q$101=E487),--('ERP Snapshot'!$R$2:$R$101=F487))&lt;&gt;1,SUMPRODUCT(--('Commercial Catalogs'!$A$2:$A$10=E487),--('Commercial Catalogs'!$B$2:$B$10=F487),--('Commercial Catalogs'!$C$2:$C$10="YES"),--('Commercial Catalogs'!$D$2:$D$10="IN SCOPE"))=0,AND(E487="Strategic Services",F487&lt;&gt;"N/A"),AND(E487="Brands",F487="N/A")),"PROJECT CLASSIFICATION MISMATCH",IF(AND(G487="MXN",NOT(AND(ISNUMBER(I487),Settings!$B$8="APPROVED",Settings!$B$9&lt;&gt;"",Settings!$B$10&lt;&gt;""))),"FX HOLD","VALID"))))))))))))))))))</x:f>
      </x:c>
      <x:c r="M487" s="57" t="str">
        <x:f>IF(ISNUMBER(C487),IF(AND(ISNUMBER(C487),C487&gt;=2,C487&lt;=2958465,C487=INT(C487)),YEAR(C487)&amp;"-"&amp;IF(MONTH(C487)&lt;10,"0","")&amp;MONTH(C487),""),"")</x:f>
      </x:c>
      <x:c r="N487" s="59" t="str">
        <x:f>IF(L487="VALID",IF(G487="USD",H487,I487),"")</x:f>
      </x:c>
      <x:c r="O487" s="57" t="n">
        <x:f>IF(L487="VALID",IF(COUNTIFS($B$2:B487,B487,$M$2:M487,M487,$L$2:L487,"VALID")=1,1,0),0)</x:f>
        <x:v>0</x:v>
      </x:c>
    </x:row>
    <x:row r="488">
      <x:c r="A488" s="47"/>
      <x:c r="B488" s="47"/>
      <x:c r="C488" s="69"/>
      <x:c r="D488" s="47"/>
      <x:c r="E488" s="47"/>
      <x:c r="F488" s="47"/>
      <x:c r="G488" s="47"/>
      <x:c r="H488" s="48"/>
      <x:c r="I488" s="48"/>
      <x:c r="J488" s="47"/>
      <x:c r="K488" s="47"/>
      <x:c r="L488" s="57" t="str">
        <x:f>IF(COUNTA(A488:K488)=0,"",IF(K488="CANCELLED","CANCELLED",IF(A488="","INVOICE ID REQUIRED",IF(B488="","PROJECT ID REQUIRED",IF(NOT(ISNUMBER(C488)),"INVALID INVOICE DATE",IF(NOT(AND(ISNUMBER(C488),C488&gt;=2,C488&lt;=2958465,C488=INT(C488))),"INVALID INVOICE DATE",IF(NOT(OR(D488="MX",D488="US")),"ENTITY REQUIRED",IF(NOT(OR(E488="Strategic Services",E488="Brands")),"UNIT REQUIRED",IF(F488="","BRAND / N/A REQUIRED",IF(NOT(OR(G488="USD",G488="MXN")),"CURRENCY REQUIRED",IF(NOT(ISNUMBER(H488)),"AMOUNT REQUIRED",IF(J488="","ERP SOURCE REQUIRED",IF(NOT(OR(K488="ISSUED",K488="CANCELLED")),"INVOICE STATUS REQUIRED",IF(COUNTIFS($A$2:$A$501,A488,$B$2:$B$501,B488,$D$2:$D$501,D488)&gt;1,"DUPLICATE INVOICE / PROJECT",IF(SUMPRODUCT(--(('ERP Snapshot'!$A$2:$A$101&amp;"")=(B488&amp;"")))=0,"PROJECT NOT FOUND",IF(SUMPRODUCT(--(('ERP Snapshot'!$A$2:$A$101&amp;"")=(B488&amp;"")))&gt;1,"DUPLICATE PROJECT ID",IF(OR(SUMPRODUCT(--(('ERP Snapshot'!$A$2:$A$101&amp;"")=(B488&amp;"")),--('ERP Snapshot'!$Q$2:$Q$101=E488),--('ERP Snapshot'!$R$2:$R$101=F488))&lt;&gt;1,SUMPRODUCT(--('Commercial Catalogs'!$A$2:$A$10=E488),--('Commercial Catalogs'!$B$2:$B$10=F488),--('Commercial Catalogs'!$C$2:$C$10="YES"),--('Commercial Catalogs'!$D$2:$D$10="IN SCOPE"))=0,AND(E488="Strategic Services",F488&lt;&gt;"N/A"),AND(E488="Brands",F488="N/A")),"PROJECT CLASSIFICATION MISMATCH",IF(AND(G488="MXN",NOT(AND(ISNUMBER(I488),Settings!$B$8="APPROVED",Settings!$B$9&lt;&gt;"",Settings!$B$10&lt;&gt;""))),"FX HOLD","VALID"))))))))))))))))))</x:f>
      </x:c>
      <x:c r="M488" s="57" t="str">
        <x:f>IF(ISNUMBER(C488),IF(AND(ISNUMBER(C488),C488&gt;=2,C488&lt;=2958465,C488=INT(C488)),YEAR(C488)&amp;"-"&amp;IF(MONTH(C488)&lt;10,"0","")&amp;MONTH(C488),""),"")</x:f>
      </x:c>
      <x:c r="N488" s="59" t="str">
        <x:f>IF(L488="VALID",IF(G488="USD",H488,I488),"")</x:f>
      </x:c>
      <x:c r="O488" s="57" t="n">
        <x:f>IF(L488="VALID",IF(COUNTIFS($B$2:B488,B488,$M$2:M488,M488,$L$2:L488,"VALID")=1,1,0),0)</x:f>
        <x:v>0</x:v>
      </x:c>
    </x:row>
    <x:row r="489">
      <x:c r="A489" s="47"/>
      <x:c r="B489" s="47"/>
      <x:c r="C489" s="69"/>
      <x:c r="D489" s="47"/>
      <x:c r="E489" s="47"/>
      <x:c r="F489" s="47"/>
      <x:c r="G489" s="47"/>
      <x:c r="H489" s="48"/>
      <x:c r="I489" s="48"/>
      <x:c r="J489" s="47"/>
      <x:c r="K489" s="47"/>
      <x:c r="L489" s="57" t="str">
        <x:f>IF(COUNTA(A489:K489)=0,"",IF(K489="CANCELLED","CANCELLED",IF(A489="","INVOICE ID REQUIRED",IF(B489="","PROJECT ID REQUIRED",IF(NOT(ISNUMBER(C489)),"INVALID INVOICE DATE",IF(NOT(AND(ISNUMBER(C489),C489&gt;=2,C489&lt;=2958465,C489=INT(C489))),"INVALID INVOICE DATE",IF(NOT(OR(D489="MX",D489="US")),"ENTITY REQUIRED",IF(NOT(OR(E489="Strategic Services",E489="Brands")),"UNIT REQUIRED",IF(F489="","BRAND / N/A REQUIRED",IF(NOT(OR(G489="USD",G489="MXN")),"CURRENCY REQUIRED",IF(NOT(ISNUMBER(H489)),"AMOUNT REQUIRED",IF(J489="","ERP SOURCE REQUIRED",IF(NOT(OR(K489="ISSUED",K489="CANCELLED")),"INVOICE STATUS REQUIRED",IF(COUNTIFS($A$2:$A$501,A489,$B$2:$B$501,B489,$D$2:$D$501,D489)&gt;1,"DUPLICATE INVOICE / PROJECT",IF(SUMPRODUCT(--(('ERP Snapshot'!$A$2:$A$101&amp;"")=(B489&amp;"")))=0,"PROJECT NOT FOUND",IF(SUMPRODUCT(--(('ERP Snapshot'!$A$2:$A$101&amp;"")=(B489&amp;"")))&gt;1,"DUPLICATE PROJECT ID",IF(OR(SUMPRODUCT(--(('ERP Snapshot'!$A$2:$A$101&amp;"")=(B489&amp;"")),--('ERP Snapshot'!$Q$2:$Q$101=E489),--('ERP Snapshot'!$R$2:$R$101=F489))&lt;&gt;1,SUMPRODUCT(--('Commercial Catalogs'!$A$2:$A$10=E489),--('Commercial Catalogs'!$B$2:$B$10=F489),--('Commercial Catalogs'!$C$2:$C$10="YES"),--('Commercial Catalogs'!$D$2:$D$10="IN SCOPE"))=0,AND(E489="Strategic Services",F489&lt;&gt;"N/A"),AND(E489="Brands",F489="N/A")),"PROJECT CLASSIFICATION MISMATCH",IF(AND(G489="MXN",NOT(AND(ISNUMBER(I489),Settings!$B$8="APPROVED",Settings!$B$9&lt;&gt;"",Settings!$B$10&lt;&gt;""))),"FX HOLD","VALID"))))))))))))))))))</x:f>
      </x:c>
      <x:c r="M489" s="57" t="str">
        <x:f>IF(ISNUMBER(C489),IF(AND(ISNUMBER(C489),C489&gt;=2,C489&lt;=2958465,C489=INT(C489)),YEAR(C489)&amp;"-"&amp;IF(MONTH(C489)&lt;10,"0","")&amp;MONTH(C489),""),"")</x:f>
      </x:c>
      <x:c r="N489" s="59" t="str">
        <x:f>IF(L489="VALID",IF(G489="USD",H489,I489),"")</x:f>
      </x:c>
      <x:c r="O489" s="57" t="n">
        <x:f>IF(L489="VALID",IF(COUNTIFS($B$2:B489,B489,$M$2:M489,M489,$L$2:L489,"VALID")=1,1,0),0)</x:f>
        <x:v>0</x:v>
      </x:c>
    </x:row>
    <x:row r="490">
      <x:c r="A490" s="47"/>
      <x:c r="B490" s="47"/>
      <x:c r="C490" s="69"/>
      <x:c r="D490" s="47"/>
      <x:c r="E490" s="47"/>
      <x:c r="F490" s="47"/>
      <x:c r="G490" s="47"/>
      <x:c r="H490" s="48"/>
      <x:c r="I490" s="48"/>
      <x:c r="J490" s="47"/>
      <x:c r="K490" s="47"/>
      <x:c r="L490" s="57" t="str">
        <x:f>IF(COUNTA(A490:K490)=0,"",IF(K490="CANCELLED","CANCELLED",IF(A490="","INVOICE ID REQUIRED",IF(B490="","PROJECT ID REQUIRED",IF(NOT(ISNUMBER(C490)),"INVALID INVOICE DATE",IF(NOT(AND(ISNUMBER(C490),C490&gt;=2,C490&lt;=2958465,C490=INT(C490))),"INVALID INVOICE DATE",IF(NOT(OR(D490="MX",D490="US")),"ENTITY REQUIRED",IF(NOT(OR(E490="Strategic Services",E490="Brands")),"UNIT REQUIRED",IF(F490="","BRAND / N/A REQUIRED",IF(NOT(OR(G490="USD",G490="MXN")),"CURRENCY REQUIRED",IF(NOT(ISNUMBER(H490)),"AMOUNT REQUIRED",IF(J490="","ERP SOURCE REQUIRED",IF(NOT(OR(K490="ISSUED",K490="CANCELLED")),"INVOICE STATUS REQUIRED",IF(COUNTIFS($A$2:$A$501,A490,$B$2:$B$501,B490,$D$2:$D$501,D490)&gt;1,"DUPLICATE INVOICE / PROJECT",IF(SUMPRODUCT(--(('ERP Snapshot'!$A$2:$A$101&amp;"")=(B490&amp;"")))=0,"PROJECT NOT FOUND",IF(SUMPRODUCT(--(('ERP Snapshot'!$A$2:$A$101&amp;"")=(B490&amp;"")))&gt;1,"DUPLICATE PROJECT ID",IF(OR(SUMPRODUCT(--(('ERP Snapshot'!$A$2:$A$101&amp;"")=(B490&amp;"")),--('ERP Snapshot'!$Q$2:$Q$101=E490),--('ERP Snapshot'!$R$2:$R$101=F490))&lt;&gt;1,SUMPRODUCT(--('Commercial Catalogs'!$A$2:$A$10=E490),--('Commercial Catalogs'!$B$2:$B$10=F490),--('Commercial Catalogs'!$C$2:$C$10="YES"),--('Commercial Catalogs'!$D$2:$D$10="IN SCOPE"))=0,AND(E490="Strategic Services",F490&lt;&gt;"N/A"),AND(E490="Brands",F490="N/A")),"PROJECT CLASSIFICATION MISMATCH",IF(AND(G490="MXN",NOT(AND(ISNUMBER(I490),Settings!$B$8="APPROVED",Settings!$B$9&lt;&gt;"",Settings!$B$10&lt;&gt;""))),"FX HOLD","VALID"))))))))))))))))))</x:f>
      </x:c>
      <x:c r="M490" s="57" t="str">
        <x:f>IF(ISNUMBER(C490),IF(AND(ISNUMBER(C490),C490&gt;=2,C490&lt;=2958465,C490=INT(C490)),YEAR(C490)&amp;"-"&amp;IF(MONTH(C490)&lt;10,"0","")&amp;MONTH(C490),""),"")</x:f>
      </x:c>
      <x:c r="N490" s="59" t="str">
        <x:f>IF(L490="VALID",IF(G490="USD",H490,I490),"")</x:f>
      </x:c>
      <x:c r="O490" s="57" t="n">
        <x:f>IF(L490="VALID",IF(COUNTIFS($B$2:B490,B490,$M$2:M490,M490,$L$2:L490,"VALID")=1,1,0),0)</x:f>
        <x:v>0</x:v>
      </x:c>
    </x:row>
    <x:row r="491">
      <x:c r="A491" s="47"/>
      <x:c r="B491" s="47"/>
      <x:c r="C491" s="69"/>
      <x:c r="D491" s="47"/>
      <x:c r="E491" s="47"/>
      <x:c r="F491" s="47"/>
      <x:c r="G491" s="47"/>
      <x:c r="H491" s="48"/>
      <x:c r="I491" s="48"/>
      <x:c r="J491" s="47"/>
      <x:c r="K491" s="47"/>
      <x:c r="L491" s="57" t="str">
        <x:f>IF(COUNTA(A491:K491)=0,"",IF(K491="CANCELLED","CANCELLED",IF(A491="","INVOICE ID REQUIRED",IF(B491="","PROJECT ID REQUIRED",IF(NOT(ISNUMBER(C491)),"INVALID INVOICE DATE",IF(NOT(AND(ISNUMBER(C491),C491&gt;=2,C491&lt;=2958465,C491=INT(C491))),"INVALID INVOICE DATE",IF(NOT(OR(D491="MX",D491="US")),"ENTITY REQUIRED",IF(NOT(OR(E491="Strategic Services",E491="Brands")),"UNIT REQUIRED",IF(F491="","BRAND / N/A REQUIRED",IF(NOT(OR(G491="USD",G491="MXN")),"CURRENCY REQUIRED",IF(NOT(ISNUMBER(H491)),"AMOUNT REQUIRED",IF(J491="","ERP SOURCE REQUIRED",IF(NOT(OR(K491="ISSUED",K491="CANCELLED")),"INVOICE STATUS REQUIRED",IF(COUNTIFS($A$2:$A$501,A491,$B$2:$B$501,B491,$D$2:$D$501,D491)&gt;1,"DUPLICATE INVOICE / PROJECT",IF(SUMPRODUCT(--(('ERP Snapshot'!$A$2:$A$101&amp;"")=(B491&amp;"")))=0,"PROJECT NOT FOUND",IF(SUMPRODUCT(--(('ERP Snapshot'!$A$2:$A$101&amp;"")=(B491&amp;"")))&gt;1,"DUPLICATE PROJECT ID",IF(OR(SUMPRODUCT(--(('ERP Snapshot'!$A$2:$A$101&amp;"")=(B491&amp;"")),--('ERP Snapshot'!$Q$2:$Q$101=E491),--('ERP Snapshot'!$R$2:$R$101=F491))&lt;&gt;1,SUMPRODUCT(--('Commercial Catalogs'!$A$2:$A$10=E491),--('Commercial Catalogs'!$B$2:$B$10=F491),--('Commercial Catalogs'!$C$2:$C$10="YES"),--('Commercial Catalogs'!$D$2:$D$10="IN SCOPE"))=0,AND(E491="Strategic Services",F491&lt;&gt;"N/A"),AND(E491="Brands",F491="N/A")),"PROJECT CLASSIFICATION MISMATCH",IF(AND(G491="MXN",NOT(AND(ISNUMBER(I491),Settings!$B$8="APPROVED",Settings!$B$9&lt;&gt;"",Settings!$B$10&lt;&gt;""))),"FX HOLD","VALID"))))))))))))))))))</x:f>
      </x:c>
      <x:c r="M491" s="57" t="str">
        <x:f>IF(ISNUMBER(C491),IF(AND(ISNUMBER(C491),C491&gt;=2,C491&lt;=2958465,C491=INT(C491)),YEAR(C491)&amp;"-"&amp;IF(MONTH(C491)&lt;10,"0","")&amp;MONTH(C491),""),"")</x:f>
      </x:c>
      <x:c r="N491" s="59" t="str">
        <x:f>IF(L491="VALID",IF(G491="USD",H491,I491),"")</x:f>
      </x:c>
      <x:c r="O491" s="57" t="n">
        <x:f>IF(L491="VALID",IF(COUNTIFS($B$2:B491,B491,$M$2:M491,M491,$L$2:L491,"VALID")=1,1,0),0)</x:f>
        <x:v>0</x:v>
      </x:c>
    </x:row>
    <x:row r="492">
      <x:c r="A492" s="47"/>
      <x:c r="B492" s="47"/>
      <x:c r="C492" s="69"/>
      <x:c r="D492" s="47"/>
      <x:c r="E492" s="47"/>
      <x:c r="F492" s="47"/>
      <x:c r="G492" s="47"/>
      <x:c r="H492" s="48"/>
      <x:c r="I492" s="48"/>
      <x:c r="J492" s="47"/>
      <x:c r="K492" s="47"/>
      <x:c r="L492" s="57" t="str">
        <x:f>IF(COUNTA(A492:K492)=0,"",IF(K492="CANCELLED","CANCELLED",IF(A492="","INVOICE ID REQUIRED",IF(B492="","PROJECT ID REQUIRED",IF(NOT(ISNUMBER(C492)),"INVALID INVOICE DATE",IF(NOT(AND(ISNUMBER(C492),C492&gt;=2,C492&lt;=2958465,C492=INT(C492))),"INVALID INVOICE DATE",IF(NOT(OR(D492="MX",D492="US")),"ENTITY REQUIRED",IF(NOT(OR(E492="Strategic Services",E492="Brands")),"UNIT REQUIRED",IF(F492="","BRAND / N/A REQUIRED",IF(NOT(OR(G492="USD",G492="MXN")),"CURRENCY REQUIRED",IF(NOT(ISNUMBER(H492)),"AMOUNT REQUIRED",IF(J492="","ERP SOURCE REQUIRED",IF(NOT(OR(K492="ISSUED",K492="CANCELLED")),"INVOICE STATUS REQUIRED",IF(COUNTIFS($A$2:$A$501,A492,$B$2:$B$501,B492,$D$2:$D$501,D492)&gt;1,"DUPLICATE INVOICE / PROJECT",IF(SUMPRODUCT(--(('ERP Snapshot'!$A$2:$A$101&amp;"")=(B492&amp;"")))=0,"PROJECT NOT FOUND",IF(SUMPRODUCT(--(('ERP Snapshot'!$A$2:$A$101&amp;"")=(B492&amp;"")))&gt;1,"DUPLICATE PROJECT ID",IF(OR(SUMPRODUCT(--(('ERP Snapshot'!$A$2:$A$101&amp;"")=(B492&amp;"")),--('ERP Snapshot'!$Q$2:$Q$101=E492),--('ERP Snapshot'!$R$2:$R$101=F492))&lt;&gt;1,SUMPRODUCT(--('Commercial Catalogs'!$A$2:$A$10=E492),--('Commercial Catalogs'!$B$2:$B$10=F492),--('Commercial Catalogs'!$C$2:$C$10="YES"),--('Commercial Catalogs'!$D$2:$D$10="IN SCOPE"))=0,AND(E492="Strategic Services",F492&lt;&gt;"N/A"),AND(E492="Brands",F492="N/A")),"PROJECT CLASSIFICATION MISMATCH",IF(AND(G492="MXN",NOT(AND(ISNUMBER(I492),Settings!$B$8="APPROVED",Settings!$B$9&lt;&gt;"",Settings!$B$10&lt;&gt;""))),"FX HOLD","VALID"))))))))))))))))))</x:f>
      </x:c>
      <x:c r="M492" s="57" t="str">
        <x:f>IF(ISNUMBER(C492),IF(AND(ISNUMBER(C492),C492&gt;=2,C492&lt;=2958465,C492=INT(C492)),YEAR(C492)&amp;"-"&amp;IF(MONTH(C492)&lt;10,"0","")&amp;MONTH(C492),""),"")</x:f>
      </x:c>
      <x:c r="N492" s="59" t="str">
        <x:f>IF(L492="VALID",IF(G492="USD",H492,I492),"")</x:f>
      </x:c>
      <x:c r="O492" s="57" t="n">
        <x:f>IF(L492="VALID",IF(COUNTIFS($B$2:B492,B492,$M$2:M492,M492,$L$2:L492,"VALID")=1,1,0),0)</x:f>
        <x:v>0</x:v>
      </x:c>
    </x:row>
    <x:row r="493">
      <x:c r="A493" s="47"/>
      <x:c r="B493" s="47"/>
      <x:c r="C493" s="69"/>
      <x:c r="D493" s="47"/>
      <x:c r="E493" s="47"/>
      <x:c r="F493" s="47"/>
      <x:c r="G493" s="47"/>
      <x:c r="H493" s="48"/>
      <x:c r="I493" s="48"/>
      <x:c r="J493" s="47"/>
      <x:c r="K493" s="47"/>
      <x:c r="L493" s="57" t="str">
        <x:f>IF(COUNTA(A493:K493)=0,"",IF(K493="CANCELLED","CANCELLED",IF(A493="","INVOICE ID REQUIRED",IF(B493="","PROJECT ID REQUIRED",IF(NOT(ISNUMBER(C493)),"INVALID INVOICE DATE",IF(NOT(AND(ISNUMBER(C493),C493&gt;=2,C493&lt;=2958465,C493=INT(C493))),"INVALID INVOICE DATE",IF(NOT(OR(D493="MX",D493="US")),"ENTITY REQUIRED",IF(NOT(OR(E493="Strategic Services",E493="Brands")),"UNIT REQUIRED",IF(F493="","BRAND / N/A REQUIRED",IF(NOT(OR(G493="USD",G493="MXN")),"CURRENCY REQUIRED",IF(NOT(ISNUMBER(H493)),"AMOUNT REQUIRED",IF(J493="","ERP SOURCE REQUIRED",IF(NOT(OR(K493="ISSUED",K493="CANCELLED")),"INVOICE STATUS REQUIRED",IF(COUNTIFS($A$2:$A$501,A493,$B$2:$B$501,B493,$D$2:$D$501,D493)&gt;1,"DUPLICATE INVOICE / PROJECT",IF(SUMPRODUCT(--(('ERP Snapshot'!$A$2:$A$101&amp;"")=(B493&amp;"")))=0,"PROJECT NOT FOUND",IF(SUMPRODUCT(--(('ERP Snapshot'!$A$2:$A$101&amp;"")=(B493&amp;"")))&gt;1,"DUPLICATE PROJECT ID",IF(OR(SUMPRODUCT(--(('ERP Snapshot'!$A$2:$A$101&amp;"")=(B493&amp;"")),--('ERP Snapshot'!$Q$2:$Q$101=E493),--('ERP Snapshot'!$R$2:$R$101=F493))&lt;&gt;1,SUMPRODUCT(--('Commercial Catalogs'!$A$2:$A$10=E493),--('Commercial Catalogs'!$B$2:$B$10=F493),--('Commercial Catalogs'!$C$2:$C$10="YES"),--('Commercial Catalogs'!$D$2:$D$10="IN SCOPE"))=0,AND(E493="Strategic Services",F493&lt;&gt;"N/A"),AND(E493="Brands",F493="N/A")),"PROJECT CLASSIFICATION MISMATCH",IF(AND(G493="MXN",NOT(AND(ISNUMBER(I493),Settings!$B$8="APPROVED",Settings!$B$9&lt;&gt;"",Settings!$B$10&lt;&gt;""))),"FX HOLD","VALID"))))))))))))))))))</x:f>
      </x:c>
      <x:c r="M493" s="57" t="str">
        <x:f>IF(ISNUMBER(C493),IF(AND(ISNUMBER(C493),C493&gt;=2,C493&lt;=2958465,C493=INT(C493)),YEAR(C493)&amp;"-"&amp;IF(MONTH(C493)&lt;10,"0","")&amp;MONTH(C493),""),"")</x:f>
      </x:c>
      <x:c r="N493" s="59" t="str">
        <x:f>IF(L493="VALID",IF(G493="USD",H493,I493),"")</x:f>
      </x:c>
      <x:c r="O493" s="57" t="n">
        <x:f>IF(L493="VALID",IF(COUNTIFS($B$2:B493,B493,$M$2:M493,M493,$L$2:L493,"VALID")=1,1,0),0)</x:f>
        <x:v>0</x:v>
      </x:c>
    </x:row>
    <x:row r="494">
      <x:c r="A494" s="47"/>
      <x:c r="B494" s="47"/>
      <x:c r="C494" s="69"/>
      <x:c r="D494" s="47"/>
      <x:c r="E494" s="47"/>
      <x:c r="F494" s="47"/>
      <x:c r="G494" s="47"/>
      <x:c r="H494" s="48"/>
      <x:c r="I494" s="48"/>
      <x:c r="J494" s="47"/>
      <x:c r="K494" s="47"/>
      <x:c r="L494" s="57" t="str">
        <x:f>IF(COUNTA(A494:K494)=0,"",IF(K494="CANCELLED","CANCELLED",IF(A494="","INVOICE ID REQUIRED",IF(B494="","PROJECT ID REQUIRED",IF(NOT(ISNUMBER(C494)),"INVALID INVOICE DATE",IF(NOT(AND(ISNUMBER(C494),C494&gt;=2,C494&lt;=2958465,C494=INT(C494))),"INVALID INVOICE DATE",IF(NOT(OR(D494="MX",D494="US")),"ENTITY REQUIRED",IF(NOT(OR(E494="Strategic Services",E494="Brands")),"UNIT REQUIRED",IF(F494="","BRAND / N/A REQUIRED",IF(NOT(OR(G494="USD",G494="MXN")),"CURRENCY REQUIRED",IF(NOT(ISNUMBER(H494)),"AMOUNT REQUIRED",IF(J494="","ERP SOURCE REQUIRED",IF(NOT(OR(K494="ISSUED",K494="CANCELLED")),"INVOICE STATUS REQUIRED",IF(COUNTIFS($A$2:$A$501,A494,$B$2:$B$501,B494,$D$2:$D$501,D494)&gt;1,"DUPLICATE INVOICE / PROJECT",IF(SUMPRODUCT(--(('ERP Snapshot'!$A$2:$A$101&amp;"")=(B494&amp;"")))=0,"PROJECT NOT FOUND",IF(SUMPRODUCT(--(('ERP Snapshot'!$A$2:$A$101&amp;"")=(B494&amp;"")))&gt;1,"DUPLICATE PROJECT ID",IF(OR(SUMPRODUCT(--(('ERP Snapshot'!$A$2:$A$101&amp;"")=(B494&amp;"")),--('ERP Snapshot'!$Q$2:$Q$101=E494),--('ERP Snapshot'!$R$2:$R$101=F494))&lt;&gt;1,SUMPRODUCT(--('Commercial Catalogs'!$A$2:$A$10=E494),--('Commercial Catalogs'!$B$2:$B$10=F494),--('Commercial Catalogs'!$C$2:$C$10="YES"),--('Commercial Catalogs'!$D$2:$D$10="IN SCOPE"))=0,AND(E494="Strategic Services",F494&lt;&gt;"N/A"),AND(E494="Brands",F494="N/A")),"PROJECT CLASSIFICATION MISMATCH",IF(AND(G494="MXN",NOT(AND(ISNUMBER(I494),Settings!$B$8="APPROVED",Settings!$B$9&lt;&gt;"",Settings!$B$10&lt;&gt;""))),"FX HOLD","VALID"))))))))))))))))))</x:f>
      </x:c>
      <x:c r="M494" s="57" t="str">
        <x:f>IF(ISNUMBER(C494),IF(AND(ISNUMBER(C494),C494&gt;=2,C494&lt;=2958465,C494=INT(C494)),YEAR(C494)&amp;"-"&amp;IF(MONTH(C494)&lt;10,"0","")&amp;MONTH(C494),""),"")</x:f>
      </x:c>
      <x:c r="N494" s="59" t="str">
        <x:f>IF(L494="VALID",IF(G494="USD",H494,I494),"")</x:f>
      </x:c>
      <x:c r="O494" s="57" t="n">
        <x:f>IF(L494="VALID",IF(COUNTIFS($B$2:B494,B494,$M$2:M494,M494,$L$2:L494,"VALID")=1,1,0),0)</x:f>
        <x:v>0</x:v>
      </x:c>
    </x:row>
    <x:row r="495">
      <x:c r="A495" s="47"/>
      <x:c r="B495" s="47"/>
      <x:c r="C495" s="69"/>
      <x:c r="D495" s="47"/>
      <x:c r="E495" s="47"/>
      <x:c r="F495" s="47"/>
      <x:c r="G495" s="47"/>
      <x:c r="H495" s="48"/>
      <x:c r="I495" s="48"/>
      <x:c r="J495" s="47"/>
      <x:c r="K495" s="47"/>
      <x:c r="L495" s="57" t="str">
        <x:f>IF(COUNTA(A495:K495)=0,"",IF(K495="CANCELLED","CANCELLED",IF(A495="","INVOICE ID REQUIRED",IF(B495="","PROJECT ID REQUIRED",IF(NOT(ISNUMBER(C495)),"INVALID INVOICE DATE",IF(NOT(AND(ISNUMBER(C495),C495&gt;=2,C495&lt;=2958465,C495=INT(C495))),"INVALID INVOICE DATE",IF(NOT(OR(D495="MX",D495="US")),"ENTITY REQUIRED",IF(NOT(OR(E495="Strategic Services",E495="Brands")),"UNIT REQUIRED",IF(F495="","BRAND / N/A REQUIRED",IF(NOT(OR(G495="USD",G495="MXN")),"CURRENCY REQUIRED",IF(NOT(ISNUMBER(H495)),"AMOUNT REQUIRED",IF(J495="","ERP SOURCE REQUIRED",IF(NOT(OR(K495="ISSUED",K495="CANCELLED")),"INVOICE STATUS REQUIRED",IF(COUNTIFS($A$2:$A$501,A495,$B$2:$B$501,B495,$D$2:$D$501,D495)&gt;1,"DUPLICATE INVOICE / PROJECT",IF(SUMPRODUCT(--(('ERP Snapshot'!$A$2:$A$101&amp;"")=(B495&amp;"")))=0,"PROJECT NOT FOUND",IF(SUMPRODUCT(--(('ERP Snapshot'!$A$2:$A$101&amp;"")=(B495&amp;"")))&gt;1,"DUPLICATE PROJECT ID",IF(OR(SUMPRODUCT(--(('ERP Snapshot'!$A$2:$A$101&amp;"")=(B495&amp;"")),--('ERP Snapshot'!$Q$2:$Q$101=E495),--('ERP Snapshot'!$R$2:$R$101=F495))&lt;&gt;1,SUMPRODUCT(--('Commercial Catalogs'!$A$2:$A$10=E495),--('Commercial Catalogs'!$B$2:$B$10=F495),--('Commercial Catalogs'!$C$2:$C$10="YES"),--('Commercial Catalogs'!$D$2:$D$10="IN SCOPE"))=0,AND(E495="Strategic Services",F495&lt;&gt;"N/A"),AND(E495="Brands",F495="N/A")),"PROJECT CLASSIFICATION MISMATCH",IF(AND(G495="MXN",NOT(AND(ISNUMBER(I495),Settings!$B$8="APPROVED",Settings!$B$9&lt;&gt;"",Settings!$B$10&lt;&gt;""))),"FX HOLD","VALID"))))))))))))))))))</x:f>
      </x:c>
      <x:c r="M495" s="57" t="str">
        <x:f>IF(ISNUMBER(C495),IF(AND(ISNUMBER(C495),C495&gt;=2,C495&lt;=2958465,C495=INT(C495)),YEAR(C495)&amp;"-"&amp;IF(MONTH(C495)&lt;10,"0","")&amp;MONTH(C495),""),"")</x:f>
      </x:c>
      <x:c r="N495" s="59" t="str">
        <x:f>IF(L495="VALID",IF(G495="USD",H495,I495),"")</x:f>
      </x:c>
      <x:c r="O495" s="57" t="n">
        <x:f>IF(L495="VALID",IF(COUNTIFS($B$2:B495,B495,$M$2:M495,M495,$L$2:L495,"VALID")=1,1,0),0)</x:f>
        <x:v>0</x:v>
      </x:c>
    </x:row>
    <x:row r="496">
      <x:c r="A496" s="47"/>
      <x:c r="B496" s="47"/>
      <x:c r="C496" s="69"/>
      <x:c r="D496" s="47"/>
      <x:c r="E496" s="47"/>
      <x:c r="F496" s="47"/>
      <x:c r="G496" s="47"/>
      <x:c r="H496" s="48"/>
      <x:c r="I496" s="48"/>
      <x:c r="J496" s="47"/>
      <x:c r="K496" s="47"/>
      <x:c r="L496" s="57" t="str">
        <x:f>IF(COUNTA(A496:K496)=0,"",IF(K496="CANCELLED","CANCELLED",IF(A496="","INVOICE ID REQUIRED",IF(B496="","PROJECT ID REQUIRED",IF(NOT(ISNUMBER(C496)),"INVALID INVOICE DATE",IF(NOT(AND(ISNUMBER(C496),C496&gt;=2,C496&lt;=2958465,C496=INT(C496))),"INVALID INVOICE DATE",IF(NOT(OR(D496="MX",D496="US")),"ENTITY REQUIRED",IF(NOT(OR(E496="Strategic Services",E496="Brands")),"UNIT REQUIRED",IF(F496="","BRAND / N/A REQUIRED",IF(NOT(OR(G496="USD",G496="MXN")),"CURRENCY REQUIRED",IF(NOT(ISNUMBER(H496)),"AMOUNT REQUIRED",IF(J496="","ERP SOURCE REQUIRED",IF(NOT(OR(K496="ISSUED",K496="CANCELLED")),"INVOICE STATUS REQUIRED",IF(COUNTIFS($A$2:$A$501,A496,$B$2:$B$501,B496,$D$2:$D$501,D496)&gt;1,"DUPLICATE INVOICE / PROJECT",IF(SUMPRODUCT(--(('ERP Snapshot'!$A$2:$A$101&amp;"")=(B496&amp;"")))=0,"PROJECT NOT FOUND",IF(SUMPRODUCT(--(('ERP Snapshot'!$A$2:$A$101&amp;"")=(B496&amp;"")))&gt;1,"DUPLICATE PROJECT ID",IF(OR(SUMPRODUCT(--(('ERP Snapshot'!$A$2:$A$101&amp;"")=(B496&amp;"")),--('ERP Snapshot'!$Q$2:$Q$101=E496),--('ERP Snapshot'!$R$2:$R$101=F496))&lt;&gt;1,SUMPRODUCT(--('Commercial Catalogs'!$A$2:$A$10=E496),--('Commercial Catalogs'!$B$2:$B$10=F496),--('Commercial Catalogs'!$C$2:$C$10="YES"),--('Commercial Catalogs'!$D$2:$D$10="IN SCOPE"))=0,AND(E496="Strategic Services",F496&lt;&gt;"N/A"),AND(E496="Brands",F496="N/A")),"PROJECT CLASSIFICATION MISMATCH",IF(AND(G496="MXN",NOT(AND(ISNUMBER(I496),Settings!$B$8="APPROVED",Settings!$B$9&lt;&gt;"",Settings!$B$10&lt;&gt;""))),"FX HOLD","VALID"))))))))))))))))))</x:f>
      </x:c>
      <x:c r="M496" s="57" t="str">
        <x:f>IF(ISNUMBER(C496),IF(AND(ISNUMBER(C496),C496&gt;=2,C496&lt;=2958465,C496=INT(C496)),YEAR(C496)&amp;"-"&amp;IF(MONTH(C496)&lt;10,"0","")&amp;MONTH(C496),""),"")</x:f>
      </x:c>
      <x:c r="N496" s="59" t="str">
        <x:f>IF(L496="VALID",IF(G496="USD",H496,I496),"")</x:f>
      </x:c>
      <x:c r="O496" s="57" t="n">
        <x:f>IF(L496="VALID",IF(COUNTIFS($B$2:B496,B496,$M$2:M496,M496,$L$2:L496,"VALID")=1,1,0),0)</x:f>
        <x:v>0</x:v>
      </x:c>
    </x:row>
    <x:row r="497">
      <x:c r="A497" s="47"/>
      <x:c r="B497" s="47"/>
      <x:c r="C497" s="69"/>
      <x:c r="D497" s="47"/>
      <x:c r="E497" s="47"/>
      <x:c r="F497" s="47"/>
      <x:c r="G497" s="47"/>
      <x:c r="H497" s="48"/>
      <x:c r="I497" s="48"/>
      <x:c r="J497" s="47"/>
      <x:c r="K497" s="47"/>
      <x:c r="L497" s="57" t="str">
        <x:f>IF(COUNTA(A497:K497)=0,"",IF(K497="CANCELLED","CANCELLED",IF(A497="","INVOICE ID REQUIRED",IF(B497="","PROJECT ID REQUIRED",IF(NOT(ISNUMBER(C497)),"INVALID INVOICE DATE",IF(NOT(AND(ISNUMBER(C497),C497&gt;=2,C497&lt;=2958465,C497=INT(C497))),"INVALID INVOICE DATE",IF(NOT(OR(D497="MX",D497="US")),"ENTITY REQUIRED",IF(NOT(OR(E497="Strategic Services",E497="Brands")),"UNIT REQUIRED",IF(F497="","BRAND / N/A REQUIRED",IF(NOT(OR(G497="USD",G497="MXN")),"CURRENCY REQUIRED",IF(NOT(ISNUMBER(H497)),"AMOUNT REQUIRED",IF(J497="","ERP SOURCE REQUIRED",IF(NOT(OR(K497="ISSUED",K497="CANCELLED")),"INVOICE STATUS REQUIRED",IF(COUNTIFS($A$2:$A$501,A497,$B$2:$B$501,B497,$D$2:$D$501,D497)&gt;1,"DUPLICATE INVOICE / PROJECT",IF(SUMPRODUCT(--(('ERP Snapshot'!$A$2:$A$101&amp;"")=(B497&amp;"")))=0,"PROJECT NOT FOUND",IF(SUMPRODUCT(--(('ERP Snapshot'!$A$2:$A$101&amp;"")=(B497&amp;"")))&gt;1,"DUPLICATE PROJECT ID",IF(OR(SUMPRODUCT(--(('ERP Snapshot'!$A$2:$A$101&amp;"")=(B497&amp;"")),--('ERP Snapshot'!$Q$2:$Q$101=E497),--('ERP Snapshot'!$R$2:$R$101=F497))&lt;&gt;1,SUMPRODUCT(--('Commercial Catalogs'!$A$2:$A$10=E497),--('Commercial Catalogs'!$B$2:$B$10=F497),--('Commercial Catalogs'!$C$2:$C$10="YES"),--('Commercial Catalogs'!$D$2:$D$10="IN SCOPE"))=0,AND(E497="Strategic Services",F497&lt;&gt;"N/A"),AND(E497="Brands",F497="N/A")),"PROJECT CLASSIFICATION MISMATCH",IF(AND(G497="MXN",NOT(AND(ISNUMBER(I497),Settings!$B$8="APPROVED",Settings!$B$9&lt;&gt;"",Settings!$B$10&lt;&gt;""))),"FX HOLD","VALID"))))))))))))))))))</x:f>
      </x:c>
      <x:c r="M497" s="57" t="str">
        <x:f>IF(ISNUMBER(C497),IF(AND(ISNUMBER(C497),C497&gt;=2,C497&lt;=2958465,C497=INT(C497)),YEAR(C497)&amp;"-"&amp;IF(MONTH(C497)&lt;10,"0","")&amp;MONTH(C497),""),"")</x:f>
      </x:c>
      <x:c r="N497" s="59" t="str">
        <x:f>IF(L497="VALID",IF(G497="USD",H497,I497),"")</x:f>
      </x:c>
      <x:c r="O497" s="57" t="n">
        <x:f>IF(L497="VALID",IF(COUNTIFS($B$2:B497,B497,$M$2:M497,M497,$L$2:L497,"VALID")=1,1,0),0)</x:f>
        <x:v>0</x:v>
      </x:c>
    </x:row>
    <x:row r="498">
      <x:c r="A498" s="47"/>
      <x:c r="B498" s="47"/>
      <x:c r="C498" s="69"/>
      <x:c r="D498" s="47"/>
      <x:c r="E498" s="47"/>
      <x:c r="F498" s="47"/>
      <x:c r="G498" s="47"/>
      <x:c r="H498" s="48"/>
      <x:c r="I498" s="48"/>
      <x:c r="J498" s="47"/>
      <x:c r="K498" s="47"/>
      <x:c r="L498" s="57" t="str">
        <x:f>IF(COUNTA(A498:K498)=0,"",IF(K498="CANCELLED","CANCELLED",IF(A498="","INVOICE ID REQUIRED",IF(B498="","PROJECT ID REQUIRED",IF(NOT(ISNUMBER(C498)),"INVALID INVOICE DATE",IF(NOT(AND(ISNUMBER(C498),C498&gt;=2,C498&lt;=2958465,C498=INT(C498))),"INVALID INVOICE DATE",IF(NOT(OR(D498="MX",D498="US")),"ENTITY REQUIRED",IF(NOT(OR(E498="Strategic Services",E498="Brands")),"UNIT REQUIRED",IF(F498="","BRAND / N/A REQUIRED",IF(NOT(OR(G498="USD",G498="MXN")),"CURRENCY REQUIRED",IF(NOT(ISNUMBER(H498)),"AMOUNT REQUIRED",IF(J498="","ERP SOURCE REQUIRED",IF(NOT(OR(K498="ISSUED",K498="CANCELLED")),"INVOICE STATUS REQUIRED",IF(COUNTIFS($A$2:$A$501,A498,$B$2:$B$501,B498,$D$2:$D$501,D498)&gt;1,"DUPLICATE INVOICE / PROJECT",IF(SUMPRODUCT(--(('ERP Snapshot'!$A$2:$A$101&amp;"")=(B498&amp;"")))=0,"PROJECT NOT FOUND",IF(SUMPRODUCT(--(('ERP Snapshot'!$A$2:$A$101&amp;"")=(B498&amp;"")))&gt;1,"DUPLICATE PROJECT ID",IF(OR(SUMPRODUCT(--(('ERP Snapshot'!$A$2:$A$101&amp;"")=(B498&amp;"")),--('ERP Snapshot'!$Q$2:$Q$101=E498),--('ERP Snapshot'!$R$2:$R$101=F498))&lt;&gt;1,SUMPRODUCT(--('Commercial Catalogs'!$A$2:$A$10=E498),--('Commercial Catalogs'!$B$2:$B$10=F498),--('Commercial Catalogs'!$C$2:$C$10="YES"),--('Commercial Catalogs'!$D$2:$D$10="IN SCOPE"))=0,AND(E498="Strategic Services",F498&lt;&gt;"N/A"),AND(E498="Brands",F498="N/A")),"PROJECT CLASSIFICATION MISMATCH",IF(AND(G498="MXN",NOT(AND(ISNUMBER(I498),Settings!$B$8="APPROVED",Settings!$B$9&lt;&gt;"",Settings!$B$10&lt;&gt;""))),"FX HOLD","VALID"))))))))))))))))))</x:f>
      </x:c>
      <x:c r="M498" s="57" t="str">
        <x:f>IF(ISNUMBER(C498),IF(AND(ISNUMBER(C498),C498&gt;=2,C498&lt;=2958465,C498=INT(C498)),YEAR(C498)&amp;"-"&amp;IF(MONTH(C498)&lt;10,"0","")&amp;MONTH(C498),""),"")</x:f>
      </x:c>
      <x:c r="N498" s="59" t="str">
        <x:f>IF(L498="VALID",IF(G498="USD",H498,I498),"")</x:f>
      </x:c>
      <x:c r="O498" s="57" t="n">
        <x:f>IF(L498="VALID",IF(COUNTIFS($B$2:B498,B498,$M$2:M498,M498,$L$2:L498,"VALID")=1,1,0),0)</x:f>
        <x:v>0</x:v>
      </x:c>
    </x:row>
    <x:row r="499">
      <x:c r="A499" s="47"/>
      <x:c r="B499" s="47"/>
      <x:c r="C499" s="69"/>
      <x:c r="D499" s="47"/>
      <x:c r="E499" s="47"/>
      <x:c r="F499" s="47"/>
      <x:c r="G499" s="47"/>
      <x:c r="H499" s="48"/>
      <x:c r="I499" s="48"/>
      <x:c r="J499" s="47"/>
      <x:c r="K499" s="47"/>
      <x:c r="L499" s="57" t="str">
        <x:f>IF(COUNTA(A499:K499)=0,"",IF(K499="CANCELLED","CANCELLED",IF(A499="","INVOICE ID REQUIRED",IF(B499="","PROJECT ID REQUIRED",IF(NOT(ISNUMBER(C499)),"INVALID INVOICE DATE",IF(NOT(AND(ISNUMBER(C499),C499&gt;=2,C499&lt;=2958465,C499=INT(C499))),"INVALID INVOICE DATE",IF(NOT(OR(D499="MX",D499="US")),"ENTITY REQUIRED",IF(NOT(OR(E499="Strategic Services",E499="Brands")),"UNIT REQUIRED",IF(F499="","BRAND / N/A REQUIRED",IF(NOT(OR(G499="USD",G499="MXN")),"CURRENCY REQUIRED",IF(NOT(ISNUMBER(H499)),"AMOUNT REQUIRED",IF(J499="","ERP SOURCE REQUIRED",IF(NOT(OR(K499="ISSUED",K499="CANCELLED")),"INVOICE STATUS REQUIRED",IF(COUNTIFS($A$2:$A$501,A499,$B$2:$B$501,B499,$D$2:$D$501,D499)&gt;1,"DUPLICATE INVOICE / PROJECT",IF(SUMPRODUCT(--(('ERP Snapshot'!$A$2:$A$101&amp;"")=(B499&amp;"")))=0,"PROJECT NOT FOUND",IF(SUMPRODUCT(--(('ERP Snapshot'!$A$2:$A$101&amp;"")=(B499&amp;"")))&gt;1,"DUPLICATE PROJECT ID",IF(OR(SUMPRODUCT(--(('ERP Snapshot'!$A$2:$A$101&amp;"")=(B499&amp;"")),--('ERP Snapshot'!$Q$2:$Q$101=E499),--('ERP Snapshot'!$R$2:$R$101=F499))&lt;&gt;1,SUMPRODUCT(--('Commercial Catalogs'!$A$2:$A$10=E499),--('Commercial Catalogs'!$B$2:$B$10=F499),--('Commercial Catalogs'!$C$2:$C$10="YES"),--('Commercial Catalogs'!$D$2:$D$10="IN SCOPE"))=0,AND(E499="Strategic Services",F499&lt;&gt;"N/A"),AND(E499="Brands",F499="N/A")),"PROJECT CLASSIFICATION MISMATCH",IF(AND(G499="MXN",NOT(AND(ISNUMBER(I499),Settings!$B$8="APPROVED",Settings!$B$9&lt;&gt;"",Settings!$B$10&lt;&gt;""))),"FX HOLD","VALID"))))))))))))))))))</x:f>
      </x:c>
      <x:c r="M499" s="57" t="str">
        <x:f>IF(ISNUMBER(C499),IF(AND(ISNUMBER(C499),C499&gt;=2,C499&lt;=2958465,C499=INT(C499)),YEAR(C499)&amp;"-"&amp;IF(MONTH(C499)&lt;10,"0","")&amp;MONTH(C499),""),"")</x:f>
      </x:c>
      <x:c r="N499" s="59" t="str">
        <x:f>IF(L499="VALID",IF(G499="USD",H499,I499),"")</x:f>
      </x:c>
      <x:c r="O499" s="57" t="n">
        <x:f>IF(L499="VALID",IF(COUNTIFS($B$2:B499,B499,$M$2:M499,M499,$L$2:L499,"VALID")=1,1,0),0)</x:f>
        <x:v>0</x:v>
      </x:c>
    </x:row>
    <x:row r="500">
      <x:c r="A500" s="47"/>
      <x:c r="B500" s="47"/>
      <x:c r="C500" s="69"/>
      <x:c r="D500" s="47"/>
      <x:c r="E500" s="47"/>
      <x:c r="F500" s="47"/>
      <x:c r="G500" s="47"/>
      <x:c r="H500" s="48"/>
      <x:c r="I500" s="48"/>
      <x:c r="J500" s="47"/>
      <x:c r="K500" s="47"/>
      <x:c r="L500" s="57" t="str">
        <x:f>IF(COUNTA(A500:K500)=0,"",IF(K500="CANCELLED","CANCELLED",IF(A500="","INVOICE ID REQUIRED",IF(B500="","PROJECT ID REQUIRED",IF(NOT(ISNUMBER(C500)),"INVALID INVOICE DATE",IF(NOT(AND(ISNUMBER(C500),C500&gt;=2,C500&lt;=2958465,C500=INT(C500))),"INVALID INVOICE DATE",IF(NOT(OR(D500="MX",D500="US")),"ENTITY REQUIRED",IF(NOT(OR(E500="Strategic Services",E500="Brands")),"UNIT REQUIRED",IF(F500="","BRAND / N/A REQUIRED",IF(NOT(OR(G500="USD",G500="MXN")),"CURRENCY REQUIRED",IF(NOT(ISNUMBER(H500)),"AMOUNT REQUIRED",IF(J500="","ERP SOURCE REQUIRED",IF(NOT(OR(K500="ISSUED",K500="CANCELLED")),"INVOICE STATUS REQUIRED",IF(COUNTIFS($A$2:$A$501,A500,$B$2:$B$501,B500,$D$2:$D$501,D500)&gt;1,"DUPLICATE INVOICE / PROJECT",IF(SUMPRODUCT(--(('ERP Snapshot'!$A$2:$A$101&amp;"")=(B500&amp;"")))=0,"PROJECT NOT FOUND",IF(SUMPRODUCT(--(('ERP Snapshot'!$A$2:$A$101&amp;"")=(B500&amp;"")))&gt;1,"DUPLICATE PROJECT ID",IF(OR(SUMPRODUCT(--(('ERP Snapshot'!$A$2:$A$101&amp;"")=(B500&amp;"")),--('ERP Snapshot'!$Q$2:$Q$101=E500),--('ERP Snapshot'!$R$2:$R$101=F500))&lt;&gt;1,SUMPRODUCT(--('Commercial Catalogs'!$A$2:$A$10=E500),--('Commercial Catalogs'!$B$2:$B$10=F500),--('Commercial Catalogs'!$C$2:$C$10="YES"),--('Commercial Catalogs'!$D$2:$D$10="IN SCOPE"))=0,AND(E500="Strategic Services",F500&lt;&gt;"N/A"),AND(E500="Brands",F500="N/A")),"PROJECT CLASSIFICATION MISMATCH",IF(AND(G500="MXN",NOT(AND(ISNUMBER(I500),Settings!$B$8="APPROVED",Settings!$B$9&lt;&gt;"",Settings!$B$10&lt;&gt;""))),"FX HOLD","VALID"))))))))))))))))))</x:f>
      </x:c>
      <x:c r="M500" s="57" t="str">
        <x:f>IF(ISNUMBER(C500),IF(AND(ISNUMBER(C500),C500&gt;=2,C500&lt;=2958465,C500=INT(C500)),YEAR(C500)&amp;"-"&amp;IF(MONTH(C500)&lt;10,"0","")&amp;MONTH(C500),""),"")</x:f>
      </x:c>
      <x:c r="N500" s="59" t="str">
        <x:f>IF(L500="VALID",IF(G500="USD",H500,I500),"")</x:f>
      </x:c>
      <x:c r="O500" s="57" t="n">
        <x:f>IF(L500="VALID",IF(COUNTIFS($B$2:B500,B500,$M$2:M500,M500,$L$2:L500,"VALID")=1,1,0),0)</x:f>
        <x:v>0</x:v>
      </x:c>
    </x:row>
    <x:row r="501">
      <x:c r="A501" s="47"/>
      <x:c r="B501" s="47"/>
      <x:c r="C501" s="69"/>
      <x:c r="D501" s="47"/>
      <x:c r="E501" s="47"/>
      <x:c r="F501" s="47"/>
      <x:c r="G501" s="47"/>
      <x:c r="H501" s="48"/>
      <x:c r="I501" s="48"/>
      <x:c r="J501" s="47"/>
      <x:c r="K501" s="47"/>
      <x:c r="L501" s="57" t="str">
        <x:f>IF(COUNTA(A501:K501)=0,"",IF(K501="CANCELLED","CANCELLED",IF(A501="","INVOICE ID REQUIRED",IF(B501="","PROJECT ID REQUIRED",IF(NOT(ISNUMBER(C501)),"INVALID INVOICE DATE",IF(NOT(AND(ISNUMBER(C501),C501&gt;=2,C501&lt;=2958465,C501=INT(C501))),"INVALID INVOICE DATE",IF(NOT(OR(D501="MX",D501="US")),"ENTITY REQUIRED",IF(NOT(OR(E501="Strategic Services",E501="Brands")),"UNIT REQUIRED",IF(F501="","BRAND / N/A REQUIRED",IF(NOT(OR(G501="USD",G501="MXN")),"CURRENCY REQUIRED",IF(NOT(ISNUMBER(H501)),"AMOUNT REQUIRED",IF(J501="","ERP SOURCE REQUIRED",IF(NOT(OR(K501="ISSUED",K501="CANCELLED")),"INVOICE STATUS REQUIRED",IF(COUNTIFS($A$2:$A$501,A501,$B$2:$B$501,B501,$D$2:$D$501,D501)&gt;1,"DUPLICATE INVOICE / PROJECT",IF(SUMPRODUCT(--(('ERP Snapshot'!$A$2:$A$101&amp;"")=(B501&amp;"")))=0,"PROJECT NOT FOUND",IF(SUMPRODUCT(--(('ERP Snapshot'!$A$2:$A$101&amp;"")=(B501&amp;"")))&gt;1,"DUPLICATE PROJECT ID",IF(OR(SUMPRODUCT(--(('ERP Snapshot'!$A$2:$A$101&amp;"")=(B501&amp;"")),--('ERP Snapshot'!$Q$2:$Q$101=E501),--('ERP Snapshot'!$R$2:$R$101=F501))&lt;&gt;1,SUMPRODUCT(--('Commercial Catalogs'!$A$2:$A$10=E501),--('Commercial Catalogs'!$B$2:$B$10=F501),--('Commercial Catalogs'!$C$2:$C$10="YES"),--('Commercial Catalogs'!$D$2:$D$10="IN SCOPE"))=0,AND(E501="Strategic Services",F501&lt;&gt;"N/A"),AND(E501="Brands",F501="N/A")),"PROJECT CLASSIFICATION MISMATCH",IF(AND(G501="MXN",NOT(AND(ISNUMBER(I501),Settings!$B$8="APPROVED",Settings!$B$9&lt;&gt;"",Settings!$B$10&lt;&gt;""))),"FX HOLD","VALID"))))))))))))))))))</x:f>
      </x:c>
      <x:c r="M501" s="57" t="str">
        <x:f>IF(ISNUMBER(C501),IF(AND(ISNUMBER(C501),C501&gt;=2,C501&lt;=2958465,C501=INT(C501)),YEAR(C501)&amp;"-"&amp;IF(MONTH(C501)&lt;10,"0","")&amp;MONTH(C501),""),"")</x:f>
      </x:c>
      <x:c r="N501" s="59" t="str">
        <x:f>IF(L501="VALID",IF(G501="USD",H501,I501),"")</x:f>
      </x:c>
      <x:c r="O501" s="57" t="n">
        <x:f>IF(L501="VALID",IF(COUNTIFS($B$2:B501,B501,$M$2:M501,M501,$L$2:L501,"VALID")=1,1,0),0)</x:f>
        <x:v>0</x:v>
      </x:c>
    </x:row>
  </x:sheetData>
  <x:mergeCells>
    <x:mergeCell ref="P1:U1"/>
    <x:mergeCell ref="P2:U2"/>
    <x:mergeCell ref="P3:U3"/>
    <x:mergeCell ref="P4:U4"/>
    <x:mergeCell ref="P5:U5"/>
    <x:mergeCell ref="P6:U6"/>
    <x:mergeCell ref="P7:U7"/>
    <x:mergeCell ref="P8:U8"/>
  </x:mergeCells>
  <x:dataValidations count="5">
    <x:dataValidation type="list" sqref="D2:D501">
      <x:formula1>"MX,US"</x:formula1>
    </x:dataValidation>
    <x:dataValidation type="list" sqref="E2:E501">
      <x:formula1>"Strategic Services,Brands"</x:formula1>
    </x:dataValidation>
    <x:dataValidation type="list" sqref="G2:G501">
      <x:formula1>"USD,MXN"</x:formula1>
    </x:dataValidation>
    <x:dataValidation type="list" sqref="K2:K501">
      <x:formula1>"ISSUED,CANCELLED"</x:formula1>
    </x:dataValidation>
    <x:dataValidation type="whole" operator="between" sqref="C2:C501">
      <x:formula1>2</x:formula1>
      <x:formula2>2958465</x:formula2>
    </x:dataValidation>
  </x:dataValidations>
  <x:pageMargins left="0.7" right="0.7" top="0.75" bottom="0.75" header="0.3" footer="0.3"/>
</x:worksheet>
</file>