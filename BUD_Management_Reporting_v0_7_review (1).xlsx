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f6d031e68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743157e974542aa"/>
    <x:sheet xmlns:r="http://schemas.openxmlformats.org/officeDocument/2006/relationships" name="Settings" sheetId="2" r:id="R4ba46ae4e02e49b4"/>
    <x:sheet xmlns:r="http://schemas.openxmlformats.org/officeDocument/2006/relationships" name="ERP Snapshot" sheetId="3" r:id="Ra7926e2e98034625"/>
    <x:sheet xmlns:r="http://schemas.openxmlformats.org/officeDocument/2006/relationships" name="Exceptions" sheetId="4" r:id="R8b11bec4dee74051"/>
    <x:sheet xmlns:r="http://schemas.openxmlformats.org/officeDocument/2006/relationships" name="Project Control" sheetId="5" r:id="R59abc2daf7d0426c"/>
    <x:sheet xmlns:r="http://schemas.openxmlformats.org/officeDocument/2006/relationships" name="Pricing &amp; Margin" sheetId="6" r:id="Rda0384c2cd9e4ffd"/>
    <x:sheet xmlns:r="http://schemas.openxmlformats.org/officeDocument/2006/relationships" name="Dashboard" sheetId="7" r:id="R311711098ba24321"/>
    <x:sheet xmlns:r="http://schemas.openxmlformats.org/officeDocument/2006/relationships" name="Update Log" sheetId="8" r:id="R6146103c2e11411e"/>
    <x:sheet xmlns:r="http://schemas.openxmlformats.org/officeDocument/2006/relationships" name="Decisions &amp; Parking Lot" sheetId="9" r:id="R1a82605c7e3743d1"/>
    <x:sheet xmlns:r="http://schemas.openxmlformats.org/officeDocument/2006/relationships" name="Commercial Catalogs" sheetId="10" r:id="R495729bd4f024dc6"/>
    <x:sheet xmlns:r="http://schemas.openxmlformats.org/officeDocument/2006/relationships" name="Selling Entities" sheetId="11" r:id="R1b9bdb223dc244f9"/>
    <x:sheet xmlns:r="http://schemas.openxmlformats.org/officeDocument/2006/relationships" name="Project History" sheetId="12" r:id="R933c6b1d0a4543e2"/>
    <x:sheet xmlns:r="http://schemas.openxmlformats.org/officeDocument/2006/relationships" name="Monthly Project Activity" sheetId="13" r:id="Rb8d8065471a84282"/>
    <x:sheet xmlns:r="http://schemas.openxmlformats.org/officeDocument/2006/relationships" name="Monthly BU Close" sheetId="14" r:id="Rba34e452e7d04832"/>
    <x:sheet xmlns:r="http://schemas.openxmlformats.org/officeDocument/2006/relationships" name="Monthly Brand Detail" sheetId="15" r:id="R2f9f56807e6e4a6c"/>
    <x:sheet xmlns:r="http://schemas.openxmlformats.org/officeDocument/2006/relationships" name="Quotation Register" sheetId="16" r:id="Rd89387402681421c"/>
    <x:sheet xmlns:r="http://schemas.openxmlformats.org/officeDocument/2006/relationships" name="v0.6 Scope &amp; Rules" sheetId="17" r:id="R39067ce733854643"/>
    <x:sheet xmlns:r="http://schemas.openxmlformats.org/officeDocument/2006/relationships" name="Management Report" sheetId="18" r:id="Rff15bd309faa4146"/>
    <x:sheet xmlns:r="http://schemas.openxmlformats.org/officeDocument/2006/relationships" name="Monthly Trend" sheetId="19" r:id="Ra16089769ead479d"/>
    <x:sheet xmlns:r="http://schemas.openxmlformats.org/officeDocument/2006/relationships" name="BU Entity Matrix" sheetId="20" r:id="Ra3a5732d259a46dd"/>
    <x:sheet xmlns:r="http://schemas.openxmlformats.org/officeDocument/2006/relationships" name="Reporting Methodology" sheetId="21" r:id="Rc8a858e4d8f8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7324F"/>
      </x:patternFill>
    </x:fill>
    <x:fill>
      <x:patternFill patternType="solid">
        <x:fgColor rgb="FF116A7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d9cdf508e4e38" /><Relationship Type="http://schemas.openxmlformats.org/officeDocument/2006/relationships/theme" Target="/xl/theme/theme1.xml" Id="Rc6429059065b4210" /><Relationship Type="http://schemas.openxmlformats.org/officeDocument/2006/relationships/sharedStrings" Target="/xl/sharedStrings.xml" Id="R23bb835448ec4b14" /><Relationship Type="http://schemas.openxmlformats.org/officeDocument/2006/relationships/worksheet" Target="/xl/worksheets/sheet1.xml" Id="R2743157e974542aa" /><Relationship Type="http://schemas.openxmlformats.org/officeDocument/2006/relationships/worksheet" Target="/xl/worksheets/sheet2.xml" Id="R4ba46ae4e02e49b4" /><Relationship Type="http://schemas.openxmlformats.org/officeDocument/2006/relationships/worksheet" Target="/xl/worksheets/sheet3.xml" Id="Ra7926e2e98034625" /><Relationship Type="http://schemas.openxmlformats.org/officeDocument/2006/relationships/worksheet" Target="/xl/worksheets/sheet4.xml" Id="R8b11bec4dee74051" /><Relationship Type="http://schemas.openxmlformats.org/officeDocument/2006/relationships/worksheet" Target="/xl/worksheets/sheet5.xml" Id="R59abc2daf7d0426c" /><Relationship Type="http://schemas.openxmlformats.org/officeDocument/2006/relationships/worksheet" Target="/xl/worksheets/sheet6.xml" Id="Rda0384c2cd9e4ffd" /><Relationship Type="http://schemas.openxmlformats.org/officeDocument/2006/relationships/worksheet" Target="/xl/worksheets/sheet7.xml" Id="R311711098ba24321" /><Relationship Type="http://schemas.openxmlformats.org/officeDocument/2006/relationships/worksheet" Target="/xl/worksheets/sheet8.xml" Id="R6146103c2e11411e" /><Relationship Type="http://schemas.openxmlformats.org/officeDocument/2006/relationships/worksheet" Target="/xl/worksheets/sheet9.xml" Id="R1a82605c7e3743d1" /><Relationship Type="http://schemas.openxmlformats.org/officeDocument/2006/relationships/worksheet" Target="/xl/worksheets/sheet10.xml" Id="R495729bd4f024dc6" /><Relationship Type="http://schemas.openxmlformats.org/officeDocument/2006/relationships/worksheet" Target="/xl/worksheets/sheet11.xml" Id="R1b9bdb223dc244f9" /><Relationship Type="http://schemas.openxmlformats.org/officeDocument/2006/relationships/worksheet" Target="/xl/worksheets/sheet12.xml" Id="R933c6b1d0a4543e2" /><Relationship Type="http://schemas.openxmlformats.org/officeDocument/2006/relationships/worksheet" Target="/xl/worksheets/sheet13.xml" Id="Rb8d8065471a84282" /><Relationship Type="http://schemas.openxmlformats.org/officeDocument/2006/relationships/worksheet" Target="/xl/worksheets/sheet14.xml" Id="Rba34e452e7d04832" /><Relationship Type="http://schemas.openxmlformats.org/officeDocument/2006/relationships/worksheet" Target="/xl/worksheets/sheet15.xml" Id="R2f9f56807e6e4a6c" /><Relationship Type="http://schemas.openxmlformats.org/officeDocument/2006/relationships/worksheet" Target="/xl/worksheets/sheet16.xml" Id="Rd89387402681421c" /><Relationship Type="http://schemas.openxmlformats.org/officeDocument/2006/relationships/worksheet" Target="/xl/worksheets/sheet17.xml" Id="R39067ce733854643" /><Relationship Type="http://schemas.openxmlformats.org/officeDocument/2006/relationships/worksheet" Target="/xl/worksheets/sheet18.xml" Id="Rff15bd309faa4146" /><Relationship Type="http://schemas.openxmlformats.org/officeDocument/2006/relationships/worksheet" Target="/xl/worksheets/sheet19.xml" Id="Ra16089769ead479d" /><Relationship Type="http://schemas.openxmlformats.org/officeDocument/2006/relationships/worksheet" Target="/xl/worksheets/sheet20.xml" Id="Ra3a5732d259a46dd" /><Relationship Type="http://schemas.openxmlformats.org/officeDocument/2006/relationships/worksheet" Target="/xl/worksheets/sheet21.xml" Id="Rc8a858e4d8f842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b705d73ff9470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PO intake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Trend'!$B$2:$B$3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Invoiced</c:v>
          </c:tx>
          <c:cat>
            <c:strRef>
              <c:f>'Monthly Trend'!$A$2:$A$3</c:f>
              <c:strCache>
                <c:ptCount val="0"/>
              </c:strCache>
            </c:strRef>
          </c:cat>
          <c:val>
            <c:numRef>
              <c:f>'Monthly Trend'!$C$2:$C$3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b705d73ff947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.xml" Id="R8469b14f10c6426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8" hidden="0" customWidth="1"/>
  </x:cols>
  <x:sheetData>
    <x:row r="1" ht="40" customHeight="1">
      <x:c r="A1" s="4" t="str">
        <x:v>Section</x:v>
      </x:c>
      <x:c r="B1" s="4" t="str">
        <x:v>Operating instruction</x:v>
      </x:c>
    </x:row>
    <x:row r="2">
      <x:c r="A2" t="str">
        <x:v>Purpose</x:v>
      </x:c>
      <x:c r="B2" t="str">
        <x:v>BUD v0.5 is an ERP-sourced project management consolidator, NOT a second ERP. All data is fictional.</x:v>
      </x:c>
    </x:row>
    <x:row r="3">
      <x:c r="A3" t="str">
        <x:v>Official identifiers</x:v>
      </x:c>
      <x:c r="B3" t="str">
        <x:v>Project ID is the consecutive number assigned by ERP; Excel does not generate it.</x:v>
      </x:c>
    </x:row>
    <x:row r="4">
      <x:c r="A4" t="str">
        <x:v>Cadence</x:v>
      </x:c>
      <x:c r="B4" t="str">
        <x:v>Weekly snapshot plus exceptional refresh when a critical incident affects project decisions.</x:v>
      </x:c>
    </x:row>
    <x:row r="5">
      <x:c r="A5" t="str">
        <x:v>ERP Snapshot</x:v>
      </x:c>
      <x:c r="B5" t="str">
        <x:v>One row per ERP Project ID. Paste summarized official values only, NOT individual customer PO, supplier PO or material lines.</x:v>
      </x:c>
    </x:row>
    <x:row r="6">
      <x:c r="A6" t="str">
        <x:v>Exceptions</x:v>
      </x:c>
      <x:c r="B6" t="str">
        <x:v>Manually track only actionable deviations: owner, next action, deadline and resolution.</x:v>
      </x:c>
    </x:row>
    <x:row r="7">
      <x:c r="A7" t="str">
        <x:v>Project Control</x:v>
      </x:c>
      <x:c r="B7" t="str">
        <x:v>Calculated from latest pasted snapshot; project-level financial and operational signals.</x:v>
      </x:c>
    </x:row>
    <x:row r="8">
      <x:c r="A8" t="str">
        <x:v>USD</x:v>
      </x:c>
      <x:c r="B8" t="str">
        <x:v>USD is reporting currency. Currency translation is an illustrative assumption pending PL-001 policy.</x:v>
      </x:c>
    </x:row>
    <x:row r="9">
      <x:c r="A9" t="str">
        <x:v>Pricing</x:v>
      </x:c>
      <x:c r="B9" t="str">
        <x:v>Quotation decision support only. Authorized customer PO, not target markup, controls project revenue.</x:v>
      </x:c>
    </x:row>
    <x:row r="10">
      <x:c r="A10" t="str">
        <x:v>Audit</x:v>
      </x:c>
      <x:c r="B10" t="str">
        <x:v>Maintain each update in Update Log and preserve dated ERP export separately outside this workbook.</x:v>
      </x:c>
    </x:row>
    <x:row r="11">
      <x:c r="A11" t="str">
        <x:v>Scope boundary</x:v>
      </x:c>
      <x:c r="B11" t="str">
        <x:v>Purchasing, Warehouse, Invoicing and Finance continue to own transactions and ERP records.</x:v>
      </x:c>
    </x:row>
    <x:row r="12">
      <x:c r="A12" t="str">
        <x:v>Data quality</x:v>
      </x:c>
      <x:c r="B12" t="str">
        <x:v>Snapshot must contain unique Project IDs; do not mix different ERP extraction dates in a single weekly refresh.</x:v>
      </x:c>
    </x:row>
    <x:row r="13">
      <x:c r="A13" t="str">
        <x:v>Validation</x:v>
      </x:c>
      <x:c r="B13" t="str">
        <x:v>This is a simulated demonstration, not a validated ERP integration or audited accounting model.</x:v>
      </x:c>
    </x:row>
    <x:row r="14">
      <x:c r="A14" t="str">
        <x:v>v0.6 Scope</x:v>
      </x:c>
      <x:c r="B14" t="str">
        <x:v>Internal project profitability and management reporting only; no financial statements or statutory accounting.</x:v>
      </x:c>
    </x:row>
    <x:row r="15">
      <x:c r="A15" t="str">
        <x:v>Monthly close</x:v>
      </x:c>
      <x:c r="B15" t="str">
        <x:v>Monthly Project Activity feeds Monthly BU Close and Monthly Brand Detail. Month-level historical values are preserved.</x:v>
      </x:c>
    </x:row>
    <x:row r="16">
      <x:c r="A16" t="str">
        <x:v>Brand rule</x:v>
      </x:c>
      <x:c r="B16" t="str">
        <x:v>Quote by brand before award; customer may consolidate PO, requiring cross-reference rather than duplicated PO intake.</x:v>
      </x:c>
    </x:row>
    <x:row r="17">
      <x:c r="A17" t="str">
        <x:v>Selling entity</x:v>
      </x:c>
      <x:c r="B17" t="str">
        <x:v>MX or US selling company is a distinct reporting dimension. Intercompany US supplier purchases are not double-counted in MX project costs.</x:v>
      </x:c>
    </x:row>
    <x:row r="18">
      <x:c r="A18" t="str">
        <x:v>Cost logic</x:v>
      </x:c>
      <x:c r="B18" t="str">
        <x:v>Investment 1 is paid disbursements; Investment 2 is outstanding at month-end; ERP recognized costs may overlap with paid amounts.</x:v>
      </x:c>
    </x:row>
    <x:row r="19">
      <x:c r="A19" t="str">
        <x:v>Reporting caution</x:v>
      </x:c>
      <x:c r="B19" t="str">
        <x:v>Monthly invoice less recognized cost is timing-sensitive and is NOT accounting profit or definitive project profitability.</x:v>
      </x:c>
    </x:row>
    <x:row r="20">
      <x:c r="A20" t="str">
        <x:v>Simulation</x:v>
      </x:c>
      <x:c r="B20" t="str">
        <x:v>All customers, projects, orders and monetary amounts are fictional. FX policy and ERP export mapping remain open.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66" hidden="0" customWidth="1"/>
  </x:cols>
  <x:sheetData>
    <x:row r="1" ht="40" customHeight="1">
      <x:c r="A1" s="4" t="str">
        <x:v>Parameter</x:v>
      </x:c>
      <x:c r="B1" s="4" t="str">
        <x:v>Value</x:v>
      </x:c>
      <x:c r="C1" s="4" t="str">
        <x:v>Notes</x:v>
      </x:c>
    </x:row>
    <x:row r="2">
      <x:c r="A2" t="str">
        <x:v>USD/MXN illustrative FX</x:v>
      </x:c>
      <x:c r="B2" t="n">
        <x:v>20</x:v>
      </x:c>
      <x:c r="C2" t="str">
        <x:v>PL-001: ERP/finance exchange-rate policy not approved; for demonstration only</x:v>
      </x:c>
    </x:row>
    <x:row r="3">
      <x:c r="A3" t="str">
        <x:v>Preventive budget threshold</x:v>
      </x:c>
      <x:c r="B3" t="n">
        <x:v>0.9</x:v>
      </x:c>
      <x:c r="C3" t="str">
        <x:v>Escalate when cost exposure reaches this percentage of approved cost budget</x:v>
      </x:c>
    </x:row>
    <x:row r="4">
      <x:c r="A4" t="str">
        <x:v>Processing days</x:v>
      </x:c>
      <x:c r="B4" t="n">
        <x:v>7</x:v>
      </x:c>
      <x:c r="C4" t="str">
        <x:v>Delivery buffer phase 1</x:v>
      </x:c>
    </x:row>
    <x:row r="5">
      <x:c r="A5" t="str">
        <x:v>Intermediary days</x:v>
      </x:c>
      <x:c r="B5" t="n">
        <x:v>7</x:v>
      </x:c>
      <x:c r="C5" t="str">
        <x:v>Delivery buffer phase 2</x:v>
      </x:c>
    </x:row>
    <x:row r="6">
      <x:c r="A6" t="str">
        <x:v>Final customer days</x:v>
      </x:c>
      <x:c r="B6" t="n">
        <x:v>7</x:v>
      </x:c>
      <x:c r="C6" t="str">
        <x:v>Delivery buffer phase 3</x:v>
      </x:c>
    </x:row>
    <x:row r="7">
      <x:c r="A7" t="str">
        <x:v>Weekly reporting day</x:v>
      </x:c>
      <x:c r="B7" t="str">
        <x:v>Friday</x:v>
      </x:c>
      <x:c r="C7" t="str">
        <x:v>Extraordinary update for critical exceptions</x:v>
      </x:c>
    </x:row>
    <x:row r="8">
      <x:c r="A8" t="str">
        <x:v>Reporting currency</x:v>
      </x:c>
      <x:c r="B8" t="str">
        <x:v>USD</x:v>
      </x:c>
      <x:c r="C8" t="str">
        <x:v>Financial consolidation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36" hidden="0" customWidth="1"/>
    <x:col min="17" max="17" width="23" hidden="0" customWidth="1"/>
    <x:col min="18" max="18" width="23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Selling entity</x:v>
      </x:c>
      <x:c r="D1" s="4" t="str">
        <x:v>Sale currency</x:v>
      </x:c>
      <x:c r="E1" s="4" t="str">
        <x:v>Customer PO authorized (original)</x:v>
      </x:c>
      <x:c r="F1" s="4" t="str">
        <x:v>Approved cost budget USD</x:v>
      </x:c>
      <x:c r="G1" s="4" t="str">
        <x:v>ERP recognized costs USD</x:v>
      </x:c>
      <x:c r="H1" s="4" t="str">
        <x:v>Open unrecognized commitments USD</x:v>
      </x:c>
      <x:c r="I1" s="4" t="str">
        <x:v>Invoiced total (original)</x:v>
      </x:c>
      <x:c r="J1" s="4" t="str">
        <x:v>Supplier PO count</x:v>
      </x:c>
      <x:c r="K1" s="4" t="str">
        <x:v>POs with pending receipts</x:v>
      </x:c>
      <x:c r="L1" s="4" t="str">
        <x:v>Critical material / delivery flag</x:v>
      </x:c>
      <x:c r="M1" s="4" t="str">
        <x:v>ERP status</x:v>
      </x:c>
      <x:c r="N1" s="4" t="str">
        <x:v>Snapshot date</x:v>
      </x:c>
      <x:c r="O1" s="4" t="str">
        <x:v>Source export reference</x:v>
      </x:c>
      <x:c r="P1" s="4" t="str">
        <x:v>Operational notes</x:v>
      </x:c>
      <x:c r="Q1" s="13" t="str">
        <x:v>Business Unit</x:v>
      </x:c>
      <x:c r="R1" s="13" t="str">
        <x:v>Brand / Commercial Line</x:v>
      </x:c>
    </x:row>
    <x:row r="2">
      <x:c r="A2" t="str">
        <x:v>100245</x:v>
      </x:c>
      <x:c r="B2" t="str">
        <x:v>Customer A</x:v>
      </x:c>
      <x:c r="C2" t="str">
        <x:v>MX</x:v>
      </x:c>
      <x:c r="D2" t="str">
        <x:v>USD</x:v>
      </x:c>
      <x:c r="E2" t="n">
        <x:v>50000</x:v>
      </x:c>
      <x:c r="F2" t="n">
        <x:v>38000</x:v>
      </x:c>
      <x:c r="G2" t="n">
        <x:v>24000</x:v>
      </x:c>
      <x:c r="H2" t="n">
        <x:v>11000</x:v>
      </x:c>
      <x:c r="I2" t="n">
        <x:v>28000</x:v>
      </x:c>
      <x:c r="J2" t="n">
        <x:v>3</x:v>
      </x:c>
      <x:c r="K2" t="n">
        <x:v>1</x:v>
      </x:c>
      <x:c r="L2" t="str">
        <x:v>YES</x:v>
      </x:c>
      <x:c r="M2" t="str">
        <x:v>Partial Invoice</x:v>
      </x:c>
      <x:c r="N2" t="str">
        <x:v>2026-10-16</x:v>
      </x:c>
      <x:c r="O2" t="str">
        <x:v>ERP-W42-001</x:v>
      </x:c>
      <x:c r="P2" t="str">
        <x:v>Supplier delay under review</x:v>
      </x:c>
      <x:c r="Q2" t="str">
        <x:v>Strategic Services</x:v>
      </x:c>
      <x:c r="R2" t="str">
        <x:v>N/A</x:v>
      </x:c>
    </x:row>
    <x:row r="3">
      <x:c r="A3" t="str">
        <x:v>100246</x:v>
      </x:c>
      <x:c r="B3" t="str">
        <x:v>Customer B</x:v>
      </x:c>
      <x:c r="C3" t="str">
        <x:v>MX</x:v>
      </x:c>
      <x:c r="D3" t="str">
        <x:v>MXN</x:v>
      </x:c>
      <x:c r="E3" t="n">
        <x:v>820000</x:v>
      </x:c>
      <x:c r="F3" t="n">
        <x:v>32000</x:v>
      </x:c>
      <x:c r="G3" t="n">
        <x:v>29000</x:v>
      </x:c>
      <x:c r="H3" t="n">
        <x:v>2000</x:v>
      </x:c>
      <x:c r="I3" t="n">
        <x:v>820000</x:v>
      </x:c>
      <x:c r="J3" t="n">
        <x:v>2</x:v>
      </x:c>
      <x:c r="K3" t="n">
        <x:v>0</x:v>
      </x:c>
      <x:c r="L3" t="str">
        <x:v>NO</x:v>
      </x:c>
      <x:c r="M3" t="str">
        <x:v>Invoiced</x:v>
      </x:c>
      <x:c r="N3" t="str">
        <x:v>2026-10-16</x:v>
      </x:c>
      <x:c r="O3" t="str">
        <x:v>ERP-W42-001</x:v>
      </x:c>
      <x:c r="P3" t="str">
        <x:v>Pending financial review</x:v>
      </x:c>
      <x:c r="Q3" t="str">
        <x:v>Brands</x:v>
      </x:c>
      <x:c r="R3" t="str">
        <x:v>Desoutter</x:v>
      </x:c>
    </x:row>
    <x:row r="4">
      <x:c r="A4" t="str">
        <x:v>100247</x:v>
      </x:c>
      <x:c r="B4" t="str">
        <x:v>Customer C</x:v>
      </x:c>
      <x:c r="C4" t="str">
        <x:v>US</x:v>
      </x:c>
      <x:c r="D4" t="str">
        <x:v>USD</x:v>
      </x:c>
      <x:c r="E4" t="n">
        <x:v>34000</x:v>
      </x:c>
      <x:c r="F4" t="n">
        <x:v>26000</x:v>
      </x:c>
      <x:c r="G4" t="n">
        <x:v>21000</x:v>
      </x:c>
      <x:c r="H4" t="n">
        <x:v>7000</x:v>
      </x:c>
      <x:c r="I4" t="n">
        <x:v>12000</x:v>
      </x:c>
      <x:c r="J4" t="n">
        <x:v>4</x:v>
      </x:c>
      <x:c r="K4" t="n">
        <x:v>2</x:v>
      </x:c>
      <x:c r="L4" t="str">
        <x:v>YES</x:v>
      </x:c>
      <x:c r="M4" t="str">
        <x:v>Partial Invoice</x:v>
      </x:c>
      <x:c r="N4" t="str">
        <x:v>2026-10-16</x:v>
      </x:c>
      <x:c r="O4" t="str">
        <x:v>ERP-W42-001</x:v>
      </x:c>
      <x:c r="P4" t="str">
        <x:v>Material pending</x:v>
      </x:c>
      <x:c r="Q4" t="str">
        <x:v>Brands</x:v>
      </x:c>
      <x:c r="R4" t="str">
        <x:v>Datalogic</x:v>
      </x:c>
    </x:row>
    <x:row r="5">
      <x:c r="A5" t="str">
        <x:v>100248</x:v>
      </x:c>
      <x:c r="B5" t="str">
        <x:v>Customer D</x:v>
      </x:c>
      <x:c r="C5" t="str">
        <x:v>MX</x:v>
      </x:c>
      <x:c r="D5" t="str">
        <x:v>USD</x:v>
      </x:c>
      <x:c r="E5" t="n">
        <x:v>24000</x:v>
      </x:c>
      <x:c r="F5" t="n">
        <x:v>18000</x:v>
      </x:c>
      <x:c r="G5" t="n">
        <x:v>12000</x:v>
      </x:c>
      <x:c r="H5" t="n">
        <x:v>0</x:v>
      </x:c>
      <x:c r="I5" t="n">
        <x:v>0</x:v>
      </x:c>
      <x:c r="J5" t="n">
        <x:v>1</x:v>
      </x:c>
      <x:c r="K5" t="n">
        <x:v>0</x:v>
      </x:c>
      <x:c r="L5" t="str">
        <x:v>NO</x:v>
      </x:c>
      <x:c r="M5" t="str">
        <x:v>Open</x:v>
      </x:c>
      <x:c r="N5" t="str">
        <x:v>2026-10-16</x:v>
      </x:c>
      <x:c r="O5" t="str">
        <x:v>ERP-W42-001</x:v>
      </x:c>
      <x:c r="P5" t="str">
        <x:v>Awaiting delivery</x:v>
      </x:c>
      <x:c r="Q5" t="str">
        <x:v>Strategic Services</x:v>
      </x:c>
      <x:c r="R5" t="str">
        <x:v>N/A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0" customHeight="1">
      <x:c r="A1" s="4" t="str">
        <x:v>Project ID (ERP)</x:v>
      </x:c>
      <x:c r="B1" s="4" t="str">
        <x:v>Exception ID</x:v>
      </x:c>
      <x:c r="C1" s="4" t="str">
        <x:v>Category</x:v>
      </x:c>
      <x:c r="D1" s="4" t="str">
        <x:v>Priority</x:v>
      </x:c>
      <x:c r="E1" s="4" t="str">
        <x:v>Status</x:v>
      </x:c>
      <x:c r="F1" s="4" t="str">
        <x:v>Responsible area</x:v>
      </x:c>
      <x:c r="G1" s="4" t="str">
        <x:v>Raised date</x:v>
      </x:c>
      <x:c r="H1" s="4" t="str">
        <x:v>Next action</x:v>
      </x:c>
      <x:c r="I1" s="4" t="str">
        <x:v>Due date</x:v>
      </x:c>
      <x:c r="J1" s="4" t="str">
        <x:v>Evidence / ERP reference</x:v>
      </x:c>
      <x:c r="K1" s="4" t="str">
        <x:v>Last updated</x:v>
      </x:c>
    </x:row>
    <x:row r="2">
      <x:c r="A2" t="str">
        <x:v>100245</x:v>
      </x:c>
      <x:c r="B2" t="str">
        <x:v>EX-001</x:v>
      </x:c>
      <x:c r="C2" t="str">
        <x:v>Supplier delay</x:v>
      </x:c>
      <x:c r="D2" t="str">
        <x:v>Critical</x:v>
      </x:c>
      <x:c r="E2" t="str">
        <x:v>Open</x:v>
      </x:c>
      <x:c r="F2" t="str">
        <x:v>Purchasing</x:v>
      </x:c>
      <x:c r="G2" t="str">
        <x:v>2026-10-16</x:v>
      </x:c>
      <x:c r="H2" t="str">
        <x:v>Confirm revised ETA</x:v>
      </x:c>
      <x:c r="I2" t="str">
        <x:v>2026-10-19</x:v>
      </x:c>
      <x:c r="J2" t="str">
        <x:v>SPO reference in ERP</x:v>
      </x:c>
      <x:c r="K2" t="str">
        <x:v>2026-10-16</x:v>
      </x:c>
    </x:row>
    <x:row r="3">
      <x:c r="A3" t="str">
        <x:v>100246</x:v>
      </x:c>
      <x:c r="B3" t="str">
        <x:v>EX-002</x:v>
      </x:c>
      <x:c r="C3" t="str">
        <x:v>Cost reconciliation</x:v>
      </x:c>
      <x:c r="D3" t="str">
        <x:v>High</x:v>
      </x:c>
      <x:c r="E3" t="str">
        <x:v>Open</x:v>
      </x:c>
      <x:c r="F3" t="str">
        <x:v>Finance</x:v>
      </x:c>
      <x:c r="G3" t="str">
        <x:v>2026-10-16</x:v>
      </x:c>
      <x:c r="H3" t="str">
        <x:v>Verify recognized cost difference</x:v>
      </x:c>
      <x:c r="I3" t="str">
        <x:v>2026-10-20</x:v>
      </x:c>
      <x:c r="J3" t="str">
        <x:v>ERP cost report</x:v>
      </x:c>
      <x:c r="K3" t="str">
        <x:v>2026-10-16</x:v>
      </x:c>
    </x:row>
    <x:row r="4">
      <x:c r="A4" t="str">
        <x:v>100247</x:v>
      </x:c>
      <x:c r="B4" t="str">
        <x:v>EX-003</x:v>
      </x:c>
      <x:c r="C4" t="str">
        <x:v>Partial delivery</x:v>
      </x:c>
      <x:c r="D4" t="str">
        <x:v>High</x:v>
      </x:c>
      <x:c r="E4" t="str">
        <x:v>Open</x:v>
      </x:c>
      <x:c r="F4" t="str">
        <x:v>Warehouse</x:v>
      </x:c>
      <x:c r="G4" t="str">
        <x:v>2026-10-16</x:v>
      </x:c>
      <x:c r="H4" t="str">
        <x:v>Confirm outstanding receipt</x:v>
      </x:c>
      <x:c r="I4" t="str">
        <x:v>2026-10-19</x:v>
      </x:c>
      <x:c r="J4" t="str">
        <x:v>ERP receiving status</x:v>
      </x:c>
      <x:c r="K4" t="str">
        <x:v>2026-10-16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2" customHeight="1">
      <x:c r="A1" s="4" t="str">
        <x:v>Project ID (ERP)</x:v>
      </x:c>
      <x:c r="B1" s="4" t="str">
        <x:v>Customer</x:v>
      </x:c>
      <x:c r="C1" s="4" t="str">
        <x:v>Sale currency</x:v>
      </x:c>
      <x:c r="D1" s="4" t="str">
        <x:v>Authorized Customer PO USD</x:v>
      </x:c>
      <x:c r="E1" s="4" t="str">
        <x:v>Invoiced USD</x:v>
      </x:c>
      <x:c r="F1" s="4" t="str">
        <x:v>Uninvoiced USD</x:v>
      </x:c>
      <x:c r="G1" s="4" t="str">
        <x:v>Approved cost budget USD</x:v>
      </x:c>
      <x:c r="H1" s="4" t="str">
        <x:v>ERP recognized cost USD</x:v>
      </x:c>
      <x:c r="I1" s="4" t="str">
        <x:v>Open commitments USD</x:v>
      </x:c>
      <x:c r="J1" s="4" t="str">
        <x:v>Cost exposure USD</x:v>
      </x:c>
      <x:c r="K1" s="4" t="str">
        <x:v>Budget utilization</x:v>
      </x:c>
      <x:c r="L1" s="4" t="str">
        <x:v>Budget alert</x:v>
      </x:c>
      <x:c r="M1" s="4" t="str">
        <x:v>Pending supplier POs</x:v>
      </x:c>
      <x:c r="N1" s="4" t="str">
        <x:v>Open exceptions</x:v>
      </x:c>
      <x:c r="O1" s="4" t="str">
        <x:v>Invoice status</x:v>
      </x:c>
      <x:c r="P1" s="4" t="str">
        <x:v>Follow-up priority</x:v>
      </x:c>
      <x:c r="Q1" s="4" t="str">
        <x:v>Snapshot date</x:v>
      </x:c>
      <x:c r="R1" s="13" t="str">
        <x:v>Business Unit</x:v>
      </x:c>
      <x:c r="S1" s="13" t="str">
        <x:v>Brand / Commercial Line</x:v>
      </x:c>
      <x:c r="T1" s="13" t="str">
        <x:v>Selling Entity</x:v>
      </x:c>
    </x:row>
    <x:row r="2">
      <x:c r="A2" t="str">
        <x:f>IF('ERP Snapshot'!A2="","",'ERP Snapshot'!A2)</x:f>
        <x:v>100245</x:v>
      </x:c>
      <x:c r="B2" t="str">
        <x:f>IF(A2="","",'ERP Snapshot'!B2)</x:f>
        <x:v>Customer A</x:v>
      </x:c>
      <x:c r="C2" t="str">
        <x:f>IF(A2="","",'ERP Snapshot'!D2)</x:f>
        <x:v>USD</x:v>
      </x:c>
      <x:c r="D2" t="n">
        <x:f>IF(A2="","",IF(C2="MXN",'ERP Snapshot'!E2/Settings!$B$2,'ERP Snapshot'!E2))</x:f>
        <x:v>50000</x:v>
      </x:c>
      <x:c r="E2" t="n">
        <x:f>IF(A2="","",IF(C2="MXN",'ERP Snapshot'!I2/Settings!$B$2,'ERP Snapshot'!I2))</x:f>
        <x:v>28000</x:v>
      </x:c>
      <x:c r="F2" t="n">
        <x:f>IF(A2="","",D2-E2)</x:f>
        <x:v>22000</x:v>
      </x:c>
      <x:c r="G2" t="n">
        <x:f>IF(A2="","",'ERP Snapshot'!F2)</x:f>
        <x:v>38000</x:v>
      </x:c>
      <x:c r="H2" t="n">
        <x:f>IF(A2="","",'ERP Snapshot'!G2)</x:f>
        <x:v>24000</x:v>
      </x:c>
      <x:c r="I2" t="n">
        <x:f>IF(A2="","",'ERP Snapshot'!H2)</x:f>
        <x:v>11000</x:v>
      </x:c>
      <x:c r="J2" t="n">
        <x:f>IF(A2="","",H2+I2)</x:f>
        <x:v>35000</x:v>
      </x:c>
      <x:c r="K2" s="8" t="n">
        <x:f>IF(A2="","",IF(G2&gt;0,J2/G2,0))</x:f>
        <x:v>0.9210526315789473</x:v>
      </x:c>
      <x:c r="L2" t="str">
        <x:f>IF(A2="","",IF(G2&lt;=0,"REVIEW: NO BUDGET",IF(K2&gt;1,"OVER BUDGET",IF(K2=1,"BUDGET EXHAUSTED",IF(K2&gt;=Settings!$B$3,"PREVENTIVE ALERT","OK")))))</x:f>
        <x:v>PREVENTIVE ALERT</x:v>
      </x:c>
      <x:c r="M2" t="n">
        <x:f>IF(A2="","",'ERP Snapshot'!K2)</x:f>
        <x:v>1</x:v>
      </x:c>
      <x:c r="N2" t="n">
        <x:f>IF(A2="","",COUNTIFS(Exceptions!$A$2:$A$101,A2,Exceptions!$E$2:$E$101,"Open"))</x:f>
        <x:v>1</x:v>
      </x:c>
      <x:c r="O2" t="str">
        <x:f>IF(A2="","",IF(E2&gt;D2,"REVIEW: ABOVE CUSTOMER PO",IF(E2=D2,"FULLY INVOICED",IF(E2&gt;0,"PARTIAL INVOICE","NOT INVOICED"))))</x:f>
        <x:v>PARTIAL INVOICE</x:v>
      </x:c>
      <x:c r="P2" t="str">
        <x:f>IF(A2="","",IF(OR(L2="OVER BUDGET",L2="BUDGET EXHAUSTED",O2="REVIEW: ABOVE CUSTOMER PO",'ERP Snapshot'!L2="YES"),"CRITICAL / REVIEW",IF(OR(N2&gt;0,M2&gt;0,F2&gt;0),"FOLLOW UP","NORMAL")))</x:f>
        <x:v>CRITICAL / REVIEW</x:v>
      </x:c>
      <x:c r="Q2" t="str">
        <x:f>IF(A2="","",'ERP Snapshot'!N2)</x:f>
        <x:v>2026-10-16</x:v>
      </x:c>
      <x:c r="R2" t="str">
        <x:f>IF(A2="","",'ERP Snapshot'!Q2)</x:f>
        <x:v>Strategic Services</x:v>
      </x:c>
      <x:c r="S2" t="str">
        <x:f>IF(A2="","",'ERP Snapshot'!R2)</x:f>
        <x:v>N/A</x:v>
      </x:c>
      <x:c r="T2" t="str">
        <x:f>IF(A2="","",'ERP Snapshot'!C2)</x:f>
        <x:v>MX</x:v>
      </x:c>
    </x:row>
    <x:row r="3">
      <x:c r="A3" t="str">
        <x:f>IF('ERP Snapshot'!A3="","",'ERP Snapshot'!A3)</x:f>
        <x:v>100246</x:v>
      </x:c>
      <x:c r="B3" t="str">
        <x:f>IF(A3="","",'ERP Snapshot'!B3)</x:f>
        <x:v>Customer B</x:v>
      </x:c>
      <x:c r="C3" t="str">
        <x:f>IF(A3="","",'ERP Snapshot'!D3)</x:f>
        <x:v>MXN</x:v>
      </x:c>
      <x:c r="D3" t="n">
        <x:f>IF(A3="","",IF(C3="MXN",'ERP Snapshot'!E3/Settings!$B$2,'ERP Snapshot'!E3))</x:f>
        <x:v>41000</x:v>
      </x:c>
      <x:c r="E3" t="n">
        <x:f>IF(A3="","",IF(C3="MXN",'ERP Snapshot'!I3/Settings!$B$2,'ERP Snapshot'!I3))</x:f>
        <x:v>41000</x:v>
      </x:c>
      <x:c r="F3" t="n">
        <x:f>IF(A3="","",D3-E3)</x:f>
        <x:v>0</x:v>
      </x:c>
      <x:c r="G3" t="n">
        <x:f>IF(A3="","",'ERP Snapshot'!F3)</x:f>
        <x:v>32000</x:v>
      </x:c>
      <x:c r="H3" t="n">
        <x:f>IF(A3="","",'ERP Snapshot'!G3)</x:f>
        <x:v>29000</x:v>
      </x:c>
      <x:c r="I3" t="n">
        <x:f>IF(A3="","",'ERP Snapshot'!H3)</x:f>
        <x:v>2000</x:v>
      </x:c>
      <x:c r="J3" t="n">
        <x:f>IF(A3="","",H3+I3)</x:f>
        <x:v>31000</x:v>
      </x:c>
      <x:c r="K3" s="8" t="n">
        <x:f>IF(A3="","",IF(G3&gt;0,J3/G3,0))</x:f>
        <x:v>0.96875</x:v>
      </x:c>
      <x:c r="L3" t="str">
        <x:f>IF(A3="","",IF(G3&lt;=0,"REVIEW: NO BUDGET",IF(K3&gt;1,"OVER BUDGET",IF(K3=1,"BUDGET EXHAUSTED",IF(K3&gt;=Settings!$B$3,"PREVENTIVE ALERT","OK")))))</x:f>
        <x:v>PREVENTIVE ALERT</x:v>
      </x:c>
      <x:c r="M3" t="n">
        <x:f>IF(A3="","",'ERP Snapshot'!K3)</x:f>
        <x:v>0</x:v>
      </x:c>
      <x:c r="N3" t="n">
        <x:f>IF(A3="","",COUNTIFS(Exceptions!$A$2:$A$101,A3,Exceptions!$E$2:$E$101,"Open"))</x:f>
        <x:v>1</x:v>
      </x:c>
      <x:c r="O3" t="str">
        <x:f>IF(A3="","",IF(E3&gt;D3,"REVIEW: ABOVE CUSTOMER PO",IF(E3=D3,"FULLY INVOICED",IF(E3&gt;0,"PARTIAL INVOICE","NOT INVOICED"))))</x:f>
        <x:v>FULLY INVOICED</x:v>
      </x:c>
      <x:c r="P3" t="str">
        <x:f>IF(A3="","",IF(OR(L3="OVER BUDGET",L3="BUDGET EXHAUSTED",O3="REVIEW: ABOVE CUSTOMER PO",'ERP Snapshot'!L3="YES"),"CRITICAL / REVIEW",IF(OR(N3&gt;0,M3&gt;0,F3&gt;0),"FOLLOW UP","NORMAL")))</x:f>
        <x:v>FOLLOW UP</x:v>
      </x:c>
      <x:c r="Q3" t="str">
        <x:f>IF(A3="","",'ERP Snapshot'!N3)</x:f>
        <x:v>2026-10-16</x:v>
      </x:c>
      <x:c r="R3" t="str">
        <x:f>IF(A3="","",'ERP Snapshot'!Q3)</x:f>
        <x:v>Brands</x:v>
      </x:c>
      <x:c r="S3" t="str">
        <x:f>IF(A3="","",'ERP Snapshot'!R3)</x:f>
        <x:v>Desoutter</x:v>
      </x:c>
      <x:c r="T3" t="str">
        <x:f>IF(A3="","",'ERP Snapshot'!C3)</x:f>
        <x:v>MX</x:v>
      </x:c>
    </x:row>
    <x:row r="4">
      <x:c r="A4" t="str">
        <x:f>IF('ERP Snapshot'!A4="","",'ERP Snapshot'!A4)</x:f>
        <x:v>100247</x:v>
      </x:c>
      <x:c r="B4" t="str">
        <x:f>IF(A4="","",'ERP Snapshot'!B4)</x:f>
        <x:v>Customer C</x:v>
      </x:c>
      <x:c r="C4" t="str">
        <x:f>IF(A4="","",'ERP Snapshot'!D4)</x:f>
        <x:v>USD</x:v>
      </x:c>
      <x:c r="D4" t="n">
        <x:f>IF(A4="","",IF(C4="MXN",'ERP Snapshot'!E4/Settings!$B$2,'ERP Snapshot'!E4))</x:f>
        <x:v>34000</x:v>
      </x:c>
      <x:c r="E4" t="n">
        <x:f>IF(A4="","",IF(C4="MXN",'ERP Snapshot'!I4/Settings!$B$2,'ERP Snapshot'!I4))</x:f>
        <x:v>12000</x:v>
      </x:c>
      <x:c r="F4" t="n">
        <x:f>IF(A4="","",D4-E4)</x:f>
        <x:v>22000</x:v>
      </x:c>
      <x:c r="G4" t="n">
        <x:f>IF(A4="","",'ERP Snapshot'!F4)</x:f>
        <x:v>26000</x:v>
      </x:c>
      <x:c r="H4" t="n">
        <x:f>IF(A4="","",'ERP Snapshot'!G4)</x:f>
        <x:v>21000</x:v>
      </x:c>
      <x:c r="I4" t="n">
        <x:f>IF(A4="","",'ERP Snapshot'!H4)</x:f>
        <x:v>7000</x:v>
      </x:c>
      <x:c r="J4" t="n">
        <x:f>IF(A4="","",H4+I4)</x:f>
        <x:v>28000</x:v>
      </x:c>
      <x:c r="K4" s="8" t="n">
        <x:f>IF(A4="","",IF(G4&gt;0,J4/G4,0))</x:f>
        <x:v>1.0769230769230769</x:v>
      </x:c>
      <x:c r="L4" t="str">
        <x:f>IF(A4="","",IF(G4&lt;=0,"REVIEW: NO BUDGET",IF(K4&gt;1,"OVER BUDGET",IF(K4=1,"BUDGET EXHAUSTED",IF(K4&gt;=Settings!$B$3,"PREVENTIVE ALERT","OK")))))</x:f>
        <x:v>OVER BUDGET</x:v>
      </x:c>
      <x:c r="M4" t="n">
        <x:f>IF(A4="","",'ERP Snapshot'!K4)</x:f>
        <x:v>2</x:v>
      </x:c>
      <x:c r="N4" t="n">
        <x:f>IF(A4="","",COUNTIFS(Exceptions!$A$2:$A$101,A4,Exceptions!$E$2:$E$101,"Open"))</x:f>
        <x:v>1</x:v>
      </x:c>
      <x:c r="O4" t="str">
        <x:f>IF(A4="","",IF(E4&gt;D4,"REVIEW: ABOVE CUSTOMER PO",IF(E4=D4,"FULLY INVOICED",IF(E4&gt;0,"PARTIAL INVOICE","NOT INVOICED"))))</x:f>
        <x:v>PARTIAL INVOICE</x:v>
      </x:c>
      <x:c r="P4" t="str">
        <x:f>IF(A4="","",IF(OR(L4="OVER BUDGET",L4="BUDGET EXHAUSTED",O4="REVIEW: ABOVE CUSTOMER PO",'ERP Snapshot'!L4="YES"),"CRITICAL / REVIEW",IF(OR(N4&gt;0,M4&gt;0,F4&gt;0),"FOLLOW UP","NORMAL")))</x:f>
        <x:v>CRITICAL / REVIEW</x:v>
      </x:c>
      <x:c r="Q4" t="str">
        <x:f>IF(A4="","",'ERP Snapshot'!N4)</x:f>
        <x:v>2026-10-16</x:v>
      </x:c>
      <x:c r="R4" t="str">
        <x:f>IF(A4="","",'ERP Snapshot'!Q4)</x:f>
        <x:v>Brands</x:v>
      </x:c>
      <x:c r="S4" t="str">
        <x:f>IF(A4="","",'ERP Snapshot'!R4)</x:f>
        <x:v>Datalogic</x:v>
      </x:c>
      <x:c r="T4" t="str">
        <x:f>IF(A4="","",'ERP Snapshot'!C4)</x:f>
        <x:v>US</x:v>
      </x:c>
    </x:row>
    <x:row r="5">
      <x:c r="A5" t="str">
        <x:f>IF('ERP Snapshot'!A5="","",'ERP Snapshot'!A5)</x:f>
        <x:v>100248</x:v>
      </x:c>
      <x:c r="B5" t="str">
        <x:f>IF(A5="","",'ERP Snapshot'!B5)</x:f>
        <x:v>Customer D</x:v>
      </x:c>
      <x:c r="C5" t="str">
        <x:f>IF(A5="","",'ERP Snapshot'!D5)</x:f>
        <x:v>USD</x:v>
      </x:c>
      <x:c r="D5" t="n">
        <x:f>IF(A5="","",IF(C5="MXN",'ERP Snapshot'!E5/Settings!$B$2,'ERP Snapshot'!E5))</x:f>
        <x:v>24000</x:v>
      </x:c>
      <x:c r="E5" t="n">
        <x:f>IF(A5="","",IF(C5="MXN",'ERP Snapshot'!I5/Settings!$B$2,'ERP Snapshot'!I5))</x:f>
        <x:v>0</x:v>
      </x:c>
      <x:c r="F5" t="n">
        <x:f>IF(A5="","",D5-E5)</x:f>
        <x:v>24000</x:v>
      </x:c>
      <x:c r="G5" t="n">
        <x:f>IF(A5="","",'ERP Snapshot'!F5)</x:f>
        <x:v>18000</x:v>
      </x:c>
      <x:c r="H5" t="n">
        <x:f>IF(A5="","",'ERP Snapshot'!G5)</x:f>
        <x:v>12000</x:v>
      </x:c>
      <x:c r="I5" t="n">
        <x:f>IF(A5="","",'ERP Snapshot'!H5)</x:f>
        <x:v>0</x:v>
      </x:c>
      <x:c r="J5" t="n">
        <x:f>IF(A5="","",H5+I5)</x:f>
        <x:v>12000</x:v>
      </x:c>
      <x:c r="K5" s="8" t="n">
        <x:f>IF(A5="","",IF(G5&gt;0,J5/G5,0))</x:f>
        <x:v>0.6666666666666666</x:v>
      </x:c>
      <x:c r="L5" t="str">
        <x:f>IF(A5="","",IF(G5&lt;=0,"REVIEW: NO BUDGET",IF(K5&gt;1,"OVER BUDGET",IF(K5=1,"BUDGET EXHAUSTED",IF(K5&gt;=Settings!$B$3,"PREVENTIVE ALERT","OK")))))</x:f>
        <x:v>OK</x:v>
      </x:c>
      <x:c r="M5" t="n">
        <x:f>IF(A5="","",'ERP Snapshot'!K5)</x:f>
        <x:v>0</x:v>
      </x:c>
      <x:c r="N5" t="n">
        <x:f>IF(A5="","",COUNTIFS(Exceptions!$A$2:$A$101,A5,Exceptions!$E$2:$E$101,"Open"))</x:f>
        <x:v>0</x:v>
      </x:c>
      <x:c r="O5" t="str">
        <x:f>IF(A5="","",IF(E5&gt;D5,"REVIEW: ABOVE CUSTOMER PO",IF(E5=D5,"FULLY INVOICED",IF(E5&gt;0,"PARTIAL INVOICE","NOT INVOICED"))))</x:f>
        <x:v>NOT INVOICED</x:v>
      </x:c>
      <x:c r="P5" t="str">
        <x:f>IF(A5="","",IF(OR(L5="OVER BUDGET",L5="BUDGET EXHAUSTED",O5="REVIEW: ABOVE CUSTOMER PO",'ERP Snapshot'!L5="YES"),"CRITICAL / REVIEW",IF(OR(N5&gt;0,M5&gt;0,F5&gt;0),"FOLLOW UP","NORMAL")))</x:f>
        <x:v>FOLLOW UP</x:v>
      </x:c>
      <x:c r="Q5" t="str">
        <x:f>IF(A5="","",'ERP Snapshot'!N5)</x:f>
        <x:v>2026-10-16</x:v>
      </x:c>
      <x:c r="R5" t="str">
        <x:f>IF(A5="","",'ERP Snapshot'!Q5)</x:f>
        <x:v>Strategic Services</x:v>
      </x:c>
      <x:c r="S5" t="str">
        <x:f>IF(A5="","",'ERP Snapshot'!R5)</x:f>
        <x:v>N/A</x:v>
      </x:c>
      <x:c r="T5" t="str">
        <x:f>IF(A5="","",'ERP Snapshot'!C5)</x:f>
        <x:v>MX</x:v>
      </x:c>
    </x:row>
    <x:row r="6">
      <x:c r="A6" t="str">
        <x:f>IF('ERP Snapshot'!A6="","",'ERP Snapshot'!A6)</x:f>
      </x:c>
      <x:c r="B6" t="str">
        <x:f>IF(A6="","",'ERP Snapshot'!B6)</x:f>
      </x:c>
      <x:c r="C6" t="str">
        <x:f>IF(A6="","",'ERP Snapshot'!D6)</x:f>
      </x:c>
      <x:c r="D6" t="str">
        <x:f>IF(A6="","",IF(C6="MXN",'ERP Snapshot'!E6/Settings!$B$2,'ERP Snapshot'!E6))</x:f>
      </x:c>
      <x:c r="E6" t="str">
        <x:f>IF(A6="","",IF(C6="MXN",'ERP Snapshot'!I6/Settings!$B$2,'ERP Snapshot'!I6))</x:f>
      </x:c>
      <x:c r="F6" t="str">
        <x:f>IF(A6="","",D6-E6)</x:f>
      </x:c>
      <x:c r="G6" t="str">
        <x:f>IF(A6="","",'ERP Snapshot'!F6)</x:f>
      </x:c>
      <x:c r="H6" t="str">
        <x:f>IF(A6="","",'ERP Snapshot'!G6)</x:f>
      </x:c>
      <x:c r="I6" t="str">
        <x:f>IF(A6="","",'ERP Snapshot'!H6)</x:f>
      </x:c>
      <x:c r="J6" t="str">
        <x:f>IF(A6="","",H6+I6)</x:f>
      </x:c>
      <x:c r="K6" s="8" t="str">
        <x:f>IF(A6="","",IF(G6&gt;0,J6/G6,0))</x:f>
      </x:c>
      <x:c r="L6" t="str">
        <x:f>IF(A6="","",IF(G6&lt;=0,"REVIEW: NO BUDGET",IF(K6&gt;1,"OVER BUDGET",IF(K6=1,"BUDGET EXHAUSTED",IF(K6&gt;=Settings!$B$3,"PREVENTIVE ALERT","OK")))))</x:f>
      </x:c>
      <x:c r="M6" t="str">
        <x:f>IF(A6="","",'ERP Snapshot'!K6)</x:f>
      </x:c>
      <x:c r="N6" t="str">
        <x:f>IF(A6="","",COUNTIFS(Exceptions!$A$2:$A$101,A6,Exceptions!$E$2:$E$101,"Open"))</x:f>
      </x:c>
      <x:c r="O6" t="str">
        <x:f>IF(A6="","",IF(E6&gt;D6,"REVIEW: ABOVE CUSTOMER PO",IF(E6=D6,"FULLY INVOICED",IF(E6&gt;0,"PARTIAL INVOICE","NOT INVOICED"))))</x:f>
      </x:c>
      <x:c r="P6" t="str">
        <x:f>IF(A6="","",IF(OR(L6="OVER BUDGET",L6="BUDGET EXHAUSTED",O6="REVIEW: ABOVE CUSTOMER PO",'ERP Snapshot'!L6="YES"),"CRITICAL / REVIEW",IF(OR(N6&gt;0,M6&gt;0,F6&gt;0),"FOLLOW UP","NORMAL")))</x:f>
      </x:c>
      <x:c r="Q6" t="str">
        <x:f>IF(A6="","",'ERP Snapshot'!N6)</x:f>
      </x:c>
      <x:c r="R6" t="str">
        <x:f>IF(A6="","",'ERP Snapshot'!Q6)</x:f>
      </x:c>
      <x:c r="S6" t="str">
        <x:f>IF(A6="","",'ERP Snapshot'!R6)</x:f>
      </x:c>
      <x:c r="T6" t="str">
        <x:f>IF(A6="","",'ERP Snapshot'!C6)</x:f>
      </x:c>
    </x:row>
    <x:row r="7">
      <x:c r="A7" t="str">
        <x:f>IF('ERP Snapshot'!A7="","",'ERP Snapshot'!A7)</x:f>
      </x:c>
      <x:c r="B7" t="str">
        <x:f>IF(A7="","",'ERP Snapshot'!B7)</x:f>
      </x:c>
      <x:c r="C7" t="str">
        <x:f>IF(A7="","",'ERP Snapshot'!D7)</x:f>
      </x:c>
      <x:c r="D7" t="str">
        <x:f>IF(A7="","",IF(C7="MXN",'ERP Snapshot'!E7/Settings!$B$2,'ERP Snapshot'!E7))</x:f>
      </x:c>
      <x:c r="E7" t="str">
        <x:f>IF(A7="","",IF(C7="MXN",'ERP Snapshot'!I7/Settings!$B$2,'ERP Snapshot'!I7))</x:f>
      </x:c>
      <x:c r="F7" t="str">
        <x:f>IF(A7="","",D7-E7)</x:f>
      </x:c>
      <x:c r="G7" t="str">
        <x:f>IF(A7="","",'ERP Snapshot'!F7)</x:f>
      </x:c>
      <x:c r="H7" t="str">
        <x:f>IF(A7="","",'ERP Snapshot'!G7)</x:f>
      </x:c>
      <x:c r="I7" t="str">
        <x:f>IF(A7="","",'ERP Snapshot'!H7)</x:f>
      </x:c>
      <x:c r="J7" t="str">
        <x:f>IF(A7="","",H7+I7)</x:f>
      </x:c>
      <x:c r="K7" s="8" t="str">
        <x:f>IF(A7="","",IF(G7&gt;0,J7/G7,0))</x:f>
      </x:c>
      <x:c r="L7" t="str">
        <x:f>IF(A7="","",IF(G7&lt;=0,"REVIEW: NO BUDGET",IF(K7&gt;1,"OVER BUDGET",IF(K7=1,"BUDGET EXHAUSTED",IF(K7&gt;=Settings!$B$3,"PREVENTIVE ALERT","OK")))))</x:f>
      </x:c>
      <x:c r="M7" t="str">
        <x:f>IF(A7="","",'ERP Snapshot'!K7)</x:f>
      </x:c>
      <x:c r="N7" t="str">
        <x:f>IF(A7="","",COUNTIFS(Exceptions!$A$2:$A$101,A7,Exceptions!$E$2:$E$101,"Open"))</x:f>
      </x:c>
      <x:c r="O7" t="str">
        <x:f>IF(A7="","",IF(E7&gt;D7,"REVIEW: ABOVE CUSTOMER PO",IF(E7=D7,"FULLY INVOICED",IF(E7&gt;0,"PARTIAL INVOICE","NOT INVOICED"))))</x:f>
      </x:c>
      <x:c r="P7" t="str">
        <x:f>IF(A7="","",IF(OR(L7="OVER BUDGET",L7="BUDGET EXHAUSTED",O7="REVIEW: ABOVE CUSTOMER PO",'ERP Snapshot'!L7="YES"),"CRITICAL / REVIEW",IF(OR(N7&gt;0,M7&gt;0,F7&gt;0),"FOLLOW UP","NORMAL")))</x:f>
      </x:c>
      <x:c r="Q7" t="str">
        <x:f>IF(A7="","",'ERP Snapshot'!N7)</x:f>
      </x:c>
      <x:c r="R7" t="str">
        <x:f>IF(A7="","",'ERP Snapshot'!Q7)</x:f>
      </x:c>
      <x:c r="S7" t="str">
        <x:f>IF(A7="","",'ERP Snapshot'!R7)</x:f>
      </x:c>
      <x:c r="T7" t="str">
        <x:f>IF(A7="","",'ERP Snapshot'!C7)</x:f>
      </x:c>
    </x:row>
    <x:row r="8">
      <x:c r="A8" t="str">
        <x:f>IF('ERP Snapshot'!A8="","",'ERP Snapshot'!A8)</x:f>
      </x:c>
      <x:c r="B8" t="str">
        <x:f>IF(A8="","",'ERP Snapshot'!B8)</x:f>
      </x:c>
      <x:c r="C8" t="str">
        <x:f>IF(A8="","",'ERP Snapshot'!D8)</x:f>
      </x:c>
      <x:c r="D8" t="str">
        <x:f>IF(A8="","",IF(C8="MXN",'ERP Snapshot'!E8/Settings!$B$2,'ERP Snapshot'!E8))</x:f>
      </x:c>
      <x:c r="E8" t="str">
        <x:f>IF(A8="","",IF(C8="MXN",'ERP Snapshot'!I8/Settings!$B$2,'ERP Snapshot'!I8))</x:f>
      </x:c>
      <x:c r="F8" t="str">
        <x:f>IF(A8="","",D8-E8)</x:f>
      </x:c>
      <x:c r="G8" t="str">
        <x:f>IF(A8="","",'ERP Snapshot'!F8)</x:f>
      </x:c>
      <x:c r="H8" t="str">
        <x:f>IF(A8="","",'ERP Snapshot'!G8)</x:f>
      </x:c>
      <x:c r="I8" t="str">
        <x:f>IF(A8="","",'ERP Snapshot'!H8)</x:f>
      </x:c>
      <x:c r="J8" t="str">
        <x:f>IF(A8="","",H8+I8)</x:f>
      </x:c>
      <x:c r="K8" s="8" t="str">
        <x:f>IF(A8="","",IF(G8&gt;0,J8/G8,0))</x:f>
      </x:c>
      <x:c r="L8" t="str">
        <x:f>IF(A8="","",IF(G8&lt;=0,"REVIEW: NO BUDGET",IF(K8&gt;1,"OVER BUDGET",IF(K8=1,"BUDGET EXHAUSTED",IF(K8&gt;=Settings!$B$3,"PREVENTIVE ALERT","OK")))))</x:f>
      </x:c>
      <x:c r="M8" t="str">
        <x:f>IF(A8="","",'ERP Snapshot'!K8)</x:f>
      </x:c>
      <x:c r="N8" t="str">
        <x:f>IF(A8="","",COUNTIFS(Exceptions!$A$2:$A$101,A8,Exceptions!$E$2:$E$101,"Open"))</x:f>
      </x:c>
      <x:c r="O8" t="str">
        <x:f>IF(A8="","",IF(E8&gt;D8,"REVIEW: ABOVE CUSTOMER PO",IF(E8=D8,"FULLY INVOICED",IF(E8&gt;0,"PARTIAL INVOICE","NOT INVOICED"))))</x:f>
      </x:c>
      <x:c r="P8" t="str">
        <x:f>IF(A8="","",IF(OR(L8="OVER BUDGET",L8="BUDGET EXHAUSTED",O8="REVIEW: ABOVE CUSTOMER PO",'ERP Snapshot'!L8="YES"),"CRITICAL / REVIEW",IF(OR(N8&gt;0,M8&gt;0,F8&gt;0),"FOLLOW UP","NORMAL")))</x:f>
      </x:c>
      <x:c r="Q8" t="str">
        <x:f>IF(A8="","",'ERP Snapshot'!N8)</x:f>
      </x:c>
      <x:c r="R8" t="str">
        <x:f>IF(A8="","",'ERP Snapshot'!Q8)</x:f>
      </x:c>
      <x:c r="S8" t="str">
        <x:f>IF(A8="","",'ERP Snapshot'!R8)</x:f>
      </x:c>
      <x:c r="T8" t="str">
        <x:f>IF(A8="","",'ERP Snapshot'!C8)</x:f>
      </x:c>
    </x:row>
    <x:row r="9">
      <x:c r="A9" t="str">
        <x:f>IF('ERP Snapshot'!A9="","",'ERP Snapshot'!A9)</x:f>
      </x:c>
      <x:c r="B9" t="str">
        <x:f>IF(A9="","",'ERP Snapshot'!B9)</x:f>
      </x:c>
      <x:c r="C9" t="str">
        <x:f>IF(A9="","",'ERP Snapshot'!D9)</x:f>
      </x:c>
      <x:c r="D9" t="str">
        <x:f>IF(A9="","",IF(C9="MXN",'ERP Snapshot'!E9/Settings!$B$2,'ERP Snapshot'!E9))</x:f>
      </x:c>
      <x:c r="E9" t="str">
        <x:f>IF(A9="","",IF(C9="MXN",'ERP Snapshot'!I9/Settings!$B$2,'ERP Snapshot'!I9))</x:f>
      </x:c>
      <x:c r="F9" t="str">
        <x:f>IF(A9="","",D9-E9)</x:f>
      </x:c>
      <x:c r="G9" t="str">
        <x:f>IF(A9="","",'ERP Snapshot'!F9)</x:f>
      </x:c>
      <x:c r="H9" t="str">
        <x:f>IF(A9="","",'ERP Snapshot'!G9)</x:f>
      </x:c>
      <x:c r="I9" t="str">
        <x:f>IF(A9="","",'ERP Snapshot'!H9)</x:f>
      </x:c>
      <x:c r="J9" t="str">
        <x:f>IF(A9="","",H9+I9)</x:f>
      </x:c>
      <x:c r="K9" s="8" t="str">
        <x:f>IF(A9="","",IF(G9&gt;0,J9/G9,0))</x:f>
      </x:c>
      <x:c r="L9" t="str">
        <x:f>IF(A9="","",IF(G9&lt;=0,"REVIEW: NO BUDGET",IF(K9&gt;1,"OVER BUDGET",IF(K9=1,"BUDGET EXHAUSTED",IF(K9&gt;=Settings!$B$3,"PREVENTIVE ALERT","OK")))))</x:f>
      </x:c>
      <x:c r="M9" t="str">
        <x:f>IF(A9="","",'ERP Snapshot'!K9)</x:f>
      </x:c>
      <x:c r="N9" t="str">
        <x:f>IF(A9="","",COUNTIFS(Exceptions!$A$2:$A$101,A9,Exceptions!$E$2:$E$101,"Open"))</x:f>
      </x:c>
      <x:c r="O9" t="str">
        <x:f>IF(A9="","",IF(E9&gt;D9,"REVIEW: ABOVE CUSTOMER PO",IF(E9=D9,"FULLY INVOICED",IF(E9&gt;0,"PARTIAL INVOICE","NOT INVOICED"))))</x:f>
      </x:c>
      <x:c r="P9" t="str">
        <x:f>IF(A9="","",IF(OR(L9="OVER BUDGET",L9="BUDGET EXHAUSTED",O9="REVIEW: ABOVE CUSTOMER PO",'ERP Snapshot'!L9="YES"),"CRITICAL / REVIEW",IF(OR(N9&gt;0,M9&gt;0,F9&gt;0),"FOLLOW UP","NORMAL")))</x:f>
      </x:c>
      <x:c r="Q9" t="str">
        <x:f>IF(A9="","",'ERP Snapshot'!N9)</x:f>
      </x:c>
      <x:c r="R9" t="str">
        <x:f>IF(A9="","",'ERP Snapshot'!Q9)</x:f>
      </x:c>
      <x:c r="S9" t="str">
        <x:f>IF(A9="","",'ERP Snapshot'!R9)</x:f>
      </x:c>
      <x:c r="T9" t="str">
        <x:f>IF(A9="","",'ERP Snapshot'!C9)</x:f>
      </x:c>
    </x:row>
    <x:row r="10">
      <x:c r="A10" t="str">
        <x:f>IF('ERP Snapshot'!A10="","",'ERP Snapshot'!A10)</x:f>
      </x:c>
      <x:c r="B10" t="str">
        <x:f>IF(A10="","",'ERP Snapshot'!B10)</x:f>
      </x:c>
      <x:c r="C10" t="str">
        <x:f>IF(A10="","",'ERP Snapshot'!D10)</x:f>
      </x:c>
      <x:c r="D10" t="str">
        <x:f>IF(A10="","",IF(C10="MXN",'ERP Snapshot'!E10/Settings!$B$2,'ERP Snapshot'!E10))</x:f>
      </x:c>
      <x:c r="E10" t="str">
        <x:f>IF(A10="","",IF(C10="MXN",'ERP Snapshot'!I10/Settings!$B$2,'ERP Snapshot'!I10))</x:f>
      </x:c>
      <x:c r="F10" t="str">
        <x:f>IF(A10="","",D10-E10)</x:f>
      </x:c>
      <x:c r="G10" t="str">
        <x:f>IF(A10="","",'ERP Snapshot'!F10)</x:f>
      </x:c>
      <x:c r="H10" t="str">
        <x:f>IF(A10="","",'ERP Snapshot'!G10)</x:f>
      </x:c>
      <x:c r="I10" t="str">
        <x:f>IF(A10="","",'ERP Snapshot'!H10)</x:f>
      </x:c>
      <x:c r="J10" t="str">
        <x:f>IF(A10="","",H10+I10)</x:f>
      </x:c>
      <x:c r="K10" s="8" t="str">
        <x:f>IF(A10="","",IF(G10&gt;0,J10/G10,0))</x:f>
      </x:c>
      <x:c r="L10" t="str">
        <x:f>IF(A10="","",IF(G10&lt;=0,"REVIEW: NO BUDGET",IF(K10&gt;1,"OVER BUDGET",IF(K10=1,"BUDGET EXHAUSTED",IF(K10&gt;=Settings!$B$3,"PREVENTIVE ALERT","OK")))))</x:f>
      </x:c>
      <x:c r="M10" t="str">
        <x:f>IF(A10="","",'ERP Snapshot'!K10)</x:f>
      </x:c>
      <x:c r="N10" t="str">
        <x:f>IF(A10="","",COUNTIFS(Exceptions!$A$2:$A$101,A10,Exceptions!$E$2:$E$101,"Open"))</x:f>
      </x:c>
      <x:c r="O10" t="str">
        <x:f>IF(A10="","",IF(E10&gt;D10,"REVIEW: ABOVE CUSTOMER PO",IF(E10=D10,"FULLY INVOICED",IF(E10&gt;0,"PARTIAL INVOICE","NOT INVOICED"))))</x:f>
      </x:c>
      <x:c r="P10" t="str">
        <x:f>IF(A10="","",IF(OR(L10="OVER BUDGET",L10="BUDGET EXHAUSTED",O10="REVIEW: ABOVE CUSTOMER PO",'ERP Snapshot'!L10="YES"),"CRITICAL / REVIEW",IF(OR(N10&gt;0,M10&gt;0,F10&gt;0),"FOLLOW UP","NORMAL")))</x:f>
      </x:c>
      <x:c r="Q10" t="str">
        <x:f>IF(A10="","",'ERP Snapshot'!N10)</x:f>
      </x:c>
      <x:c r="R10" t="str">
        <x:f>IF(A10="","",'ERP Snapshot'!Q10)</x:f>
      </x:c>
      <x:c r="S10" t="str">
        <x:f>IF(A10="","",'ERP Snapshot'!R10)</x:f>
      </x:c>
      <x:c r="T10" t="str">
        <x:f>IF(A10="","",'ERP Snapshot'!C10)</x:f>
      </x:c>
    </x:row>
    <x:row r="11">
      <x:c r="A11" t="str">
        <x:f>IF('ERP Snapshot'!A11="","",'ERP Snapshot'!A11)</x:f>
      </x:c>
      <x:c r="B11" t="str">
        <x:f>IF(A11="","",'ERP Snapshot'!B11)</x:f>
      </x:c>
      <x:c r="C11" t="str">
        <x:f>IF(A11="","",'ERP Snapshot'!D11)</x:f>
      </x:c>
      <x:c r="D11" t="str">
        <x:f>IF(A11="","",IF(C11="MXN",'ERP Snapshot'!E11/Settings!$B$2,'ERP Snapshot'!E11))</x:f>
      </x:c>
      <x:c r="E11" t="str">
        <x:f>IF(A11="","",IF(C11="MXN",'ERP Snapshot'!I11/Settings!$B$2,'ERP Snapshot'!I11))</x:f>
      </x:c>
      <x:c r="F11" t="str">
        <x:f>IF(A11="","",D11-E11)</x:f>
      </x:c>
      <x:c r="G11" t="str">
        <x:f>IF(A11="","",'ERP Snapshot'!F11)</x:f>
      </x:c>
      <x:c r="H11" t="str">
        <x:f>IF(A11="","",'ERP Snapshot'!G11)</x:f>
      </x:c>
      <x:c r="I11" t="str">
        <x:f>IF(A11="","",'ERP Snapshot'!H11)</x:f>
      </x:c>
      <x:c r="J11" t="str">
        <x:f>IF(A11="","",H11+I11)</x:f>
      </x:c>
      <x:c r="K11" s="8" t="str">
        <x:f>IF(A11="","",IF(G11&gt;0,J11/G11,0))</x:f>
      </x:c>
      <x:c r="L11" t="str">
        <x:f>IF(A11="","",IF(G11&lt;=0,"REVIEW: NO BUDGET",IF(K11&gt;1,"OVER BUDGET",IF(K11=1,"BUDGET EXHAUSTED",IF(K11&gt;=Settings!$B$3,"PREVENTIVE ALERT","OK")))))</x:f>
      </x:c>
      <x:c r="M11" t="str">
        <x:f>IF(A11="","",'ERP Snapshot'!K11)</x:f>
      </x:c>
      <x:c r="N11" t="str">
        <x:f>IF(A11="","",COUNTIFS(Exceptions!$A$2:$A$101,A11,Exceptions!$E$2:$E$101,"Open"))</x:f>
      </x:c>
      <x:c r="O11" t="str">
        <x:f>IF(A11="","",IF(E11&gt;D11,"REVIEW: ABOVE CUSTOMER PO",IF(E11=D11,"FULLY INVOICED",IF(E11&gt;0,"PARTIAL INVOICE","NOT INVOICED"))))</x:f>
      </x:c>
      <x:c r="P11" t="str">
        <x:f>IF(A11="","",IF(OR(L11="OVER BUDGET",L11="BUDGET EXHAUSTED",O11="REVIEW: ABOVE CUSTOMER PO",'ERP Snapshot'!L11="YES"),"CRITICAL / REVIEW",IF(OR(N11&gt;0,M11&gt;0,F11&gt;0),"FOLLOW UP","NORMAL")))</x:f>
      </x:c>
      <x:c r="Q11" t="str">
        <x:f>IF(A11="","",'ERP Snapshot'!N11)</x:f>
      </x:c>
      <x:c r="R11" t="str">
        <x:f>IF(A11="","",'ERP Snapshot'!Q11)</x:f>
      </x:c>
      <x:c r="S11" t="str">
        <x:f>IF(A11="","",'ERP Snapshot'!R11)</x:f>
      </x:c>
      <x:c r="T11" t="str">
        <x:f>IF(A11="","",'ERP Snapshot'!C11)</x:f>
      </x:c>
    </x:row>
    <x:row r="12">
      <x:c r="A12" t="str">
        <x:f>IF('ERP Snapshot'!A12="","",'ERP Snapshot'!A12)</x:f>
      </x:c>
      <x:c r="B12" t="str">
        <x:f>IF(A12="","",'ERP Snapshot'!B12)</x:f>
      </x:c>
      <x:c r="C12" t="str">
        <x:f>IF(A12="","",'ERP Snapshot'!D12)</x:f>
      </x:c>
      <x:c r="D12" t="str">
        <x:f>IF(A12="","",IF(C12="MXN",'ERP Snapshot'!E12/Settings!$B$2,'ERP Snapshot'!E12))</x:f>
      </x:c>
      <x:c r="E12" t="str">
        <x:f>IF(A12="","",IF(C12="MXN",'ERP Snapshot'!I12/Settings!$B$2,'ERP Snapshot'!I12))</x:f>
      </x:c>
      <x:c r="F12" t="str">
        <x:f>IF(A12="","",D12-E12)</x:f>
      </x:c>
      <x:c r="G12" t="str">
        <x:f>IF(A12="","",'ERP Snapshot'!F12)</x:f>
      </x:c>
      <x:c r="H12" t="str">
        <x:f>IF(A12="","",'ERP Snapshot'!G12)</x:f>
      </x:c>
      <x:c r="I12" t="str">
        <x:f>IF(A12="","",'ERP Snapshot'!H12)</x:f>
      </x:c>
      <x:c r="J12" t="str">
        <x:f>IF(A12="","",H12+I12)</x:f>
      </x:c>
      <x:c r="K12" s="8" t="str">
        <x:f>IF(A12="","",IF(G12&gt;0,J12/G12,0))</x:f>
      </x:c>
      <x:c r="L12" t="str">
        <x:f>IF(A12="","",IF(G12&lt;=0,"REVIEW: NO BUDGET",IF(K12&gt;1,"OVER BUDGET",IF(K12=1,"BUDGET EXHAUSTED",IF(K12&gt;=Settings!$B$3,"PREVENTIVE ALERT","OK")))))</x:f>
      </x:c>
      <x:c r="M12" t="str">
        <x:f>IF(A12="","",'ERP Snapshot'!K12)</x:f>
      </x:c>
      <x:c r="N12" t="str">
        <x:f>IF(A12="","",COUNTIFS(Exceptions!$A$2:$A$101,A12,Exceptions!$E$2:$E$101,"Open"))</x:f>
      </x:c>
      <x:c r="O12" t="str">
        <x:f>IF(A12="","",IF(E12&gt;D12,"REVIEW: ABOVE CUSTOMER PO",IF(E12=D12,"FULLY INVOICED",IF(E12&gt;0,"PARTIAL INVOICE","NOT INVOICED"))))</x:f>
      </x:c>
      <x:c r="P12" t="str">
        <x:f>IF(A12="","",IF(OR(L12="OVER BUDGET",L12="BUDGET EXHAUSTED",O12="REVIEW: ABOVE CUSTOMER PO",'ERP Snapshot'!L12="YES"),"CRITICAL / REVIEW",IF(OR(N12&gt;0,M12&gt;0,F12&gt;0),"FOLLOW UP","NORMAL")))</x:f>
      </x:c>
      <x:c r="Q12" t="str">
        <x:f>IF(A12="","",'ERP Snapshot'!N12)</x:f>
      </x:c>
      <x:c r="R12" t="str">
        <x:f>IF(A12="","",'ERP Snapshot'!Q12)</x:f>
      </x:c>
      <x:c r="S12" t="str">
        <x:f>IF(A12="","",'ERP Snapshot'!R12)</x:f>
      </x:c>
      <x:c r="T12" t="str">
        <x:f>IF(A12="","",'ERP Snapshot'!C12)</x:f>
      </x:c>
    </x:row>
    <x:row r="13">
      <x:c r="A13" t="str">
        <x:f>IF('ERP Snapshot'!A13="","",'ERP Snapshot'!A13)</x:f>
      </x:c>
      <x:c r="B13" t="str">
        <x:f>IF(A13="","",'ERP Snapshot'!B13)</x:f>
      </x:c>
      <x:c r="C13" t="str">
        <x:f>IF(A13="","",'ERP Snapshot'!D13)</x:f>
      </x:c>
      <x:c r="D13" t="str">
        <x:f>IF(A13="","",IF(C13="MXN",'ERP Snapshot'!E13/Settings!$B$2,'ERP Snapshot'!E13))</x:f>
      </x:c>
      <x:c r="E13" t="str">
        <x:f>IF(A13="","",IF(C13="MXN",'ERP Snapshot'!I13/Settings!$B$2,'ERP Snapshot'!I13))</x:f>
      </x:c>
      <x:c r="F13" t="str">
        <x:f>IF(A13="","",D13-E13)</x:f>
      </x:c>
      <x:c r="G13" t="str">
        <x:f>IF(A13="","",'ERP Snapshot'!F13)</x:f>
      </x:c>
      <x:c r="H13" t="str">
        <x:f>IF(A13="","",'ERP Snapshot'!G13)</x:f>
      </x:c>
      <x:c r="I13" t="str">
        <x:f>IF(A13="","",'ERP Snapshot'!H13)</x:f>
      </x:c>
      <x:c r="J13" t="str">
        <x:f>IF(A13="","",H13+I13)</x:f>
      </x:c>
      <x:c r="K13" s="8" t="str">
        <x:f>IF(A13="","",IF(G13&gt;0,J13/G13,0))</x:f>
      </x:c>
      <x:c r="L13" t="str">
        <x:f>IF(A13="","",IF(G13&lt;=0,"REVIEW: NO BUDGET",IF(K13&gt;1,"OVER BUDGET",IF(K13=1,"BUDGET EXHAUSTED",IF(K13&gt;=Settings!$B$3,"PREVENTIVE ALERT","OK")))))</x:f>
      </x:c>
      <x:c r="M13" t="str">
        <x:f>IF(A13="","",'ERP Snapshot'!K13)</x:f>
      </x:c>
      <x:c r="N13" t="str">
        <x:f>IF(A13="","",COUNTIFS(Exceptions!$A$2:$A$101,A13,Exceptions!$E$2:$E$101,"Open"))</x:f>
      </x:c>
      <x:c r="O13" t="str">
        <x:f>IF(A13="","",IF(E13&gt;D13,"REVIEW: ABOVE CUSTOMER PO",IF(E13=D13,"FULLY INVOICED",IF(E13&gt;0,"PARTIAL INVOICE","NOT INVOICED"))))</x:f>
      </x:c>
      <x:c r="P13" t="str">
        <x:f>IF(A13="","",IF(OR(L13="OVER BUDGET",L13="BUDGET EXHAUSTED",O13="REVIEW: ABOVE CUSTOMER PO",'ERP Snapshot'!L13="YES"),"CRITICAL / REVIEW",IF(OR(N13&gt;0,M13&gt;0,F13&gt;0),"FOLLOW UP","NORMAL")))</x:f>
      </x:c>
      <x:c r="Q13" t="str">
        <x:f>IF(A13="","",'ERP Snapshot'!N13)</x:f>
      </x:c>
      <x:c r="R13" t="str">
        <x:f>IF(A13="","",'ERP Snapshot'!Q13)</x:f>
      </x:c>
      <x:c r="S13" t="str">
        <x:f>IF(A13="","",'ERP Snapshot'!R13)</x:f>
      </x:c>
      <x:c r="T13" t="str">
        <x:f>IF(A13="","",'ERP Snapshot'!C13)</x:f>
      </x:c>
    </x:row>
    <x:row r="14">
      <x:c r="A14" t="str">
        <x:f>IF('ERP Snapshot'!A14="","",'ERP Snapshot'!A14)</x:f>
      </x:c>
      <x:c r="B14" t="str">
        <x:f>IF(A14="","",'ERP Snapshot'!B14)</x:f>
      </x:c>
      <x:c r="C14" t="str">
        <x:f>IF(A14="","",'ERP Snapshot'!D14)</x:f>
      </x:c>
      <x:c r="D14" t="str">
        <x:f>IF(A14="","",IF(C14="MXN",'ERP Snapshot'!E14/Settings!$B$2,'ERP Snapshot'!E14))</x:f>
      </x:c>
      <x:c r="E14" t="str">
        <x:f>IF(A14="","",IF(C14="MXN",'ERP Snapshot'!I14/Settings!$B$2,'ERP Snapshot'!I14))</x:f>
      </x:c>
      <x:c r="F14" t="str">
        <x:f>IF(A14="","",D14-E14)</x:f>
      </x:c>
      <x:c r="G14" t="str">
        <x:f>IF(A14="","",'ERP Snapshot'!F14)</x:f>
      </x:c>
      <x:c r="H14" t="str">
        <x:f>IF(A14="","",'ERP Snapshot'!G14)</x:f>
      </x:c>
      <x:c r="I14" t="str">
        <x:f>IF(A14="","",'ERP Snapshot'!H14)</x:f>
      </x:c>
      <x:c r="J14" t="str">
        <x:f>IF(A14="","",H14+I14)</x:f>
      </x:c>
      <x:c r="K14" s="8" t="str">
        <x:f>IF(A14="","",IF(G14&gt;0,J14/G14,0))</x:f>
      </x:c>
      <x:c r="L14" t="str">
        <x:f>IF(A14="","",IF(G14&lt;=0,"REVIEW: NO BUDGET",IF(K14&gt;1,"OVER BUDGET",IF(K14=1,"BUDGET EXHAUSTED",IF(K14&gt;=Settings!$B$3,"PREVENTIVE ALERT","OK")))))</x:f>
      </x:c>
      <x:c r="M14" t="str">
        <x:f>IF(A14="","",'ERP Snapshot'!K14)</x:f>
      </x:c>
      <x:c r="N14" t="str">
        <x:f>IF(A14="","",COUNTIFS(Exceptions!$A$2:$A$101,A14,Exceptions!$E$2:$E$101,"Open"))</x:f>
      </x:c>
      <x:c r="O14" t="str">
        <x:f>IF(A14="","",IF(E14&gt;D14,"REVIEW: ABOVE CUSTOMER PO",IF(E14=D14,"FULLY INVOICED",IF(E14&gt;0,"PARTIAL INVOICE","NOT INVOICED"))))</x:f>
      </x:c>
      <x:c r="P14" t="str">
        <x:f>IF(A14="","",IF(OR(L14="OVER BUDGET",L14="BUDGET EXHAUSTED",O14="REVIEW: ABOVE CUSTOMER PO",'ERP Snapshot'!L14="YES"),"CRITICAL / REVIEW",IF(OR(N14&gt;0,M14&gt;0,F14&gt;0),"FOLLOW UP","NORMAL")))</x:f>
      </x:c>
      <x:c r="Q14" t="str">
        <x:f>IF(A14="","",'ERP Snapshot'!N14)</x:f>
      </x:c>
      <x:c r="R14" t="str">
        <x:f>IF(A14="","",'ERP Snapshot'!Q14)</x:f>
      </x:c>
      <x:c r="S14" t="str">
        <x:f>IF(A14="","",'ERP Snapshot'!R14)</x:f>
      </x:c>
      <x:c r="T14" t="str">
        <x:f>IF(A14="","",'ERP Snapshot'!C14)</x:f>
      </x:c>
    </x:row>
    <x:row r="15">
      <x:c r="A15" t="str">
        <x:f>IF('ERP Snapshot'!A15="","",'ERP Snapshot'!A15)</x:f>
      </x:c>
      <x:c r="B15" t="str">
        <x:f>IF(A15="","",'ERP Snapshot'!B15)</x:f>
      </x:c>
      <x:c r="C15" t="str">
        <x:f>IF(A15="","",'ERP Snapshot'!D15)</x:f>
      </x:c>
      <x:c r="D15" t="str">
        <x:f>IF(A15="","",IF(C15="MXN",'ERP Snapshot'!E15/Settings!$B$2,'ERP Snapshot'!E15))</x:f>
      </x:c>
      <x:c r="E15" t="str">
        <x:f>IF(A15="","",IF(C15="MXN",'ERP Snapshot'!I15/Settings!$B$2,'ERP Snapshot'!I15))</x:f>
      </x:c>
      <x:c r="F15" t="str">
        <x:f>IF(A15="","",D15-E15)</x:f>
      </x:c>
      <x:c r="G15" t="str">
        <x:f>IF(A15="","",'ERP Snapshot'!F15)</x:f>
      </x:c>
      <x:c r="H15" t="str">
        <x:f>IF(A15="","",'ERP Snapshot'!G15)</x:f>
      </x:c>
      <x:c r="I15" t="str">
        <x:f>IF(A15="","",'ERP Snapshot'!H15)</x:f>
      </x:c>
      <x:c r="J15" t="str">
        <x:f>IF(A15="","",H15+I15)</x:f>
      </x:c>
      <x:c r="K15" s="8" t="str">
        <x:f>IF(A15="","",IF(G15&gt;0,J15/G15,0))</x:f>
      </x:c>
      <x:c r="L15" t="str">
        <x:f>IF(A15="","",IF(G15&lt;=0,"REVIEW: NO BUDGET",IF(K15&gt;1,"OVER BUDGET",IF(K15=1,"BUDGET EXHAUSTED",IF(K15&gt;=Settings!$B$3,"PREVENTIVE ALERT","OK")))))</x:f>
      </x:c>
      <x:c r="M15" t="str">
        <x:f>IF(A15="","",'ERP Snapshot'!K15)</x:f>
      </x:c>
      <x:c r="N15" t="str">
        <x:f>IF(A15="","",COUNTIFS(Exceptions!$A$2:$A$101,A15,Exceptions!$E$2:$E$101,"Open"))</x:f>
      </x:c>
      <x:c r="O15" t="str">
        <x:f>IF(A15="","",IF(E15&gt;D15,"REVIEW: ABOVE CUSTOMER PO",IF(E15=D15,"FULLY INVOICED",IF(E15&gt;0,"PARTIAL INVOICE","NOT INVOICED"))))</x:f>
      </x:c>
      <x:c r="P15" t="str">
        <x:f>IF(A15="","",IF(OR(L15="OVER BUDGET",L15="BUDGET EXHAUSTED",O15="REVIEW: ABOVE CUSTOMER PO",'ERP Snapshot'!L15="YES"),"CRITICAL / REVIEW",IF(OR(N15&gt;0,M15&gt;0,F15&gt;0),"FOLLOW UP","NORMAL")))</x:f>
      </x:c>
      <x:c r="Q15" t="str">
        <x:f>IF(A15="","",'ERP Snapshot'!N15)</x:f>
      </x:c>
      <x:c r="R15" t="str">
        <x:f>IF(A15="","",'ERP Snapshot'!Q15)</x:f>
      </x:c>
      <x:c r="S15" t="str">
        <x:f>IF(A15="","",'ERP Snapshot'!R15)</x:f>
      </x:c>
      <x:c r="T15" t="str">
        <x:f>IF(A15="","",'ERP Snapshot'!C15)</x:f>
      </x:c>
    </x:row>
    <x:row r="16">
      <x:c r="A16" t="str">
        <x:f>IF('ERP Snapshot'!A16="","",'ERP Snapshot'!A16)</x:f>
      </x:c>
      <x:c r="B16" t="str">
        <x:f>IF(A16="","",'ERP Snapshot'!B16)</x:f>
      </x:c>
      <x:c r="C16" t="str">
        <x:f>IF(A16="","",'ERP Snapshot'!D16)</x:f>
      </x:c>
      <x:c r="D16" t="str">
        <x:f>IF(A16="","",IF(C16="MXN",'ERP Snapshot'!E16/Settings!$B$2,'ERP Snapshot'!E16))</x:f>
      </x:c>
      <x:c r="E16" t="str">
        <x:f>IF(A16="","",IF(C16="MXN",'ERP Snapshot'!I16/Settings!$B$2,'ERP Snapshot'!I16))</x:f>
      </x:c>
      <x:c r="F16" t="str">
        <x:f>IF(A16="","",D16-E16)</x:f>
      </x:c>
      <x:c r="G16" t="str">
        <x:f>IF(A16="","",'ERP Snapshot'!F16)</x:f>
      </x:c>
      <x:c r="H16" t="str">
        <x:f>IF(A16="","",'ERP Snapshot'!G16)</x:f>
      </x:c>
      <x:c r="I16" t="str">
        <x:f>IF(A16="","",'ERP Snapshot'!H16)</x:f>
      </x:c>
      <x:c r="J16" t="str">
        <x:f>IF(A16="","",H16+I16)</x:f>
      </x:c>
      <x:c r="K16" s="8" t="str">
        <x:f>IF(A16="","",IF(G16&gt;0,J16/G16,0))</x:f>
      </x:c>
      <x:c r="L16" t="str">
        <x:f>IF(A16="","",IF(G16&lt;=0,"REVIEW: NO BUDGET",IF(K16&gt;1,"OVER BUDGET",IF(K16=1,"BUDGET EXHAUSTED",IF(K16&gt;=Settings!$B$3,"PREVENTIVE ALERT","OK")))))</x:f>
      </x:c>
      <x:c r="M16" t="str">
        <x:f>IF(A16="","",'ERP Snapshot'!K16)</x:f>
      </x:c>
      <x:c r="N16" t="str">
        <x:f>IF(A16="","",COUNTIFS(Exceptions!$A$2:$A$101,A16,Exceptions!$E$2:$E$101,"Open"))</x:f>
      </x:c>
      <x:c r="O16" t="str">
        <x:f>IF(A16="","",IF(E16&gt;D16,"REVIEW: ABOVE CUSTOMER PO",IF(E16=D16,"FULLY INVOICED",IF(E16&gt;0,"PARTIAL INVOICE","NOT INVOICED"))))</x:f>
      </x:c>
      <x:c r="P16" t="str">
        <x:f>IF(A16="","",IF(OR(L16="OVER BUDGET",L16="BUDGET EXHAUSTED",O16="REVIEW: ABOVE CUSTOMER PO",'ERP Snapshot'!L16="YES"),"CRITICAL / REVIEW",IF(OR(N16&gt;0,M16&gt;0,F16&gt;0),"FOLLOW UP","NORMAL")))</x:f>
      </x:c>
      <x:c r="Q16" t="str">
        <x:f>IF(A16="","",'ERP Snapshot'!N16)</x:f>
      </x:c>
      <x:c r="R16" t="str">
        <x:f>IF(A16="","",'ERP Snapshot'!Q16)</x:f>
      </x:c>
      <x:c r="S16" t="str">
        <x:f>IF(A16="","",'ERP Snapshot'!R16)</x:f>
      </x:c>
      <x:c r="T16" t="str">
        <x:f>IF(A16="","",'ERP Snapshot'!C16)</x:f>
      </x:c>
    </x:row>
    <x:row r="17">
      <x:c r="A17" t="str">
        <x:f>IF('ERP Snapshot'!A17="","",'ERP Snapshot'!A17)</x:f>
      </x:c>
      <x:c r="B17" t="str">
        <x:f>IF(A17="","",'ERP Snapshot'!B17)</x:f>
      </x:c>
      <x:c r="C17" t="str">
        <x:f>IF(A17="","",'ERP Snapshot'!D17)</x:f>
      </x:c>
      <x:c r="D17" t="str">
        <x:f>IF(A17="","",IF(C17="MXN",'ERP Snapshot'!E17/Settings!$B$2,'ERP Snapshot'!E17))</x:f>
      </x:c>
      <x:c r="E17" t="str">
        <x:f>IF(A17="","",IF(C17="MXN",'ERP Snapshot'!I17/Settings!$B$2,'ERP Snapshot'!I17))</x:f>
      </x:c>
      <x:c r="F17" t="str">
        <x:f>IF(A17="","",D17-E17)</x:f>
      </x:c>
      <x:c r="G17" t="str">
        <x:f>IF(A17="","",'ERP Snapshot'!F17)</x:f>
      </x:c>
      <x:c r="H17" t="str">
        <x:f>IF(A17="","",'ERP Snapshot'!G17)</x:f>
      </x:c>
      <x:c r="I17" t="str">
        <x:f>IF(A17="","",'ERP Snapshot'!H17)</x:f>
      </x:c>
      <x:c r="J17" t="str">
        <x:f>IF(A17="","",H17+I17)</x:f>
      </x:c>
      <x:c r="K17" s="8" t="str">
        <x:f>IF(A17="","",IF(G17&gt;0,J17/G17,0))</x:f>
      </x:c>
      <x:c r="L17" t="str">
        <x:f>IF(A17="","",IF(G17&lt;=0,"REVIEW: NO BUDGET",IF(K17&gt;1,"OVER BUDGET",IF(K17=1,"BUDGET EXHAUSTED",IF(K17&gt;=Settings!$B$3,"PREVENTIVE ALERT","OK")))))</x:f>
      </x:c>
      <x:c r="M17" t="str">
        <x:f>IF(A17="","",'ERP Snapshot'!K17)</x:f>
      </x:c>
      <x:c r="N17" t="str">
        <x:f>IF(A17="","",COUNTIFS(Exceptions!$A$2:$A$101,A17,Exceptions!$E$2:$E$101,"Open"))</x:f>
      </x:c>
      <x:c r="O17" t="str">
        <x:f>IF(A17="","",IF(E17&gt;D17,"REVIEW: ABOVE CUSTOMER PO",IF(E17=D17,"FULLY INVOICED",IF(E17&gt;0,"PARTIAL INVOICE","NOT INVOICED"))))</x:f>
      </x:c>
      <x:c r="P17" t="str">
        <x:f>IF(A17="","",IF(OR(L17="OVER BUDGET",L17="BUDGET EXHAUSTED",O17="REVIEW: ABOVE CUSTOMER PO",'ERP Snapshot'!L17="YES"),"CRITICAL / REVIEW",IF(OR(N17&gt;0,M17&gt;0,F17&gt;0),"FOLLOW UP","NORMAL")))</x:f>
      </x:c>
      <x:c r="Q17" t="str">
        <x:f>IF(A17="","",'ERP Snapshot'!N17)</x:f>
      </x:c>
      <x:c r="R17" t="str">
        <x:f>IF(A17="","",'ERP Snapshot'!Q17)</x:f>
      </x:c>
      <x:c r="S17" t="str">
        <x:f>IF(A17="","",'ERP Snapshot'!R17)</x:f>
      </x:c>
      <x:c r="T17" t="str">
        <x:f>IF(A17="","",'ERP Snapshot'!C17)</x:f>
      </x:c>
    </x:row>
    <x:row r="18">
      <x:c r="A18" t="str">
        <x:f>IF('ERP Snapshot'!A18="","",'ERP Snapshot'!A18)</x:f>
      </x:c>
      <x:c r="B18" t="str">
        <x:f>IF(A18="","",'ERP Snapshot'!B18)</x:f>
      </x:c>
      <x:c r="C18" t="str">
        <x:f>IF(A18="","",'ERP Snapshot'!D18)</x:f>
      </x:c>
      <x:c r="D18" t="str">
        <x:f>IF(A18="","",IF(C18="MXN",'ERP Snapshot'!E18/Settings!$B$2,'ERP Snapshot'!E18))</x:f>
      </x:c>
      <x:c r="E18" t="str">
        <x:f>IF(A18="","",IF(C18="MXN",'ERP Snapshot'!I18/Settings!$B$2,'ERP Snapshot'!I18))</x:f>
      </x:c>
      <x:c r="F18" t="str">
        <x:f>IF(A18="","",D18-E18)</x:f>
      </x:c>
      <x:c r="G18" t="str">
        <x:f>IF(A18="","",'ERP Snapshot'!F18)</x:f>
      </x:c>
      <x:c r="H18" t="str">
        <x:f>IF(A18="","",'ERP Snapshot'!G18)</x:f>
      </x:c>
      <x:c r="I18" t="str">
        <x:f>IF(A18="","",'ERP Snapshot'!H18)</x:f>
      </x:c>
      <x:c r="J18" t="str">
        <x:f>IF(A18="","",H18+I18)</x:f>
      </x:c>
      <x:c r="K18" s="8" t="str">
        <x:f>IF(A18="","",IF(G18&gt;0,J18/G18,0))</x:f>
      </x:c>
      <x:c r="L18" t="str">
        <x:f>IF(A18="","",IF(G18&lt;=0,"REVIEW: NO BUDGET",IF(K18&gt;1,"OVER BUDGET",IF(K18=1,"BUDGET EXHAUSTED",IF(K18&gt;=Settings!$B$3,"PREVENTIVE ALERT","OK")))))</x:f>
      </x:c>
      <x:c r="M18" t="str">
        <x:f>IF(A18="","",'ERP Snapshot'!K18)</x:f>
      </x:c>
      <x:c r="N18" t="str">
        <x:f>IF(A18="","",COUNTIFS(Exceptions!$A$2:$A$101,A18,Exceptions!$E$2:$E$101,"Open"))</x:f>
      </x:c>
      <x:c r="O18" t="str">
        <x:f>IF(A18="","",IF(E18&gt;D18,"REVIEW: ABOVE CUSTOMER PO",IF(E18=D18,"FULLY INVOICED",IF(E18&gt;0,"PARTIAL INVOICE","NOT INVOICED"))))</x:f>
      </x:c>
      <x:c r="P18" t="str">
        <x:f>IF(A18="","",IF(OR(L18="OVER BUDGET",L18="BUDGET EXHAUSTED",O18="REVIEW: ABOVE CUSTOMER PO",'ERP Snapshot'!L18="YES"),"CRITICAL / REVIEW",IF(OR(N18&gt;0,M18&gt;0,F18&gt;0),"FOLLOW UP","NORMAL")))</x:f>
      </x:c>
      <x:c r="Q18" t="str">
        <x:f>IF(A18="","",'ERP Snapshot'!N18)</x:f>
      </x:c>
      <x:c r="R18" t="str">
        <x:f>IF(A18="","",'ERP Snapshot'!Q18)</x:f>
      </x:c>
      <x:c r="S18" t="str">
        <x:f>IF(A18="","",'ERP Snapshot'!R18)</x:f>
      </x:c>
      <x:c r="T18" t="str">
        <x:f>IF(A18="","",'ERP Snapshot'!C18)</x:f>
      </x:c>
    </x:row>
    <x:row r="19">
      <x:c r="A19" t="str">
        <x:f>IF('ERP Snapshot'!A19="","",'ERP Snapshot'!A19)</x:f>
      </x:c>
      <x:c r="B19" t="str">
        <x:f>IF(A19="","",'ERP Snapshot'!B19)</x:f>
      </x:c>
      <x:c r="C19" t="str">
        <x:f>IF(A19="","",'ERP Snapshot'!D19)</x:f>
      </x:c>
      <x:c r="D19" t="str">
        <x:f>IF(A19="","",IF(C19="MXN",'ERP Snapshot'!E19/Settings!$B$2,'ERP Snapshot'!E19))</x:f>
      </x:c>
      <x:c r="E19" t="str">
        <x:f>IF(A19="","",IF(C19="MXN",'ERP Snapshot'!I19/Settings!$B$2,'ERP Snapshot'!I19))</x:f>
      </x:c>
      <x:c r="F19" t="str">
        <x:f>IF(A19="","",D19-E19)</x:f>
      </x:c>
      <x:c r="G19" t="str">
        <x:f>IF(A19="","",'ERP Snapshot'!F19)</x:f>
      </x:c>
      <x:c r="H19" t="str">
        <x:f>IF(A19="","",'ERP Snapshot'!G19)</x:f>
      </x:c>
      <x:c r="I19" t="str">
        <x:f>IF(A19="","",'ERP Snapshot'!H19)</x:f>
      </x:c>
      <x:c r="J19" t="str">
        <x:f>IF(A19="","",H19+I19)</x:f>
      </x:c>
      <x:c r="K19" s="8" t="str">
        <x:f>IF(A19="","",IF(G19&gt;0,J19/G19,0))</x:f>
      </x:c>
      <x:c r="L19" t="str">
        <x:f>IF(A19="","",IF(G19&lt;=0,"REVIEW: NO BUDGET",IF(K19&gt;1,"OVER BUDGET",IF(K19=1,"BUDGET EXHAUSTED",IF(K19&gt;=Settings!$B$3,"PREVENTIVE ALERT","OK")))))</x:f>
      </x:c>
      <x:c r="M19" t="str">
        <x:f>IF(A19="","",'ERP Snapshot'!K19)</x:f>
      </x:c>
      <x:c r="N19" t="str">
        <x:f>IF(A19="","",COUNTIFS(Exceptions!$A$2:$A$101,A19,Exceptions!$E$2:$E$101,"Open"))</x:f>
      </x:c>
      <x:c r="O19" t="str">
        <x:f>IF(A19="","",IF(E19&gt;D19,"REVIEW: ABOVE CUSTOMER PO",IF(E19=D19,"FULLY INVOICED",IF(E19&gt;0,"PARTIAL INVOICE","NOT INVOICED"))))</x:f>
      </x:c>
      <x:c r="P19" t="str">
        <x:f>IF(A19="","",IF(OR(L19="OVER BUDGET",L19="BUDGET EXHAUSTED",O19="REVIEW: ABOVE CUSTOMER PO",'ERP Snapshot'!L19="YES"),"CRITICAL / REVIEW",IF(OR(N19&gt;0,M19&gt;0,F19&gt;0),"FOLLOW UP","NORMAL")))</x:f>
      </x:c>
      <x:c r="Q19" t="str">
        <x:f>IF(A19="","",'ERP Snapshot'!N19)</x:f>
      </x:c>
      <x:c r="R19" t="str">
        <x:f>IF(A19="","",'ERP Snapshot'!Q19)</x:f>
      </x:c>
      <x:c r="S19" t="str">
        <x:f>IF(A19="","",'ERP Snapshot'!R19)</x:f>
      </x:c>
      <x:c r="T19" t="str">
        <x:f>IF(A19="","",'ERP Snapshot'!C19)</x:f>
      </x:c>
    </x:row>
    <x:row r="20">
      <x:c r="A20" t="str">
        <x:f>IF('ERP Snapshot'!A20="","",'ERP Snapshot'!A20)</x:f>
      </x:c>
      <x:c r="B20" t="str">
        <x:f>IF(A20="","",'ERP Snapshot'!B20)</x:f>
      </x:c>
      <x:c r="C20" t="str">
        <x:f>IF(A20="","",'ERP Snapshot'!D20)</x:f>
      </x:c>
      <x:c r="D20" t="str">
        <x:f>IF(A20="","",IF(C20="MXN",'ERP Snapshot'!E20/Settings!$B$2,'ERP Snapshot'!E20))</x:f>
      </x:c>
      <x:c r="E20" t="str">
        <x:f>IF(A20="","",IF(C20="MXN",'ERP Snapshot'!I20/Settings!$B$2,'ERP Snapshot'!I20))</x:f>
      </x:c>
      <x:c r="F20" t="str">
        <x:f>IF(A20="","",D20-E20)</x:f>
      </x:c>
      <x:c r="G20" t="str">
        <x:f>IF(A20="","",'ERP Snapshot'!F20)</x:f>
      </x:c>
      <x:c r="H20" t="str">
        <x:f>IF(A20="","",'ERP Snapshot'!G20)</x:f>
      </x:c>
      <x:c r="I20" t="str">
        <x:f>IF(A20="","",'ERP Snapshot'!H20)</x:f>
      </x:c>
      <x:c r="J20" t="str">
        <x:f>IF(A20="","",H20+I20)</x:f>
      </x:c>
      <x:c r="K20" s="8" t="str">
        <x:f>IF(A20="","",IF(G20&gt;0,J20/G20,0))</x:f>
      </x:c>
      <x:c r="L20" t="str">
        <x:f>IF(A20="","",IF(G20&lt;=0,"REVIEW: NO BUDGET",IF(K20&gt;1,"OVER BUDGET",IF(K20=1,"BUDGET EXHAUSTED",IF(K20&gt;=Settings!$B$3,"PREVENTIVE ALERT","OK")))))</x:f>
      </x:c>
      <x:c r="M20" t="str">
        <x:f>IF(A20="","",'ERP Snapshot'!K20)</x:f>
      </x:c>
      <x:c r="N20" t="str">
        <x:f>IF(A20="","",COUNTIFS(Exceptions!$A$2:$A$101,A20,Exceptions!$E$2:$E$101,"Open"))</x:f>
      </x:c>
      <x:c r="O20" t="str">
        <x:f>IF(A20="","",IF(E20&gt;D20,"REVIEW: ABOVE CUSTOMER PO",IF(E20=D20,"FULLY INVOICED",IF(E20&gt;0,"PARTIAL INVOICE","NOT INVOICED"))))</x:f>
      </x:c>
      <x:c r="P20" t="str">
        <x:f>IF(A20="","",IF(OR(L20="OVER BUDGET",L20="BUDGET EXHAUSTED",O20="REVIEW: ABOVE CUSTOMER PO",'ERP Snapshot'!L20="YES"),"CRITICAL / REVIEW",IF(OR(N20&gt;0,M20&gt;0,F20&gt;0),"FOLLOW UP","NORMAL")))</x:f>
      </x:c>
      <x:c r="Q20" t="str">
        <x:f>IF(A20="","",'ERP Snapshot'!N20)</x:f>
      </x:c>
      <x:c r="R20" t="str">
        <x:f>IF(A20="","",'ERP Snapshot'!Q20)</x:f>
      </x:c>
      <x:c r="S20" t="str">
        <x:f>IF(A20="","",'ERP Snapshot'!R20)</x:f>
      </x:c>
      <x:c r="T20" t="str">
        <x:f>IF(A20="","",'ERP Snapshot'!C20)</x:f>
      </x:c>
    </x:row>
    <x:row r="21">
      <x:c r="A21" t="str">
        <x:f>IF('ERP Snapshot'!A21="","",'ERP Snapshot'!A21)</x:f>
      </x:c>
      <x:c r="B21" t="str">
        <x:f>IF(A21="","",'ERP Snapshot'!B21)</x:f>
      </x:c>
      <x:c r="C21" t="str">
        <x:f>IF(A21="","",'ERP Snapshot'!D21)</x:f>
      </x:c>
      <x:c r="D21" t="str">
        <x:f>IF(A21="","",IF(C21="MXN",'ERP Snapshot'!E21/Settings!$B$2,'ERP Snapshot'!E21))</x:f>
      </x:c>
      <x:c r="E21" t="str">
        <x:f>IF(A21="","",IF(C21="MXN",'ERP Snapshot'!I21/Settings!$B$2,'ERP Snapshot'!I21))</x:f>
      </x:c>
      <x:c r="F21" t="str">
        <x:f>IF(A21="","",D21-E21)</x:f>
      </x:c>
      <x:c r="G21" t="str">
        <x:f>IF(A21="","",'ERP Snapshot'!F21)</x:f>
      </x:c>
      <x:c r="H21" t="str">
        <x:f>IF(A21="","",'ERP Snapshot'!G21)</x:f>
      </x:c>
      <x:c r="I21" t="str">
        <x:f>IF(A21="","",'ERP Snapshot'!H21)</x:f>
      </x:c>
      <x:c r="J21" t="str">
        <x:f>IF(A21="","",H21+I21)</x:f>
      </x:c>
      <x:c r="K21" s="8" t="str">
        <x:f>IF(A21="","",IF(G21&gt;0,J21/G21,0))</x:f>
      </x:c>
      <x:c r="L21" t="str">
        <x:f>IF(A21="","",IF(G21&lt;=0,"REVIEW: NO BUDGET",IF(K21&gt;1,"OVER BUDGET",IF(K21=1,"BUDGET EXHAUSTED",IF(K21&gt;=Settings!$B$3,"PREVENTIVE ALERT","OK")))))</x:f>
      </x:c>
      <x:c r="M21" t="str">
        <x:f>IF(A21="","",'ERP Snapshot'!K21)</x:f>
      </x:c>
      <x:c r="N21" t="str">
        <x:f>IF(A21="","",COUNTIFS(Exceptions!$A$2:$A$101,A21,Exceptions!$E$2:$E$101,"Open"))</x:f>
      </x:c>
      <x:c r="O21" t="str">
        <x:f>IF(A21="","",IF(E21&gt;D21,"REVIEW: ABOVE CUSTOMER PO",IF(E21=D21,"FULLY INVOICED",IF(E21&gt;0,"PARTIAL INVOICE","NOT INVOICED"))))</x:f>
      </x:c>
      <x:c r="P21" t="str">
        <x:f>IF(A21="","",IF(OR(L21="OVER BUDGET",L21="BUDGET EXHAUSTED",O21="REVIEW: ABOVE CUSTOMER PO",'ERP Snapshot'!L21="YES"),"CRITICAL / REVIEW",IF(OR(N21&gt;0,M21&gt;0,F21&gt;0),"FOLLOW UP","NORMAL")))</x:f>
      </x:c>
      <x:c r="Q21" t="str">
        <x:f>IF(A21="","",'ERP Snapshot'!N21)</x:f>
      </x:c>
      <x:c r="R21" t="str">
        <x:f>IF(A21="","",'ERP Snapshot'!Q21)</x:f>
      </x:c>
      <x:c r="S21" t="str">
        <x:f>IF(A21="","",'ERP Snapshot'!R21)</x:f>
      </x:c>
      <x:c r="T21" t="str">
        <x:f>IF(A21="","",'ERP Snapshot'!C21)</x:f>
      </x:c>
    </x:row>
    <x:row r="22">
      <x:c r="A22" t="str">
        <x:f>IF('ERP Snapshot'!A22="","",'ERP Snapshot'!A22)</x:f>
      </x:c>
      <x:c r="B22" t="str">
        <x:f>IF(A22="","",'ERP Snapshot'!B22)</x:f>
      </x:c>
      <x:c r="C22" t="str">
        <x:f>IF(A22="","",'ERP Snapshot'!D22)</x:f>
      </x:c>
      <x:c r="D22" t="str">
        <x:f>IF(A22="","",IF(C22="MXN",'ERP Snapshot'!E22/Settings!$B$2,'ERP Snapshot'!E22))</x:f>
      </x:c>
      <x:c r="E22" t="str">
        <x:f>IF(A22="","",IF(C22="MXN",'ERP Snapshot'!I22/Settings!$B$2,'ERP Snapshot'!I22))</x:f>
      </x:c>
      <x:c r="F22" t="str">
        <x:f>IF(A22="","",D22-E22)</x:f>
      </x:c>
      <x:c r="G22" t="str">
        <x:f>IF(A22="","",'ERP Snapshot'!F22)</x:f>
      </x:c>
      <x:c r="H22" t="str">
        <x:f>IF(A22="","",'ERP Snapshot'!G22)</x:f>
      </x:c>
      <x:c r="I22" t="str">
        <x:f>IF(A22="","",'ERP Snapshot'!H22)</x:f>
      </x:c>
      <x:c r="J22" t="str">
        <x:f>IF(A22="","",H22+I22)</x:f>
      </x:c>
      <x:c r="K22" s="8" t="str">
        <x:f>IF(A22="","",IF(G22&gt;0,J22/G22,0))</x:f>
      </x:c>
      <x:c r="L22" t="str">
        <x:f>IF(A22="","",IF(G22&lt;=0,"REVIEW: NO BUDGET",IF(K22&gt;1,"OVER BUDGET",IF(K22=1,"BUDGET EXHAUSTED",IF(K22&gt;=Settings!$B$3,"PREVENTIVE ALERT","OK")))))</x:f>
      </x:c>
      <x:c r="M22" t="str">
        <x:f>IF(A22="","",'ERP Snapshot'!K22)</x:f>
      </x:c>
      <x:c r="N22" t="str">
        <x:f>IF(A22="","",COUNTIFS(Exceptions!$A$2:$A$101,A22,Exceptions!$E$2:$E$101,"Open"))</x:f>
      </x:c>
      <x:c r="O22" t="str">
        <x:f>IF(A22="","",IF(E22&gt;D22,"REVIEW: ABOVE CUSTOMER PO",IF(E22=D22,"FULLY INVOICED",IF(E22&gt;0,"PARTIAL INVOICE","NOT INVOICED"))))</x:f>
      </x:c>
      <x:c r="P22" t="str">
        <x:f>IF(A22="","",IF(OR(L22="OVER BUDGET",L22="BUDGET EXHAUSTED",O22="REVIEW: ABOVE CUSTOMER PO",'ERP Snapshot'!L22="YES"),"CRITICAL / REVIEW",IF(OR(N22&gt;0,M22&gt;0,F22&gt;0),"FOLLOW UP","NORMAL")))</x:f>
      </x:c>
      <x:c r="Q22" t="str">
        <x:f>IF(A22="","",'ERP Snapshot'!N22)</x:f>
      </x:c>
      <x:c r="R22" t="str">
        <x:f>IF(A22="","",'ERP Snapshot'!Q22)</x:f>
      </x:c>
      <x:c r="S22" t="str">
        <x:f>IF(A22="","",'ERP Snapshot'!R22)</x:f>
      </x:c>
      <x:c r="T22" t="str">
        <x:f>IF(A22="","",'ERP Snapshot'!C22)</x:f>
      </x:c>
    </x:row>
    <x:row r="23">
      <x:c r="A23" t="str">
        <x:f>IF('ERP Snapshot'!A23="","",'ERP Snapshot'!A23)</x:f>
      </x:c>
      <x:c r="B23" t="str">
        <x:f>IF(A23="","",'ERP Snapshot'!B23)</x:f>
      </x:c>
      <x:c r="C23" t="str">
        <x:f>IF(A23="","",'ERP Snapshot'!D23)</x:f>
      </x:c>
      <x:c r="D23" t="str">
        <x:f>IF(A23="","",IF(C23="MXN",'ERP Snapshot'!E23/Settings!$B$2,'ERP Snapshot'!E23))</x:f>
      </x:c>
      <x:c r="E23" t="str">
        <x:f>IF(A23="","",IF(C23="MXN",'ERP Snapshot'!I23/Settings!$B$2,'ERP Snapshot'!I23))</x:f>
      </x:c>
      <x:c r="F23" t="str">
        <x:f>IF(A23="","",D23-E23)</x:f>
      </x:c>
      <x:c r="G23" t="str">
        <x:f>IF(A23="","",'ERP Snapshot'!F23)</x:f>
      </x:c>
      <x:c r="H23" t="str">
        <x:f>IF(A23="","",'ERP Snapshot'!G23)</x:f>
      </x:c>
      <x:c r="I23" t="str">
        <x:f>IF(A23="","",'ERP Snapshot'!H23)</x:f>
      </x:c>
      <x:c r="J23" t="str">
        <x:f>IF(A23="","",H23+I23)</x:f>
      </x:c>
      <x:c r="K23" s="8" t="str">
        <x:f>IF(A23="","",IF(G23&gt;0,J23/G23,0))</x:f>
      </x:c>
      <x:c r="L23" t="str">
        <x:f>IF(A23="","",IF(G23&lt;=0,"REVIEW: NO BUDGET",IF(K23&gt;1,"OVER BUDGET",IF(K23=1,"BUDGET EXHAUSTED",IF(K23&gt;=Settings!$B$3,"PREVENTIVE ALERT","OK")))))</x:f>
      </x:c>
      <x:c r="M23" t="str">
        <x:f>IF(A23="","",'ERP Snapshot'!K23)</x:f>
      </x:c>
      <x:c r="N23" t="str">
        <x:f>IF(A23="","",COUNTIFS(Exceptions!$A$2:$A$101,A23,Exceptions!$E$2:$E$101,"Open"))</x:f>
      </x:c>
      <x:c r="O23" t="str">
        <x:f>IF(A23="","",IF(E23&gt;D23,"REVIEW: ABOVE CUSTOMER PO",IF(E23=D23,"FULLY INVOICED",IF(E23&gt;0,"PARTIAL INVOICE","NOT INVOICED"))))</x:f>
      </x:c>
      <x:c r="P23" t="str">
        <x:f>IF(A23="","",IF(OR(L23="OVER BUDGET",L23="BUDGET EXHAUSTED",O23="REVIEW: ABOVE CUSTOMER PO",'ERP Snapshot'!L23="YES"),"CRITICAL / REVIEW",IF(OR(N23&gt;0,M23&gt;0,F23&gt;0),"FOLLOW UP","NORMAL")))</x:f>
      </x:c>
      <x:c r="Q23" t="str">
        <x:f>IF(A23="","",'ERP Snapshot'!N23)</x:f>
      </x:c>
      <x:c r="R23" t="str">
        <x:f>IF(A23="","",'ERP Snapshot'!Q23)</x:f>
      </x:c>
      <x:c r="S23" t="str">
        <x:f>IF(A23="","",'ERP Snapshot'!R23)</x:f>
      </x:c>
      <x:c r="T23" t="str">
        <x:f>IF(A23="","",'ERP Snapshot'!C23)</x:f>
      </x:c>
    </x:row>
    <x:row r="24">
      <x:c r="A24" t="str">
        <x:f>IF('ERP Snapshot'!A24="","",'ERP Snapshot'!A24)</x:f>
      </x:c>
      <x:c r="B24" t="str">
        <x:f>IF(A24="","",'ERP Snapshot'!B24)</x:f>
      </x:c>
      <x:c r="C24" t="str">
        <x:f>IF(A24="","",'ERP Snapshot'!D24)</x:f>
      </x:c>
      <x:c r="D24" t="str">
        <x:f>IF(A24="","",IF(C24="MXN",'ERP Snapshot'!E24/Settings!$B$2,'ERP Snapshot'!E24))</x:f>
      </x:c>
      <x:c r="E24" t="str">
        <x:f>IF(A24="","",IF(C24="MXN",'ERP Snapshot'!I24/Settings!$B$2,'ERP Snapshot'!I24))</x:f>
      </x:c>
      <x:c r="F24" t="str">
        <x:f>IF(A24="","",D24-E24)</x:f>
      </x:c>
      <x:c r="G24" t="str">
        <x:f>IF(A24="","",'ERP Snapshot'!F24)</x:f>
      </x:c>
      <x:c r="H24" t="str">
        <x:f>IF(A24="","",'ERP Snapshot'!G24)</x:f>
      </x:c>
      <x:c r="I24" t="str">
        <x:f>IF(A24="","",'ERP Snapshot'!H24)</x:f>
      </x:c>
      <x:c r="J24" t="str">
        <x:f>IF(A24="","",H24+I24)</x:f>
      </x:c>
      <x:c r="K24" s="8" t="str">
        <x:f>IF(A24="","",IF(G24&gt;0,J24/G24,0))</x:f>
      </x:c>
      <x:c r="L24" t="str">
        <x:f>IF(A24="","",IF(G24&lt;=0,"REVIEW: NO BUDGET",IF(K24&gt;1,"OVER BUDGET",IF(K24=1,"BUDGET EXHAUSTED",IF(K24&gt;=Settings!$B$3,"PREVENTIVE ALERT","OK")))))</x:f>
      </x:c>
      <x:c r="M24" t="str">
        <x:f>IF(A24="","",'ERP Snapshot'!K24)</x:f>
      </x:c>
      <x:c r="N24" t="str">
        <x:f>IF(A24="","",COUNTIFS(Exceptions!$A$2:$A$101,A24,Exceptions!$E$2:$E$101,"Open"))</x:f>
      </x:c>
      <x:c r="O24" t="str">
        <x:f>IF(A24="","",IF(E24&gt;D24,"REVIEW: ABOVE CUSTOMER PO",IF(E24=D24,"FULLY INVOICED",IF(E24&gt;0,"PARTIAL INVOICE","NOT INVOICED"))))</x:f>
      </x:c>
      <x:c r="P24" t="str">
        <x:f>IF(A24="","",IF(OR(L24="OVER BUDGET",L24="BUDGET EXHAUSTED",O24="REVIEW: ABOVE CUSTOMER PO",'ERP Snapshot'!L24="YES"),"CRITICAL / REVIEW",IF(OR(N24&gt;0,M24&gt;0,F24&gt;0),"FOLLOW UP","NORMAL")))</x:f>
      </x:c>
      <x:c r="Q24" t="str">
        <x:f>IF(A24="","",'ERP Snapshot'!N24)</x:f>
      </x:c>
      <x:c r="R24" t="str">
        <x:f>IF(A24="","",'ERP Snapshot'!Q24)</x:f>
      </x:c>
      <x:c r="S24" t="str">
        <x:f>IF(A24="","",'ERP Snapshot'!R24)</x:f>
      </x:c>
      <x:c r="T24" t="str">
        <x:f>IF(A24="","",'ERP Snapshot'!C24)</x:f>
      </x:c>
    </x:row>
    <x:row r="25">
      <x:c r="A25" t="str">
        <x:f>IF('ERP Snapshot'!A25="","",'ERP Snapshot'!A25)</x:f>
      </x:c>
      <x:c r="B25" t="str">
        <x:f>IF(A25="","",'ERP Snapshot'!B25)</x:f>
      </x:c>
      <x:c r="C25" t="str">
        <x:f>IF(A25="","",'ERP Snapshot'!D25)</x:f>
      </x:c>
      <x:c r="D25" t="str">
        <x:f>IF(A25="","",IF(C25="MXN",'ERP Snapshot'!E25/Settings!$B$2,'ERP Snapshot'!E25))</x:f>
      </x:c>
      <x:c r="E25" t="str">
        <x:f>IF(A25="","",IF(C25="MXN",'ERP Snapshot'!I25/Settings!$B$2,'ERP Snapshot'!I25))</x:f>
      </x:c>
      <x:c r="F25" t="str">
        <x:f>IF(A25="","",D25-E25)</x:f>
      </x:c>
      <x:c r="G25" t="str">
        <x:f>IF(A25="","",'ERP Snapshot'!F25)</x:f>
      </x:c>
      <x:c r="H25" t="str">
        <x:f>IF(A25="","",'ERP Snapshot'!G25)</x:f>
      </x:c>
      <x:c r="I25" t="str">
        <x:f>IF(A25="","",'ERP Snapshot'!H25)</x:f>
      </x:c>
      <x:c r="J25" t="str">
        <x:f>IF(A25="","",H25+I25)</x:f>
      </x:c>
      <x:c r="K25" s="8" t="str">
        <x:f>IF(A25="","",IF(G25&gt;0,J25/G25,0))</x:f>
      </x:c>
      <x:c r="L25" t="str">
        <x:f>IF(A25="","",IF(G25&lt;=0,"REVIEW: NO BUDGET",IF(K25&gt;1,"OVER BUDGET",IF(K25=1,"BUDGET EXHAUSTED",IF(K25&gt;=Settings!$B$3,"PREVENTIVE ALERT","OK")))))</x:f>
      </x:c>
      <x:c r="M25" t="str">
        <x:f>IF(A25="","",'ERP Snapshot'!K25)</x:f>
      </x:c>
      <x:c r="N25" t="str">
        <x:f>IF(A25="","",COUNTIFS(Exceptions!$A$2:$A$101,A25,Exceptions!$E$2:$E$101,"Open"))</x:f>
      </x:c>
      <x:c r="O25" t="str">
        <x:f>IF(A25="","",IF(E25&gt;D25,"REVIEW: ABOVE CUSTOMER PO",IF(E25=D25,"FULLY INVOICED",IF(E25&gt;0,"PARTIAL INVOICE","NOT INVOICED"))))</x:f>
      </x:c>
      <x:c r="P25" t="str">
        <x:f>IF(A25="","",IF(OR(L25="OVER BUDGET",L25="BUDGET EXHAUSTED",O25="REVIEW: ABOVE CUSTOMER PO",'ERP Snapshot'!L25="YES"),"CRITICAL / REVIEW",IF(OR(N25&gt;0,M25&gt;0,F25&gt;0),"FOLLOW UP","NORMAL")))</x:f>
      </x:c>
      <x:c r="Q25" t="str">
        <x:f>IF(A25="","",'ERP Snapshot'!N25)</x:f>
      </x:c>
      <x:c r="R25" t="str">
        <x:f>IF(A25="","",'ERP Snapshot'!Q25)</x:f>
      </x:c>
      <x:c r="S25" t="str">
        <x:f>IF(A25="","",'ERP Snapshot'!R25)</x:f>
      </x:c>
      <x:c r="T25" t="str">
        <x:f>IF(A25="","",'ERP Snapshot'!C25)</x:f>
      </x:c>
    </x:row>
    <x:row r="26">
      <x:c r="A26" t="str">
        <x:f>IF('ERP Snapshot'!A26="","",'ERP Snapshot'!A26)</x:f>
      </x:c>
      <x:c r="B26" t="str">
        <x:f>IF(A26="","",'ERP Snapshot'!B26)</x:f>
      </x:c>
      <x:c r="C26" t="str">
        <x:f>IF(A26="","",'ERP Snapshot'!D26)</x:f>
      </x:c>
      <x:c r="D26" t="str">
        <x:f>IF(A26="","",IF(C26="MXN",'ERP Snapshot'!E26/Settings!$B$2,'ERP Snapshot'!E26))</x:f>
      </x:c>
      <x:c r="E26" t="str">
        <x:f>IF(A26="","",IF(C26="MXN",'ERP Snapshot'!I26/Settings!$B$2,'ERP Snapshot'!I26))</x:f>
      </x:c>
      <x:c r="F26" t="str">
        <x:f>IF(A26="","",D26-E26)</x:f>
      </x:c>
      <x:c r="G26" t="str">
        <x:f>IF(A26="","",'ERP Snapshot'!F26)</x:f>
      </x:c>
      <x:c r="H26" t="str">
        <x:f>IF(A26="","",'ERP Snapshot'!G26)</x:f>
      </x:c>
      <x:c r="I26" t="str">
        <x:f>IF(A26="","",'ERP Snapshot'!H26)</x:f>
      </x:c>
      <x:c r="J26" t="str">
        <x:f>IF(A26="","",H26+I26)</x:f>
      </x:c>
      <x:c r="K26" s="8" t="str">
        <x:f>IF(A26="","",IF(G26&gt;0,J26/G26,0))</x:f>
      </x:c>
      <x:c r="L26" t="str">
        <x:f>IF(A26="","",IF(G26&lt;=0,"REVIEW: NO BUDGET",IF(K26&gt;1,"OVER BUDGET",IF(K26=1,"BUDGET EXHAUSTED",IF(K26&gt;=Settings!$B$3,"PREVENTIVE ALERT","OK")))))</x:f>
      </x:c>
      <x:c r="M26" t="str">
        <x:f>IF(A26="","",'ERP Snapshot'!K26)</x:f>
      </x:c>
      <x:c r="N26" t="str">
        <x:f>IF(A26="","",COUNTIFS(Exceptions!$A$2:$A$101,A26,Exceptions!$E$2:$E$101,"Open"))</x:f>
      </x:c>
      <x:c r="O26" t="str">
        <x:f>IF(A26="","",IF(E26&gt;D26,"REVIEW: ABOVE CUSTOMER PO",IF(E26=D26,"FULLY INVOICED",IF(E26&gt;0,"PARTIAL INVOICE","NOT INVOICED"))))</x:f>
      </x:c>
      <x:c r="P26" t="str">
        <x:f>IF(A26="","",IF(OR(L26="OVER BUDGET",L26="BUDGET EXHAUSTED",O26="REVIEW: ABOVE CUSTOMER PO",'ERP Snapshot'!L26="YES"),"CRITICAL / REVIEW",IF(OR(N26&gt;0,M26&gt;0,F26&gt;0),"FOLLOW UP","NORMAL")))</x:f>
      </x:c>
      <x:c r="Q26" t="str">
        <x:f>IF(A26="","",'ERP Snapshot'!N26)</x:f>
      </x:c>
      <x:c r="R26" t="str">
        <x:f>IF(A26="","",'ERP Snapshot'!Q26)</x:f>
      </x:c>
      <x:c r="S26" t="str">
        <x:f>IF(A26="","",'ERP Snapshot'!R26)</x:f>
      </x:c>
      <x:c r="T26" t="str">
        <x:f>IF(A26="","",'ERP Snapshot'!C26)</x:f>
      </x:c>
    </x:row>
    <x:row r="27">
      <x:c r="A27" t="str">
        <x:f>IF('ERP Snapshot'!A27="","",'ERP Snapshot'!A27)</x:f>
      </x:c>
      <x:c r="B27" t="str">
        <x:f>IF(A27="","",'ERP Snapshot'!B27)</x:f>
      </x:c>
      <x:c r="C27" t="str">
        <x:f>IF(A27="","",'ERP Snapshot'!D27)</x:f>
      </x:c>
      <x:c r="D27" t="str">
        <x:f>IF(A27="","",IF(C27="MXN",'ERP Snapshot'!E27/Settings!$B$2,'ERP Snapshot'!E27))</x:f>
      </x:c>
      <x:c r="E27" t="str">
        <x:f>IF(A27="","",IF(C27="MXN",'ERP Snapshot'!I27/Settings!$B$2,'ERP Snapshot'!I27))</x:f>
      </x:c>
      <x:c r="F27" t="str">
        <x:f>IF(A27="","",D27-E27)</x:f>
      </x:c>
      <x:c r="G27" t="str">
        <x:f>IF(A27="","",'ERP Snapshot'!F27)</x:f>
      </x:c>
      <x:c r="H27" t="str">
        <x:f>IF(A27="","",'ERP Snapshot'!G27)</x:f>
      </x:c>
      <x:c r="I27" t="str">
        <x:f>IF(A27="","",'ERP Snapshot'!H27)</x:f>
      </x:c>
      <x:c r="J27" t="str">
        <x:f>IF(A27="","",H27+I27)</x:f>
      </x:c>
      <x:c r="K27" s="8" t="str">
        <x:f>IF(A27="","",IF(G27&gt;0,J27/G27,0))</x:f>
      </x:c>
      <x:c r="L27" t="str">
        <x:f>IF(A27="","",IF(G27&lt;=0,"REVIEW: NO BUDGET",IF(K27&gt;1,"OVER BUDGET",IF(K27=1,"BUDGET EXHAUSTED",IF(K27&gt;=Settings!$B$3,"PREVENTIVE ALERT","OK")))))</x:f>
      </x:c>
      <x:c r="M27" t="str">
        <x:f>IF(A27="","",'ERP Snapshot'!K27)</x:f>
      </x:c>
      <x:c r="N27" t="str">
        <x:f>IF(A27="","",COUNTIFS(Exceptions!$A$2:$A$101,A27,Exceptions!$E$2:$E$101,"Open"))</x:f>
      </x:c>
      <x:c r="O27" t="str">
        <x:f>IF(A27="","",IF(E27&gt;D27,"REVIEW: ABOVE CUSTOMER PO",IF(E27=D27,"FULLY INVOICED",IF(E27&gt;0,"PARTIAL INVOICE","NOT INVOICED"))))</x:f>
      </x:c>
      <x:c r="P27" t="str">
        <x:f>IF(A27="","",IF(OR(L27="OVER BUDGET",L27="BUDGET EXHAUSTED",O27="REVIEW: ABOVE CUSTOMER PO",'ERP Snapshot'!L27="YES"),"CRITICAL / REVIEW",IF(OR(N27&gt;0,M27&gt;0,F27&gt;0),"FOLLOW UP","NORMAL")))</x:f>
      </x:c>
      <x:c r="Q27" t="str">
        <x:f>IF(A27="","",'ERP Snapshot'!N27)</x:f>
      </x:c>
      <x:c r="R27" t="str">
        <x:f>IF(A27="","",'ERP Snapshot'!Q27)</x:f>
      </x:c>
      <x:c r="S27" t="str">
        <x:f>IF(A27="","",'ERP Snapshot'!R27)</x:f>
      </x:c>
      <x:c r="T27" t="str">
        <x:f>IF(A27="","",'ERP Snapshot'!C27)</x:f>
      </x:c>
    </x:row>
    <x:row r="28">
      <x:c r="A28" t="str">
        <x:f>IF('ERP Snapshot'!A28="","",'ERP Snapshot'!A28)</x:f>
      </x:c>
      <x:c r="B28" t="str">
        <x:f>IF(A28="","",'ERP Snapshot'!B28)</x:f>
      </x:c>
      <x:c r="C28" t="str">
        <x:f>IF(A28="","",'ERP Snapshot'!D28)</x:f>
      </x:c>
      <x:c r="D28" t="str">
        <x:f>IF(A28="","",IF(C28="MXN",'ERP Snapshot'!E28/Settings!$B$2,'ERP Snapshot'!E28))</x:f>
      </x:c>
      <x:c r="E28" t="str">
        <x:f>IF(A28="","",IF(C28="MXN",'ERP Snapshot'!I28/Settings!$B$2,'ERP Snapshot'!I28))</x:f>
      </x:c>
      <x:c r="F28" t="str">
        <x:f>IF(A28="","",D28-E28)</x:f>
      </x:c>
      <x:c r="G28" t="str">
        <x:f>IF(A28="","",'ERP Snapshot'!F28)</x:f>
      </x:c>
      <x:c r="H28" t="str">
        <x:f>IF(A28="","",'ERP Snapshot'!G28)</x:f>
      </x:c>
      <x:c r="I28" t="str">
        <x:f>IF(A28="","",'ERP Snapshot'!H28)</x:f>
      </x:c>
      <x:c r="J28" t="str">
        <x:f>IF(A28="","",H28+I28)</x:f>
      </x:c>
      <x:c r="K28" s="8" t="str">
        <x:f>IF(A28="","",IF(G28&gt;0,J28/G28,0))</x:f>
      </x:c>
      <x:c r="L28" t="str">
        <x:f>IF(A28="","",IF(G28&lt;=0,"REVIEW: NO BUDGET",IF(K28&gt;1,"OVER BUDGET",IF(K28=1,"BUDGET EXHAUSTED",IF(K28&gt;=Settings!$B$3,"PREVENTIVE ALERT","OK")))))</x:f>
      </x:c>
      <x:c r="M28" t="str">
        <x:f>IF(A28="","",'ERP Snapshot'!K28)</x:f>
      </x:c>
      <x:c r="N28" t="str">
        <x:f>IF(A28="","",COUNTIFS(Exceptions!$A$2:$A$101,A28,Exceptions!$E$2:$E$101,"Open"))</x:f>
      </x:c>
      <x:c r="O28" t="str">
        <x:f>IF(A28="","",IF(E28&gt;D28,"REVIEW: ABOVE CUSTOMER PO",IF(E28=D28,"FULLY INVOICED",IF(E28&gt;0,"PARTIAL INVOICE","NOT INVOICED"))))</x:f>
      </x:c>
      <x:c r="P28" t="str">
        <x:f>IF(A28="","",IF(OR(L28="OVER BUDGET",L28="BUDGET EXHAUSTED",O28="REVIEW: ABOVE CUSTOMER PO",'ERP Snapshot'!L28="YES"),"CRITICAL / REVIEW",IF(OR(N28&gt;0,M28&gt;0,F28&gt;0),"FOLLOW UP","NORMAL")))</x:f>
      </x:c>
      <x:c r="Q28" t="str">
        <x:f>IF(A28="","",'ERP Snapshot'!N28)</x:f>
      </x:c>
      <x:c r="R28" t="str">
        <x:f>IF(A28="","",'ERP Snapshot'!Q28)</x:f>
      </x:c>
      <x:c r="S28" t="str">
        <x:f>IF(A28="","",'ERP Snapshot'!R28)</x:f>
      </x:c>
      <x:c r="T28" t="str">
        <x:f>IF(A28="","",'ERP Snapshot'!C28)</x:f>
      </x:c>
    </x:row>
    <x:row r="29">
      <x:c r="A29" t="str">
        <x:f>IF('ERP Snapshot'!A29="","",'ERP Snapshot'!A29)</x:f>
      </x:c>
      <x:c r="B29" t="str">
        <x:f>IF(A29="","",'ERP Snapshot'!B29)</x:f>
      </x:c>
      <x:c r="C29" t="str">
        <x:f>IF(A29="","",'ERP Snapshot'!D29)</x:f>
      </x:c>
      <x:c r="D29" t="str">
        <x:f>IF(A29="","",IF(C29="MXN",'ERP Snapshot'!E29/Settings!$B$2,'ERP Snapshot'!E29))</x:f>
      </x:c>
      <x:c r="E29" t="str">
        <x:f>IF(A29="","",IF(C29="MXN",'ERP Snapshot'!I29/Settings!$B$2,'ERP Snapshot'!I29))</x:f>
      </x:c>
      <x:c r="F29" t="str">
        <x:f>IF(A29="","",D29-E29)</x:f>
      </x:c>
      <x:c r="G29" t="str">
        <x:f>IF(A29="","",'ERP Snapshot'!F29)</x:f>
      </x:c>
      <x:c r="H29" t="str">
        <x:f>IF(A29="","",'ERP Snapshot'!G29)</x:f>
      </x:c>
      <x:c r="I29" t="str">
        <x:f>IF(A29="","",'ERP Snapshot'!H29)</x:f>
      </x:c>
      <x:c r="J29" t="str">
        <x:f>IF(A29="","",H29+I29)</x:f>
      </x:c>
      <x:c r="K29" s="8" t="str">
        <x:f>IF(A29="","",IF(G29&gt;0,J29/G29,0))</x:f>
      </x:c>
      <x:c r="L29" t="str">
        <x:f>IF(A29="","",IF(G29&lt;=0,"REVIEW: NO BUDGET",IF(K29&gt;1,"OVER BUDGET",IF(K29=1,"BUDGET EXHAUSTED",IF(K29&gt;=Settings!$B$3,"PREVENTIVE ALERT","OK")))))</x:f>
      </x:c>
      <x:c r="M29" t="str">
        <x:f>IF(A29="","",'ERP Snapshot'!K29)</x:f>
      </x:c>
      <x:c r="N29" t="str">
        <x:f>IF(A29="","",COUNTIFS(Exceptions!$A$2:$A$101,A29,Exceptions!$E$2:$E$101,"Open"))</x:f>
      </x:c>
      <x:c r="O29" t="str">
        <x:f>IF(A29="","",IF(E29&gt;D29,"REVIEW: ABOVE CUSTOMER PO",IF(E29=D29,"FULLY INVOICED",IF(E29&gt;0,"PARTIAL INVOICE","NOT INVOICED"))))</x:f>
      </x:c>
      <x:c r="P29" t="str">
        <x:f>IF(A29="","",IF(OR(L29="OVER BUDGET",L29="BUDGET EXHAUSTED",O29="REVIEW: ABOVE CUSTOMER PO",'ERP Snapshot'!L29="YES"),"CRITICAL / REVIEW",IF(OR(N29&gt;0,M29&gt;0,F29&gt;0),"FOLLOW UP","NORMAL")))</x:f>
      </x:c>
      <x:c r="Q29" t="str">
        <x:f>IF(A29="","",'ERP Snapshot'!N29)</x:f>
      </x:c>
      <x:c r="R29" t="str">
        <x:f>IF(A29="","",'ERP Snapshot'!Q29)</x:f>
      </x:c>
      <x:c r="S29" t="str">
        <x:f>IF(A29="","",'ERP Snapshot'!R29)</x:f>
      </x:c>
      <x:c r="T29" t="str">
        <x:f>IF(A29="","",'ERP Snapshot'!C29)</x:f>
      </x:c>
    </x:row>
    <x:row r="30">
      <x:c r="A30" t="str">
        <x:f>IF('ERP Snapshot'!A30="","",'ERP Snapshot'!A30)</x:f>
      </x:c>
      <x:c r="B30" t="str">
        <x:f>IF(A30="","",'ERP Snapshot'!B30)</x:f>
      </x:c>
      <x:c r="C30" t="str">
        <x:f>IF(A30="","",'ERP Snapshot'!D30)</x:f>
      </x:c>
      <x:c r="D30" t="str">
        <x:f>IF(A30="","",IF(C30="MXN",'ERP Snapshot'!E30/Settings!$B$2,'ERP Snapshot'!E30))</x:f>
      </x:c>
      <x:c r="E30" t="str">
        <x:f>IF(A30="","",IF(C30="MXN",'ERP Snapshot'!I30/Settings!$B$2,'ERP Snapshot'!I30))</x:f>
      </x:c>
      <x:c r="F30" t="str">
        <x:f>IF(A30="","",D30-E30)</x:f>
      </x:c>
      <x:c r="G30" t="str">
        <x:f>IF(A30="","",'ERP Snapshot'!F30)</x:f>
      </x:c>
      <x:c r="H30" t="str">
        <x:f>IF(A30="","",'ERP Snapshot'!G30)</x:f>
      </x:c>
      <x:c r="I30" t="str">
        <x:f>IF(A30="","",'ERP Snapshot'!H30)</x:f>
      </x:c>
      <x:c r="J30" t="str">
        <x:f>IF(A30="","",H30+I30)</x:f>
      </x:c>
      <x:c r="K30" s="8" t="str">
        <x:f>IF(A30="","",IF(G30&gt;0,J30/G30,0))</x:f>
      </x:c>
      <x:c r="L30" t="str">
        <x:f>IF(A30="","",IF(G30&lt;=0,"REVIEW: NO BUDGET",IF(K30&gt;1,"OVER BUDGET",IF(K30=1,"BUDGET EXHAUSTED",IF(K30&gt;=Settings!$B$3,"PREVENTIVE ALERT","OK")))))</x:f>
      </x:c>
      <x:c r="M30" t="str">
        <x:f>IF(A30="","",'ERP Snapshot'!K30)</x:f>
      </x:c>
      <x:c r="N30" t="str">
        <x:f>IF(A30="","",COUNTIFS(Exceptions!$A$2:$A$101,A30,Exceptions!$E$2:$E$101,"Open"))</x:f>
      </x:c>
      <x:c r="O30" t="str">
        <x:f>IF(A30="","",IF(E30&gt;D30,"REVIEW: ABOVE CUSTOMER PO",IF(E30=D30,"FULLY INVOICED",IF(E30&gt;0,"PARTIAL INVOICE","NOT INVOICED"))))</x:f>
      </x:c>
      <x:c r="P30" t="str">
        <x:f>IF(A30="","",IF(OR(L30="OVER BUDGET",L30="BUDGET EXHAUSTED",O30="REVIEW: ABOVE CUSTOMER PO",'ERP Snapshot'!L30="YES"),"CRITICAL / REVIEW",IF(OR(N30&gt;0,M30&gt;0,F30&gt;0),"FOLLOW UP","NORMAL")))</x:f>
      </x:c>
      <x:c r="Q30" t="str">
        <x:f>IF(A30="","",'ERP Snapshot'!N30)</x:f>
      </x:c>
      <x:c r="R30" t="str">
        <x:f>IF(A30="","",'ERP Snapshot'!Q30)</x:f>
      </x:c>
      <x:c r="S30" t="str">
        <x:f>IF(A30="","",'ERP Snapshot'!R30)</x:f>
      </x:c>
      <x:c r="T30" t="str">
        <x:f>IF(A30="","",'ERP Snapshot'!C30)</x:f>
      </x:c>
    </x:row>
    <x:row r="31">
      <x:c r="A31" t="str">
        <x:f>IF('ERP Snapshot'!A31="","",'ERP Snapshot'!A31)</x:f>
      </x:c>
      <x:c r="B31" t="str">
        <x:f>IF(A31="","",'ERP Snapshot'!B31)</x:f>
      </x:c>
      <x:c r="C31" t="str">
        <x:f>IF(A31="","",'ERP Snapshot'!D31)</x:f>
      </x:c>
      <x:c r="D31" t="str">
        <x:f>IF(A31="","",IF(C31="MXN",'ERP Snapshot'!E31/Settings!$B$2,'ERP Snapshot'!E31))</x:f>
      </x:c>
      <x:c r="E31" t="str">
        <x:f>IF(A31="","",IF(C31="MXN",'ERP Snapshot'!I31/Settings!$B$2,'ERP Snapshot'!I31))</x:f>
      </x:c>
      <x:c r="F31" t="str">
        <x:f>IF(A31="","",D31-E31)</x:f>
      </x:c>
      <x:c r="G31" t="str">
        <x:f>IF(A31="","",'ERP Snapshot'!F31)</x:f>
      </x:c>
      <x:c r="H31" t="str">
        <x:f>IF(A31="","",'ERP Snapshot'!G31)</x:f>
      </x:c>
      <x:c r="I31" t="str">
        <x:f>IF(A31="","",'ERP Snapshot'!H31)</x:f>
      </x:c>
      <x:c r="J31" t="str">
        <x:f>IF(A31="","",H31+I31)</x:f>
      </x:c>
      <x:c r="K31" s="8" t="str">
        <x:f>IF(A31="","",IF(G31&gt;0,J31/G31,0))</x:f>
      </x:c>
      <x:c r="L31" t="str">
        <x:f>IF(A31="","",IF(G31&lt;=0,"REVIEW: NO BUDGET",IF(K31&gt;1,"OVER BUDGET",IF(K31=1,"BUDGET EXHAUSTED",IF(K31&gt;=Settings!$B$3,"PREVENTIVE ALERT","OK")))))</x:f>
      </x:c>
      <x:c r="M31" t="str">
        <x:f>IF(A31="","",'ERP Snapshot'!K31)</x:f>
      </x:c>
      <x:c r="N31" t="str">
        <x:f>IF(A31="","",COUNTIFS(Exceptions!$A$2:$A$101,A31,Exceptions!$E$2:$E$101,"Open"))</x:f>
      </x:c>
      <x:c r="O31" t="str">
        <x:f>IF(A31="","",IF(E31&gt;D31,"REVIEW: ABOVE CUSTOMER PO",IF(E31=D31,"FULLY INVOICED",IF(E31&gt;0,"PARTIAL INVOICE","NOT INVOICED"))))</x:f>
      </x:c>
      <x:c r="P31" t="str">
        <x:f>IF(A31="","",IF(OR(L31="OVER BUDGET",L31="BUDGET EXHAUSTED",O31="REVIEW: ABOVE CUSTOMER PO",'ERP Snapshot'!L31="YES"),"CRITICAL / REVIEW",IF(OR(N31&gt;0,M31&gt;0,F31&gt;0),"FOLLOW UP","NORMAL")))</x:f>
      </x:c>
      <x:c r="Q31" t="str">
        <x:f>IF(A31="","",'ERP Snapshot'!N31)</x:f>
      </x:c>
      <x:c r="R31" t="str">
        <x:f>IF(A31="","",'ERP Snapshot'!Q31)</x:f>
      </x:c>
      <x:c r="S31" t="str">
        <x:f>IF(A31="","",'ERP Snapshot'!R31)</x:f>
      </x:c>
      <x:c r="T31" t="str">
        <x:f>IF(A31="","",'ERP Snapshot'!C31)</x:f>
      </x:c>
    </x:row>
    <x:row r="32">
      <x:c r="A32" t="str">
        <x:f>IF('ERP Snapshot'!A32="","",'ERP Snapshot'!A32)</x:f>
      </x:c>
      <x:c r="B32" t="str">
        <x:f>IF(A32="","",'ERP Snapshot'!B32)</x:f>
      </x:c>
      <x:c r="C32" t="str">
        <x:f>IF(A32="","",'ERP Snapshot'!D32)</x:f>
      </x:c>
      <x:c r="D32" t="str">
        <x:f>IF(A32="","",IF(C32="MXN",'ERP Snapshot'!E32/Settings!$B$2,'ERP Snapshot'!E32))</x:f>
      </x:c>
      <x:c r="E32" t="str">
        <x:f>IF(A32="","",IF(C32="MXN",'ERP Snapshot'!I32/Settings!$B$2,'ERP Snapshot'!I32))</x:f>
      </x:c>
      <x:c r="F32" t="str">
        <x:f>IF(A32="","",D32-E32)</x:f>
      </x:c>
      <x:c r="G32" t="str">
        <x:f>IF(A32="","",'ERP Snapshot'!F32)</x:f>
      </x:c>
      <x:c r="H32" t="str">
        <x:f>IF(A32="","",'ERP Snapshot'!G32)</x:f>
      </x:c>
      <x:c r="I32" t="str">
        <x:f>IF(A32="","",'ERP Snapshot'!H32)</x:f>
      </x:c>
      <x:c r="J32" t="str">
        <x:f>IF(A32="","",H32+I32)</x:f>
      </x:c>
      <x:c r="K32" s="8" t="str">
        <x:f>IF(A32="","",IF(G32&gt;0,J32/G32,0))</x:f>
      </x:c>
      <x:c r="L32" t="str">
        <x:f>IF(A32="","",IF(G32&lt;=0,"REVIEW: NO BUDGET",IF(K32&gt;1,"OVER BUDGET",IF(K32=1,"BUDGET EXHAUSTED",IF(K32&gt;=Settings!$B$3,"PREVENTIVE ALERT","OK")))))</x:f>
      </x:c>
      <x:c r="M32" t="str">
        <x:f>IF(A32="","",'ERP Snapshot'!K32)</x:f>
      </x:c>
      <x:c r="N32" t="str">
        <x:f>IF(A32="","",COUNTIFS(Exceptions!$A$2:$A$101,A32,Exceptions!$E$2:$E$101,"Open"))</x:f>
      </x:c>
      <x:c r="O32" t="str">
        <x:f>IF(A32="","",IF(E32&gt;D32,"REVIEW: ABOVE CUSTOMER PO",IF(E32=D32,"FULLY INVOICED",IF(E32&gt;0,"PARTIAL INVOICE","NOT INVOICED"))))</x:f>
      </x:c>
      <x:c r="P32" t="str">
        <x:f>IF(A32="","",IF(OR(L32="OVER BUDGET",L32="BUDGET EXHAUSTED",O32="REVIEW: ABOVE CUSTOMER PO",'ERP Snapshot'!L32="YES"),"CRITICAL / REVIEW",IF(OR(N32&gt;0,M32&gt;0,F32&gt;0),"FOLLOW UP","NORMAL")))</x:f>
      </x:c>
      <x:c r="Q32" t="str">
        <x:f>IF(A32="","",'ERP Snapshot'!N32)</x:f>
      </x:c>
      <x:c r="R32" t="str">
        <x:f>IF(A32="","",'ERP Snapshot'!Q32)</x:f>
      </x:c>
      <x:c r="S32" t="str">
        <x:f>IF(A32="","",'ERP Snapshot'!R32)</x:f>
      </x:c>
      <x:c r="T32" t="str">
        <x:f>IF(A32="","",'ERP Snapshot'!C32)</x:f>
      </x:c>
    </x:row>
    <x:row r="33">
      <x:c r="A33" t="str">
        <x:f>IF('ERP Snapshot'!A33="","",'ERP Snapshot'!A33)</x:f>
      </x:c>
      <x:c r="B33" t="str">
        <x:f>IF(A33="","",'ERP Snapshot'!B33)</x:f>
      </x:c>
      <x:c r="C33" t="str">
        <x:f>IF(A33="","",'ERP Snapshot'!D33)</x:f>
      </x:c>
      <x:c r="D33" t="str">
        <x:f>IF(A33="","",IF(C33="MXN",'ERP Snapshot'!E33/Settings!$B$2,'ERP Snapshot'!E33))</x:f>
      </x:c>
      <x:c r="E33" t="str">
        <x:f>IF(A33="","",IF(C33="MXN",'ERP Snapshot'!I33/Settings!$B$2,'ERP Snapshot'!I33))</x:f>
      </x:c>
      <x:c r="F33" t="str">
        <x:f>IF(A33="","",D33-E33)</x:f>
      </x:c>
      <x:c r="G33" t="str">
        <x:f>IF(A33="","",'ERP Snapshot'!F33)</x:f>
      </x:c>
      <x:c r="H33" t="str">
        <x:f>IF(A33="","",'ERP Snapshot'!G33)</x:f>
      </x:c>
      <x:c r="I33" t="str">
        <x:f>IF(A33="","",'ERP Snapshot'!H33)</x:f>
      </x:c>
      <x:c r="J33" t="str">
        <x:f>IF(A33="","",H33+I33)</x:f>
      </x:c>
      <x:c r="K33" s="8" t="str">
        <x:f>IF(A33="","",IF(G33&gt;0,J33/G33,0))</x:f>
      </x:c>
      <x:c r="L33" t="str">
        <x:f>IF(A33="","",IF(G33&lt;=0,"REVIEW: NO BUDGET",IF(K33&gt;1,"OVER BUDGET",IF(K33=1,"BUDGET EXHAUSTED",IF(K33&gt;=Settings!$B$3,"PREVENTIVE ALERT","OK")))))</x:f>
      </x:c>
      <x:c r="M33" t="str">
        <x:f>IF(A33="","",'ERP Snapshot'!K33)</x:f>
      </x:c>
      <x:c r="N33" t="str">
        <x:f>IF(A33="","",COUNTIFS(Exceptions!$A$2:$A$101,A33,Exceptions!$E$2:$E$101,"Open"))</x:f>
      </x:c>
      <x:c r="O33" t="str">
        <x:f>IF(A33="","",IF(E33&gt;D33,"REVIEW: ABOVE CUSTOMER PO",IF(E33=D33,"FULLY INVOICED",IF(E33&gt;0,"PARTIAL INVOICE","NOT INVOICED"))))</x:f>
      </x:c>
      <x:c r="P33" t="str">
        <x:f>IF(A33="","",IF(OR(L33="OVER BUDGET",L33="BUDGET EXHAUSTED",O33="REVIEW: ABOVE CUSTOMER PO",'ERP Snapshot'!L33="YES"),"CRITICAL / REVIEW",IF(OR(N33&gt;0,M33&gt;0,F33&gt;0),"FOLLOW UP","NORMAL")))</x:f>
      </x:c>
      <x:c r="Q33" t="str">
        <x:f>IF(A33="","",'ERP Snapshot'!N33)</x:f>
      </x:c>
      <x:c r="R33" t="str">
        <x:f>IF(A33="","",'ERP Snapshot'!Q33)</x:f>
      </x:c>
      <x:c r="S33" t="str">
        <x:f>IF(A33="","",'ERP Snapshot'!R33)</x:f>
      </x:c>
      <x:c r="T33" t="str">
        <x:f>IF(A33="","",'ERP Snapshot'!C33)</x:f>
      </x:c>
    </x:row>
    <x:row r="34">
      <x:c r="A34" t="str">
        <x:f>IF('ERP Snapshot'!A34="","",'ERP Snapshot'!A34)</x:f>
      </x:c>
      <x:c r="B34" t="str">
        <x:f>IF(A34="","",'ERP Snapshot'!B34)</x:f>
      </x:c>
      <x:c r="C34" t="str">
        <x:f>IF(A34="","",'ERP Snapshot'!D34)</x:f>
      </x:c>
      <x:c r="D34" t="str">
        <x:f>IF(A34="","",IF(C34="MXN",'ERP Snapshot'!E34/Settings!$B$2,'ERP Snapshot'!E34))</x:f>
      </x:c>
      <x:c r="E34" t="str">
        <x:f>IF(A34="","",IF(C34="MXN",'ERP Snapshot'!I34/Settings!$B$2,'ERP Snapshot'!I34))</x:f>
      </x:c>
      <x:c r="F34" t="str">
        <x:f>IF(A34="","",D34-E34)</x:f>
      </x:c>
      <x:c r="G34" t="str">
        <x:f>IF(A34="","",'ERP Snapshot'!F34)</x:f>
      </x:c>
      <x:c r="H34" t="str">
        <x:f>IF(A34="","",'ERP Snapshot'!G34)</x:f>
      </x:c>
      <x:c r="I34" t="str">
        <x:f>IF(A34="","",'ERP Snapshot'!H34)</x:f>
      </x:c>
      <x:c r="J34" t="str">
        <x:f>IF(A34="","",H34+I34)</x:f>
      </x:c>
      <x:c r="K34" s="8" t="str">
        <x:f>IF(A34="","",IF(G34&gt;0,J34/G34,0))</x:f>
      </x:c>
      <x:c r="L34" t="str">
        <x:f>IF(A34="","",IF(G34&lt;=0,"REVIEW: NO BUDGET",IF(K34&gt;1,"OVER BUDGET",IF(K34=1,"BUDGET EXHAUSTED",IF(K34&gt;=Settings!$B$3,"PREVENTIVE ALERT","OK")))))</x:f>
      </x:c>
      <x:c r="M34" t="str">
        <x:f>IF(A34="","",'ERP Snapshot'!K34)</x:f>
      </x:c>
      <x:c r="N34" t="str">
        <x:f>IF(A34="","",COUNTIFS(Exceptions!$A$2:$A$101,A34,Exceptions!$E$2:$E$101,"Open"))</x:f>
      </x:c>
      <x:c r="O34" t="str">
        <x:f>IF(A34="","",IF(E34&gt;D34,"REVIEW: ABOVE CUSTOMER PO",IF(E34=D34,"FULLY INVOICED",IF(E34&gt;0,"PARTIAL INVOICE","NOT INVOICED"))))</x:f>
      </x:c>
      <x:c r="P34" t="str">
        <x:f>IF(A34="","",IF(OR(L34="OVER BUDGET",L34="BUDGET EXHAUSTED",O34="REVIEW: ABOVE CUSTOMER PO",'ERP Snapshot'!L34="YES"),"CRITICAL / REVIEW",IF(OR(N34&gt;0,M34&gt;0,F34&gt;0),"FOLLOW UP","NORMAL")))</x:f>
      </x:c>
      <x:c r="Q34" t="str">
        <x:f>IF(A34="","",'ERP Snapshot'!N34)</x:f>
      </x:c>
      <x:c r="R34" t="str">
        <x:f>IF(A34="","",'ERP Snapshot'!Q34)</x:f>
      </x:c>
      <x:c r="S34" t="str">
        <x:f>IF(A34="","",'ERP Snapshot'!R34)</x:f>
      </x:c>
      <x:c r="T34" t="str">
        <x:f>IF(A34="","",'ERP Snapshot'!C34)</x:f>
      </x:c>
    </x:row>
    <x:row r="35">
      <x:c r="A35" t="str">
        <x:f>IF('ERP Snapshot'!A35="","",'ERP Snapshot'!A35)</x:f>
      </x:c>
      <x:c r="B35" t="str">
        <x:f>IF(A35="","",'ERP Snapshot'!B35)</x:f>
      </x:c>
      <x:c r="C35" t="str">
        <x:f>IF(A35="","",'ERP Snapshot'!D35)</x:f>
      </x:c>
      <x:c r="D35" t="str">
        <x:f>IF(A35="","",IF(C35="MXN",'ERP Snapshot'!E35/Settings!$B$2,'ERP Snapshot'!E35))</x:f>
      </x:c>
      <x:c r="E35" t="str">
        <x:f>IF(A35="","",IF(C35="MXN",'ERP Snapshot'!I35/Settings!$B$2,'ERP Snapshot'!I35))</x:f>
      </x:c>
      <x:c r="F35" t="str">
        <x:f>IF(A35="","",D35-E35)</x:f>
      </x:c>
      <x:c r="G35" t="str">
        <x:f>IF(A35="","",'ERP Snapshot'!F35)</x:f>
      </x:c>
      <x:c r="H35" t="str">
        <x:f>IF(A35="","",'ERP Snapshot'!G35)</x:f>
      </x:c>
      <x:c r="I35" t="str">
        <x:f>IF(A35="","",'ERP Snapshot'!H35)</x:f>
      </x:c>
      <x:c r="J35" t="str">
        <x:f>IF(A35="","",H35+I35)</x:f>
      </x:c>
      <x:c r="K35" s="8" t="str">
        <x:f>IF(A35="","",IF(G35&gt;0,J35/G35,0))</x:f>
      </x:c>
      <x:c r="L35" t="str">
        <x:f>IF(A35="","",IF(G35&lt;=0,"REVIEW: NO BUDGET",IF(K35&gt;1,"OVER BUDGET",IF(K35=1,"BUDGET EXHAUSTED",IF(K35&gt;=Settings!$B$3,"PREVENTIVE ALERT","OK")))))</x:f>
      </x:c>
      <x:c r="M35" t="str">
        <x:f>IF(A35="","",'ERP Snapshot'!K35)</x:f>
      </x:c>
      <x:c r="N35" t="str">
        <x:f>IF(A35="","",COUNTIFS(Exceptions!$A$2:$A$101,A35,Exceptions!$E$2:$E$101,"Open"))</x:f>
      </x:c>
      <x:c r="O35" t="str">
        <x:f>IF(A35="","",IF(E35&gt;D35,"REVIEW: ABOVE CUSTOMER PO",IF(E35=D35,"FULLY INVOICED",IF(E35&gt;0,"PARTIAL INVOICE","NOT INVOICED"))))</x:f>
      </x:c>
      <x:c r="P35" t="str">
        <x:f>IF(A35="","",IF(OR(L35="OVER BUDGET",L35="BUDGET EXHAUSTED",O35="REVIEW: ABOVE CUSTOMER PO",'ERP Snapshot'!L35="YES"),"CRITICAL / REVIEW",IF(OR(N35&gt;0,M35&gt;0,F35&gt;0),"FOLLOW UP","NORMAL")))</x:f>
      </x:c>
      <x:c r="Q35" t="str">
        <x:f>IF(A35="","",'ERP Snapshot'!N35)</x:f>
      </x:c>
      <x:c r="R35" t="str">
        <x:f>IF(A35="","",'ERP Snapshot'!Q35)</x:f>
      </x:c>
      <x:c r="S35" t="str">
        <x:f>IF(A35="","",'ERP Snapshot'!R35)</x:f>
      </x:c>
      <x:c r="T35" t="str">
        <x:f>IF(A35="","",'ERP Snapshot'!C35)</x:f>
      </x:c>
    </x:row>
    <x:row r="36">
      <x:c r="A36" t="str">
        <x:f>IF('ERP Snapshot'!A36="","",'ERP Snapshot'!A36)</x:f>
      </x:c>
      <x:c r="B36" t="str">
        <x:f>IF(A36="","",'ERP Snapshot'!B36)</x:f>
      </x:c>
      <x:c r="C36" t="str">
        <x:f>IF(A36="","",'ERP Snapshot'!D36)</x:f>
      </x:c>
      <x:c r="D36" t="str">
        <x:f>IF(A36="","",IF(C36="MXN",'ERP Snapshot'!E36/Settings!$B$2,'ERP Snapshot'!E36))</x:f>
      </x:c>
      <x:c r="E36" t="str">
        <x:f>IF(A36="","",IF(C36="MXN",'ERP Snapshot'!I36/Settings!$B$2,'ERP Snapshot'!I36))</x:f>
      </x:c>
      <x:c r="F36" t="str">
        <x:f>IF(A36="","",D36-E36)</x:f>
      </x:c>
      <x:c r="G36" t="str">
        <x:f>IF(A36="","",'ERP Snapshot'!F36)</x:f>
      </x:c>
      <x:c r="H36" t="str">
        <x:f>IF(A36="","",'ERP Snapshot'!G36)</x:f>
      </x:c>
      <x:c r="I36" t="str">
        <x:f>IF(A36="","",'ERP Snapshot'!H36)</x:f>
      </x:c>
      <x:c r="J36" t="str">
        <x:f>IF(A36="","",H36+I36)</x:f>
      </x:c>
      <x:c r="K36" s="8" t="str">
        <x:f>IF(A36="","",IF(G36&gt;0,J36/G36,0))</x:f>
      </x:c>
      <x:c r="L36" t="str">
        <x:f>IF(A36="","",IF(G36&lt;=0,"REVIEW: NO BUDGET",IF(K36&gt;1,"OVER BUDGET",IF(K36=1,"BUDGET EXHAUSTED",IF(K36&gt;=Settings!$B$3,"PREVENTIVE ALERT","OK")))))</x:f>
      </x:c>
      <x:c r="M36" t="str">
        <x:f>IF(A36="","",'ERP Snapshot'!K36)</x:f>
      </x:c>
      <x:c r="N36" t="str">
        <x:f>IF(A36="","",COUNTIFS(Exceptions!$A$2:$A$101,A36,Exceptions!$E$2:$E$101,"Open"))</x:f>
      </x:c>
      <x:c r="O36" t="str">
        <x:f>IF(A36="","",IF(E36&gt;D36,"REVIEW: ABOVE CUSTOMER PO",IF(E36=D36,"FULLY INVOICED",IF(E36&gt;0,"PARTIAL INVOICE","NOT INVOICED"))))</x:f>
      </x:c>
      <x:c r="P36" t="str">
        <x:f>IF(A36="","",IF(OR(L36="OVER BUDGET",L36="BUDGET EXHAUSTED",O36="REVIEW: ABOVE CUSTOMER PO",'ERP Snapshot'!L36="YES"),"CRITICAL / REVIEW",IF(OR(N36&gt;0,M36&gt;0,F36&gt;0),"FOLLOW UP","NORMAL")))</x:f>
      </x:c>
      <x:c r="Q36" t="str">
        <x:f>IF(A36="","",'ERP Snapshot'!N36)</x:f>
      </x:c>
      <x:c r="R36" t="str">
        <x:f>IF(A36="","",'ERP Snapshot'!Q36)</x:f>
      </x:c>
      <x:c r="S36" t="str">
        <x:f>IF(A36="","",'ERP Snapshot'!R36)</x:f>
      </x:c>
      <x:c r="T36" t="str">
        <x:f>IF(A36="","",'ERP Snapshot'!C36)</x:f>
      </x:c>
    </x:row>
    <x:row r="37">
      <x:c r="A37" t="str">
        <x:f>IF('ERP Snapshot'!A37="","",'ERP Snapshot'!A37)</x:f>
      </x:c>
      <x:c r="B37" t="str">
        <x:f>IF(A37="","",'ERP Snapshot'!B37)</x:f>
      </x:c>
      <x:c r="C37" t="str">
        <x:f>IF(A37="","",'ERP Snapshot'!D37)</x:f>
      </x:c>
      <x:c r="D37" t="str">
        <x:f>IF(A37="","",IF(C37="MXN",'ERP Snapshot'!E37/Settings!$B$2,'ERP Snapshot'!E37))</x:f>
      </x:c>
      <x:c r="E37" t="str">
        <x:f>IF(A37="","",IF(C37="MXN",'ERP Snapshot'!I37/Settings!$B$2,'ERP Snapshot'!I37))</x:f>
      </x:c>
      <x:c r="F37" t="str">
        <x:f>IF(A37="","",D37-E37)</x:f>
      </x:c>
      <x:c r="G37" t="str">
        <x:f>IF(A37="","",'ERP Snapshot'!F37)</x:f>
      </x:c>
      <x:c r="H37" t="str">
        <x:f>IF(A37="","",'ERP Snapshot'!G37)</x:f>
      </x:c>
      <x:c r="I37" t="str">
        <x:f>IF(A37="","",'ERP Snapshot'!H37)</x:f>
      </x:c>
      <x:c r="J37" t="str">
        <x:f>IF(A37="","",H37+I37)</x:f>
      </x:c>
      <x:c r="K37" s="8" t="str">
        <x:f>IF(A37="","",IF(G37&gt;0,J37/G37,0))</x:f>
      </x:c>
      <x:c r="L37" t="str">
        <x:f>IF(A37="","",IF(G37&lt;=0,"REVIEW: NO BUDGET",IF(K37&gt;1,"OVER BUDGET",IF(K37=1,"BUDGET EXHAUSTED",IF(K37&gt;=Settings!$B$3,"PREVENTIVE ALERT","OK")))))</x:f>
      </x:c>
      <x:c r="M37" t="str">
        <x:f>IF(A37="","",'ERP Snapshot'!K37)</x:f>
      </x:c>
      <x:c r="N37" t="str">
        <x:f>IF(A37="","",COUNTIFS(Exceptions!$A$2:$A$101,A37,Exceptions!$E$2:$E$101,"Open"))</x:f>
      </x:c>
      <x:c r="O37" t="str">
        <x:f>IF(A37="","",IF(E37&gt;D37,"REVIEW: ABOVE CUSTOMER PO",IF(E37=D37,"FULLY INVOICED",IF(E37&gt;0,"PARTIAL INVOICE","NOT INVOICED"))))</x:f>
      </x:c>
      <x:c r="P37" t="str">
        <x:f>IF(A37="","",IF(OR(L37="OVER BUDGET",L37="BUDGET EXHAUSTED",O37="REVIEW: ABOVE CUSTOMER PO",'ERP Snapshot'!L37="YES"),"CRITICAL / REVIEW",IF(OR(N37&gt;0,M37&gt;0,F37&gt;0),"FOLLOW UP","NORMAL")))</x:f>
      </x:c>
      <x:c r="Q37" t="str">
        <x:f>IF(A37="","",'ERP Snapshot'!N37)</x:f>
      </x:c>
      <x:c r="R37" t="str">
        <x:f>IF(A37="","",'ERP Snapshot'!Q37)</x:f>
      </x:c>
      <x:c r="S37" t="str">
        <x:f>IF(A37="","",'ERP Snapshot'!R37)</x:f>
      </x:c>
      <x:c r="T37" t="str">
        <x:f>IF(A37="","",'ERP Snapshot'!C37)</x:f>
      </x:c>
    </x:row>
    <x:row r="38">
      <x:c r="A38" t="str">
        <x:f>IF('ERP Snapshot'!A38="","",'ERP Snapshot'!A38)</x:f>
      </x:c>
      <x:c r="B38" t="str">
        <x:f>IF(A38="","",'ERP Snapshot'!B38)</x:f>
      </x:c>
      <x:c r="C38" t="str">
        <x:f>IF(A38="","",'ERP Snapshot'!D38)</x:f>
      </x:c>
      <x:c r="D38" t="str">
        <x:f>IF(A38="","",IF(C38="MXN",'ERP Snapshot'!E38/Settings!$B$2,'ERP Snapshot'!E38))</x:f>
      </x:c>
      <x:c r="E38" t="str">
        <x:f>IF(A38="","",IF(C38="MXN",'ERP Snapshot'!I38/Settings!$B$2,'ERP Snapshot'!I38))</x:f>
      </x:c>
      <x:c r="F38" t="str">
        <x:f>IF(A38="","",D38-E38)</x:f>
      </x:c>
      <x:c r="G38" t="str">
        <x:f>IF(A38="","",'ERP Snapshot'!F38)</x:f>
      </x:c>
      <x:c r="H38" t="str">
        <x:f>IF(A38="","",'ERP Snapshot'!G38)</x:f>
      </x:c>
      <x:c r="I38" t="str">
        <x:f>IF(A38="","",'ERP Snapshot'!H38)</x:f>
      </x:c>
      <x:c r="J38" t="str">
        <x:f>IF(A38="","",H38+I38)</x:f>
      </x:c>
      <x:c r="K38" s="8" t="str">
        <x:f>IF(A38="","",IF(G38&gt;0,J38/G38,0))</x:f>
      </x:c>
      <x:c r="L38" t="str">
        <x:f>IF(A38="","",IF(G38&lt;=0,"REVIEW: NO BUDGET",IF(K38&gt;1,"OVER BUDGET",IF(K38=1,"BUDGET EXHAUSTED",IF(K38&gt;=Settings!$B$3,"PREVENTIVE ALERT","OK")))))</x:f>
      </x:c>
      <x:c r="M38" t="str">
        <x:f>IF(A38="","",'ERP Snapshot'!K38)</x:f>
      </x:c>
      <x:c r="N38" t="str">
        <x:f>IF(A38="","",COUNTIFS(Exceptions!$A$2:$A$101,A38,Exceptions!$E$2:$E$101,"Open"))</x:f>
      </x:c>
      <x:c r="O38" t="str">
        <x:f>IF(A38="","",IF(E38&gt;D38,"REVIEW: ABOVE CUSTOMER PO",IF(E38=D38,"FULLY INVOICED",IF(E38&gt;0,"PARTIAL INVOICE","NOT INVOICED"))))</x:f>
      </x:c>
      <x:c r="P38" t="str">
        <x:f>IF(A38="","",IF(OR(L38="OVER BUDGET",L38="BUDGET EXHAUSTED",O38="REVIEW: ABOVE CUSTOMER PO",'ERP Snapshot'!L38="YES"),"CRITICAL / REVIEW",IF(OR(N38&gt;0,M38&gt;0,F38&gt;0),"FOLLOW UP","NORMAL")))</x:f>
      </x:c>
      <x:c r="Q38" t="str">
        <x:f>IF(A38="","",'ERP Snapshot'!N38)</x:f>
      </x:c>
      <x:c r="R38" t="str">
        <x:f>IF(A38="","",'ERP Snapshot'!Q38)</x:f>
      </x:c>
      <x:c r="S38" t="str">
        <x:f>IF(A38="","",'ERP Snapshot'!R38)</x:f>
      </x:c>
      <x:c r="T38" t="str">
        <x:f>IF(A38="","",'ERP Snapshot'!C38)</x:f>
      </x:c>
    </x:row>
    <x:row r="39">
      <x:c r="A39" t="str">
        <x:f>IF('ERP Snapshot'!A39="","",'ERP Snapshot'!A39)</x:f>
      </x:c>
      <x:c r="B39" t="str">
        <x:f>IF(A39="","",'ERP Snapshot'!B39)</x:f>
      </x:c>
      <x:c r="C39" t="str">
        <x:f>IF(A39="","",'ERP Snapshot'!D39)</x:f>
      </x:c>
      <x:c r="D39" t="str">
        <x:f>IF(A39="","",IF(C39="MXN",'ERP Snapshot'!E39/Settings!$B$2,'ERP Snapshot'!E39))</x:f>
      </x:c>
      <x:c r="E39" t="str">
        <x:f>IF(A39="","",IF(C39="MXN",'ERP Snapshot'!I39/Settings!$B$2,'ERP Snapshot'!I39))</x:f>
      </x:c>
      <x:c r="F39" t="str">
        <x:f>IF(A39="","",D39-E39)</x:f>
      </x:c>
      <x:c r="G39" t="str">
        <x:f>IF(A39="","",'ERP Snapshot'!F39)</x:f>
      </x:c>
      <x:c r="H39" t="str">
        <x:f>IF(A39="","",'ERP Snapshot'!G39)</x:f>
      </x:c>
      <x:c r="I39" t="str">
        <x:f>IF(A39="","",'ERP Snapshot'!H39)</x:f>
      </x:c>
      <x:c r="J39" t="str">
        <x:f>IF(A39="","",H39+I39)</x:f>
      </x:c>
      <x:c r="K39" s="8" t="str">
        <x:f>IF(A39="","",IF(G39&gt;0,J39/G39,0))</x:f>
      </x:c>
      <x:c r="L39" t="str">
        <x:f>IF(A39="","",IF(G39&lt;=0,"REVIEW: NO BUDGET",IF(K39&gt;1,"OVER BUDGET",IF(K39=1,"BUDGET EXHAUSTED",IF(K39&gt;=Settings!$B$3,"PREVENTIVE ALERT","OK")))))</x:f>
      </x:c>
      <x:c r="M39" t="str">
        <x:f>IF(A39="","",'ERP Snapshot'!K39)</x:f>
      </x:c>
      <x:c r="N39" t="str">
        <x:f>IF(A39="","",COUNTIFS(Exceptions!$A$2:$A$101,A39,Exceptions!$E$2:$E$101,"Open"))</x:f>
      </x:c>
      <x:c r="O39" t="str">
        <x:f>IF(A39="","",IF(E39&gt;D39,"REVIEW: ABOVE CUSTOMER PO",IF(E39=D39,"FULLY INVOICED",IF(E39&gt;0,"PARTIAL INVOICE","NOT INVOICED"))))</x:f>
      </x:c>
      <x:c r="P39" t="str">
        <x:f>IF(A39="","",IF(OR(L39="OVER BUDGET",L39="BUDGET EXHAUSTED",O39="REVIEW: ABOVE CUSTOMER PO",'ERP Snapshot'!L39="YES"),"CRITICAL / REVIEW",IF(OR(N39&gt;0,M39&gt;0,F39&gt;0),"FOLLOW UP","NORMAL")))</x:f>
      </x:c>
      <x:c r="Q39" t="str">
        <x:f>IF(A39="","",'ERP Snapshot'!N39)</x:f>
      </x:c>
      <x:c r="R39" t="str">
        <x:f>IF(A39="","",'ERP Snapshot'!Q39)</x:f>
      </x:c>
      <x:c r="S39" t="str">
        <x:f>IF(A39="","",'ERP Snapshot'!R39)</x:f>
      </x:c>
      <x:c r="T39" t="str">
        <x:f>IF(A39="","",'ERP Snapshot'!C39)</x:f>
      </x:c>
    </x:row>
    <x:row r="40">
      <x:c r="A40" t="str">
        <x:f>IF('ERP Snapshot'!A40="","",'ERP Snapshot'!A40)</x:f>
      </x:c>
      <x:c r="B40" t="str">
        <x:f>IF(A40="","",'ERP Snapshot'!B40)</x:f>
      </x:c>
      <x:c r="C40" t="str">
        <x:f>IF(A40="","",'ERP Snapshot'!D40)</x:f>
      </x:c>
      <x:c r="D40" t="str">
        <x:f>IF(A40="","",IF(C40="MXN",'ERP Snapshot'!E40/Settings!$B$2,'ERP Snapshot'!E40))</x:f>
      </x:c>
      <x:c r="E40" t="str">
        <x:f>IF(A40="","",IF(C40="MXN",'ERP Snapshot'!I40/Settings!$B$2,'ERP Snapshot'!I40))</x:f>
      </x:c>
      <x:c r="F40" t="str">
        <x:f>IF(A40="","",D40-E40)</x:f>
      </x:c>
      <x:c r="G40" t="str">
        <x:f>IF(A40="","",'ERP Snapshot'!F40)</x:f>
      </x:c>
      <x:c r="H40" t="str">
        <x:f>IF(A40="","",'ERP Snapshot'!G40)</x:f>
      </x:c>
      <x:c r="I40" t="str">
        <x:f>IF(A40="","",'ERP Snapshot'!H40)</x:f>
      </x:c>
      <x:c r="J40" t="str">
        <x:f>IF(A40="","",H40+I40)</x:f>
      </x:c>
      <x:c r="K40" s="8" t="str">
        <x:f>IF(A40="","",IF(G40&gt;0,J40/G40,0))</x:f>
      </x:c>
      <x:c r="L40" t="str">
        <x:f>IF(A40="","",IF(G40&lt;=0,"REVIEW: NO BUDGET",IF(K40&gt;1,"OVER BUDGET",IF(K40=1,"BUDGET EXHAUSTED",IF(K40&gt;=Settings!$B$3,"PREVENTIVE ALERT","OK")))))</x:f>
      </x:c>
      <x:c r="M40" t="str">
        <x:f>IF(A40="","",'ERP Snapshot'!K40)</x:f>
      </x:c>
      <x:c r="N40" t="str">
        <x:f>IF(A40="","",COUNTIFS(Exceptions!$A$2:$A$101,A40,Exceptions!$E$2:$E$101,"Open"))</x:f>
      </x:c>
      <x:c r="O40" t="str">
        <x:f>IF(A40="","",IF(E40&gt;D40,"REVIEW: ABOVE CUSTOMER PO",IF(E40=D40,"FULLY INVOICED",IF(E40&gt;0,"PARTIAL INVOICE","NOT INVOICED"))))</x:f>
      </x:c>
      <x:c r="P40" t="str">
        <x:f>IF(A40="","",IF(OR(L40="OVER BUDGET",L40="BUDGET EXHAUSTED",O40="REVIEW: ABOVE CUSTOMER PO",'ERP Snapshot'!L40="YES"),"CRITICAL / REVIEW",IF(OR(N40&gt;0,M40&gt;0,F40&gt;0),"FOLLOW UP","NORMAL")))</x:f>
      </x:c>
      <x:c r="Q40" t="str">
        <x:f>IF(A40="","",'ERP Snapshot'!N40)</x:f>
      </x:c>
      <x:c r="R40" t="str">
        <x:f>IF(A40="","",'ERP Snapshot'!Q40)</x:f>
      </x:c>
      <x:c r="S40" t="str">
        <x:f>IF(A40="","",'ERP Snapshot'!R40)</x:f>
      </x:c>
      <x:c r="T40" t="str">
        <x:f>IF(A40="","",'ERP Snapshot'!C40)</x:f>
      </x:c>
    </x:row>
    <x:row r="41">
      <x:c r="A41" t="str">
        <x:f>IF('ERP Snapshot'!A41="","",'ERP Snapshot'!A41)</x:f>
      </x:c>
      <x:c r="B41" t="str">
        <x:f>IF(A41="","",'ERP Snapshot'!B41)</x:f>
      </x:c>
      <x:c r="C41" t="str">
        <x:f>IF(A41="","",'ERP Snapshot'!D41)</x:f>
      </x:c>
      <x:c r="D41" t="str">
        <x:f>IF(A41="","",IF(C41="MXN",'ERP Snapshot'!E41/Settings!$B$2,'ERP Snapshot'!E41))</x:f>
      </x:c>
      <x:c r="E41" t="str">
        <x:f>IF(A41="","",IF(C41="MXN",'ERP Snapshot'!I41/Settings!$B$2,'ERP Snapshot'!I41))</x:f>
      </x:c>
      <x:c r="F41" t="str">
        <x:f>IF(A41="","",D41-E41)</x:f>
      </x:c>
      <x:c r="G41" t="str">
        <x:f>IF(A41="","",'ERP Snapshot'!F41)</x:f>
      </x:c>
      <x:c r="H41" t="str">
        <x:f>IF(A41="","",'ERP Snapshot'!G41)</x:f>
      </x:c>
      <x:c r="I41" t="str">
        <x:f>IF(A41="","",'ERP Snapshot'!H41)</x:f>
      </x:c>
      <x:c r="J41" t="str">
        <x:f>IF(A41="","",H41+I41)</x:f>
      </x:c>
      <x:c r="K41" s="8" t="str">
        <x:f>IF(A41="","",IF(G41&gt;0,J41/G41,0))</x:f>
      </x:c>
      <x:c r="L41" t="str">
        <x:f>IF(A41="","",IF(G41&lt;=0,"REVIEW: NO BUDGET",IF(K41&gt;1,"OVER BUDGET",IF(K41=1,"BUDGET EXHAUSTED",IF(K41&gt;=Settings!$B$3,"PREVENTIVE ALERT","OK")))))</x:f>
      </x:c>
      <x:c r="M41" t="str">
        <x:f>IF(A41="","",'ERP Snapshot'!K41)</x:f>
      </x:c>
      <x:c r="N41" t="str">
        <x:f>IF(A41="","",COUNTIFS(Exceptions!$A$2:$A$101,A41,Exceptions!$E$2:$E$101,"Open"))</x:f>
      </x:c>
      <x:c r="O41" t="str">
        <x:f>IF(A41="","",IF(E41&gt;D41,"REVIEW: ABOVE CUSTOMER PO",IF(E41=D41,"FULLY INVOICED",IF(E41&gt;0,"PARTIAL INVOICE","NOT INVOICED"))))</x:f>
      </x:c>
      <x:c r="P41" t="str">
        <x:f>IF(A41="","",IF(OR(L41="OVER BUDGET",L41="BUDGET EXHAUSTED",O41="REVIEW: ABOVE CUSTOMER PO",'ERP Snapshot'!L41="YES"),"CRITICAL / REVIEW",IF(OR(N41&gt;0,M41&gt;0,F41&gt;0),"FOLLOW UP","NORMAL")))</x:f>
      </x:c>
      <x:c r="Q41" t="str">
        <x:f>IF(A41="","",'ERP Snapshot'!N41)</x:f>
      </x:c>
      <x:c r="R41" t="str">
        <x:f>IF(A41="","",'ERP Snapshot'!Q41)</x:f>
      </x:c>
      <x:c r="S41" t="str">
        <x:f>IF(A41="","",'ERP Snapshot'!R41)</x:f>
      </x:c>
      <x:c r="T41" t="str">
        <x:f>IF(A41="","",'ERP Snapshot'!C41)</x:f>
      </x:c>
    </x:row>
    <x:row r="42">
      <x:c r="A42" t="str">
        <x:f>IF('ERP Snapshot'!A42="","",'ERP Snapshot'!A42)</x:f>
      </x:c>
      <x:c r="B42" t="str">
        <x:f>IF(A42="","",'ERP Snapshot'!B42)</x:f>
      </x:c>
      <x:c r="C42" t="str">
        <x:f>IF(A42="","",'ERP Snapshot'!D42)</x:f>
      </x:c>
      <x:c r="D42" t="str">
        <x:f>IF(A42="","",IF(C42="MXN",'ERP Snapshot'!E42/Settings!$B$2,'ERP Snapshot'!E42))</x:f>
      </x:c>
      <x:c r="E42" t="str">
        <x:f>IF(A42="","",IF(C42="MXN",'ERP Snapshot'!I42/Settings!$B$2,'ERP Snapshot'!I42))</x:f>
      </x:c>
      <x:c r="F42" t="str">
        <x:f>IF(A42="","",D42-E42)</x:f>
      </x:c>
      <x:c r="G42" t="str">
        <x:f>IF(A42="","",'ERP Snapshot'!F42)</x:f>
      </x:c>
      <x:c r="H42" t="str">
        <x:f>IF(A42="","",'ERP Snapshot'!G42)</x:f>
      </x:c>
      <x:c r="I42" t="str">
        <x:f>IF(A42="","",'ERP Snapshot'!H42)</x:f>
      </x:c>
      <x:c r="J42" t="str">
        <x:f>IF(A42="","",H42+I42)</x:f>
      </x:c>
      <x:c r="K42" s="8" t="str">
        <x:f>IF(A42="","",IF(G42&gt;0,J42/G42,0))</x:f>
      </x:c>
      <x:c r="L42" t="str">
        <x:f>IF(A42="","",IF(G42&lt;=0,"REVIEW: NO BUDGET",IF(K42&gt;1,"OVER BUDGET",IF(K42=1,"BUDGET EXHAUSTED",IF(K42&gt;=Settings!$B$3,"PREVENTIVE ALERT","OK")))))</x:f>
      </x:c>
      <x:c r="M42" t="str">
        <x:f>IF(A42="","",'ERP Snapshot'!K42)</x:f>
      </x:c>
      <x:c r="N42" t="str">
        <x:f>IF(A42="","",COUNTIFS(Exceptions!$A$2:$A$101,A42,Exceptions!$E$2:$E$101,"Open"))</x:f>
      </x:c>
      <x:c r="O42" t="str">
        <x:f>IF(A42="","",IF(E42&gt;D42,"REVIEW: ABOVE CUSTOMER PO",IF(E42=D42,"FULLY INVOICED",IF(E42&gt;0,"PARTIAL INVOICE","NOT INVOICED"))))</x:f>
      </x:c>
      <x:c r="P42" t="str">
        <x:f>IF(A42="","",IF(OR(L42="OVER BUDGET",L42="BUDGET EXHAUSTED",O42="REVIEW: ABOVE CUSTOMER PO",'ERP Snapshot'!L42="YES"),"CRITICAL / REVIEW",IF(OR(N42&gt;0,M42&gt;0,F42&gt;0),"FOLLOW UP","NORMAL")))</x:f>
      </x:c>
      <x:c r="Q42" t="str">
        <x:f>IF(A42="","",'ERP Snapshot'!N42)</x:f>
      </x:c>
      <x:c r="R42" t="str">
        <x:f>IF(A42="","",'ERP Snapshot'!Q42)</x:f>
      </x:c>
      <x:c r="S42" t="str">
        <x:f>IF(A42="","",'ERP Snapshot'!R42)</x:f>
      </x:c>
      <x:c r="T42" t="str">
        <x:f>IF(A42="","",'ERP Snapshot'!C42)</x:f>
      </x:c>
    </x:row>
    <x:row r="43">
      <x:c r="A43" t="str">
        <x:f>IF('ERP Snapshot'!A43="","",'ERP Snapshot'!A43)</x:f>
      </x:c>
      <x:c r="B43" t="str">
        <x:f>IF(A43="","",'ERP Snapshot'!B43)</x:f>
      </x:c>
      <x:c r="C43" t="str">
        <x:f>IF(A43="","",'ERP Snapshot'!D43)</x:f>
      </x:c>
      <x:c r="D43" t="str">
        <x:f>IF(A43="","",IF(C43="MXN",'ERP Snapshot'!E43/Settings!$B$2,'ERP Snapshot'!E43))</x:f>
      </x:c>
      <x:c r="E43" t="str">
        <x:f>IF(A43="","",IF(C43="MXN",'ERP Snapshot'!I43/Settings!$B$2,'ERP Snapshot'!I43))</x:f>
      </x:c>
      <x:c r="F43" t="str">
        <x:f>IF(A43="","",D43-E43)</x:f>
      </x:c>
      <x:c r="G43" t="str">
        <x:f>IF(A43="","",'ERP Snapshot'!F43)</x:f>
      </x:c>
      <x:c r="H43" t="str">
        <x:f>IF(A43="","",'ERP Snapshot'!G43)</x:f>
      </x:c>
      <x:c r="I43" t="str">
        <x:f>IF(A43="","",'ERP Snapshot'!H43)</x:f>
      </x:c>
      <x:c r="J43" t="str">
        <x:f>IF(A43="","",H43+I43)</x:f>
      </x:c>
      <x:c r="K43" s="8" t="str">
        <x:f>IF(A43="","",IF(G43&gt;0,J43/G43,0))</x:f>
      </x:c>
      <x:c r="L43" t="str">
        <x:f>IF(A43="","",IF(G43&lt;=0,"REVIEW: NO BUDGET",IF(K43&gt;1,"OVER BUDGET",IF(K43=1,"BUDGET EXHAUSTED",IF(K43&gt;=Settings!$B$3,"PREVENTIVE ALERT","OK")))))</x:f>
      </x:c>
      <x:c r="M43" t="str">
        <x:f>IF(A43="","",'ERP Snapshot'!K43)</x:f>
      </x:c>
      <x:c r="N43" t="str">
        <x:f>IF(A43="","",COUNTIFS(Exceptions!$A$2:$A$101,A43,Exceptions!$E$2:$E$101,"Open"))</x:f>
      </x:c>
      <x:c r="O43" t="str">
        <x:f>IF(A43="","",IF(E43&gt;D43,"REVIEW: ABOVE CUSTOMER PO",IF(E43=D43,"FULLY INVOICED",IF(E43&gt;0,"PARTIAL INVOICE","NOT INVOICED"))))</x:f>
      </x:c>
      <x:c r="P43" t="str">
        <x:f>IF(A43="","",IF(OR(L43="OVER BUDGET",L43="BUDGET EXHAUSTED",O43="REVIEW: ABOVE CUSTOMER PO",'ERP Snapshot'!L43="YES"),"CRITICAL / REVIEW",IF(OR(N43&gt;0,M43&gt;0,F43&gt;0),"FOLLOW UP","NORMAL")))</x:f>
      </x:c>
      <x:c r="Q43" t="str">
        <x:f>IF(A43="","",'ERP Snapshot'!N43)</x:f>
      </x:c>
      <x:c r="R43" t="str">
        <x:f>IF(A43="","",'ERP Snapshot'!Q43)</x:f>
      </x:c>
      <x:c r="S43" t="str">
        <x:f>IF(A43="","",'ERP Snapshot'!R43)</x:f>
      </x:c>
      <x:c r="T43" t="str">
        <x:f>IF(A43="","",'ERP Snapshot'!C43)</x:f>
      </x:c>
    </x:row>
    <x:row r="44">
      <x:c r="A44" t="str">
        <x:f>IF('ERP Snapshot'!A44="","",'ERP Snapshot'!A44)</x:f>
      </x:c>
      <x:c r="B44" t="str">
        <x:f>IF(A44="","",'ERP Snapshot'!B44)</x:f>
      </x:c>
      <x:c r="C44" t="str">
        <x:f>IF(A44="","",'ERP Snapshot'!D44)</x:f>
      </x:c>
      <x:c r="D44" t="str">
        <x:f>IF(A44="","",IF(C44="MXN",'ERP Snapshot'!E44/Settings!$B$2,'ERP Snapshot'!E44))</x:f>
      </x:c>
      <x:c r="E44" t="str">
        <x:f>IF(A44="","",IF(C44="MXN",'ERP Snapshot'!I44/Settings!$B$2,'ERP Snapshot'!I44))</x:f>
      </x:c>
      <x:c r="F44" t="str">
        <x:f>IF(A44="","",D44-E44)</x:f>
      </x:c>
      <x:c r="G44" t="str">
        <x:f>IF(A44="","",'ERP Snapshot'!F44)</x:f>
      </x:c>
      <x:c r="H44" t="str">
        <x:f>IF(A44="","",'ERP Snapshot'!G44)</x:f>
      </x:c>
      <x:c r="I44" t="str">
        <x:f>IF(A44="","",'ERP Snapshot'!H44)</x:f>
      </x:c>
      <x:c r="J44" t="str">
        <x:f>IF(A44="","",H44+I44)</x:f>
      </x:c>
      <x:c r="K44" s="8" t="str">
        <x:f>IF(A44="","",IF(G44&gt;0,J44/G44,0))</x:f>
      </x:c>
      <x:c r="L44" t="str">
        <x:f>IF(A44="","",IF(G44&lt;=0,"REVIEW: NO BUDGET",IF(K44&gt;1,"OVER BUDGET",IF(K44=1,"BUDGET EXHAUSTED",IF(K44&gt;=Settings!$B$3,"PREVENTIVE ALERT","OK")))))</x:f>
      </x:c>
      <x:c r="M44" t="str">
        <x:f>IF(A44="","",'ERP Snapshot'!K44)</x:f>
      </x:c>
      <x:c r="N44" t="str">
        <x:f>IF(A44="","",COUNTIFS(Exceptions!$A$2:$A$101,A44,Exceptions!$E$2:$E$101,"Open"))</x:f>
      </x:c>
      <x:c r="O44" t="str">
        <x:f>IF(A44="","",IF(E44&gt;D44,"REVIEW: ABOVE CUSTOMER PO",IF(E44=D44,"FULLY INVOICED",IF(E44&gt;0,"PARTIAL INVOICE","NOT INVOICED"))))</x:f>
      </x:c>
      <x:c r="P44" t="str">
        <x:f>IF(A44="","",IF(OR(L44="OVER BUDGET",L44="BUDGET EXHAUSTED",O44="REVIEW: ABOVE CUSTOMER PO",'ERP Snapshot'!L44="YES"),"CRITICAL / REVIEW",IF(OR(N44&gt;0,M44&gt;0,F44&gt;0),"FOLLOW UP","NORMAL")))</x:f>
      </x:c>
      <x:c r="Q44" t="str">
        <x:f>IF(A44="","",'ERP Snapshot'!N44)</x:f>
      </x:c>
      <x:c r="R44" t="str">
        <x:f>IF(A44="","",'ERP Snapshot'!Q44)</x:f>
      </x:c>
      <x:c r="S44" t="str">
        <x:f>IF(A44="","",'ERP Snapshot'!R44)</x:f>
      </x:c>
      <x:c r="T44" t="str">
        <x:f>IF(A44="","",'ERP Snapshot'!C44)</x:f>
      </x:c>
    </x:row>
    <x:row r="45">
      <x:c r="A45" t="str">
        <x:f>IF('ERP Snapshot'!A45="","",'ERP Snapshot'!A45)</x:f>
      </x:c>
      <x:c r="B45" t="str">
        <x:f>IF(A45="","",'ERP Snapshot'!B45)</x:f>
      </x:c>
      <x:c r="C45" t="str">
        <x:f>IF(A45="","",'ERP Snapshot'!D45)</x:f>
      </x:c>
      <x:c r="D45" t="str">
        <x:f>IF(A45="","",IF(C45="MXN",'ERP Snapshot'!E45/Settings!$B$2,'ERP Snapshot'!E45))</x:f>
      </x:c>
      <x:c r="E45" t="str">
        <x:f>IF(A45="","",IF(C45="MXN",'ERP Snapshot'!I45/Settings!$B$2,'ERP Snapshot'!I45))</x:f>
      </x:c>
      <x:c r="F45" t="str">
        <x:f>IF(A45="","",D45-E45)</x:f>
      </x:c>
      <x:c r="G45" t="str">
        <x:f>IF(A45="","",'ERP Snapshot'!F45)</x:f>
      </x:c>
      <x:c r="H45" t="str">
        <x:f>IF(A45="","",'ERP Snapshot'!G45)</x:f>
      </x:c>
      <x:c r="I45" t="str">
        <x:f>IF(A45="","",'ERP Snapshot'!H45)</x:f>
      </x:c>
      <x:c r="J45" t="str">
        <x:f>IF(A45="","",H45+I45)</x:f>
      </x:c>
      <x:c r="K45" s="8" t="str">
        <x:f>IF(A45="","",IF(G45&gt;0,J45/G45,0))</x:f>
      </x:c>
      <x:c r="L45" t="str">
        <x:f>IF(A45="","",IF(G45&lt;=0,"REVIEW: NO BUDGET",IF(K45&gt;1,"OVER BUDGET",IF(K45=1,"BUDGET EXHAUSTED",IF(K45&gt;=Settings!$B$3,"PREVENTIVE ALERT","OK")))))</x:f>
      </x:c>
      <x:c r="M45" t="str">
        <x:f>IF(A45="","",'ERP Snapshot'!K45)</x:f>
      </x:c>
      <x:c r="N45" t="str">
        <x:f>IF(A45="","",COUNTIFS(Exceptions!$A$2:$A$101,A45,Exceptions!$E$2:$E$101,"Open"))</x:f>
      </x:c>
      <x:c r="O45" t="str">
        <x:f>IF(A45="","",IF(E45&gt;D45,"REVIEW: ABOVE CUSTOMER PO",IF(E45=D45,"FULLY INVOICED",IF(E45&gt;0,"PARTIAL INVOICE","NOT INVOICED"))))</x:f>
      </x:c>
      <x:c r="P45" t="str">
        <x:f>IF(A45="","",IF(OR(L45="OVER BUDGET",L45="BUDGET EXHAUSTED",O45="REVIEW: ABOVE CUSTOMER PO",'ERP Snapshot'!L45="YES"),"CRITICAL / REVIEW",IF(OR(N45&gt;0,M45&gt;0,F45&gt;0),"FOLLOW UP","NORMAL")))</x:f>
      </x:c>
      <x:c r="Q45" t="str">
        <x:f>IF(A45="","",'ERP Snapshot'!N45)</x:f>
      </x:c>
      <x:c r="R45" t="str">
        <x:f>IF(A45="","",'ERP Snapshot'!Q45)</x:f>
      </x:c>
      <x:c r="S45" t="str">
        <x:f>IF(A45="","",'ERP Snapshot'!R45)</x:f>
      </x:c>
      <x:c r="T45" t="str">
        <x:f>IF(A45="","",'ERP Snapshot'!C45)</x:f>
      </x:c>
    </x:row>
    <x:row r="46">
      <x:c r="A46" t="str">
        <x:f>IF('ERP Snapshot'!A46="","",'ERP Snapshot'!A46)</x:f>
      </x:c>
      <x:c r="B46" t="str">
        <x:f>IF(A46="","",'ERP Snapshot'!B46)</x:f>
      </x:c>
      <x:c r="C46" t="str">
        <x:f>IF(A46="","",'ERP Snapshot'!D46)</x:f>
      </x:c>
      <x:c r="D46" t="str">
        <x:f>IF(A46="","",IF(C46="MXN",'ERP Snapshot'!E46/Settings!$B$2,'ERP Snapshot'!E46))</x:f>
      </x:c>
      <x:c r="E46" t="str">
        <x:f>IF(A46="","",IF(C46="MXN",'ERP Snapshot'!I46/Settings!$B$2,'ERP Snapshot'!I46))</x:f>
      </x:c>
      <x:c r="F46" t="str">
        <x:f>IF(A46="","",D46-E46)</x:f>
      </x:c>
      <x:c r="G46" t="str">
        <x:f>IF(A46="","",'ERP Snapshot'!F46)</x:f>
      </x:c>
      <x:c r="H46" t="str">
        <x:f>IF(A46="","",'ERP Snapshot'!G46)</x:f>
      </x:c>
      <x:c r="I46" t="str">
        <x:f>IF(A46="","",'ERP Snapshot'!H46)</x:f>
      </x:c>
      <x:c r="J46" t="str">
        <x:f>IF(A46="","",H46+I46)</x:f>
      </x:c>
      <x:c r="K46" s="8" t="str">
        <x:f>IF(A46="","",IF(G46&gt;0,J46/G46,0))</x:f>
      </x:c>
      <x:c r="L46" t="str">
        <x:f>IF(A46="","",IF(G46&lt;=0,"REVIEW: NO BUDGET",IF(K46&gt;1,"OVER BUDGET",IF(K46=1,"BUDGET EXHAUSTED",IF(K46&gt;=Settings!$B$3,"PREVENTIVE ALERT","OK")))))</x:f>
      </x:c>
      <x:c r="M46" t="str">
        <x:f>IF(A46="","",'ERP Snapshot'!K46)</x:f>
      </x:c>
      <x:c r="N46" t="str">
        <x:f>IF(A46="","",COUNTIFS(Exceptions!$A$2:$A$101,A46,Exceptions!$E$2:$E$101,"Open"))</x:f>
      </x:c>
      <x:c r="O46" t="str">
        <x:f>IF(A46="","",IF(E46&gt;D46,"REVIEW: ABOVE CUSTOMER PO",IF(E46=D46,"FULLY INVOICED",IF(E46&gt;0,"PARTIAL INVOICE","NOT INVOICED"))))</x:f>
      </x:c>
      <x:c r="P46" t="str">
        <x:f>IF(A46="","",IF(OR(L46="OVER BUDGET",L46="BUDGET EXHAUSTED",O46="REVIEW: ABOVE CUSTOMER PO",'ERP Snapshot'!L46="YES"),"CRITICAL / REVIEW",IF(OR(N46&gt;0,M46&gt;0,F46&gt;0),"FOLLOW UP","NORMAL")))</x:f>
      </x:c>
      <x:c r="Q46" t="str">
        <x:f>IF(A46="","",'ERP Snapshot'!N46)</x:f>
      </x:c>
      <x:c r="R46" t="str">
        <x:f>IF(A46="","",'ERP Snapshot'!Q46)</x:f>
      </x:c>
      <x:c r="S46" t="str">
        <x:f>IF(A46="","",'ERP Snapshot'!R46)</x:f>
      </x:c>
      <x:c r="T46" t="str">
        <x:f>IF(A46="","",'ERP Snapshot'!C46)</x:f>
      </x:c>
    </x:row>
    <x:row r="47">
      <x:c r="A47" t="str">
        <x:f>IF('ERP Snapshot'!A47="","",'ERP Snapshot'!A47)</x:f>
      </x:c>
      <x:c r="B47" t="str">
        <x:f>IF(A47="","",'ERP Snapshot'!B47)</x:f>
      </x:c>
      <x:c r="C47" t="str">
        <x:f>IF(A47="","",'ERP Snapshot'!D47)</x:f>
      </x:c>
      <x:c r="D47" t="str">
        <x:f>IF(A47="","",IF(C47="MXN",'ERP Snapshot'!E47/Settings!$B$2,'ERP Snapshot'!E47))</x:f>
      </x:c>
      <x:c r="E47" t="str">
        <x:f>IF(A47="","",IF(C47="MXN",'ERP Snapshot'!I47/Settings!$B$2,'ERP Snapshot'!I47))</x:f>
      </x:c>
      <x:c r="F47" t="str">
        <x:f>IF(A47="","",D47-E47)</x:f>
      </x:c>
      <x:c r="G47" t="str">
        <x:f>IF(A47="","",'ERP Snapshot'!F47)</x:f>
      </x:c>
      <x:c r="H47" t="str">
        <x:f>IF(A47="","",'ERP Snapshot'!G47)</x:f>
      </x:c>
      <x:c r="I47" t="str">
        <x:f>IF(A47="","",'ERP Snapshot'!H47)</x:f>
      </x:c>
      <x:c r="J47" t="str">
        <x:f>IF(A47="","",H47+I47)</x:f>
      </x:c>
      <x:c r="K47" s="8" t="str">
        <x:f>IF(A47="","",IF(G47&gt;0,J47/G47,0))</x:f>
      </x:c>
      <x:c r="L47" t="str">
        <x:f>IF(A47="","",IF(G47&lt;=0,"REVIEW: NO BUDGET",IF(K47&gt;1,"OVER BUDGET",IF(K47=1,"BUDGET EXHAUSTED",IF(K47&gt;=Settings!$B$3,"PREVENTIVE ALERT","OK")))))</x:f>
      </x:c>
      <x:c r="M47" t="str">
        <x:f>IF(A47="","",'ERP Snapshot'!K47)</x:f>
      </x:c>
      <x:c r="N47" t="str">
        <x:f>IF(A47="","",COUNTIFS(Exceptions!$A$2:$A$101,A47,Exceptions!$E$2:$E$101,"Open"))</x:f>
      </x:c>
      <x:c r="O47" t="str">
        <x:f>IF(A47="","",IF(E47&gt;D47,"REVIEW: ABOVE CUSTOMER PO",IF(E47=D47,"FULLY INVOICED",IF(E47&gt;0,"PARTIAL INVOICE","NOT INVOICED"))))</x:f>
      </x:c>
      <x:c r="P47" t="str">
        <x:f>IF(A47="","",IF(OR(L47="OVER BUDGET",L47="BUDGET EXHAUSTED",O47="REVIEW: ABOVE CUSTOMER PO",'ERP Snapshot'!L47="YES"),"CRITICAL / REVIEW",IF(OR(N47&gt;0,M47&gt;0,F47&gt;0),"FOLLOW UP","NORMAL")))</x:f>
      </x:c>
      <x:c r="Q47" t="str">
        <x:f>IF(A47="","",'ERP Snapshot'!N47)</x:f>
      </x:c>
      <x:c r="R47" t="str">
        <x:f>IF(A47="","",'ERP Snapshot'!Q47)</x:f>
      </x:c>
      <x:c r="S47" t="str">
        <x:f>IF(A47="","",'ERP Snapshot'!R47)</x:f>
      </x:c>
      <x:c r="T47" t="str">
        <x:f>IF(A47="","",'ERP Snapshot'!C47)</x:f>
      </x:c>
    </x:row>
    <x:row r="48">
      <x:c r="A48" t="str">
        <x:f>IF('ERP Snapshot'!A48="","",'ERP Snapshot'!A48)</x:f>
      </x:c>
      <x:c r="B48" t="str">
        <x:f>IF(A48="","",'ERP Snapshot'!B48)</x:f>
      </x:c>
      <x:c r="C48" t="str">
        <x:f>IF(A48="","",'ERP Snapshot'!D48)</x:f>
      </x:c>
      <x:c r="D48" t="str">
        <x:f>IF(A48="","",IF(C48="MXN",'ERP Snapshot'!E48/Settings!$B$2,'ERP Snapshot'!E48))</x:f>
      </x:c>
      <x:c r="E48" t="str">
        <x:f>IF(A48="","",IF(C48="MXN",'ERP Snapshot'!I48/Settings!$B$2,'ERP Snapshot'!I48))</x:f>
      </x:c>
      <x:c r="F48" t="str">
        <x:f>IF(A48="","",D48-E48)</x:f>
      </x:c>
      <x:c r="G48" t="str">
        <x:f>IF(A48="","",'ERP Snapshot'!F48)</x:f>
      </x:c>
      <x:c r="H48" t="str">
        <x:f>IF(A48="","",'ERP Snapshot'!G48)</x:f>
      </x:c>
      <x:c r="I48" t="str">
        <x:f>IF(A48="","",'ERP Snapshot'!H48)</x:f>
      </x:c>
      <x:c r="J48" t="str">
        <x:f>IF(A48="","",H48+I48)</x:f>
      </x:c>
      <x:c r="K48" s="8" t="str">
        <x:f>IF(A48="","",IF(G48&gt;0,J48/G48,0))</x:f>
      </x:c>
      <x:c r="L48" t="str">
        <x:f>IF(A48="","",IF(G48&lt;=0,"REVIEW: NO BUDGET",IF(K48&gt;1,"OVER BUDGET",IF(K48=1,"BUDGET EXHAUSTED",IF(K48&gt;=Settings!$B$3,"PREVENTIVE ALERT","OK")))))</x:f>
      </x:c>
      <x:c r="M48" t="str">
        <x:f>IF(A48="","",'ERP Snapshot'!K48)</x:f>
      </x:c>
      <x:c r="N48" t="str">
        <x:f>IF(A48="","",COUNTIFS(Exceptions!$A$2:$A$101,A48,Exceptions!$E$2:$E$101,"Open"))</x:f>
      </x:c>
      <x:c r="O48" t="str">
        <x:f>IF(A48="","",IF(E48&gt;D48,"REVIEW: ABOVE CUSTOMER PO",IF(E48=D48,"FULLY INVOICED",IF(E48&gt;0,"PARTIAL INVOICE","NOT INVOICED"))))</x:f>
      </x:c>
      <x:c r="P48" t="str">
        <x:f>IF(A48="","",IF(OR(L48="OVER BUDGET",L48="BUDGET EXHAUSTED",O48="REVIEW: ABOVE CUSTOMER PO",'ERP Snapshot'!L48="YES"),"CRITICAL / REVIEW",IF(OR(N48&gt;0,M48&gt;0,F48&gt;0),"FOLLOW UP","NORMAL")))</x:f>
      </x:c>
      <x:c r="Q48" t="str">
        <x:f>IF(A48="","",'ERP Snapshot'!N48)</x:f>
      </x:c>
      <x:c r="R48" t="str">
        <x:f>IF(A48="","",'ERP Snapshot'!Q48)</x:f>
      </x:c>
      <x:c r="S48" t="str">
        <x:f>IF(A48="","",'ERP Snapshot'!R48)</x:f>
      </x:c>
      <x:c r="T48" t="str">
        <x:f>IF(A48="","",'ERP Snapshot'!C48)</x:f>
      </x:c>
    </x:row>
    <x:row r="49">
      <x:c r="A49" t="str">
        <x:f>IF('ERP Snapshot'!A49="","",'ERP Snapshot'!A49)</x:f>
      </x:c>
      <x:c r="B49" t="str">
        <x:f>IF(A49="","",'ERP Snapshot'!B49)</x:f>
      </x:c>
      <x:c r="C49" t="str">
        <x:f>IF(A49="","",'ERP Snapshot'!D49)</x:f>
      </x:c>
      <x:c r="D49" t="str">
        <x:f>IF(A49="","",IF(C49="MXN",'ERP Snapshot'!E49/Settings!$B$2,'ERP Snapshot'!E49))</x:f>
      </x:c>
      <x:c r="E49" t="str">
        <x:f>IF(A49="","",IF(C49="MXN",'ERP Snapshot'!I49/Settings!$B$2,'ERP Snapshot'!I49))</x:f>
      </x:c>
      <x:c r="F49" t="str">
        <x:f>IF(A49="","",D49-E49)</x:f>
      </x:c>
      <x:c r="G49" t="str">
        <x:f>IF(A49="","",'ERP Snapshot'!F49)</x:f>
      </x:c>
      <x:c r="H49" t="str">
        <x:f>IF(A49="","",'ERP Snapshot'!G49)</x:f>
      </x:c>
      <x:c r="I49" t="str">
        <x:f>IF(A49="","",'ERP Snapshot'!H49)</x:f>
      </x:c>
      <x:c r="J49" t="str">
        <x:f>IF(A49="","",H49+I49)</x:f>
      </x:c>
      <x:c r="K49" s="8" t="str">
        <x:f>IF(A49="","",IF(G49&gt;0,J49/G49,0))</x:f>
      </x:c>
      <x:c r="L49" t="str">
        <x:f>IF(A49="","",IF(G49&lt;=0,"REVIEW: NO BUDGET",IF(K49&gt;1,"OVER BUDGET",IF(K49=1,"BUDGET EXHAUSTED",IF(K49&gt;=Settings!$B$3,"PREVENTIVE ALERT","OK")))))</x:f>
      </x:c>
      <x:c r="M49" t="str">
        <x:f>IF(A49="","",'ERP Snapshot'!K49)</x:f>
      </x:c>
      <x:c r="N49" t="str">
        <x:f>IF(A49="","",COUNTIFS(Exceptions!$A$2:$A$101,A49,Exceptions!$E$2:$E$101,"Open"))</x:f>
      </x:c>
      <x:c r="O49" t="str">
        <x:f>IF(A49="","",IF(E49&gt;D49,"REVIEW: ABOVE CUSTOMER PO",IF(E49=D49,"FULLY INVOICED",IF(E49&gt;0,"PARTIAL INVOICE","NOT INVOICED"))))</x:f>
      </x:c>
      <x:c r="P49" t="str">
        <x:f>IF(A49="","",IF(OR(L49="OVER BUDGET",L49="BUDGET EXHAUSTED",O49="REVIEW: ABOVE CUSTOMER PO",'ERP Snapshot'!L49="YES"),"CRITICAL / REVIEW",IF(OR(N49&gt;0,M49&gt;0,F49&gt;0),"FOLLOW UP","NORMAL")))</x:f>
      </x:c>
      <x:c r="Q49" t="str">
        <x:f>IF(A49="","",'ERP Snapshot'!N49)</x:f>
      </x:c>
      <x:c r="R49" t="str">
        <x:f>IF(A49="","",'ERP Snapshot'!Q49)</x:f>
      </x:c>
      <x:c r="S49" t="str">
        <x:f>IF(A49="","",'ERP Snapshot'!R49)</x:f>
      </x:c>
      <x:c r="T49" t="str">
        <x:f>IF(A49="","",'ERP Snapshot'!C49)</x:f>
      </x:c>
    </x:row>
    <x:row r="50">
      <x:c r="A50" t="str">
        <x:f>IF('ERP Snapshot'!A50="","",'ERP Snapshot'!A50)</x:f>
      </x:c>
      <x:c r="B50" t="str">
        <x:f>IF(A50="","",'ERP Snapshot'!B50)</x:f>
      </x:c>
      <x:c r="C50" t="str">
        <x:f>IF(A50="","",'ERP Snapshot'!D50)</x:f>
      </x:c>
      <x:c r="D50" t="str">
        <x:f>IF(A50="","",IF(C50="MXN",'ERP Snapshot'!E50/Settings!$B$2,'ERP Snapshot'!E50))</x:f>
      </x:c>
      <x:c r="E50" t="str">
        <x:f>IF(A50="","",IF(C50="MXN",'ERP Snapshot'!I50/Settings!$B$2,'ERP Snapshot'!I50))</x:f>
      </x:c>
      <x:c r="F50" t="str">
        <x:f>IF(A50="","",D50-E50)</x:f>
      </x:c>
      <x:c r="G50" t="str">
        <x:f>IF(A50="","",'ERP Snapshot'!F50)</x:f>
      </x:c>
      <x:c r="H50" t="str">
        <x:f>IF(A50="","",'ERP Snapshot'!G50)</x:f>
      </x:c>
      <x:c r="I50" t="str">
        <x:f>IF(A50="","",'ERP Snapshot'!H50)</x:f>
      </x:c>
      <x:c r="J50" t="str">
        <x:f>IF(A50="","",H50+I50)</x:f>
      </x:c>
      <x:c r="K50" s="8" t="str">
        <x:f>IF(A50="","",IF(G50&gt;0,J50/G50,0))</x:f>
      </x:c>
      <x:c r="L50" t="str">
        <x:f>IF(A50="","",IF(G50&lt;=0,"REVIEW: NO BUDGET",IF(K50&gt;1,"OVER BUDGET",IF(K50=1,"BUDGET EXHAUSTED",IF(K50&gt;=Settings!$B$3,"PREVENTIVE ALERT","OK")))))</x:f>
      </x:c>
      <x:c r="M50" t="str">
        <x:f>IF(A50="","",'ERP Snapshot'!K50)</x:f>
      </x:c>
      <x:c r="N50" t="str">
        <x:f>IF(A50="","",COUNTIFS(Exceptions!$A$2:$A$101,A50,Exceptions!$E$2:$E$101,"Open"))</x:f>
      </x:c>
      <x:c r="O50" t="str">
        <x:f>IF(A50="","",IF(E50&gt;D50,"REVIEW: ABOVE CUSTOMER PO",IF(E50=D50,"FULLY INVOICED",IF(E50&gt;0,"PARTIAL INVOICE","NOT INVOICED"))))</x:f>
      </x:c>
      <x:c r="P50" t="str">
        <x:f>IF(A50="","",IF(OR(L50="OVER BUDGET",L50="BUDGET EXHAUSTED",O50="REVIEW: ABOVE CUSTOMER PO",'ERP Snapshot'!L50="YES"),"CRITICAL / REVIEW",IF(OR(N50&gt;0,M50&gt;0,F50&gt;0),"FOLLOW UP","NORMAL")))</x:f>
      </x:c>
      <x:c r="Q50" t="str">
        <x:f>IF(A50="","",'ERP Snapshot'!N50)</x:f>
      </x:c>
      <x:c r="R50" t="str">
        <x:f>IF(A50="","",'ERP Snapshot'!Q50)</x:f>
      </x:c>
      <x:c r="S50" t="str">
        <x:f>IF(A50="","",'ERP Snapshot'!R50)</x:f>
      </x:c>
      <x:c r="T50" t="str">
        <x:f>IF(A50="","",'ERP Snapshot'!C50)</x:f>
      </x:c>
    </x:row>
    <x:row r="51">
      <x:c r="A51" t="str">
        <x:f>IF('ERP Snapshot'!A51="","",'ERP Snapshot'!A51)</x:f>
      </x:c>
      <x:c r="B51" t="str">
        <x:f>IF(A51="","",'ERP Snapshot'!B51)</x:f>
      </x:c>
      <x:c r="C51" t="str">
        <x:f>IF(A51="","",'ERP Snapshot'!D51)</x:f>
      </x:c>
      <x:c r="D51" t="str">
        <x:f>IF(A51="","",IF(C51="MXN",'ERP Snapshot'!E51/Settings!$B$2,'ERP Snapshot'!E51))</x:f>
      </x:c>
      <x:c r="E51" t="str">
        <x:f>IF(A51="","",IF(C51="MXN",'ERP Snapshot'!I51/Settings!$B$2,'ERP Snapshot'!I51))</x:f>
      </x:c>
      <x:c r="F51" t="str">
        <x:f>IF(A51="","",D51-E51)</x:f>
      </x:c>
      <x:c r="G51" t="str">
        <x:f>IF(A51="","",'ERP Snapshot'!F51)</x:f>
      </x:c>
      <x:c r="H51" t="str">
        <x:f>IF(A51="","",'ERP Snapshot'!G51)</x:f>
      </x:c>
      <x:c r="I51" t="str">
        <x:f>IF(A51="","",'ERP Snapshot'!H51)</x:f>
      </x:c>
      <x:c r="J51" t="str">
        <x:f>IF(A51="","",H51+I51)</x:f>
      </x:c>
      <x:c r="K51" s="8" t="str">
        <x:f>IF(A51="","",IF(G51&gt;0,J51/G51,0))</x:f>
      </x:c>
      <x:c r="L51" t="str">
        <x:f>IF(A51="","",IF(G51&lt;=0,"REVIEW: NO BUDGET",IF(K51&gt;1,"OVER BUDGET",IF(K51=1,"BUDGET EXHAUSTED",IF(K51&gt;=Settings!$B$3,"PREVENTIVE ALERT","OK")))))</x:f>
      </x:c>
      <x:c r="M51" t="str">
        <x:f>IF(A51="","",'ERP Snapshot'!K51)</x:f>
      </x:c>
      <x:c r="N51" t="str">
        <x:f>IF(A51="","",COUNTIFS(Exceptions!$A$2:$A$101,A51,Exceptions!$E$2:$E$101,"Open"))</x:f>
      </x:c>
      <x:c r="O51" t="str">
        <x:f>IF(A51="","",IF(E51&gt;D51,"REVIEW: ABOVE CUSTOMER PO",IF(E51=D51,"FULLY INVOICED",IF(E51&gt;0,"PARTIAL INVOICE","NOT INVOICED"))))</x:f>
      </x:c>
      <x:c r="P51" t="str">
        <x:f>IF(A51="","",IF(OR(L51="OVER BUDGET",L51="BUDGET EXHAUSTED",O51="REVIEW: ABOVE CUSTOMER PO",'ERP Snapshot'!L51="YES"),"CRITICAL / REVIEW",IF(OR(N51&gt;0,M51&gt;0,F51&gt;0),"FOLLOW UP","NORMAL")))</x:f>
      </x:c>
      <x:c r="Q51" t="str">
        <x:f>IF(A51="","",'ERP Snapshot'!N51)</x:f>
      </x:c>
      <x:c r="R51" t="str">
        <x:f>IF(A51="","",'ERP Snapshot'!Q51)</x:f>
      </x:c>
      <x:c r="S51" t="str">
        <x:f>IF(A51="","",'ERP Snapshot'!R51)</x:f>
      </x:c>
      <x:c r="T51" t="str">
        <x:f>IF(A51="","",'ERP Snapshot'!C51)</x:f>
      </x:c>
    </x:row>
    <x:row r="52">
      <x:c r="A52" t="str">
        <x:f>IF('ERP Snapshot'!A52="","",'ERP Snapshot'!A52)</x:f>
      </x:c>
      <x:c r="B52" t="str">
        <x:f>IF(A52="","",'ERP Snapshot'!B52)</x:f>
      </x:c>
      <x:c r="C52" t="str">
        <x:f>IF(A52="","",'ERP Snapshot'!D52)</x:f>
      </x:c>
      <x:c r="D52" t="str">
        <x:f>IF(A52="","",IF(C52="MXN",'ERP Snapshot'!E52/Settings!$B$2,'ERP Snapshot'!E52))</x:f>
      </x:c>
      <x:c r="E52" t="str">
        <x:f>IF(A52="","",IF(C52="MXN",'ERP Snapshot'!I52/Settings!$B$2,'ERP Snapshot'!I52))</x:f>
      </x:c>
      <x:c r="F52" t="str">
        <x:f>IF(A52="","",D52-E52)</x:f>
      </x:c>
      <x:c r="G52" t="str">
        <x:f>IF(A52="","",'ERP Snapshot'!F52)</x:f>
      </x:c>
      <x:c r="H52" t="str">
        <x:f>IF(A52="","",'ERP Snapshot'!G52)</x:f>
      </x:c>
      <x:c r="I52" t="str">
        <x:f>IF(A52="","",'ERP Snapshot'!H52)</x:f>
      </x:c>
      <x:c r="J52" t="str">
        <x:f>IF(A52="","",H52+I52)</x:f>
      </x:c>
      <x:c r="K52" s="8" t="str">
        <x:f>IF(A52="","",IF(G52&gt;0,J52/G52,0))</x:f>
      </x:c>
      <x:c r="L52" t="str">
        <x:f>IF(A52="","",IF(G52&lt;=0,"REVIEW: NO BUDGET",IF(K52&gt;1,"OVER BUDGET",IF(K52=1,"BUDGET EXHAUSTED",IF(K52&gt;=Settings!$B$3,"PREVENTIVE ALERT","OK")))))</x:f>
      </x:c>
      <x:c r="M52" t="str">
        <x:f>IF(A52="","",'ERP Snapshot'!K52)</x:f>
      </x:c>
      <x:c r="N52" t="str">
        <x:f>IF(A52="","",COUNTIFS(Exceptions!$A$2:$A$101,A52,Exceptions!$E$2:$E$101,"Open"))</x:f>
      </x:c>
      <x:c r="O52" t="str">
        <x:f>IF(A52="","",IF(E52&gt;D52,"REVIEW: ABOVE CUSTOMER PO",IF(E52=D52,"FULLY INVOICED",IF(E52&gt;0,"PARTIAL INVOICE","NOT INVOICED"))))</x:f>
      </x:c>
      <x:c r="P52" t="str">
        <x:f>IF(A52="","",IF(OR(L52="OVER BUDGET",L52="BUDGET EXHAUSTED",O52="REVIEW: ABOVE CUSTOMER PO",'ERP Snapshot'!L52="YES"),"CRITICAL / REVIEW",IF(OR(N52&gt;0,M52&gt;0,F52&gt;0),"FOLLOW UP","NORMAL")))</x:f>
      </x:c>
      <x:c r="Q52" t="str">
        <x:f>IF(A52="","",'ERP Snapshot'!N52)</x:f>
      </x:c>
      <x:c r="R52" t="str">
        <x:f>IF(A52="","",'ERP Snapshot'!Q52)</x:f>
      </x:c>
      <x:c r="S52" t="str">
        <x:f>IF(A52="","",'ERP Snapshot'!R52)</x:f>
      </x:c>
      <x:c r="T52" t="str">
        <x:f>IF(A52="","",'ERP Snapshot'!C52)</x:f>
      </x:c>
    </x:row>
    <x:row r="53">
      <x:c r="A53" t="str">
        <x:f>IF('ERP Snapshot'!A53="","",'ERP Snapshot'!A53)</x:f>
      </x:c>
      <x:c r="B53" t="str">
        <x:f>IF(A53="","",'ERP Snapshot'!B53)</x:f>
      </x:c>
      <x:c r="C53" t="str">
        <x:f>IF(A53="","",'ERP Snapshot'!D53)</x:f>
      </x:c>
      <x:c r="D53" t="str">
        <x:f>IF(A53="","",IF(C53="MXN",'ERP Snapshot'!E53/Settings!$B$2,'ERP Snapshot'!E53))</x:f>
      </x:c>
      <x:c r="E53" t="str">
        <x:f>IF(A53="","",IF(C53="MXN",'ERP Snapshot'!I53/Settings!$B$2,'ERP Snapshot'!I53))</x:f>
      </x:c>
      <x:c r="F53" t="str">
        <x:f>IF(A53="","",D53-E53)</x:f>
      </x:c>
      <x:c r="G53" t="str">
        <x:f>IF(A53="","",'ERP Snapshot'!F53)</x:f>
      </x:c>
      <x:c r="H53" t="str">
        <x:f>IF(A53="","",'ERP Snapshot'!G53)</x:f>
      </x:c>
      <x:c r="I53" t="str">
        <x:f>IF(A53="","",'ERP Snapshot'!H53)</x:f>
      </x:c>
      <x:c r="J53" t="str">
        <x:f>IF(A53="","",H53+I53)</x:f>
      </x:c>
      <x:c r="K53" s="8" t="str">
        <x:f>IF(A53="","",IF(G53&gt;0,J53/G53,0))</x:f>
      </x:c>
      <x:c r="L53" t="str">
        <x:f>IF(A53="","",IF(G53&lt;=0,"REVIEW: NO BUDGET",IF(K53&gt;1,"OVER BUDGET",IF(K53=1,"BUDGET EXHAUSTED",IF(K53&gt;=Settings!$B$3,"PREVENTIVE ALERT","OK")))))</x:f>
      </x:c>
      <x:c r="M53" t="str">
        <x:f>IF(A53="","",'ERP Snapshot'!K53)</x:f>
      </x:c>
      <x:c r="N53" t="str">
        <x:f>IF(A53="","",COUNTIFS(Exceptions!$A$2:$A$101,A53,Exceptions!$E$2:$E$101,"Open"))</x:f>
      </x:c>
      <x:c r="O53" t="str">
        <x:f>IF(A53="","",IF(E53&gt;D53,"REVIEW: ABOVE CUSTOMER PO",IF(E53=D53,"FULLY INVOICED",IF(E53&gt;0,"PARTIAL INVOICE","NOT INVOICED"))))</x:f>
      </x:c>
      <x:c r="P53" t="str">
        <x:f>IF(A53="","",IF(OR(L53="OVER BUDGET",L53="BUDGET EXHAUSTED",O53="REVIEW: ABOVE CUSTOMER PO",'ERP Snapshot'!L53="YES"),"CRITICAL / REVIEW",IF(OR(N53&gt;0,M53&gt;0,F53&gt;0),"FOLLOW UP","NORMAL")))</x:f>
      </x:c>
      <x:c r="Q53" t="str">
        <x:f>IF(A53="","",'ERP Snapshot'!N53)</x:f>
      </x:c>
      <x:c r="R53" t="str">
        <x:f>IF(A53="","",'ERP Snapshot'!Q53)</x:f>
      </x:c>
      <x:c r="S53" t="str">
        <x:f>IF(A53="","",'ERP Snapshot'!R53)</x:f>
      </x:c>
      <x:c r="T53" t="str">
        <x:f>IF(A53="","",'ERP Snapshot'!C53)</x:f>
      </x:c>
    </x:row>
    <x:row r="54">
      <x:c r="A54" t="str">
        <x:f>IF('ERP Snapshot'!A54="","",'ERP Snapshot'!A54)</x:f>
      </x:c>
      <x:c r="B54" t="str">
        <x:f>IF(A54="","",'ERP Snapshot'!B54)</x:f>
      </x:c>
      <x:c r="C54" t="str">
        <x:f>IF(A54="","",'ERP Snapshot'!D54)</x:f>
      </x:c>
      <x:c r="D54" t="str">
        <x:f>IF(A54="","",IF(C54="MXN",'ERP Snapshot'!E54/Settings!$B$2,'ERP Snapshot'!E54))</x:f>
      </x:c>
      <x:c r="E54" t="str">
        <x:f>IF(A54="","",IF(C54="MXN",'ERP Snapshot'!I54/Settings!$B$2,'ERP Snapshot'!I54))</x:f>
      </x:c>
      <x:c r="F54" t="str">
        <x:f>IF(A54="","",D54-E54)</x:f>
      </x:c>
      <x:c r="G54" t="str">
        <x:f>IF(A54="","",'ERP Snapshot'!F54)</x:f>
      </x:c>
      <x:c r="H54" t="str">
        <x:f>IF(A54="","",'ERP Snapshot'!G54)</x:f>
      </x:c>
      <x:c r="I54" t="str">
        <x:f>IF(A54="","",'ERP Snapshot'!H54)</x:f>
      </x:c>
      <x:c r="J54" t="str">
        <x:f>IF(A54="","",H54+I54)</x:f>
      </x:c>
      <x:c r="K54" s="8" t="str">
        <x:f>IF(A54="","",IF(G54&gt;0,J54/G54,0))</x:f>
      </x:c>
      <x:c r="L54" t="str">
        <x:f>IF(A54="","",IF(G54&lt;=0,"REVIEW: NO BUDGET",IF(K54&gt;1,"OVER BUDGET",IF(K54=1,"BUDGET EXHAUSTED",IF(K54&gt;=Settings!$B$3,"PREVENTIVE ALERT","OK")))))</x:f>
      </x:c>
      <x:c r="M54" t="str">
        <x:f>IF(A54="","",'ERP Snapshot'!K54)</x:f>
      </x:c>
      <x:c r="N54" t="str">
        <x:f>IF(A54="","",COUNTIFS(Exceptions!$A$2:$A$101,A54,Exceptions!$E$2:$E$101,"Open"))</x:f>
      </x:c>
      <x:c r="O54" t="str">
        <x:f>IF(A54="","",IF(E54&gt;D54,"REVIEW: ABOVE CUSTOMER PO",IF(E54=D54,"FULLY INVOICED",IF(E54&gt;0,"PARTIAL INVOICE","NOT INVOICED"))))</x:f>
      </x:c>
      <x:c r="P54" t="str">
        <x:f>IF(A54="","",IF(OR(L54="OVER BUDGET",L54="BUDGET EXHAUSTED",O54="REVIEW: ABOVE CUSTOMER PO",'ERP Snapshot'!L54="YES"),"CRITICAL / REVIEW",IF(OR(N54&gt;0,M54&gt;0,F54&gt;0),"FOLLOW UP","NORMAL")))</x:f>
      </x:c>
      <x:c r="Q54" t="str">
        <x:f>IF(A54="","",'ERP Snapshot'!N54)</x:f>
      </x:c>
      <x:c r="R54" t="str">
        <x:f>IF(A54="","",'ERP Snapshot'!Q54)</x:f>
      </x:c>
      <x:c r="S54" t="str">
        <x:f>IF(A54="","",'ERP Snapshot'!R54)</x:f>
      </x:c>
      <x:c r="T54" t="str">
        <x:f>IF(A54="","",'ERP Snapshot'!C54)</x:f>
      </x:c>
    </x:row>
    <x:row r="55">
      <x:c r="A55" t="str">
        <x:f>IF('ERP Snapshot'!A55="","",'ERP Snapshot'!A55)</x:f>
      </x:c>
      <x:c r="B55" t="str">
        <x:f>IF(A55="","",'ERP Snapshot'!B55)</x:f>
      </x:c>
      <x:c r="C55" t="str">
        <x:f>IF(A55="","",'ERP Snapshot'!D55)</x:f>
      </x:c>
      <x:c r="D55" t="str">
        <x:f>IF(A55="","",IF(C55="MXN",'ERP Snapshot'!E55/Settings!$B$2,'ERP Snapshot'!E55))</x:f>
      </x:c>
      <x:c r="E55" t="str">
        <x:f>IF(A55="","",IF(C55="MXN",'ERP Snapshot'!I55/Settings!$B$2,'ERP Snapshot'!I55))</x:f>
      </x:c>
      <x:c r="F55" t="str">
        <x:f>IF(A55="","",D55-E55)</x:f>
      </x:c>
      <x:c r="G55" t="str">
        <x:f>IF(A55="","",'ERP Snapshot'!F55)</x:f>
      </x:c>
      <x:c r="H55" t="str">
        <x:f>IF(A55="","",'ERP Snapshot'!G55)</x:f>
      </x:c>
      <x:c r="I55" t="str">
        <x:f>IF(A55="","",'ERP Snapshot'!H55)</x:f>
      </x:c>
      <x:c r="J55" t="str">
        <x:f>IF(A55="","",H55+I55)</x:f>
      </x:c>
      <x:c r="K55" s="8" t="str">
        <x:f>IF(A55="","",IF(G55&gt;0,J55/G55,0))</x:f>
      </x:c>
      <x:c r="L55" t="str">
        <x:f>IF(A55="","",IF(G55&lt;=0,"REVIEW: NO BUDGET",IF(K55&gt;1,"OVER BUDGET",IF(K55=1,"BUDGET EXHAUSTED",IF(K55&gt;=Settings!$B$3,"PREVENTIVE ALERT","OK")))))</x:f>
      </x:c>
      <x:c r="M55" t="str">
        <x:f>IF(A55="","",'ERP Snapshot'!K55)</x:f>
      </x:c>
      <x:c r="N55" t="str">
        <x:f>IF(A55="","",COUNTIFS(Exceptions!$A$2:$A$101,A55,Exceptions!$E$2:$E$101,"Open"))</x:f>
      </x:c>
      <x:c r="O55" t="str">
        <x:f>IF(A55="","",IF(E55&gt;D55,"REVIEW: ABOVE CUSTOMER PO",IF(E55=D55,"FULLY INVOICED",IF(E55&gt;0,"PARTIAL INVOICE","NOT INVOICED"))))</x:f>
      </x:c>
      <x:c r="P55" t="str">
        <x:f>IF(A55="","",IF(OR(L55="OVER BUDGET",L55="BUDGET EXHAUSTED",O55="REVIEW: ABOVE CUSTOMER PO",'ERP Snapshot'!L55="YES"),"CRITICAL / REVIEW",IF(OR(N55&gt;0,M55&gt;0,F55&gt;0),"FOLLOW UP","NORMAL")))</x:f>
      </x:c>
      <x:c r="Q55" t="str">
        <x:f>IF(A55="","",'ERP Snapshot'!N55)</x:f>
      </x:c>
      <x:c r="R55" t="str">
        <x:f>IF(A55="","",'ERP Snapshot'!Q55)</x:f>
      </x:c>
      <x:c r="S55" t="str">
        <x:f>IF(A55="","",'ERP Snapshot'!R55)</x:f>
      </x:c>
      <x:c r="T55" t="str">
        <x:f>IF(A55="","",'ERP Snapshot'!C55)</x:f>
      </x:c>
    </x:row>
    <x:row r="56">
      <x:c r="A56" t="str">
        <x:f>IF('ERP Snapshot'!A56="","",'ERP Snapshot'!A56)</x:f>
      </x:c>
      <x:c r="B56" t="str">
        <x:f>IF(A56="","",'ERP Snapshot'!B56)</x:f>
      </x:c>
      <x:c r="C56" t="str">
        <x:f>IF(A56="","",'ERP Snapshot'!D56)</x:f>
      </x:c>
      <x:c r="D56" t="str">
        <x:f>IF(A56="","",IF(C56="MXN",'ERP Snapshot'!E56/Settings!$B$2,'ERP Snapshot'!E56))</x:f>
      </x:c>
      <x:c r="E56" t="str">
        <x:f>IF(A56="","",IF(C56="MXN",'ERP Snapshot'!I56/Settings!$B$2,'ERP Snapshot'!I56))</x:f>
      </x:c>
      <x:c r="F56" t="str">
        <x:f>IF(A56="","",D56-E56)</x:f>
      </x:c>
      <x:c r="G56" t="str">
        <x:f>IF(A56="","",'ERP Snapshot'!F56)</x:f>
      </x:c>
      <x:c r="H56" t="str">
        <x:f>IF(A56="","",'ERP Snapshot'!G56)</x:f>
      </x:c>
      <x:c r="I56" t="str">
        <x:f>IF(A56="","",'ERP Snapshot'!H56)</x:f>
      </x:c>
      <x:c r="J56" t="str">
        <x:f>IF(A56="","",H56+I56)</x:f>
      </x:c>
      <x:c r="K56" s="8" t="str">
        <x:f>IF(A56="","",IF(G56&gt;0,J56/G56,0))</x:f>
      </x:c>
      <x:c r="L56" t="str">
        <x:f>IF(A56="","",IF(G56&lt;=0,"REVIEW: NO BUDGET",IF(K56&gt;1,"OVER BUDGET",IF(K56=1,"BUDGET EXHAUSTED",IF(K56&gt;=Settings!$B$3,"PREVENTIVE ALERT","OK")))))</x:f>
      </x:c>
      <x:c r="M56" t="str">
        <x:f>IF(A56="","",'ERP Snapshot'!K56)</x:f>
      </x:c>
      <x:c r="N56" t="str">
        <x:f>IF(A56="","",COUNTIFS(Exceptions!$A$2:$A$101,A56,Exceptions!$E$2:$E$101,"Open"))</x:f>
      </x:c>
      <x:c r="O56" t="str">
        <x:f>IF(A56="","",IF(E56&gt;D56,"REVIEW: ABOVE CUSTOMER PO",IF(E56=D56,"FULLY INVOICED",IF(E56&gt;0,"PARTIAL INVOICE","NOT INVOICED"))))</x:f>
      </x:c>
      <x:c r="P56" t="str">
        <x:f>IF(A56="","",IF(OR(L56="OVER BUDGET",L56="BUDGET EXHAUSTED",O56="REVIEW: ABOVE CUSTOMER PO",'ERP Snapshot'!L56="YES"),"CRITICAL / REVIEW",IF(OR(N56&gt;0,M56&gt;0,F56&gt;0),"FOLLOW UP","NORMAL")))</x:f>
      </x:c>
      <x:c r="Q56" t="str">
        <x:f>IF(A56="","",'ERP Snapshot'!N56)</x:f>
      </x:c>
      <x:c r="R56" t="str">
        <x:f>IF(A56="","",'ERP Snapshot'!Q56)</x:f>
      </x:c>
      <x:c r="S56" t="str">
        <x:f>IF(A56="","",'ERP Snapshot'!R56)</x:f>
      </x:c>
      <x:c r="T56" t="str">
        <x:f>IF(A56="","",'ERP Snapshot'!C56)</x:f>
      </x:c>
    </x:row>
    <x:row r="57">
      <x:c r="A57" t="str">
        <x:f>IF('ERP Snapshot'!A57="","",'ERP Snapshot'!A57)</x:f>
      </x:c>
      <x:c r="B57" t="str">
        <x:f>IF(A57="","",'ERP Snapshot'!B57)</x:f>
      </x:c>
      <x:c r="C57" t="str">
        <x:f>IF(A57="","",'ERP Snapshot'!D57)</x:f>
      </x:c>
      <x:c r="D57" t="str">
        <x:f>IF(A57="","",IF(C57="MXN",'ERP Snapshot'!E57/Settings!$B$2,'ERP Snapshot'!E57))</x:f>
      </x:c>
      <x:c r="E57" t="str">
        <x:f>IF(A57="","",IF(C57="MXN",'ERP Snapshot'!I57/Settings!$B$2,'ERP Snapshot'!I57))</x:f>
      </x:c>
      <x:c r="F57" t="str">
        <x:f>IF(A57="","",D57-E57)</x:f>
      </x:c>
      <x:c r="G57" t="str">
        <x:f>IF(A57="","",'ERP Snapshot'!F57)</x:f>
      </x:c>
      <x:c r="H57" t="str">
        <x:f>IF(A57="","",'ERP Snapshot'!G57)</x:f>
      </x:c>
      <x:c r="I57" t="str">
        <x:f>IF(A57="","",'ERP Snapshot'!H57)</x:f>
      </x:c>
      <x:c r="J57" t="str">
        <x:f>IF(A57="","",H57+I57)</x:f>
      </x:c>
      <x:c r="K57" s="8" t="str">
        <x:f>IF(A57="","",IF(G57&gt;0,J57/G57,0))</x:f>
      </x:c>
      <x:c r="L57" t="str">
        <x:f>IF(A57="","",IF(G57&lt;=0,"REVIEW: NO BUDGET",IF(K57&gt;1,"OVER BUDGET",IF(K57=1,"BUDGET EXHAUSTED",IF(K57&gt;=Settings!$B$3,"PREVENTIVE ALERT","OK")))))</x:f>
      </x:c>
      <x:c r="M57" t="str">
        <x:f>IF(A57="","",'ERP Snapshot'!K57)</x:f>
      </x:c>
      <x:c r="N57" t="str">
        <x:f>IF(A57="","",COUNTIFS(Exceptions!$A$2:$A$101,A57,Exceptions!$E$2:$E$101,"Open"))</x:f>
      </x:c>
      <x:c r="O57" t="str">
        <x:f>IF(A57="","",IF(E57&gt;D57,"REVIEW: ABOVE CUSTOMER PO",IF(E57=D57,"FULLY INVOICED",IF(E57&gt;0,"PARTIAL INVOICE","NOT INVOICED"))))</x:f>
      </x:c>
      <x:c r="P57" t="str">
        <x:f>IF(A57="","",IF(OR(L57="OVER BUDGET",L57="BUDGET EXHAUSTED",O57="REVIEW: ABOVE CUSTOMER PO",'ERP Snapshot'!L57="YES"),"CRITICAL / REVIEW",IF(OR(N57&gt;0,M57&gt;0,F57&gt;0),"FOLLOW UP","NORMAL")))</x:f>
      </x:c>
      <x:c r="Q57" t="str">
        <x:f>IF(A57="","",'ERP Snapshot'!N57)</x:f>
      </x:c>
      <x:c r="R57" t="str">
        <x:f>IF(A57="","",'ERP Snapshot'!Q57)</x:f>
      </x:c>
      <x:c r="S57" t="str">
        <x:f>IF(A57="","",'ERP Snapshot'!R57)</x:f>
      </x:c>
      <x:c r="T57" t="str">
        <x:f>IF(A57="","",'ERP Snapshot'!C57)</x:f>
      </x:c>
    </x:row>
    <x:row r="58">
      <x:c r="A58" t="str">
        <x:f>IF('ERP Snapshot'!A58="","",'ERP Snapshot'!A58)</x:f>
      </x:c>
      <x:c r="B58" t="str">
        <x:f>IF(A58="","",'ERP Snapshot'!B58)</x:f>
      </x:c>
      <x:c r="C58" t="str">
        <x:f>IF(A58="","",'ERP Snapshot'!D58)</x:f>
      </x:c>
      <x:c r="D58" t="str">
        <x:f>IF(A58="","",IF(C58="MXN",'ERP Snapshot'!E58/Settings!$B$2,'ERP Snapshot'!E58))</x:f>
      </x:c>
      <x:c r="E58" t="str">
        <x:f>IF(A58="","",IF(C58="MXN",'ERP Snapshot'!I58/Settings!$B$2,'ERP Snapshot'!I58))</x:f>
      </x:c>
      <x:c r="F58" t="str">
        <x:f>IF(A58="","",D58-E58)</x:f>
      </x:c>
      <x:c r="G58" t="str">
        <x:f>IF(A58="","",'ERP Snapshot'!F58)</x:f>
      </x:c>
      <x:c r="H58" t="str">
        <x:f>IF(A58="","",'ERP Snapshot'!G58)</x:f>
      </x:c>
      <x:c r="I58" t="str">
        <x:f>IF(A58="","",'ERP Snapshot'!H58)</x:f>
      </x:c>
      <x:c r="J58" t="str">
        <x:f>IF(A58="","",H58+I58)</x:f>
      </x:c>
      <x:c r="K58" s="8" t="str">
        <x:f>IF(A58="","",IF(G58&gt;0,J58/G58,0))</x:f>
      </x:c>
      <x:c r="L58" t="str">
        <x:f>IF(A58="","",IF(G58&lt;=0,"REVIEW: NO BUDGET",IF(K58&gt;1,"OVER BUDGET",IF(K58=1,"BUDGET EXHAUSTED",IF(K58&gt;=Settings!$B$3,"PREVENTIVE ALERT","OK")))))</x:f>
      </x:c>
      <x:c r="M58" t="str">
        <x:f>IF(A58="","",'ERP Snapshot'!K58)</x:f>
      </x:c>
      <x:c r="N58" t="str">
        <x:f>IF(A58="","",COUNTIFS(Exceptions!$A$2:$A$101,A58,Exceptions!$E$2:$E$101,"Open"))</x:f>
      </x:c>
      <x:c r="O58" t="str">
        <x:f>IF(A58="","",IF(E58&gt;D58,"REVIEW: ABOVE CUSTOMER PO",IF(E58=D58,"FULLY INVOICED",IF(E58&gt;0,"PARTIAL INVOICE","NOT INVOICED"))))</x:f>
      </x:c>
      <x:c r="P58" t="str">
        <x:f>IF(A58="","",IF(OR(L58="OVER BUDGET",L58="BUDGET EXHAUSTED",O58="REVIEW: ABOVE CUSTOMER PO",'ERP Snapshot'!L58="YES"),"CRITICAL / REVIEW",IF(OR(N58&gt;0,M58&gt;0,F58&gt;0),"FOLLOW UP","NORMAL")))</x:f>
      </x:c>
      <x:c r="Q58" t="str">
        <x:f>IF(A58="","",'ERP Snapshot'!N58)</x:f>
      </x:c>
      <x:c r="R58" t="str">
        <x:f>IF(A58="","",'ERP Snapshot'!Q58)</x:f>
      </x:c>
      <x:c r="S58" t="str">
        <x:f>IF(A58="","",'ERP Snapshot'!R58)</x:f>
      </x:c>
      <x:c r="T58" t="str">
        <x:f>IF(A58="","",'ERP Snapshot'!C58)</x:f>
      </x:c>
    </x:row>
    <x:row r="59">
      <x:c r="A59" t="str">
        <x:f>IF('ERP Snapshot'!A59="","",'ERP Snapshot'!A59)</x:f>
      </x:c>
      <x:c r="B59" t="str">
        <x:f>IF(A59="","",'ERP Snapshot'!B59)</x:f>
      </x:c>
      <x:c r="C59" t="str">
        <x:f>IF(A59="","",'ERP Snapshot'!D59)</x:f>
      </x:c>
      <x:c r="D59" t="str">
        <x:f>IF(A59="","",IF(C59="MXN",'ERP Snapshot'!E59/Settings!$B$2,'ERP Snapshot'!E59))</x:f>
      </x:c>
      <x:c r="E59" t="str">
        <x:f>IF(A59="","",IF(C59="MXN",'ERP Snapshot'!I59/Settings!$B$2,'ERP Snapshot'!I59))</x:f>
      </x:c>
      <x:c r="F59" t="str">
        <x:f>IF(A59="","",D59-E59)</x:f>
      </x:c>
      <x:c r="G59" t="str">
        <x:f>IF(A59="","",'ERP Snapshot'!F59)</x:f>
      </x:c>
      <x:c r="H59" t="str">
        <x:f>IF(A59="","",'ERP Snapshot'!G59)</x:f>
      </x:c>
      <x:c r="I59" t="str">
        <x:f>IF(A59="","",'ERP Snapshot'!H59)</x:f>
      </x:c>
      <x:c r="J59" t="str">
        <x:f>IF(A59="","",H59+I59)</x:f>
      </x:c>
      <x:c r="K59" s="8" t="str">
        <x:f>IF(A59="","",IF(G59&gt;0,J59/G59,0))</x:f>
      </x:c>
      <x:c r="L59" t="str">
        <x:f>IF(A59="","",IF(G59&lt;=0,"REVIEW: NO BUDGET",IF(K59&gt;1,"OVER BUDGET",IF(K59=1,"BUDGET EXHAUSTED",IF(K59&gt;=Settings!$B$3,"PREVENTIVE ALERT","OK")))))</x:f>
      </x:c>
      <x:c r="M59" t="str">
        <x:f>IF(A59="","",'ERP Snapshot'!K59)</x:f>
      </x:c>
      <x:c r="N59" t="str">
        <x:f>IF(A59="","",COUNTIFS(Exceptions!$A$2:$A$101,A59,Exceptions!$E$2:$E$101,"Open"))</x:f>
      </x:c>
      <x:c r="O59" t="str">
        <x:f>IF(A59="","",IF(E59&gt;D59,"REVIEW: ABOVE CUSTOMER PO",IF(E59=D59,"FULLY INVOICED",IF(E59&gt;0,"PARTIAL INVOICE","NOT INVOICED"))))</x:f>
      </x:c>
      <x:c r="P59" t="str">
        <x:f>IF(A59="","",IF(OR(L59="OVER BUDGET",L59="BUDGET EXHAUSTED",O59="REVIEW: ABOVE CUSTOMER PO",'ERP Snapshot'!L59="YES"),"CRITICAL / REVIEW",IF(OR(N59&gt;0,M59&gt;0,F59&gt;0),"FOLLOW UP","NORMAL")))</x:f>
      </x:c>
      <x:c r="Q59" t="str">
        <x:f>IF(A59="","",'ERP Snapshot'!N59)</x:f>
      </x:c>
      <x:c r="R59" t="str">
        <x:f>IF(A59="","",'ERP Snapshot'!Q59)</x:f>
      </x:c>
      <x:c r="S59" t="str">
        <x:f>IF(A59="","",'ERP Snapshot'!R59)</x:f>
      </x:c>
      <x:c r="T59" t="str">
        <x:f>IF(A59="","",'ERP Snapshot'!C59)</x:f>
      </x:c>
    </x:row>
    <x:row r="60">
      <x:c r="A60" t="str">
        <x:f>IF('ERP Snapshot'!A60="","",'ERP Snapshot'!A60)</x:f>
      </x:c>
      <x:c r="B60" t="str">
        <x:f>IF(A60="","",'ERP Snapshot'!B60)</x:f>
      </x:c>
      <x:c r="C60" t="str">
        <x:f>IF(A60="","",'ERP Snapshot'!D60)</x:f>
      </x:c>
      <x:c r="D60" t="str">
        <x:f>IF(A60="","",IF(C60="MXN",'ERP Snapshot'!E60/Settings!$B$2,'ERP Snapshot'!E60))</x:f>
      </x:c>
      <x:c r="E60" t="str">
        <x:f>IF(A60="","",IF(C60="MXN",'ERP Snapshot'!I60/Settings!$B$2,'ERP Snapshot'!I60))</x:f>
      </x:c>
      <x:c r="F60" t="str">
        <x:f>IF(A60="","",D60-E60)</x:f>
      </x:c>
      <x:c r="G60" t="str">
        <x:f>IF(A60="","",'ERP Snapshot'!F60)</x:f>
      </x:c>
      <x:c r="H60" t="str">
        <x:f>IF(A60="","",'ERP Snapshot'!G60)</x:f>
      </x:c>
      <x:c r="I60" t="str">
        <x:f>IF(A60="","",'ERP Snapshot'!H60)</x:f>
      </x:c>
      <x:c r="J60" t="str">
        <x:f>IF(A60="","",H60+I60)</x:f>
      </x:c>
      <x:c r="K60" s="8" t="str">
        <x:f>IF(A60="","",IF(G60&gt;0,J60/G60,0))</x:f>
      </x:c>
      <x:c r="L60" t="str">
        <x:f>IF(A60="","",IF(G60&lt;=0,"REVIEW: NO BUDGET",IF(K60&gt;1,"OVER BUDGET",IF(K60=1,"BUDGET EXHAUSTED",IF(K60&gt;=Settings!$B$3,"PREVENTIVE ALERT","OK")))))</x:f>
      </x:c>
      <x:c r="M60" t="str">
        <x:f>IF(A60="","",'ERP Snapshot'!K60)</x:f>
      </x:c>
      <x:c r="N60" t="str">
        <x:f>IF(A60="","",COUNTIFS(Exceptions!$A$2:$A$101,A60,Exceptions!$E$2:$E$101,"Open"))</x:f>
      </x:c>
      <x:c r="O60" t="str">
        <x:f>IF(A60="","",IF(E60&gt;D60,"REVIEW: ABOVE CUSTOMER PO",IF(E60=D60,"FULLY INVOICED",IF(E60&gt;0,"PARTIAL INVOICE","NOT INVOICED"))))</x:f>
      </x:c>
      <x:c r="P60" t="str">
        <x:f>IF(A60="","",IF(OR(L60="OVER BUDGET",L60="BUDGET EXHAUSTED",O60="REVIEW: ABOVE CUSTOMER PO",'ERP Snapshot'!L60="YES"),"CRITICAL / REVIEW",IF(OR(N60&gt;0,M60&gt;0,F60&gt;0),"FOLLOW UP","NORMAL")))</x:f>
      </x:c>
      <x:c r="Q60" t="str">
        <x:f>IF(A60="","",'ERP Snapshot'!N60)</x:f>
      </x:c>
      <x:c r="R60" t="str">
        <x:f>IF(A60="","",'ERP Snapshot'!Q60)</x:f>
      </x:c>
      <x:c r="S60" t="str">
        <x:f>IF(A60="","",'ERP Snapshot'!R60)</x:f>
      </x:c>
      <x:c r="T60" t="str">
        <x:f>IF(A60="","",'ERP Snapshot'!C60)</x:f>
      </x:c>
    </x:row>
    <x:row r="61">
      <x:c r="A61" t="str">
        <x:f>IF('ERP Snapshot'!A61="","",'ERP Snapshot'!A61)</x:f>
      </x:c>
      <x:c r="B61" t="str">
        <x:f>IF(A61="","",'ERP Snapshot'!B61)</x:f>
      </x:c>
      <x:c r="C61" t="str">
        <x:f>IF(A61="","",'ERP Snapshot'!D61)</x:f>
      </x:c>
      <x:c r="D61" t="str">
        <x:f>IF(A61="","",IF(C61="MXN",'ERP Snapshot'!E61/Settings!$B$2,'ERP Snapshot'!E61))</x:f>
      </x:c>
      <x:c r="E61" t="str">
        <x:f>IF(A61="","",IF(C61="MXN",'ERP Snapshot'!I61/Settings!$B$2,'ERP Snapshot'!I61))</x:f>
      </x:c>
      <x:c r="F61" t="str">
        <x:f>IF(A61="","",D61-E61)</x:f>
      </x:c>
      <x:c r="G61" t="str">
        <x:f>IF(A61="","",'ERP Snapshot'!F61)</x:f>
      </x:c>
      <x:c r="H61" t="str">
        <x:f>IF(A61="","",'ERP Snapshot'!G61)</x:f>
      </x:c>
      <x:c r="I61" t="str">
        <x:f>IF(A61="","",'ERP Snapshot'!H61)</x:f>
      </x:c>
      <x:c r="J61" t="str">
        <x:f>IF(A61="","",H61+I61)</x:f>
      </x:c>
      <x:c r="K61" s="8" t="str">
        <x:f>IF(A61="","",IF(G61&gt;0,J61/G61,0))</x:f>
      </x:c>
      <x:c r="L61" t="str">
        <x:f>IF(A61="","",IF(G61&lt;=0,"REVIEW: NO BUDGET",IF(K61&gt;1,"OVER BUDGET",IF(K61=1,"BUDGET EXHAUSTED",IF(K61&gt;=Settings!$B$3,"PREVENTIVE ALERT","OK")))))</x:f>
      </x:c>
      <x:c r="M61" t="str">
        <x:f>IF(A61="","",'ERP Snapshot'!K61)</x:f>
      </x:c>
      <x:c r="N61" t="str">
        <x:f>IF(A61="","",COUNTIFS(Exceptions!$A$2:$A$101,A61,Exceptions!$E$2:$E$101,"Open"))</x:f>
      </x:c>
      <x:c r="O61" t="str">
        <x:f>IF(A61="","",IF(E61&gt;D61,"REVIEW: ABOVE CUSTOMER PO",IF(E61=D61,"FULLY INVOICED",IF(E61&gt;0,"PARTIAL INVOICE","NOT INVOICED"))))</x:f>
      </x:c>
      <x:c r="P61" t="str">
        <x:f>IF(A61="","",IF(OR(L61="OVER BUDGET",L61="BUDGET EXHAUSTED",O61="REVIEW: ABOVE CUSTOMER PO",'ERP Snapshot'!L61="YES"),"CRITICAL / REVIEW",IF(OR(N61&gt;0,M61&gt;0,F61&gt;0),"FOLLOW UP","NORMAL")))</x:f>
      </x:c>
      <x:c r="Q61" t="str">
        <x:f>IF(A61="","",'ERP Snapshot'!N61)</x:f>
      </x:c>
      <x:c r="R61" t="str">
        <x:f>IF(A61="","",'ERP Snapshot'!Q61)</x:f>
      </x:c>
      <x:c r="S61" t="str">
        <x:f>IF(A61="","",'ERP Snapshot'!R61)</x:f>
      </x:c>
      <x:c r="T61" t="str">
        <x:f>IF(A61="","",'ERP Snapshot'!C61)</x:f>
      </x:c>
    </x:row>
    <x:row r="62">
      <x:c r="A62" t="str">
        <x:f>IF('ERP Snapshot'!A62="","",'ERP Snapshot'!A62)</x:f>
      </x:c>
      <x:c r="B62" t="str">
        <x:f>IF(A62="","",'ERP Snapshot'!B62)</x:f>
      </x:c>
      <x:c r="C62" t="str">
        <x:f>IF(A62="","",'ERP Snapshot'!D62)</x:f>
      </x:c>
      <x:c r="D62" t="str">
        <x:f>IF(A62="","",IF(C62="MXN",'ERP Snapshot'!E62/Settings!$B$2,'ERP Snapshot'!E62))</x:f>
      </x:c>
      <x:c r="E62" t="str">
        <x:f>IF(A62="","",IF(C62="MXN",'ERP Snapshot'!I62/Settings!$B$2,'ERP Snapshot'!I62))</x:f>
      </x:c>
      <x:c r="F62" t="str">
        <x:f>IF(A62="","",D62-E62)</x:f>
      </x:c>
      <x:c r="G62" t="str">
        <x:f>IF(A62="","",'ERP Snapshot'!F62)</x:f>
      </x:c>
      <x:c r="H62" t="str">
        <x:f>IF(A62="","",'ERP Snapshot'!G62)</x:f>
      </x:c>
      <x:c r="I62" t="str">
        <x:f>IF(A62="","",'ERP Snapshot'!H62)</x:f>
      </x:c>
      <x:c r="J62" t="str">
        <x:f>IF(A62="","",H62+I62)</x:f>
      </x:c>
      <x:c r="K62" s="8" t="str">
        <x:f>IF(A62="","",IF(G62&gt;0,J62/G62,0))</x:f>
      </x:c>
      <x:c r="L62" t="str">
        <x:f>IF(A62="","",IF(G62&lt;=0,"REVIEW: NO BUDGET",IF(K62&gt;1,"OVER BUDGET",IF(K62=1,"BUDGET EXHAUSTED",IF(K62&gt;=Settings!$B$3,"PREVENTIVE ALERT","OK")))))</x:f>
      </x:c>
      <x:c r="M62" t="str">
        <x:f>IF(A62="","",'ERP Snapshot'!K62)</x:f>
      </x:c>
      <x:c r="N62" t="str">
        <x:f>IF(A62="","",COUNTIFS(Exceptions!$A$2:$A$101,A62,Exceptions!$E$2:$E$101,"Open"))</x:f>
      </x:c>
      <x:c r="O62" t="str">
        <x:f>IF(A62="","",IF(E62&gt;D62,"REVIEW: ABOVE CUSTOMER PO",IF(E62=D62,"FULLY INVOICED",IF(E62&gt;0,"PARTIAL INVOICE","NOT INVOICED"))))</x:f>
      </x:c>
      <x:c r="P62" t="str">
        <x:f>IF(A62="","",IF(OR(L62="OVER BUDGET",L62="BUDGET EXHAUSTED",O62="REVIEW: ABOVE CUSTOMER PO",'ERP Snapshot'!L62="YES"),"CRITICAL / REVIEW",IF(OR(N62&gt;0,M62&gt;0,F62&gt;0),"FOLLOW UP","NORMAL")))</x:f>
      </x:c>
      <x:c r="Q62" t="str">
        <x:f>IF(A62="","",'ERP Snapshot'!N62)</x:f>
      </x:c>
      <x:c r="R62" t="str">
        <x:f>IF(A62="","",'ERP Snapshot'!Q62)</x:f>
      </x:c>
      <x:c r="S62" t="str">
        <x:f>IF(A62="","",'ERP Snapshot'!R62)</x:f>
      </x:c>
      <x:c r="T62" t="str">
        <x:f>IF(A62="","",'ERP Snapshot'!C62)</x:f>
      </x:c>
    </x:row>
    <x:row r="63">
      <x:c r="A63" t="str">
        <x:f>IF('ERP Snapshot'!A63="","",'ERP Snapshot'!A63)</x:f>
      </x:c>
      <x:c r="B63" t="str">
        <x:f>IF(A63="","",'ERP Snapshot'!B63)</x:f>
      </x:c>
      <x:c r="C63" t="str">
        <x:f>IF(A63="","",'ERP Snapshot'!D63)</x:f>
      </x:c>
      <x:c r="D63" t="str">
        <x:f>IF(A63="","",IF(C63="MXN",'ERP Snapshot'!E63/Settings!$B$2,'ERP Snapshot'!E63))</x:f>
      </x:c>
      <x:c r="E63" t="str">
        <x:f>IF(A63="","",IF(C63="MXN",'ERP Snapshot'!I63/Settings!$B$2,'ERP Snapshot'!I63))</x:f>
      </x:c>
      <x:c r="F63" t="str">
        <x:f>IF(A63="","",D63-E63)</x:f>
      </x:c>
      <x:c r="G63" t="str">
        <x:f>IF(A63="","",'ERP Snapshot'!F63)</x:f>
      </x:c>
      <x:c r="H63" t="str">
        <x:f>IF(A63="","",'ERP Snapshot'!G63)</x:f>
      </x:c>
      <x:c r="I63" t="str">
        <x:f>IF(A63="","",'ERP Snapshot'!H63)</x:f>
      </x:c>
      <x:c r="J63" t="str">
        <x:f>IF(A63="","",H63+I63)</x:f>
      </x:c>
      <x:c r="K63" s="8" t="str">
        <x:f>IF(A63="","",IF(G63&gt;0,J63/G63,0))</x:f>
      </x:c>
      <x:c r="L63" t="str">
        <x:f>IF(A63="","",IF(G63&lt;=0,"REVIEW: NO BUDGET",IF(K63&gt;1,"OVER BUDGET",IF(K63=1,"BUDGET EXHAUSTED",IF(K63&gt;=Settings!$B$3,"PREVENTIVE ALERT","OK")))))</x:f>
      </x:c>
      <x:c r="M63" t="str">
        <x:f>IF(A63="","",'ERP Snapshot'!K63)</x:f>
      </x:c>
      <x:c r="N63" t="str">
        <x:f>IF(A63="","",COUNTIFS(Exceptions!$A$2:$A$101,A63,Exceptions!$E$2:$E$101,"Open"))</x:f>
      </x:c>
      <x:c r="O63" t="str">
        <x:f>IF(A63="","",IF(E63&gt;D63,"REVIEW: ABOVE CUSTOMER PO",IF(E63=D63,"FULLY INVOICED",IF(E63&gt;0,"PARTIAL INVOICE","NOT INVOICED"))))</x:f>
      </x:c>
      <x:c r="P63" t="str">
        <x:f>IF(A63="","",IF(OR(L63="OVER BUDGET",L63="BUDGET EXHAUSTED",O63="REVIEW: ABOVE CUSTOMER PO",'ERP Snapshot'!L63="YES"),"CRITICAL / REVIEW",IF(OR(N63&gt;0,M63&gt;0,F63&gt;0),"FOLLOW UP","NORMAL")))</x:f>
      </x:c>
      <x:c r="Q63" t="str">
        <x:f>IF(A63="","",'ERP Snapshot'!N63)</x:f>
      </x:c>
      <x:c r="R63" t="str">
        <x:f>IF(A63="","",'ERP Snapshot'!Q63)</x:f>
      </x:c>
      <x:c r="S63" t="str">
        <x:f>IF(A63="","",'ERP Snapshot'!R63)</x:f>
      </x:c>
      <x:c r="T63" t="str">
        <x:f>IF(A63="","",'ERP Snapshot'!C63)</x:f>
      </x:c>
    </x:row>
    <x:row r="64">
      <x:c r="A64" t="str">
        <x:f>IF('ERP Snapshot'!A64="","",'ERP Snapshot'!A64)</x:f>
      </x:c>
      <x:c r="B64" t="str">
        <x:f>IF(A64="","",'ERP Snapshot'!B64)</x:f>
      </x:c>
      <x:c r="C64" t="str">
        <x:f>IF(A64="","",'ERP Snapshot'!D64)</x:f>
      </x:c>
      <x:c r="D64" t="str">
        <x:f>IF(A64="","",IF(C64="MXN",'ERP Snapshot'!E64/Settings!$B$2,'ERP Snapshot'!E64))</x:f>
      </x:c>
      <x:c r="E64" t="str">
        <x:f>IF(A64="","",IF(C64="MXN",'ERP Snapshot'!I64/Settings!$B$2,'ERP Snapshot'!I64))</x:f>
      </x:c>
      <x:c r="F64" t="str">
        <x:f>IF(A64="","",D64-E64)</x:f>
      </x:c>
      <x:c r="G64" t="str">
        <x:f>IF(A64="","",'ERP Snapshot'!F64)</x:f>
      </x:c>
      <x:c r="H64" t="str">
        <x:f>IF(A64="","",'ERP Snapshot'!G64)</x:f>
      </x:c>
      <x:c r="I64" t="str">
        <x:f>IF(A64="","",'ERP Snapshot'!H64)</x:f>
      </x:c>
      <x:c r="J64" t="str">
        <x:f>IF(A64="","",H64+I64)</x:f>
      </x:c>
      <x:c r="K64" s="8" t="str">
        <x:f>IF(A64="","",IF(G64&gt;0,J64/G64,0))</x:f>
      </x:c>
      <x:c r="L64" t="str">
        <x:f>IF(A64="","",IF(G64&lt;=0,"REVIEW: NO BUDGET",IF(K64&gt;1,"OVER BUDGET",IF(K64=1,"BUDGET EXHAUSTED",IF(K64&gt;=Settings!$B$3,"PREVENTIVE ALERT","OK")))))</x:f>
      </x:c>
      <x:c r="M64" t="str">
        <x:f>IF(A64="","",'ERP Snapshot'!K64)</x:f>
      </x:c>
      <x:c r="N64" t="str">
        <x:f>IF(A64="","",COUNTIFS(Exceptions!$A$2:$A$101,A64,Exceptions!$E$2:$E$101,"Open"))</x:f>
      </x:c>
      <x:c r="O64" t="str">
        <x:f>IF(A64="","",IF(E64&gt;D64,"REVIEW: ABOVE CUSTOMER PO",IF(E64=D64,"FULLY INVOICED",IF(E64&gt;0,"PARTIAL INVOICE","NOT INVOICED"))))</x:f>
      </x:c>
      <x:c r="P64" t="str">
        <x:f>IF(A64="","",IF(OR(L64="OVER BUDGET",L64="BUDGET EXHAUSTED",O64="REVIEW: ABOVE CUSTOMER PO",'ERP Snapshot'!L64="YES"),"CRITICAL / REVIEW",IF(OR(N64&gt;0,M64&gt;0,F64&gt;0),"FOLLOW UP","NORMAL")))</x:f>
      </x:c>
      <x:c r="Q64" t="str">
        <x:f>IF(A64="","",'ERP Snapshot'!N64)</x:f>
      </x:c>
      <x:c r="R64" t="str">
        <x:f>IF(A64="","",'ERP Snapshot'!Q64)</x:f>
      </x:c>
      <x:c r="S64" t="str">
        <x:f>IF(A64="","",'ERP Snapshot'!R64)</x:f>
      </x:c>
      <x:c r="T64" t="str">
        <x:f>IF(A64="","",'ERP Snapshot'!C64)</x:f>
      </x:c>
    </x:row>
    <x:row r="65">
      <x:c r="A65" t="str">
        <x:f>IF('ERP Snapshot'!A65="","",'ERP Snapshot'!A65)</x:f>
      </x:c>
      <x:c r="B65" t="str">
        <x:f>IF(A65="","",'ERP Snapshot'!B65)</x:f>
      </x:c>
      <x:c r="C65" t="str">
        <x:f>IF(A65="","",'ERP Snapshot'!D65)</x:f>
      </x:c>
      <x:c r="D65" t="str">
        <x:f>IF(A65="","",IF(C65="MXN",'ERP Snapshot'!E65/Settings!$B$2,'ERP Snapshot'!E65))</x:f>
      </x:c>
      <x:c r="E65" t="str">
        <x:f>IF(A65="","",IF(C65="MXN",'ERP Snapshot'!I65/Settings!$B$2,'ERP Snapshot'!I65))</x:f>
      </x:c>
      <x:c r="F65" t="str">
        <x:f>IF(A65="","",D65-E65)</x:f>
      </x:c>
      <x:c r="G65" t="str">
        <x:f>IF(A65="","",'ERP Snapshot'!F65)</x:f>
      </x:c>
      <x:c r="H65" t="str">
        <x:f>IF(A65="","",'ERP Snapshot'!G65)</x:f>
      </x:c>
      <x:c r="I65" t="str">
        <x:f>IF(A65="","",'ERP Snapshot'!H65)</x:f>
      </x:c>
      <x:c r="J65" t="str">
        <x:f>IF(A65="","",H65+I65)</x:f>
      </x:c>
      <x:c r="K65" s="8" t="str">
        <x:f>IF(A65="","",IF(G65&gt;0,J65/G65,0))</x:f>
      </x:c>
      <x:c r="L65" t="str">
        <x:f>IF(A65="","",IF(G65&lt;=0,"REVIEW: NO BUDGET",IF(K65&gt;1,"OVER BUDGET",IF(K65=1,"BUDGET EXHAUSTED",IF(K65&gt;=Settings!$B$3,"PREVENTIVE ALERT","OK")))))</x:f>
      </x:c>
      <x:c r="M65" t="str">
        <x:f>IF(A65="","",'ERP Snapshot'!K65)</x:f>
      </x:c>
      <x:c r="N65" t="str">
        <x:f>IF(A65="","",COUNTIFS(Exceptions!$A$2:$A$101,A65,Exceptions!$E$2:$E$101,"Open"))</x:f>
      </x:c>
      <x:c r="O65" t="str">
        <x:f>IF(A65="","",IF(E65&gt;D65,"REVIEW: ABOVE CUSTOMER PO",IF(E65=D65,"FULLY INVOICED",IF(E65&gt;0,"PARTIAL INVOICE","NOT INVOICED"))))</x:f>
      </x:c>
      <x:c r="P65" t="str">
        <x:f>IF(A65="","",IF(OR(L65="OVER BUDGET",L65="BUDGET EXHAUSTED",O65="REVIEW: ABOVE CUSTOMER PO",'ERP Snapshot'!L65="YES"),"CRITICAL / REVIEW",IF(OR(N65&gt;0,M65&gt;0,F65&gt;0),"FOLLOW UP","NORMAL")))</x:f>
      </x:c>
      <x:c r="Q65" t="str">
        <x:f>IF(A65="","",'ERP Snapshot'!N65)</x:f>
      </x:c>
      <x:c r="R65" t="str">
        <x:f>IF(A65="","",'ERP Snapshot'!Q65)</x:f>
      </x:c>
      <x:c r="S65" t="str">
        <x:f>IF(A65="","",'ERP Snapshot'!R65)</x:f>
      </x:c>
      <x:c r="T65" t="str">
        <x:f>IF(A65="","",'ERP Snapshot'!C65)</x:f>
      </x:c>
    </x:row>
    <x:row r="66">
      <x:c r="A66" t="str">
        <x:f>IF('ERP Snapshot'!A66="","",'ERP Snapshot'!A66)</x:f>
      </x:c>
      <x:c r="B66" t="str">
        <x:f>IF(A66="","",'ERP Snapshot'!B66)</x:f>
      </x:c>
      <x:c r="C66" t="str">
        <x:f>IF(A66="","",'ERP Snapshot'!D66)</x:f>
      </x:c>
      <x:c r="D66" t="str">
        <x:f>IF(A66="","",IF(C66="MXN",'ERP Snapshot'!E66/Settings!$B$2,'ERP Snapshot'!E66))</x:f>
      </x:c>
      <x:c r="E66" t="str">
        <x:f>IF(A66="","",IF(C66="MXN",'ERP Snapshot'!I66/Settings!$B$2,'ERP Snapshot'!I66))</x:f>
      </x:c>
      <x:c r="F66" t="str">
        <x:f>IF(A66="","",D66-E66)</x:f>
      </x:c>
      <x:c r="G66" t="str">
        <x:f>IF(A66="","",'ERP Snapshot'!F66)</x:f>
      </x:c>
      <x:c r="H66" t="str">
        <x:f>IF(A66="","",'ERP Snapshot'!G66)</x:f>
      </x:c>
      <x:c r="I66" t="str">
        <x:f>IF(A66="","",'ERP Snapshot'!H66)</x:f>
      </x:c>
      <x:c r="J66" t="str">
        <x:f>IF(A66="","",H66+I66)</x:f>
      </x:c>
      <x:c r="K66" s="8" t="str">
        <x:f>IF(A66="","",IF(G66&gt;0,J66/G66,0))</x:f>
      </x:c>
      <x:c r="L66" t="str">
        <x:f>IF(A66="","",IF(G66&lt;=0,"REVIEW: NO BUDGET",IF(K66&gt;1,"OVER BUDGET",IF(K66=1,"BUDGET EXHAUSTED",IF(K66&gt;=Settings!$B$3,"PREVENTIVE ALERT","OK")))))</x:f>
      </x:c>
      <x:c r="M66" t="str">
        <x:f>IF(A66="","",'ERP Snapshot'!K66)</x:f>
      </x:c>
      <x:c r="N66" t="str">
        <x:f>IF(A66="","",COUNTIFS(Exceptions!$A$2:$A$101,A66,Exceptions!$E$2:$E$101,"Open"))</x:f>
      </x:c>
      <x:c r="O66" t="str">
        <x:f>IF(A66="","",IF(E66&gt;D66,"REVIEW: ABOVE CUSTOMER PO",IF(E66=D66,"FULLY INVOICED",IF(E66&gt;0,"PARTIAL INVOICE","NOT INVOICED"))))</x:f>
      </x:c>
      <x:c r="P66" t="str">
        <x:f>IF(A66="","",IF(OR(L66="OVER BUDGET",L66="BUDGET EXHAUSTED",O66="REVIEW: ABOVE CUSTOMER PO",'ERP Snapshot'!L66="YES"),"CRITICAL / REVIEW",IF(OR(N66&gt;0,M66&gt;0,F66&gt;0),"FOLLOW UP","NORMAL")))</x:f>
      </x:c>
      <x:c r="Q66" t="str">
        <x:f>IF(A66="","",'ERP Snapshot'!N66)</x:f>
      </x:c>
      <x:c r="R66" t="str">
        <x:f>IF(A66="","",'ERP Snapshot'!Q66)</x:f>
      </x:c>
      <x:c r="S66" t="str">
        <x:f>IF(A66="","",'ERP Snapshot'!R66)</x:f>
      </x:c>
      <x:c r="T66" t="str">
        <x:f>IF(A66="","",'ERP Snapshot'!C66)</x:f>
      </x:c>
    </x:row>
    <x:row r="67">
      <x:c r="A67" t="str">
        <x:f>IF('ERP Snapshot'!A67="","",'ERP Snapshot'!A67)</x:f>
      </x:c>
      <x:c r="B67" t="str">
        <x:f>IF(A67="","",'ERP Snapshot'!B67)</x:f>
      </x:c>
      <x:c r="C67" t="str">
        <x:f>IF(A67="","",'ERP Snapshot'!D67)</x:f>
      </x:c>
      <x:c r="D67" t="str">
        <x:f>IF(A67="","",IF(C67="MXN",'ERP Snapshot'!E67/Settings!$B$2,'ERP Snapshot'!E67))</x:f>
      </x:c>
      <x:c r="E67" t="str">
        <x:f>IF(A67="","",IF(C67="MXN",'ERP Snapshot'!I67/Settings!$B$2,'ERP Snapshot'!I67))</x:f>
      </x:c>
      <x:c r="F67" t="str">
        <x:f>IF(A67="","",D67-E67)</x:f>
      </x:c>
      <x:c r="G67" t="str">
        <x:f>IF(A67="","",'ERP Snapshot'!F67)</x:f>
      </x:c>
      <x:c r="H67" t="str">
        <x:f>IF(A67="","",'ERP Snapshot'!G67)</x:f>
      </x:c>
      <x:c r="I67" t="str">
        <x:f>IF(A67="","",'ERP Snapshot'!H67)</x:f>
      </x:c>
      <x:c r="J67" t="str">
        <x:f>IF(A67="","",H67+I67)</x:f>
      </x:c>
      <x:c r="K67" s="8" t="str">
        <x:f>IF(A67="","",IF(G67&gt;0,J67/G67,0))</x:f>
      </x:c>
      <x:c r="L67" t="str">
        <x:f>IF(A67="","",IF(G67&lt;=0,"REVIEW: NO BUDGET",IF(K67&gt;1,"OVER BUDGET",IF(K67=1,"BUDGET EXHAUSTED",IF(K67&gt;=Settings!$B$3,"PREVENTIVE ALERT","OK")))))</x:f>
      </x:c>
      <x:c r="M67" t="str">
        <x:f>IF(A67="","",'ERP Snapshot'!K67)</x:f>
      </x:c>
      <x:c r="N67" t="str">
        <x:f>IF(A67="","",COUNTIFS(Exceptions!$A$2:$A$101,A67,Exceptions!$E$2:$E$101,"Open"))</x:f>
      </x:c>
      <x:c r="O67" t="str">
        <x:f>IF(A67="","",IF(E67&gt;D67,"REVIEW: ABOVE CUSTOMER PO",IF(E67=D67,"FULLY INVOICED",IF(E67&gt;0,"PARTIAL INVOICE","NOT INVOICED"))))</x:f>
      </x:c>
      <x:c r="P67" t="str">
        <x:f>IF(A67="","",IF(OR(L67="OVER BUDGET",L67="BUDGET EXHAUSTED",O67="REVIEW: ABOVE CUSTOMER PO",'ERP Snapshot'!L67="YES"),"CRITICAL / REVIEW",IF(OR(N67&gt;0,M67&gt;0,F67&gt;0),"FOLLOW UP","NORMAL")))</x:f>
      </x:c>
      <x:c r="Q67" t="str">
        <x:f>IF(A67="","",'ERP Snapshot'!N67)</x:f>
      </x:c>
      <x:c r="R67" t="str">
        <x:f>IF(A67="","",'ERP Snapshot'!Q67)</x:f>
      </x:c>
      <x:c r="S67" t="str">
        <x:f>IF(A67="","",'ERP Snapshot'!R67)</x:f>
      </x:c>
      <x:c r="T67" t="str">
        <x:f>IF(A67="","",'ERP Snapshot'!C67)</x:f>
      </x:c>
    </x:row>
    <x:row r="68">
      <x:c r="A68" t="str">
        <x:f>IF('ERP Snapshot'!A68="","",'ERP Snapshot'!A68)</x:f>
      </x:c>
      <x:c r="B68" t="str">
        <x:f>IF(A68="","",'ERP Snapshot'!B68)</x:f>
      </x:c>
      <x:c r="C68" t="str">
        <x:f>IF(A68="","",'ERP Snapshot'!D68)</x:f>
      </x:c>
      <x:c r="D68" t="str">
        <x:f>IF(A68="","",IF(C68="MXN",'ERP Snapshot'!E68/Settings!$B$2,'ERP Snapshot'!E68))</x:f>
      </x:c>
      <x:c r="E68" t="str">
        <x:f>IF(A68="","",IF(C68="MXN",'ERP Snapshot'!I68/Settings!$B$2,'ERP Snapshot'!I68))</x:f>
      </x:c>
      <x:c r="F68" t="str">
        <x:f>IF(A68="","",D68-E68)</x:f>
      </x:c>
      <x:c r="G68" t="str">
        <x:f>IF(A68="","",'ERP Snapshot'!F68)</x:f>
      </x:c>
      <x:c r="H68" t="str">
        <x:f>IF(A68="","",'ERP Snapshot'!G68)</x:f>
      </x:c>
      <x:c r="I68" t="str">
        <x:f>IF(A68="","",'ERP Snapshot'!H68)</x:f>
      </x:c>
      <x:c r="J68" t="str">
        <x:f>IF(A68="","",H68+I68)</x:f>
      </x:c>
      <x:c r="K68" s="8" t="str">
        <x:f>IF(A68="","",IF(G68&gt;0,J68/G68,0))</x:f>
      </x:c>
      <x:c r="L68" t="str">
        <x:f>IF(A68="","",IF(G68&lt;=0,"REVIEW: NO BUDGET",IF(K68&gt;1,"OVER BUDGET",IF(K68=1,"BUDGET EXHAUSTED",IF(K68&gt;=Settings!$B$3,"PREVENTIVE ALERT","OK")))))</x:f>
      </x:c>
      <x:c r="M68" t="str">
        <x:f>IF(A68="","",'ERP Snapshot'!K68)</x:f>
      </x:c>
      <x:c r="N68" t="str">
        <x:f>IF(A68="","",COUNTIFS(Exceptions!$A$2:$A$101,A68,Exceptions!$E$2:$E$101,"Open"))</x:f>
      </x:c>
      <x:c r="O68" t="str">
        <x:f>IF(A68="","",IF(E68&gt;D68,"REVIEW: ABOVE CUSTOMER PO",IF(E68=D68,"FULLY INVOICED",IF(E68&gt;0,"PARTIAL INVOICE","NOT INVOICED"))))</x:f>
      </x:c>
      <x:c r="P68" t="str">
        <x:f>IF(A68="","",IF(OR(L68="OVER BUDGET",L68="BUDGET EXHAUSTED",O68="REVIEW: ABOVE CUSTOMER PO",'ERP Snapshot'!L68="YES"),"CRITICAL / REVIEW",IF(OR(N68&gt;0,M68&gt;0,F68&gt;0),"FOLLOW UP","NORMAL")))</x:f>
      </x:c>
      <x:c r="Q68" t="str">
        <x:f>IF(A68="","",'ERP Snapshot'!N68)</x:f>
      </x:c>
      <x:c r="R68" t="str">
        <x:f>IF(A68="","",'ERP Snapshot'!Q68)</x:f>
      </x:c>
      <x:c r="S68" t="str">
        <x:f>IF(A68="","",'ERP Snapshot'!R68)</x:f>
      </x:c>
      <x:c r="T68" t="str">
        <x:f>IF(A68="","",'ERP Snapshot'!C68)</x:f>
      </x:c>
    </x:row>
    <x:row r="69">
      <x:c r="A69" t="str">
        <x:f>IF('ERP Snapshot'!A69="","",'ERP Snapshot'!A69)</x:f>
      </x:c>
      <x:c r="B69" t="str">
        <x:f>IF(A69="","",'ERP Snapshot'!B69)</x:f>
      </x:c>
      <x:c r="C69" t="str">
        <x:f>IF(A69="","",'ERP Snapshot'!D69)</x:f>
      </x:c>
      <x:c r="D69" t="str">
        <x:f>IF(A69="","",IF(C69="MXN",'ERP Snapshot'!E69/Settings!$B$2,'ERP Snapshot'!E69))</x:f>
      </x:c>
      <x:c r="E69" t="str">
        <x:f>IF(A69="","",IF(C69="MXN",'ERP Snapshot'!I69/Settings!$B$2,'ERP Snapshot'!I69))</x:f>
      </x:c>
      <x:c r="F69" t="str">
        <x:f>IF(A69="","",D69-E69)</x:f>
      </x:c>
      <x:c r="G69" t="str">
        <x:f>IF(A69="","",'ERP Snapshot'!F69)</x:f>
      </x:c>
      <x:c r="H69" t="str">
        <x:f>IF(A69="","",'ERP Snapshot'!G69)</x:f>
      </x:c>
      <x:c r="I69" t="str">
        <x:f>IF(A69="","",'ERP Snapshot'!H69)</x:f>
      </x:c>
      <x:c r="J69" t="str">
        <x:f>IF(A69="","",H69+I69)</x:f>
      </x:c>
      <x:c r="K69" s="8" t="str">
        <x:f>IF(A69="","",IF(G69&gt;0,J69/G69,0))</x:f>
      </x:c>
      <x:c r="L69" t="str">
        <x:f>IF(A69="","",IF(G69&lt;=0,"REVIEW: NO BUDGET",IF(K69&gt;1,"OVER BUDGET",IF(K69=1,"BUDGET EXHAUSTED",IF(K69&gt;=Settings!$B$3,"PREVENTIVE ALERT","OK")))))</x:f>
      </x:c>
      <x:c r="M69" t="str">
        <x:f>IF(A69="","",'ERP Snapshot'!K69)</x:f>
      </x:c>
      <x:c r="N69" t="str">
        <x:f>IF(A69="","",COUNTIFS(Exceptions!$A$2:$A$101,A69,Exceptions!$E$2:$E$101,"Open"))</x:f>
      </x:c>
      <x:c r="O69" t="str">
        <x:f>IF(A69="","",IF(E69&gt;D69,"REVIEW: ABOVE CUSTOMER PO",IF(E69=D69,"FULLY INVOICED",IF(E69&gt;0,"PARTIAL INVOICE","NOT INVOICED"))))</x:f>
      </x:c>
      <x:c r="P69" t="str">
        <x:f>IF(A69="","",IF(OR(L69="OVER BUDGET",L69="BUDGET EXHAUSTED",O69="REVIEW: ABOVE CUSTOMER PO",'ERP Snapshot'!L69="YES"),"CRITICAL / REVIEW",IF(OR(N69&gt;0,M69&gt;0,F69&gt;0),"FOLLOW UP","NORMAL")))</x:f>
      </x:c>
      <x:c r="Q69" t="str">
        <x:f>IF(A69="","",'ERP Snapshot'!N69)</x:f>
      </x:c>
      <x:c r="R69" t="str">
        <x:f>IF(A69="","",'ERP Snapshot'!Q69)</x:f>
      </x:c>
      <x:c r="S69" t="str">
        <x:f>IF(A69="","",'ERP Snapshot'!R69)</x:f>
      </x:c>
      <x:c r="T69" t="str">
        <x:f>IF(A69="","",'ERP Snapshot'!C69)</x:f>
      </x:c>
    </x:row>
    <x:row r="70">
      <x:c r="A70" t="str">
        <x:f>IF('ERP Snapshot'!A70="","",'ERP Snapshot'!A70)</x:f>
      </x:c>
      <x:c r="B70" t="str">
        <x:f>IF(A70="","",'ERP Snapshot'!B70)</x:f>
      </x:c>
      <x:c r="C70" t="str">
        <x:f>IF(A70="","",'ERP Snapshot'!D70)</x:f>
      </x:c>
      <x:c r="D70" t="str">
        <x:f>IF(A70="","",IF(C70="MXN",'ERP Snapshot'!E70/Settings!$B$2,'ERP Snapshot'!E70))</x:f>
      </x:c>
      <x:c r="E70" t="str">
        <x:f>IF(A70="","",IF(C70="MXN",'ERP Snapshot'!I70/Settings!$B$2,'ERP Snapshot'!I70))</x:f>
      </x:c>
      <x:c r="F70" t="str">
        <x:f>IF(A70="","",D70-E70)</x:f>
      </x:c>
      <x:c r="G70" t="str">
        <x:f>IF(A70="","",'ERP Snapshot'!F70)</x:f>
      </x:c>
      <x:c r="H70" t="str">
        <x:f>IF(A70="","",'ERP Snapshot'!G70)</x:f>
      </x:c>
      <x:c r="I70" t="str">
        <x:f>IF(A70="","",'ERP Snapshot'!H70)</x:f>
      </x:c>
      <x:c r="J70" t="str">
        <x:f>IF(A70="","",H70+I70)</x:f>
      </x:c>
      <x:c r="K70" s="8" t="str">
        <x:f>IF(A70="","",IF(G70&gt;0,J70/G70,0))</x:f>
      </x:c>
      <x:c r="L70" t="str">
        <x:f>IF(A70="","",IF(G70&lt;=0,"REVIEW: NO BUDGET",IF(K70&gt;1,"OVER BUDGET",IF(K70=1,"BUDGET EXHAUSTED",IF(K70&gt;=Settings!$B$3,"PREVENTIVE ALERT","OK")))))</x:f>
      </x:c>
      <x:c r="M70" t="str">
        <x:f>IF(A70="","",'ERP Snapshot'!K70)</x:f>
      </x:c>
      <x:c r="N70" t="str">
        <x:f>IF(A70="","",COUNTIFS(Exceptions!$A$2:$A$101,A70,Exceptions!$E$2:$E$101,"Open"))</x:f>
      </x:c>
      <x:c r="O70" t="str">
        <x:f>IF(A70="","",IF(E70&gt;D70,"REVIEW: ABOVE CUSTOMER PO",IF(E70=D70,"FULLY INVOICED",IF(E70&gt;0,"PARTIAL INVOICE","NOT INVOICED"))))</x:f>
      </x:c>
      <x:c r="P70" t="str">
        <x:f>IF(A70="","",IF(OR(L70="OVER BUDGET",L70="BUDGET EXHAUSTED",O70="REVIEW: ABOVE CUSTOMER PO",'ERP Snapshot'!L70="YES"),"CRITICAL / REVIEW",IF(OR(N70&gt;0,M70&gt;0,F70&gt;0),"FOLLOW UP","NORMAL")))</x:f>
      </x:c>
      <x:c r="Q70" t="str">
        <x:f>IF(A70="","",'ERP Snapshot'!N70)</x:f>
      </x:c>
      <x:c r="R70" t="str">
        <x:f>IF(A70="","",'ERP Snapshot'!Q70)</x:f>
      </x:c>
      <x:c r="S70" t="str">
        <x:f>IF(A70="","",'ERP Snapshot'!R70)</x:f>
      </x:c>
      <x:c r="T70" t="str">
        <x:f>IF(A70="","",'ERP Snapshot'!C70)</x:f>
      </x:c>
    </x:row>
    <x:row r="71">
      <x:c r="A71" t="str">
        <x:f>IF('ERP Snapshot'!A71="","",'ERP Snapshot'!A71)</x:f>
      </x:c>
      <x:c r="B71" t="str">
        <x:f>IF(A71="","",'ERP Snapshot'!B71)</x:f>
      </x:c>
      <x:c r="C71" t="str">
        <x:f>IF(A71="","",'ERP Snapshot'!D71)</x:f>
      </x:c>
      <x:c r="D71" t="str">
        <x:f>IF(A71="","",IF(C71="MXN",'ERP Snapshot'!E71/Settings!$B$2,'ERP Snapshot'!E71))</x:f>
      </x:c>
      <x:c r="E71" t="str">
        <x:f>IF(A71="","",IF(C71="MXN",'ERP Snapshot'!I71/Settings!$B$2,'ERP Snapshot'!I71))</x:f>
      </x:c>
      <x:c r="F71" t="str">
        <x:f>IF(A71="","",D71-E71)</x:f>
      </x:c>
      <x:c r="G71" t="str">
        <x:f>IF(A71="","",'ERP Snapshot'!F71)</x:f>
      </x:c>
      <x:c r="H71" t="str">
        <x:f>IF(A71="","",'ERP Snapshot'!G71)</x:f>
      </x:c>
      <x:c r="I71" t="str">
        <x:f>IF(A71="","",'ERP Snapshot'!H71)</x:f>
      </x:c>
      <x:c r="J71" t="str">
        <x:f>IF(A71="","",H71+I71)</x:f>
      </x:c>
      <x:c r="K71" s="8" t="str">
        <x:f>IF(A71="","",IF(G71&gt;0,J71/G71,0))</x:f>
      </x:c>
      <x:c r="L71" t="str">
        <x:f>IF(A71="","",IF(G71&lt;=0,"REVIEW: NO BUDGET",IF(K71&gt;1,"OVER BUDGET",IF(K71=1,"BUDGET EXHAUSTED",IF(K71&gt;=Settings!$B$3,"PREVENTIVE ALERT","OK")))))</x:f>
      </x:c>
      <x:c r="M71" t="str">
        <x:f>IF(A71="","",'ERP Snapshot'!K71)</x:f>
      </x:c>
      <x:c r="N71" t="str">
        <x:f>IF(A71="","",COUNTIFS(Exceptions!$A$2:$A$101,A71,Exceptions!$E$2:$E$101,"Open"))</x:f>
      </x:c>
      <x:c r="O71" t="str">
        <x:f>IF(A71="","",IF(E71&gt;D71,"REVIEW: ABOVE CUSTOMER PO",IF(E71=D71,"FULLY INVOICED",IF(E71&gt;0,"PARTIAL INVOICE","NOT INVOICED"))))</x:f>
      </x:c>
      <x:c r="P71" t="str">
        <x:f>IF(A71="","",IF(OR(L71="OVER BUDGET",L71="BUDGET EXHAUSTED",O71="REVIEW: ABOVE CUSTOMER PO",'ERP Snapshot'!L71="YES"),"CRITICAL / REVIEW",IF(OR(N71&gt;0,M71&gt;0,F71&gt;0),"FOLLOW UP","NORMAL")))</x:f>
      </x:c>
      <x:c r="Q71" t="str">
        <x:f>IF(A71="","",'ERP Snapshot'!N71)</x:f>
      </x:c>
      <x:c r="R71" t="str">
        <x:f>IF(A71="","",'ERP Snapshot'!Q71)</x:f>
      </x:c>
      <x:c r="S71" t="str">
        <x:f>IF(A71="","",'ERP Snapshot'!R71)</x:f>
      </x:c>
      <x:c r="T71" t="str">
        <x:f>IF(A71="","",'ERP Snapshot'!C71)</x:f>
      </x:c>
    </x:row>
    <x:row r="72">
      <x:c r="A72" t="str">
        <x:f>IF('ERP Snapshot'!A72="","",'ERP Snapshot'!A72)</x:f>
      </x:c>
      <x:c r="B72" t="str">
        <x:f>IF(A72="","",'ERP Snapshot'!B72)</x:f>
      </x:c>
      <x:c r="C72" t="str">
        <x:f>IF(A72="","",'ERP Snapshot'!D72)</x:f>
      </x:c>
      <x:c r="D72" t="str">
        <x:f>IF(A72="","",IF(C72="MXN",'ERP Snapshot'!E72/Settings!$B$2,'ERP Snapshot'!E72))</x:f>
      </x:c>
      <x:c r="E72" t="str">
        <x:f>IF(A72="","",IF(C72="MXN",'ERP Snapshot'!I72/Settings!$B$2,'ERP Snapshot'!I72))</x:f>
      </x:c>
      <x:c r="F72" t="str">
        <x:f>IF(A72="","",D72-E72)</x:f>
      </x:c>
      <x:c r="G72" t="str">
        <x:f>IF(A72="","",'ERP Snapshot'!F72)</x:f>
      </x:c>
      <x:c r="H72" t="str">
        <x:f>IF(A72="","",'ERP Snapshot'!G72)</x:f>
      </x:c>
      <x:c r="I72" t="str">
        <x:f>IF(A72="","",'ERP Snapshot'!H72)</x:f>
      </x:c>
      <x:c r="J72" t="str">
        <x:f>IF(A72="","",H72+I72)</x:f>
      </x:c>
      <x:c r="K72" s="8" t="str">
        <x:f>IF(A72="","",IF(G72&gt;0,J72/G72,0))</x:f>
      </x:c>
      <x:c r="L72" t="str">
        <x:f>IF(A72="","",IF(G72&lt;=0,"REVIEW: NO BUDGET",IF(K72&gt;1,"OVER BUDGET",IF(K72=1,"BUDGET EXHAUSTED",IF(K72&gt;=Settings!$B$3,"PREVENTIVE ALERT","OK")))))</x:f>
      </x:c>
      <x:c r="M72" t="str">
        <x:f>IF(A72="","",'ERP Snapshot'!K72)</x:f>
      </x:c>
      <x:c r="N72" t="str">
        <x:f>IF(A72="","",COUNTIFS(Exceptions!$A$2:$A$101,A72,Exceptions!$E$2:$E$101,"Open"))</x:f>
      </x:c>
      <x:c r="O72" t="str">
        <x:f>IF(A72="","",IF(E72&gt;D72,"REVIEW: ABOVE CUSTOMER PO",IF(E72=D72,"FULLY INVOICED",IF(E72&gt;0,"PARTIAL INVOICE","NOT INVOICED"))))</x:f>
      </x:c>
      <x:c r="P72" t="str">
        <x:f>IF(A72="","",IF(OR(L72="OVER BUDGET",L72="BUDGET EXHAUSTED",O72="REVIEW: ABOVE CUSTOMER PO",'ERP Snapshot'!L72="YES"),"CRITICAL / REVIEW",IF(OR(N72&gt;0,M72&gt;0,F72&gt;0),"FOLLOW UP","NORMAL")))</x:f>
      </x:c>
      <x:c r="Q72" t="str">
        <x:f>IF(A72="","",'ERP Snapshot'!N72)</x:f>
      </x:c>
      <x:c r="R72" t="str">
        <x:f>IF(A72="","",'ERP Snapshot'!Q72)</x:f>
      </x:c>
      <x:c r="S72" t="str">
        <x:f>IF(A72="","",'ERP Snapshot'!R72)</x:f>
      </x:c>
      <x:c r="T72" t="str">
        <x:f>IF(A72="","",'ERP Snapshot'!C72)</x:f>
      </x:c>
    </x:row>
    <x:row r="73">
      <x:c r="A73" t="str">
        <x:f>IF('ERP Snapshot'!A73="","",'ERP Snapshot'!A73)</x:f>
      </x:c>
      <x:c r="B73" t="str">
        <x:f>IF(A73="","",'ERP Snapshot'!B73)</x:f>
      </x:c>
      <x:c r="C73" t="str">
        <x:f>IF(A73="","",'ERP Snapshot'!D73)</x:f>
      </x:c>
      <x:c r="D73" t="str">
        <x:f>IF(A73="","",IF(C73="MXN",'ERP Snapshot'!E73/Settings!$B$2,'ERP Snapshot'!E73))</x:f>
      </x:c>
      <x:c r="E73" t="str">
        <x:f>IF(A73="","",IF(C73="MXN",'ERP Snapshot'!I73/Settings!$B$2,'ERP Snapshot'!I73))</x:f>
      </x:c>
      <x:c r="F73" t="str">
        <x:f>IF(A73="","",D73-E73)</x:f>
      </x:c>
      <x:c r="G73" t="str">
        <x:f>IF(A73="","",'ERP Snapshot'!F73)</x:f>
      </x:c>
      <x:c r="H73" t="str">
        <x:f>IF(A73="","",'ERP Snapshot'!G73)</x:f>
      </x:c>
      <x:c r="I73" t="str">
        <x:f>IF(A73="","",'ERP Snapshot'!H73)</x:f>
      </x:c>
      <x:c r="J73" t="str">
        <x:f>IF(A73="","",H73+I73)</x:f>
      </x:c>
      <x:c r="K73" s="8" t="str">
        <x:f>IF(A73="","",IF(G73&gt;0,J73/G73,0))</x:f>
      </x:c>
      <x:c r="L73" t="str">
        <x:f>IF(A73="","",IF(G73&lt;=0,"REVIEW: NO BUDGET",IF(K73&gt;1,"OVER BUDGET",IF(K73=1,"BUDGET EXHAUSTED",IF(K73&gt;=Settings!$B$3,"PREVENTIVE ALERT","OK")))))</x:f>
      </x:c>
      <x:c r="M73" t="str">
        <x:f>IF(A73="","",'ERP Snapshot'!K73)</x:f>
      </x:c>
      <x:c r="N73" t="str">
        <x:f>IF(A73="","",COUNTIFS(Exceptions!$A$2:$A$101,A73,Exceptions!$E$2:$E$101,"Open"))</x:f>
      </x:c>
      <x:c r="O73" t="str">
        <x:f>IF(A73="","",IF(E73&gt;D73,"REVIEW: ABOVE CUSTOMER PO",IF(E73=D73,"FULLY INVOICED",IF(E73&gt;0,"PARTIAL INVOICE","NOT INVOICED"))))</x:f>
      </x:c>
      <x:c r="P73" t="str">
        <x:f>IF(A73="","",IF(OR(L73="OVER BUDGET",L73="BUDGET EXHAUSTED",O73="REVIEW: ABOVE CUSTOMER PO",'ERP Snapshot'!L73="YES"),"CRITICAL / REVIEW",IF(OR(N73&gt;0,M73&gt;0,F73&gt;0),"FOLLOW UP","NORMAL")))</x:f>
      </x:c>
      <x:c r="Q73" t="str">
        <x:f>IF(A73="","",'ERP Snapshot'!N73)</x:f>
      </x:c>
      <x:c r="R73" t="str">
        <x:f>IF(A73="","",'ERP Snapshot'!Q73)</x:f>
      </x:c>
      <x:c r="S73" t="str">
        <x:f>IF(A73="","",'ERP Snapshot'!R73)</x:f>
      </x:c>
      <x:c r="T73" t="str">
        <x:f>IF(A73="","",'ERP Snapshot'!C73)</x:f>
      </x:c>
    </x:row>
    <x:row r="74">
      <x:c r="A74" t="str">
        <x:f>IF('ERP Snapshot'!A74="","",'ERP Snapshot'!A74)</x:f>
      </x:c>
      <x:c r="B74" t="str">
        <x:f>IF(A74="","",'ERP Snapshot'!B74)</x:f>
      </x:c>
      <x:c r="C74" t="str">
        <x:f>IF(A74="","",'ERP Snapshot'!D74)</x:f>
      </x:c>
      <x:c r="D74" t="str">
        <x:f>IF(A74="","",IF(C74="MXN",'ERP Snapshot'!E74/Settings!$B$2,'ERP Snapshot'!E74))</x:f>
      </x:c>
      <x:c r="E74" t="str">
        <x:f>IF(A74="","",IF(C74="MXN",'ERP Snapshot'!I74/Settings!$B$2,'ERP Snapshot'!I74))</x:f>
      </x:c>
      <x:c r="F74" t="str">
        <x:f>IF(A74="","",D74-E74)</x:f>
      </x:c>
      <x:c r="G74" t="str">
        <x:f>IF(A74="","",'ERP Snapshot'!F74)</x:f>
      </x:c>
      <x:c r="H74" t="str">
        <x:f>IF(A74="","",'ERP Snapshot'!G74)</x:f>
      </x:c>
      <x:c r="I74" t="str">
        <x:f>IF(A74="","",'ERP Snapshot'!H74)</x:f>
      </x:c>
      <x:c r="J74" t="str">
        <x:f>IF(A74="","",H74+I74)</x:f>
      </x:c>
      <x:c r="K74" s="8" t="str">
        <x:f>IF(A74="","",IF(G74&gt;0,J74/G74,0))</x:f>
      </x:c>
      <x:c r="L74" t="str">
        <x:f>IF(A74="","",IF(G74&lt;=0,"REVIEW: NO BUDGET",IF(K74&gt;1,"OVER BUDGET",IF(K74=1,"BUDGET EXHAUSTED",IF(K74&gt;=Settings!$B$3,"PREVENTIVE ALERT","OK")))))</x:f>
      </x:c>
      <x:c r="M74" t="str">
        <x:f>IF(A74="","",'ERP Snapshot'!K74)</x:f>
      </x:c>
      <x:c r="N74" t="str">
        <x:f>IF(A74="","",COUNTIFS(Exceptions!$A$2:$A$101,A74,Exceptions!$E$2:$E$101,"Open"))</x:f>
      </x:c>
      <x:c r="O74" t="str">
        <x:f>IF(A74="","",IF(E74&gt;D74,"REVIEW: ABOVE CUSTOMER PO",IF(E74=D74,"FULLY INVOICED",IF(E74&gt;0,"PARTIAL INVOICE","NOT INVOICED"))))</x:f>
      </x:c>
      <x:c r="P74" t="str">
        <x:f>IF(A74="","",IF(OR(L74="OVER BUDGET",L74="BUDGET EXHAUSTED",O74="REVIEW: ABOVE CUSTOMER PO",'ERP Snapshot'!L74="YES"),"CRITICAL / REVIEW",IF(OR(N74&gt;0,M74&gt;0,F74&gt;0),"FOLLOW UP","NORMAL")))</x:f>
      </x:c>
      <x:c r="Q74" t="str">
        <x:f>IF(A74="","",'ERP Snapshot'!N74)</x:f>
      </x:c>
      <x:c r="R74" t="str">
        <x:f>IF(A74="","",'ERP Snapshot'!Q74)</x:f>
      </x:c>
      <x:c r="S74" t="str">
        <x:f>IF(A74="","",'ERP Snapshot'!R74)</x:f>
      </x:c>
      <x:c r="T74" t="str">
        <x:f>IF(A74="","",'ERP Snapshot'!C74)</x:f>
      </x:c>
    </x:row>
    <x:row r="75">
      <x:c r="A75" t="str">
        <x:f>IF('ERP Snapshot'!A75="","",'ERP Snapshot'!A75)</x:f>
      </x:c>
      <x:c r="B75" t="str">
        <x:f>IF(A75="","",'ERP Snapshot'!B75)</x:f>
      </x:c>
      <x:c r="C75" t="str">
        <x:f>IF(A75="","",'ERP Snapshot'!D75)</x:f>
      </x:c>
      <x:c r="D75" t="str">
        <x:f>IF(A75="","",IF(C75="MXN",'ERP Snapshot'!E75/Settings!$B$2,'ERP Snapshot'!E75))</x:f>
      </x:c>
      <x:c r="E75" t="str">
        <x:f>IF(A75="","",IF(C75="MXN",'ERP Snapshot'!I75/Settings!$B$2,'ERP Snapshot'!I75))</x:f>
      </x:c>
      <x:c r="F75" t="str">
        <x:f>IF(A75="","",D75-E75)</x:f>
      </x:c>
      <x:c r="G75" t="str">
        <x:f>IF(A75="","",'ERP Snapshot'!F75)</x:f>
      </x:c>
      <x:c r="H75" t="str">
        <x:f>IF(A75="","",'ERP Snapshot'!G75)</x:f>
      </x:c>
      <x:c r="I75" t="str">
        <x:f>IF(A75="","",'ERP Snapshot'!H75)</x:f>
      </x:c>
      <x:c r="J75" t="str">
        <x:f>IF(A75="","",H75+I75)</x:f>
      </x:c>
      <x:c r="K75" s="8" t="str">
        <x:f>IF(A75="","",IF(G75&gt;0,J75/G75,0))</x:f>
      </x:c>
      <x:c r="L75" t="str">
        <x:f>IF(A75="","",IF(G75&lt;=0,"REVIEW: NO BUDGET",IF(K75&gt;1,"OVER BUDGET",IF(K75=1,"BUDGET EXHAUSTED",IF(K75&gt;=Settings!$B$3,"PREVENTIVE ALERT","OK")))))</x:f>
      </x:c>
      <x:c r="M75" t="str">
        <x:f>IF(A75="","",'ERP Snapshot'!K75)</x:f>
      </x:c>
      <x:c r="N75" t="str">
        <x:f>IF(A75="","",COUNTIFS(Exceptions!$A$2:$A$101,A75,Exceptions!$E$2:$E$101,"Open"))</x:f>
      </x:c>
      <x:c r="O75" t="str">
        <x:f>IF(A75="","",IF(E75&gt;D75,"REVIEW: ABOVE CUSTOMER PO",IF(E75=D75,"FULLY INVOICED",IF(E75&gt;0,"PARTIAL INVOICE","NOT INVOICED"))))</x:f>
      </x:c>
      <x:c r="P75" t="str">
        <x:f>IF(A75="","",IF(OR(L75="OVER BUDGET",L75="BUDGET EXHAUSTED",O75="REVIEW: ABOVE CUSTOMER PO",'ERP Snapshot'!L75="YES"),"CRITICAL / REVIEW",IF(OR(N75&gt;0,M75&gt;0,F75&gt;0),"FOLLOW UP","NORMAL")))</x:f>
      </x:c>
      <x:c r="Q75" t="str">
        <x:f>IF(A75="","",'ERP Snapshot'!N75)</x:f>
      </x:c>
      <x:c r="R75" t="str">
        <x:f>IF(A75="","",'ERP Snapshot'!Q75)</x:f>
      </x:c>
      <x:c r="S75" t="str">
        <x:f>IF(A75="","",'ERP Snapshot'!R75)</x:f>
      </x:c>
      <x:c r="T75" t="str">
        <x:f>IF(A75="","",'ERP Snapshot'!C75)</x:f>
      </x:c>
    </x:row>
    <x:row r="76">
      <x:c r="A76" t="str">
        <x:f>IF('ERP Snapshot'!A76="","",'ERP Snapshot'!A76)</x:f>
      </x:c>
      <x:c r="B76" t="str">
        <x:f>IF(A76="","",'ERP Snapshot'!B76)</x:f>
      </x:c>
      <x:c r="C76" t="str">
        <x:f>IF(A76="","",'ERP Snapshot'!D76)</x:f>
      </x:c>
      <x:c r="D76" t="str">
        <x:f>IF(A76="","",IF(C76="MXN",'ERP Snapshot'!E76/Settings!$B$2,'ERP Snapshot'!E76))</x:f>
      </x:c>
      <x:c r="E76" t="str">
        <x:f>IF(A76="","",IF(C76="MXN",'ERP Snapshot'!I76/Settings!$B$2,'ERP Snapshot'!I76))</x:f>
      </x:c>
      <x:c r="F76" t="str">
        <x:f>IF(A76="","",D76-E76)</x:f>
      </x:c>
      <x:c r="G76" t="str">
        <x:f>IF(A76="","",'ERP Snapshot'!F76)</x:f>
      </x:c>
      <x:c r="H76" t="str">
        <x:f>IF(A76="","",'ERP Snapshot'!G76)</x:f>
      </x:c>
      <x:c r="I76" t="str">
        <x:f>IF(A76="","",'ERP Snapshot'!H76)</x:f>
      </x:c>
      <x:c r="J76" t="str">
        <x:f>IF(A76="","",H76+I76)</x:f>
      </x:c>
      <x:c r="K76" s="8" t="str">
        <x:f>IF(A76="","",IF(G76&gt;0,J76/G76,0))</x:f>
      </x:c>
      <x:c r="L76" t="str">
        <x:f>IF(A76="","",IF(G76&lt;=0,"REVIEW: NO BUDGET",IF(K76&gt;1,"OVER BUDGET",IF(K76=1,"BUDGET EXHAUSTED",IF(K76&gt;=Settings!$B$3,"PREVENTIVE ALERT","OK")))))</x:f>
      </x:c>
      <x:c r="M76" t="str">
        <x:f>IF(A76="","",'ERP Snapshot'!K76)</x:f>
      </x:c>
      <x:c r="N76" t="str">
        <x:f>IF(A76="","",COUNTIFS(Exceptions!$A$2:$A$101,A76,Exceptions!$E$2:$E$101,"Open"))</x:f>
      </x:c>
      <x:c r="O76" t="str">
        <x:f>IF(A76="","",IF(E76&gt;D76,"REVIEW: ABOVE CUSTOMER PO",IF(E76=D76,"FULLY INVOICED",IF(E76&gt;0,"PARTIAL INVOICE","NOT INVOICED"))))</x:f>
      </x:c>
      <x:c r="P76" t="str">
        <x:f>IF(A76="","",IF(OR(L76="OVER BUDGET",L76="BUDGET EXHAUSTED",O76="REVIEW: ABOVE CUSTOMER PO",'ERP Snapshot'!L76="YES"),"CRITICAL / REVIEW",IF(OR(N76&gt;0,M76&gt;0,F76&gt;0),"FOLLOW UP","NORMAL")))</x:f>
      </x:c>
      <x:c r="Q76" t="str">
        <x:f>IF(A76="","",'ERP Snapshot'!N76)</x:f>
      </x:c>
      <x:c r="R76" t="str">
        <x:f>IF(A76="","",'ERP Snapshot'!Q76)</x:f>
      </x:c>
      <x:c r="S76" t="str">
        <x:f>IF(A76="","",'ERP Snapshot'!R76)</x:f>
      </x:c>
      <x:c r="T76" t="str">
        <x:f>IF(A76="","",'ERP Snapshot'!C76)</x:f>
      </x:c>
    </x:row>
    <x:row r="77">
      <x:c r="A77" t="str">
        <x:f>IF('ERP Snapshot'!A77="","",'ERP Snapshot'!A77)</x:f>
      </x:c>
      <x:c r="B77" t="str">
        <x:f>IF(A77="","",'ERP Snapshot'!B77)</x:f>
      </x:c>
      <x:c r="C77" t="str">
        <x:f>IF(A77="","",'ERP Snapshot'!D77)</x:f>
      </x:c>
      <x:c r="D77" t="str">
        <x:f>IF(A77="","",IF(C77="MXN",'ERP Snapshot'!E77/Settings!$B$2,'ERP Snapshot'!E77))</x:f>
      </x:c>
      <x:c r="E77" t="str">
        <x:f>IF(A77="","",IF(C77="MXN",'ERP Snapshot'!I77/Settings!$B$2,'ERP Snapshot'!I77))</x:f>
      </x:c>
      <x:c r="F77" t="str">
        <x:f>IF(A77="","",D77-E77)</x:f>
      </x:c>
      <x:c r="G77" t="str">
        <x:f>IF(A77="","",'ERP Snapshot'!F77)</x:f>
      </x:c>
      <x:c r="H77" t="str">
        <x:f>IF(A77="","",'ERP Snapshot'!G77)</x:f>
      </x:c>
      <x:c r="I77" t="str">
        <x:f>IF(A77="","",'ERP Snapshot'!H77)</x:f>
      </x:c>
      <x:c r="J77" t="str">
        <x:f>IF(A77="","",H77+I77)</x:f>
      </x:c>
      <x:c r="K77" s="8" t="str">
        <x:f>IF(A77="","",IF(G77&gt;0,J77/G77,0))</x:f>
      </x:c>
      <x:c r="L77" t="str">
        <x:f>IF(A77="","",IF(G77&lt;=0,"REVIEW: NO BUDGET",IF(K77&gt;1,"OVER BUDGET",IF(K77=1,"BUDGET EXHAUSTED",IF(K77&gt;=Settings!$B$3,"PREVENTIVE ALERT","OK")))))</x:f>
      </x:c>
      <x:c r="M77" t="str">
        <x:f>IF(A77="","",'ERP Snapshot'!K77)</x:f>
      </x:c>
      <x:c r="N77" t="str">
        <x:f>IF(A77="","",COUNTIFS(Exceptions!$A$2:$A$101,A77,Exceptions!$E$2:$E$101,"Open"))</x:f>
      </x:c>
      <x:c r="O77" t="str">
        <x:f>IF(A77="","",IF(E77&gt;D77,"REVIEW: ABOVE CUSTOMER PO",IF(E77=D77,"FULLY INVOICED",IF(E77&gt;0,"PARTIAL INVOICE","NOT INVOICED"))))</x:f>
      </x:c>
      <x:c r="P77" t="str">
        <x:f>IF(A77="","",IF(OR(L77="OVER BUDGET",L77="BUDGET EXHAUSTED",O77="REVIEW: ABOVE CUSTOMER PO",'ERP Snapshot'!L77="YES"),"CRITICAL / REVIEW",IF(OR(N77&gt;0,M77&gt;0,F77&gt;0),"FOLLOW UP","NORMAL")))</x:f>
      </x:c>
      <x:c r="Q77" t="str">
        <x:f>IF(A77="","",'ERP Snapshot'!N77)</x:f>
      </x:c>
      <x:c r="R77" t="str">
        <x:f>IF(A77="","",'ERP Snapshot'!Q77)</x:f>
      </x:c>
      <x:c r="S77" t="str">
        <x:f>IF(A77="","",'ERP Snapshot'!R77)</x:f>
      </x:c>
      <x:c r="T77" t="str">
        <x:f>IF(A77="","",'ERP Snapshot'!C77)</x:f>
      </x:c>
    </x:row>
    <x:row r="78">
      <x:c r="A78" t="str">
        <x:f>IF('ERP Snapshot'!A78="","",'ERP Snapshot'!A78)</x:f>
      </x:c>
      <x:c r="B78" t="str">
        <x:f>IF(A78="","",'ERP Snapshot'!B78)</x:f>
      </x:c>
      <x:c r="C78" t="str">
        <x:f>IF(A78="","",'ERP Snapshot'!D78)</x:f>
      </x:c>
      <x:c r="D78" t="str">
        <x:f>IF(A78="","",IF(C78="MXN",'ERP Snapshot'!E78/Settings!$B$2,'ERP Snapshot'!E78))</x:f>
      </x:c>
      <x:c r="E78" t="str">
        <x:f>IF(A78="","",IF(C78="MXN",'ERP Snapshot'!I78/Settings!$B$2,'ERP Snapshot'!I78))</x:f>
      </x:c>
      <x:c r="F78" t="str">
        <x:f>IF(A78="","",D78-E78)</x:f>
      </x:c>
      <x:c r="G78" t="str">
        <x:f>IF(A78="","",'ERP Snapshot'!F78)</x:f>
      </x:c>
      <x:c r="H78" t="str">
        <x:f>IF(A78="","",'ERP Snapshot'!G78)</x:f>
      </x:c>
      <x:c r="I78" t="str">
        <x:f>IF(A78="","",'ERP Snapshot'!H78)</x:f>
      </x:c>
      <x:c r="J78" t="str">
        <x:f>IF(A78="","",H78+I78)</x:f>
      </x:c>
      <x:c r="K78" s="8" t="str">
        <x:f>IF(A78="","",IF(G78&gt;0,J78/G78,0))</x:f>
      </x:c>
      <x:c r="L78" t="str">
        <x:f>IF(A78="","",IF(G78&lt;=0,"REVIEW: NO BUDGET",IF(K78&gt;1,"OVER BUDGET",IF(K78=1,"BUDGET EXHAUSTED",IF(K78&gt;=Settings!$B$3,"PREVENTIVE ALERT","OK")))))</x:f>
      </x:c>
      <x:c r="M78" t="str">
        <x:f>IF(A78="","",'ERP Snapshot'!K78)</x:f>
      </x:c>
      <x:c r="N78" t="str">
        <x:f>IF(A78="","",COUNTIFS(Exceptions!$A$2:$A$101,A78,Exceptions!$E$2:$E$101,"Open"))</x:f>
      </x:c>
      <x:c r="O78" t="str">
        <x:f>IF(A78="","",IF(E78&gt;D78,"REVIEW: ABOVE CUSTOMER PO",IF(E78=D78,"FULLY INVOICED",IF(E78&gt;0,"PARTIAL INVOICE","NOT INVOICED"))))</x:f>
      </x:c>
      <x:c r="P78" t="str">
        <x:f>IF(A78="","",IF(OR(L78="OVER BUDGET",L78="BUDGET EXHAUSTED",O78="REVIEW: ABOVE CUSTOMER PO",'ERP Snapshot'!L78="YES"),"CRITICAL / REVIEW",IF(OR(N78&gt;0,M78&gt;0,F78&gt;0),"FOLLOW UP","NORMAL")))</x:f>
      </x:c>
      <x:c r="Q78" t="str">
        <x:f>IF(A78="","",'ERP Snapshot'!N78)</x:f>
      </x:c>
      <x:c r="R78" t="str">
        <x:f>IF(A78="","",'ERP Snapshot'!Q78)</x:f>
      </x:c>
      <x:c r="S78" t="str">
        <x:f>IF(A78="","",'ERP Snapshot'!R78)</x:f>
      </x:c>
      <x:c r="T78" t="str">
        <x:f>IF(A78="","",'ERP Snapshot'!C78)</x:f>
      </x:c>
    </x:row>
    <x:row r="79">
      <x:c r="A79" t="str">
        <x:f>IF('ERP Snapshot'!A79="","",'ERP Snapshot'!A79)</x:f>
      </x:c>
      <x:c r="B79" t="str">
        <x:f>IF(A79="","",'ERP Snapshot'!B79)</x:f>
      </x:c>
      <x:c r="C79" t="str">
        <x:f>IF(A79="","",'ERP Snapshot'!D79)</x:f>
      </x:c>
      <x:c r="D79" t="str">
        <x:f>IF(A79="","",IF(C79="MXN",'ERP Snapshot'!E79/Settings!$B$2,'ERP Snapshot'!E79))</x:f>
      </x:c>
      <x:c r="E79" t="str">
        <x:f>IF(A79="","",IF(C79="MXN",'ERP Snapshot'!I79/Settings!$B$2,'ERP Snapshot'!I79))</x:f>
      </x:c>
      <x:c r="F79" t="str">
        <x:f>IF(A79="","",D79-E79)</x:f>
      </x:c>
      <x:c r="G79" t="str">
        <x:f>IF(A79="","",'ERP Snapshot'!F79)</x:f>
      </x:c>
      <x:c r="H79" t="str">
        <x:f>IF(A79="","",'ERP Snapshot'!G79)</x:f>
      </x:c>
      <x:c r="I79" t="str">
        <x:f>IF(A79="","",'ERP Snapshot'!H79)</x:f>
      </x:c>
      <x:c r="J79" t="str">
        <x:f>IF(A79="","",H79+I79)</x:f>
      </x:c>
      <x:c r="K79" s="8" t="str">
        <x:f>IF(A79="","",IF(G79&gt;0,J79/G79,0))</x:f>
      </x:c>
      <x:c r="L79" t="str">
        <x:f>IF(A79="","",IF(G79&lt;=0,"REVIEW: NO BUDGET",IF(K79&gt;1,"OVER BUDGET",IF(K79=1,"BUDGET EXHAUSTED",IF(K79&gt;=Settings!$B$3,"PREVENTIVE ALERT","OK")))))</x:f>
      </x:c>
      <x:c r="M79" t="str">
        <x:f>IF(A79="","",'ERP Snapshot'!K79)</x:f>
      </x:c>
      <x:c r="N79" t="str">
        <x:f>IF(A79="","",COUNTIFS(Exceptions!$A$2:$A$101,A79,Exceptions!$E$2:$E$101,"Open"))</x:f>
      </x:c>
      <x:c r="O79" t="str">
        <x:f>IF(A79="","",IF(E79&gt;D79,"REVIEW: ABOVE CUSTOMER PO",IF(E79=D79,"FULLY INVOICED",IF(E79&gt;0,"PARTIAL INVOICE","NOT INVOICED"))))</x:f>
      </x:c>
      <x:c r="P79" t="str">
        <x:f>IF(A79="","",IF(OR(L79="OVER BUDGET",L79="BUDGET EXHAUSTED",O79="REVIEW: ABOVE CUSTOMER PO",'ERP Snapshot'!L79="YES"),"CRITICAL / REVIEW",IF(OR(N79&gt;0,M79&gt;0,F79&gt;0),"FOLLOW UP","NORMAL")))</x:f>
      </x:c>
      <x:c r="Q79" t="str">
        <x:f>IF(A79="","",'ERP Snapshot'!N79)</x:f>
      </x:c>
      <x:c r="R79" t="str">
        <x:f>IF(A79="","",'ERP Snapshot'!Q79)</x:f>
      </x:c>
      <x:c r="S79" t="str">
        <x:f>IF(A79="","",'ERP Snapshot'!R79)</x:f>
      </x:c>
      <x:c r="T79" t="str">
        <x:f>IF(A79="","",'ERP Snapshot'!C79)</x:f>
      </x:c>
    </x:row>
    <x:row r="80">
      <x:c r="A80" t="str">
        <x:f>IF('ERP Snapshot'!A80="","",'ERP Snapshot'!A80)</x:f>
      </x:c>
      <x:c r="B80" t="str">
        <x:f>IF(A80="","",'ERP Snapshot'!B80)</x:f>
      </x:c>
      <x:c r="C80" t="str">
        <x:f>IF(A80="","",'ERP Snapshot'!D80)</x:f>
      </x:c>
      <x:c r="D80" t="str">
        <x:f>IF(A80="","",IF(C80="MXN",'ERP Snapshot'!E80/Settings!$B$2,'ERP Snapshot'!E80))</x:f>
      </x:c>
      <x:c r="E80" t="str">
        <x:f>IF(A80="","",IF(C80="MXN",'ERP Snapshot'!I80/Settings!$B$2,'ERP Snapshot'!I80))</x:f>
      </x:c>
      <x:c r="F80" t="str">
        <x:f>IF(A80="","",D80-E80)</x:f>
      </x:c>
      <x:c r="G80" t="str">
        <x:f>IF(A80="","",'ERP Snapshot'!F80)</x:f>
      </x:c>
      <x:c r="H80" t="str">
        <x:f>IF(A80="","",'ERP Snapshot'!G80)</x:f>
      </x:c>
      <x:c r="I80" t="str">
        <x:f>IF(A80="","",'ERP Snapshot'!H80)</x:f>
      </x:c>
      <x:c r="J80" t="str">
        <x:f>IF(A80="","",H80+I80)</x:f>
      </x:c>
      <x:c r="K80" s="8" t="str">
        <x:f>IF(A80="","",IF(G80&gt;0,J80/G80,0))</x:f>
      </x:c>
      <x:c r="L80" t="str">
        <x:f>IF(A80="","",IF(G80&lt;=0,"REVIEW: NO BUDGET",IF(K80&gt;1,"OVER BUDGET",IF(K80=1,"BUDGET EXHAUSTED",IF(K80&gt;=Settings!$B$3,"PREVENTIVE ALERT","OK")))))</x:f>
      </x:c>
      <x:c r="M80" t="str">
        <x:f>IF(A80="","",'ERP Snapshot'!K80)</x:f>
      </x:c>
      <x:c r="N80" t="str">
        <x:f>IF(A80="","",COUNTIFS(Exceptions!$A$2:$A$101,A80,Exceptions!$E$2:$E$101,"Open"))</x:f>
      </x:c>
      <x:c r="O80" t="str">
        <x:f>IF(A80="","",IF(E80&gt;D80,"REVIEW: ABOVE CUSTOMER PO",IF(E80=D80,"FULLY INVOICED",IF(E80&gt;0,"PARTIAL INVOICE","NOT INVOICED"))))</x:f>
      </x:c>
      <x:c r="P80" t="str">
        <x:f>IF(A80="","",IF(OR(L80="OVER BUDGET",L80="BUDGET EXHAUSTED",O80="REVIEW: ABOVE CUSTOMER PO",'ERP Snapshot'!L80="YES"),"CRITICAL / REVIEW",IF(OR(N80&gt;0,M80&gt;0,F80&gt;0),"FOLLOW UP","NORMAL")))</x:f>
      </x:c>
      <x:c r="Q80" t="str">
        <x:f>IF(A80="","",'ERP Snapshot'!N80)</x:f>
      </x:c>
      <x:c r="R80" t="str">
        <x:f>IF(A80="","",'ERP Snapshot'!Q80)</x:f>
      </x:c>
      <x:c r="S80" t="str">
        <x:f>IF(A80="","",'ERP Snapshot'!R80)</x:f>
      </x:c>
      <x:c r="T80" t="str">
        <x:f>IF(A80="","",'ERP Snapshot'!C80)</x:f>
      </x:c>
    </x:row>
    <x:row r="81">
      <x:c r="A81" t="str">
        <x:f>IF('ERP Snapshot'!A81="","",'ERP Snapshot'!A81)</x:f>
      </x:c>
      <x:c r="B81" t="str">
        <x:f>IF(A81="","",'ERP Snapshot'!B81)</x:f>
      </x:c>
      <x:c r="C81" t="str">
        <x:f>IF(A81="","",'ERP Snapshot'!D81)</x:f>
      </x:c>
      <x:c r="D81" t="str">
        <x:f>IF(A81="","",IF(C81="MXN",'ERP Snapshot'!E81/Settings!$B$2,'ERP Snapshot'!E81))</x:f>
      </x:c>
      <x:c r="E81" t="str">
        <x:f>IF(A81="","",IF(C81="MXN",'ERP Snapshot'!I81/Settings!$B$2,'ERP Snapshot'!I81))</x:f>
      </x:c>
      <x:c r="F81" t="str">
        <x:f>IF(A81="","",D81-E81)</x:f>
      </x:c>
      <x:c r="G81" t="str">
        <x:f>IF(A81="","",'ERP Snapshot'!F81)</x:f>
      </x:c>
      <x:c r="H81" t="str">
        <x:f>IF(A81="","",'ERP Snapshot'!G81)</x:f>
      </x:c>
      <x:c r="I81" t="str">
        <x:f>IF(A81="","",'ERP Snapshot'!H81)</x:f>
      </x:c>
      <x:c r="J81" t="str">
        <x:f>IF(A81="","",H81+I81)</x:f>
      </x:c>
      <x:c r="K81" s="8" t="str">
        <x:f>IF(A81="","",IF(G81&gt;0,J81/G81,0))</x:f>
      </x:c>
      <x:c r="L81" t="str">
        <x:f>IF(A81="","",IF(G81&lt;=0,"REVIEW: NO BUDGET",IF(K81&gt;1,"OVER BUDGET",IF(K81=1,"BUDGET EXHAUSTED",IF(K81&gt;=Settings!$B$3,"PREVENTIVE ALERT","OK")))))</x:f>
      </x:c>
      <x:c r="M81" t="str">
        <x:f>IF(A81="","",'ERP Snapshot'!K81)</x:f>
      </x:c>
      <x:c r="N81" t="str">
        <x:f>IF(A81="","",COUNTIFS(Exceptions!$A$2:$A$101,A81,Exceptions!$E$2:$E$101,"Open"))</x:f>
      </x:c>
      <x:c r="O81" t="str">
        <x:f>IF(A81="","",IF(E81&gt;D81,"REVIEW: ABOVE CUSTOMER PO",IF(E81=D81,"FULLY INVOICED",IF(E81&gt;0,"PARTIAL INVOICE","NOT INVOICED"))))</x:f>
      </x:c>
      <x:c r="P81" t="str">
        <x:f>IF(A81="","",IF(OR(L81="OVER BUDGET",L81="BUDGET EXHAUSTED",O81="REVIEW: ABOVE CUSTOMER PO",'ERP Snapshot'!L81="YES"),"CRITICAL / REVIEW",IF(OR(N81&gt;0,M81&gt;0,F81&gt;0),"FOLLOW UP","NORMAL")))</x:f>
      </x:c>
      <x:c r="Q81" t="str">
        <x:f>IF(A81="","",'ERP Snapshot'!N81)</x:f>
      </x:c>
      <x:c r="R81" t="str">
        <x:f>IF(A81="","",'ERP Snapshot'!Q81)</x:f>
      </x:c>
      <x:c r="S81" t="str">
        <x:f>IF(A81="","",'ERP Snapshot'!R81)</x:f>
      </x:c>
      <x:c r="T81" t="str">
        <x:f>IF(A81="","",'ERP Snapshot'!C81)</x:f>
      </x:c>
    </x:row>
    <x:row r="82">
      <x:c r="A82" t="str">
        <x:f>IF('ERP Snapshot'!A82="","",'ERP Snapshot'!A82)</x:f>
      </x:c>
      <x:c r="B82" t="str">
        <x:f>IF(A82="","",'ERP Snapshot'!B82)</x:f>
      </x:c>
      <x:c r="C82" t="str">
        <x:f>IF(A82="","",'ERP Snapshot'!D82)</x:f>
      </x:c>
      <x:c r="D82" t="str">
        <x:f>IF(A82="","",IF(C82="MXN",'ERP Snapshot'!E82/Settings!$B$2,'ERP Snapshot'!E82))</x:f>
      </x:c>
      <x:c r="E82" t="str">
        <x:f>IF(A82="","",IF(C82="MXN",'ERP Snapshot'!I82/Settings!$B$2,'ERP Snapshot'!I82))</x:f>
      </x:c>
      <x:c r="F82" t="str">
        <x:f>IF(A82="","",D82-E82)</x:f>
      </x:c>
      <x:c r="G82" t="str">
        <x:f>IF(A82="","",'ERP Snapshot'!F82)</x:f>
      </x:c>
      <x:c r="H82" t="str">
        <x:f>IF(A82="","",'ERP Snapshot'!G82)</x:f>
      </x:c>
      <x:c r="I82" t="str">
        <x:f>IF(A82="","",'ERP Snapshot'!H82)</x:f>
      </x:c>
      <x:c r="J82" t="str">
        <x:f>IF(A82="","",H82+I82)</x:f>
      </x:c>
      <x:c r="K82" s="8" t="str">
        <x:f>IF(A82="","",IF(G82&gt;0,J82/G82,0))</x:f>
      </x:c>
      <x:c r="L82" t="str">
        <x:f>IF(A82="","",IF(G82&lt;=0,"REVIEW: NO BUDGET",IF(K82&gt;1,"OVER BUDGET",IF(K82=1,"BUDGET EXHAUSTED",IF(K82&gt;=Settings!$B$3,"PREVENTIVE ALERT","OK")))))</x:f>
      </x:c>
      <x:c r="M82" t="str">
        <x:f>IF(A82="","",'ERP Snapshot'!K82)</x:f>
      </x:c>
      <x:c r="N82" t="str">
        <x:f>IF(A82="","",COUNTIFS(Exceptions!$A$2:$A$101,A82,Exceptions!$E$2:$E$101,"Open"))</x:f>
      </x:c>
      <x:c r="O82" t="str">
        <x:f>IF(A82="","",IF(E82&gt;D82,"REVIEW: ABOVE CUSTOMER PO",IF(E82=D82,"FULLY INVOICED",IF(E82&gt;0,"PARTIAL INVOICE","NOT INVOICED"))))</x:f>
      </x:c>
      <x:c r="P82" t="str">
        <x:f>IF(A82="","",IF(OR(L82="OVER BUDGET",L82="BUDGET EXHAUSTED",O82="REVIEW: ABOVE CUSTOMER PO",'ERP Snapshot'!L82="YES"),"CRITICAL / REVIEW",IF(OR(N82&gt;0,M82&gt;0,F82&gt;0),"FOLLOW UP","NORMAL")))</x:f>
      </x:c>
      <x:c r="Q82" t="str">
        <x:f>IF(A82="","",'ERP Snapshot'!N82)</x:f>
      </x:c>
      <x:c r="R82" t="str">
        <x:f>IF(A82="","",'ERP Snapshot'!Q82)</x:f>
      </x:c>
      <x:c r="S82" t="str">
        <x:f>IF(A82="","",'ERP Snapshot'!R82)</x:f>
      </x:c>
      <x:c r="T82" t="str">
        <x:f>IF(A82="","",'ERP Snapshot'!C82)</x:f>
      </x:c>
    </x:row>
    <x:row r="83">
      <x:c r="A83" t="str">
        <x:f>IF('ERP Snapshot'!A83="","",'ERP Snapshot'!A83)</x:f>
      </x:c>
      <x:c r="B83" t="str">
        <x:f>IF(A83="","",'ERP Snapshot'!B83)</x:f>
      </x:c>
      <x:c r="C83" t="str">
        <x:f>IF(A83="","",'ERP Snapshot'!D83)</x:f>
      </x:c>
      <x:c r="D83" t="str">
        <x:f>IF(A83="","",IF(C83="MXN",'ERP Snapshot'!E83/Settings!$B$2,'ERP Snapshot'!E83))</x:f>
      </x:c>
      <x:c r="E83" t="str">
        <x:f>IF(A83="","",IF(C83="MXN",'ERP Snapshot'!I83/Settings!$B$2,'ERP Snapshot'!I83))</x:f>
      </x:c>
      <x:c r="F83" t="str">
        <x:f>IF(A83="","",D83-E83)</x:f>
      </x:c>
      <x:c r="G83" t="str">
        <x:f>IF(A83="","",'ERP Snapshot'!F83)</x:f>
      </x:c>
      <x:c r="H83" t="str">
        <x:f>IF(A83="","",'ERP Snapshot'!G83)</x:f>
      </x:c>
      <x:c r="I83" t="str">
        <x:f>IF(A83="","",'ERP Snapshot'!H83)</x:f>
      </x:c>
      <x:c r="J83" t="str">
        <x:f>IF(A83="","",H83+I83)</x:f>
      </x:c>
      <x:c r="K83" s="8" t="str">
        <x:f>IF(A83="","",IF(G83&gt;0,J83/G83,0))</x:f>
      </x:c>
      <x:c r="L83" t="str">
        <x:f>IF(A83="","",IF(G83&lt;=0,"REVIEW: NO BUDGET",IF(K83&gt;1,"OVER BUDGET",IF(K83=1,"BUDGET EXHAUSTED",IF(K83&gt;=Settings!$B$3,"PREVENTIVE ALERT","OK")))))</x:f>
      </x:c>
      <x:c r="M83" t="str">
        <x:f>IF(A83="","",'ERP Snapshot'!K83)</x:f>
      </x:c>
      <x:c r="N83" t="str">
        <x:f>IF(A83="","",COUNTIFS(Exceptions!$A$2:$A$101,A83,Exceptions!$E$2:$E$101,"Open"))</x:f>
      </x:c>
      <x:c r="O83" t="str">
        <x:f>IF(A83="","",IF(E83&gt;D83,"REVIEW: ABOVE CUSTOMER PO",IF(E83=D83,"FULLY INVOICED",IF(E83&gt;0,"PARTIAL INVOICE","NOT INVOICED"))))</x:f>
      </x:c>
      <x:c r="P83" t="str">
        <x:f>IF(A83="","",IF(OR(L83="OVER BUDGET",L83="BUDGET EXHAUSTED",O83="REVIEW: ABOVE CUSTOMER PO",'ERP Snapshot'!L83="YES"),"CRITICAL / REVIEW",IF(OR(N83&gt;0,M83&gt;0,F83&gt;0),"FOLLOW UP","NORMAL")))</x:f>
      </x:c>
      <x:c r="Q83" t="str">
        <x:f>IF(A83="","",'ERP Snapshot'!N83)</x:f>
      </x:c>
      <x:c r="R83" t="str">
        <x:f>IF(A83="","",'ERP Snapshot'!Q83)</x:f>
      </x:c>
      <x:c r="S83" t="str">
        <x:f>IF(A83="","",'ERP Snapshot'!R83)</x:f>
      </x:c>
      <x:c r="T83" t="str">
        <x:f>IF(A83="","",'ERP Snapshot'!C83)</x:f>
      </x:c>
    </x:row>
    <x:row r="84">
      <x:c r="A84" t="str">
        <x:f>IF('ERP Snapshot'!A84="","",'ERP Snapshot'!A84)</x:f>
      </x:c>
      <x:c r="B84" t="str">
        <x:f>IF(A84="","",'ERP Snapshot'!B84)</x:f>
      </x:c>
      <x:c r="C84" t="str">
        <x:f>IF(A84="","",'ERP Snapshot'!D84)</x:f>
      </x:c>
      <x:c r="D84" t="str">
        <x:f>IF(A84="","",IF(C84="MXN",'ERP Snapshot'!E84/Settings!$B$2,'ERP Snapshot'!E84))</x:f>
      </x:c>
      <x:c r="E84" t="str">
        <x:f>IF(A84="","",IF(C84="MXN",'ERP Snapshot'!I84/Settings!$B$2,'ERP Snapshot'!I84))</x:f>
      </x:c>
      <x:c r="F84" t="str">
        <x:f>IF(A84="","",D84-E84)</x:f>
      </x:c>
      <x:c r="G84" t="str">
        <x:f>IF(A84="","",'ERP Snapshot'!F84)</x:f>
      </x:c>
      <x:c r="H84" t="str">
        <x:f>IF(A84="","",'ERP Snapshot'!G84)</x:f>
      </x:c>
      <x:c r="I84" t="str">
        <x:f>IF(A84="","",'ERP Snapshot'!H84)</x:f>
      </x:c>
      <x:c r="J84" t="str">
        <x:f>IF(A84="","",H84+I84)</x:f>
      </x:c>
      <x:c r="K84" s="8" t="str">
        <x:f>IF(A84="","",IF(G84&gt;0,J84/G84,0))</x:f>
      </x:c>
      <x:c r="L84" t="str">
        <x:f>IF(A84="","",IF(G84&lt;=0,"REVIEW: NO BUDGET",IF(K84&gt;1,"OVER BUDGET",IF(K84=1,"BUDGET EXHAUSTED",IF(K84&gt;=Settings!$B$3,"PREVENTIVE ALERT","OK")))))</x:f>
      </x:c>
      <x:c r="M84" t="str">
        <x:f>IF(A84="","",'ERP Snapshot'!K84)</x:f>
      </x:c>
      <x:c r="N84" t="str">
        <x:f>IF(A84="","",COUNTIFS(Exceptions!$A$2:$A$101,A84,Exceptions!$E$2:$E$101,"Open"))</x:f>
      </x:c>
      <x:c r="O84" t="str">
        <x:f>IF(A84="","",IF(E84&gt;D84,"REVIEW: ABOVE CUSTOMER PO",IF(E84=D84,"FULLY INVOICED",IF(E84&gt;0,"PARTIAL INVOICE","NOT INVOICED"))))</x:f>
      </x:c>
      <x:c r="P84" t="str">
        <x:f>IF(A84="","",IF(OR(L84="OVER BUDGET",L84="BUDGET EXHAUSTED",O84="REVIEW: ABOVE CUSTOMER PO",'ERP Snapshot'!L84="YES"),"CRITICAL / REVIEW",IF(OR(N84&gt;0,M84&gt;0,F84&gt;0),"FOLLOW UP","NORMAL")))</x:f>
      </x:c>
      <x:c r="Q84" t="str">
        <x:f>IF(A84="","",'ERP Snapshot'!N84)</x:f>
      </x:c>
      <x:c r="R84" t="str">
        <x:f>IF(A84="","",'ERP Snapshot'!Q84)</x:f>
      </x:c>
      <x:c r="S84" t="str">
        <x:f>IF(A84="","",'ERP Snapshot'!R84)</x:f>
      </x:c>
      <x:c r="T84" t="str">
        <x:f>IF(A84="","",'ERP Snapshot'!C84)</x:f>
      </x:c>
    </x:row>
    <x:row r="85">
      <x:c r="A85" t="str">
        <x:f>IF('ERP Snapshot'!A85="","",'ERP Snapshot'!A85)</x:f>
      </x:c>
      <x:c r="B85" t="str">
        <x:f>IF(A85="","",'ERP Snapshot'!B85)</x:f>
      </x:c>
      <x:c r="C85" t="str">
        <x:f>IF(A85="","",'ERP Snapshot'!D85)</x:f>
      </x:c>
      <x:c r="D85" t="str">
        <x:f>IF(A85="","",IF(C85="MXN",'ERP Snapshot'!E85/Settings!$B$2,'ERP Snapshot'!E85))</x:f>
      </x:c>
      <x:c r="E85" t="str">
        <x:f>IF(A85="","",IF(C85="MXN",'ERP Snapshot'!I85/Settings!$B$2,'ERP Snapshot'!I85))</x:f>
      </x:c>
      <x:c r="F85" t="str">
        <x:f>IF(A85="","",D85-E85)</x:f>
      </x:c>
      <x:c r="G85" t="str">
        <x:f>IF(A85="","",'ERP Snapshot'!F85)</x:f>
      </x:c>
      <x:c r="H85" t="str">
        <x:f>IF(A85="","",'ERP Snapshot'!G85)</x:f>
      </x:c>
      <x:c r="I85" t="str">
        <x:f>IF(A85="","",'ERP Snapshot'!H85)</x:f>
      </x:c>
      <x:c r="J85" t="str">
        <x:f>IF(A85="","",H85+I85)</x:f>
      </x:c>
      <x:c r="K85" s="8" t="str">
        <x:f>IF(A85="","",IF(G85&gt;0,J85/G85,0))</x:f>
      </x:c>
      <x:c r="L85" t="str">
        <x:f>IF(A85="","",IF(G85&lt;=0,"REVIEW: NO BUDGET",IF(K85&gt;1,"OVER BUDGET",IF(K85=1,"BUDGET EXHAUSTED",IF(K85&gt;=Settings!$B$3,"PREVENTIVE ALERT","OK")))))</x:f>
      </x:c>
      <x:c r="M85" t="str">
        <x:f>IF(A85="","",'ERP Snapshot'!K85)</x:f>
      </x:c>
      <x:c r="N85" t="str">
        <x:f>IF(A85="","",COUNTIFS(Exceptions!$A$2:$A$101,A85,Exceptions!$E$2:$E$101,"Open"))</x:f>
      </x:c>
      <x:c r="O85" t="str">
        <x:f>IF(A85="","",IF(E85&gt;D85,"REVIEW: ABOVE CUSTOMER PO",IF(E85=D85,"FULLY INVOICED",IF(E85&gt;0,"PARTIAL INVOICE","NOT INVOICED"))))</x:f>
      </x:c>
      <x:c r="P85" t="str">
        <x:f>IF(A85="","",IF(OR(L85="OVER BUDGET",L85="BUDGET EXHAUSTED",O85="REVIEW: ABOVE CUSTOMER PO",'ERP Snapshot'!L85="YES"),"CRITICAL / REVIEW",IF(OR(N85&gt;0,M85&gt;0,F85&gt;0),"FOLLOW UP","NORMAL")))</x:f>
      </x:c>
      <x:c r="Q85" t="str">
        <x:f>IF(A85="","",'ERP Snapshot'!N85)</x:f>
      </x:c>
      <x:c r="R85" t="str">
        <x:f>IF(A85="","",'ERP Snapshot'!Q85)</x:f>
      </x:c>
      <x:c r="S85" t="str">
        <x:f>IF(A85="","",'ERP Snapshot'!R85)</x:f>
      </x:c>
      <x:c r="T85" t="str">
        <x:f>IF(A85="","",'ERP Snapshot'!C85)</x:f>
      </x:c>
    </x:row>
    <x:row r="86">
      <x:c r="A86" t="str">
        <x:f>IF('ERP Snapshot'!A86="","",'ERP Snapshot'!A86)</x:f>
      </x:c>
      <x:c r="B86" t="str">
        <x:f>IF(A86="","",'ERP Snapshot'!B86)</x:f>
      </x:c>
      <x:c r="C86" t="str">
        <x:f>IF(A86="","",'ERP Snapshot'!D86)</x:f>
      </x:c>
      <x:c r="D86" t="str">
        <x:f>IF(A86="","",IF(C86="MXN",'ERP Snapshot'!E86/Settings!$B$2,'ERP Snapshot'!E86))</x:f>
      </x:c>
      <x:c r="E86" t="str">
        <x:f>IF(A86="","",IF(C86="MXN",'ERP Snapshot'!I86/Settings!$B$2,'ERP Snapshot'!I86))</x:f>
      </x:c>
      <x:c r="F86" t="str">
        <x:f>IF(A86="","",D86-E86)</x:f>
      </x:c>
      <x:c r="G86" t="str">
        <x:f>IF(A86="","",'ERP Snapshot'!F86)</x:f>
      </x:c>
      <x:c r="H86" t="str">
        <x:f>IF(A86="","",'ERP Snapshot'!G86)</x:f>
      </x:c>
      <x:c r="I86" t="str">
        <x:f>IF(A86="","",'ERP Snapshot'!H86)</x:f>
      </x:c>
      <x:c r="J86" t="str">
        <x:f>IF(A86="","",H86+I86)</x:f>
      </x:c>
      <x:c r="K86" s="8" t="str">
        <x:f>IF(A86="","",IF(G86&gt;0,J86/G86,0))</x:f>
      </x:c>
      <x:c r="L86" t="str">
        <x:f>IF(A86="","",IF(G86&lt;=0,"REVIEW: NO BUDGET",IF(K86&gt;1,"OVER BUDGET",IF(K86=1,"BUDGET EXHAUSTED",IF(K86&gt;=Settings!$B$3,"PREVENTIVE ALERT","OK")))))</x:f>
      </x:c>
      <x:c r="M86" t="str">
        <x:f>IF(A86="","",'ERP Snapshot'!K86)</x:f>
      </x:c>
      <x:c r="N86" t="str">
        <x:f>IF(A86="","",COUNTIFS(Exceptions!$A$2:$A$101,A86,Exceptions!$E$2:$E$101,"Open"))</x:f>
      </x:c>
      <x:c r="O86" t="str">
        <x:f>IF(A86="","",IF(E86&gt;D86,"REVIEW: ABOVE CUSTOMER PO",IF(E86=D86,"FULLY INVOICED",IF(E86&gt;0,"PARTIAL INVOICE","NOT INVOICED"))))</x:f>
      </x:c>
      <x:c r="P86" t="str">
        <x:f>IF(A86="","",IF(OR(L86="OVER BUDGET",L86="BUDGET EXHAUSTED",O86="REVIEW: ABOVE CUSTOMER PO",'ERP Snapshot'!L86="YES"),"CRITICAL / REVIEW",IF(OR(N86&gt;0,M86&gt;0,F86&gt;0),"FOLLOW UP","NORMAL")))</x:f>
      </x:c>
      <x:c r="Q86" t="str">
        <x:f>IF(A86="","",'ERP Snapshot'!N86)</x:f>
      </x:c>
      <x:c r="R86" t="str">
        <x:f>IF(A86="","",'ERP Snapshot'!Q86)</x:f>
      </x:c>
      <x:c r="S86" t="str">
        <x:f>IF(A86="","",'ERP Snapshot'!R86)</x:f>
      </x:c>
      <x:c r="T86" t="str">
        <x:f>IF(A86="","",'ERP Snapshot'!C86)</x:f>
      </x:c>
    </x:row>
    <x:row r="87">
      <x:c r="A87" t="str">
        <x:f>IF('ERP Snapshot'!A87="","",'ERP Snapshot'!A87)</x:f>
      </x:c>
      <x:c r="B87" t="str">
        <x:f>IF(A87="","",'ERP Snapshot'!B87)</x:f>
      </x:c>
      <x:c r="C87" t="str">
        <x:f>IF(A87="","",'ERP Snapshot'!D87)</x:f>
      </x:c>
      <x:c r="D87" t="str">
        <x:f>IF(A87="","",IF(C87="MXN",'ERP Snapshot'!E87/Settings!$B$2,'ERP Snapshot'!E87))</x:f>
      </x:c>
      <x:c r="E87" t="str">
        <x:f>IF(A87="","",IF(C87="MXN",'ERP Snapshot'!I87/Settings!$B$2,'ERP Snapshot'!I87))</x:f>
      </x:c>
      <x:c r="F87" t="str">
        <x:f>IF(A87="","",D87-E87)</x:f>
      </x:c>
      <x:c r="G87" t="str">
        <x:f>IF(A87="","",'ERP Snapshot'!F87)</x:f>
      </x:c>
      <x:c r="H87" t="str">
        <x:f>IF(A87="","",'ERP Snapshot'!G87)</x:f>
      </x:c>
      <x:c r="I87" t="str">
        <x:f>IF(A87="","",'ERP Snapshot'!H87)</x:f>
      </x:c>
      <x:c r="J87" t="str">
        <x:f>IF(A87="","",H87+I87)</x:f>
      </x:c>
      <x:c r="K87" s="8" t="str">
        <x:f>IF(A87="","",IF(G87&gt;0,J87/G87,0))</x:f>
      </x:c>
      <x:c r="L87" t="str">
        <x:f>IF(A87="","",IF(G87&lt;=0,"REVIEW: NO BUDGET",IF(K87&gt;1,"OVER BUDGET",IF(K87=1,"BUDGET EXHAUSTED",IF(K87&gt;=Settings!$B$3,"PREVENTIVE ALERT","OK")))))</x:f>
      </x:c>
      <x:c r="M87" t="str">
        <x:f>IF(A87="","",'ERP Snapshot'!K87)</x:f>
      </x:c>
      <x:c r="N87" t="str">
        <x:f>IF(A87="","",COUNTIFS(Exceptions!$A$2:$A$101,A87,Exceptions!$E$2:$E$101,"Open"))</x:f>
      </x:c>
      <x:c r="O87" t="str">
        <x:f>IF(A87="","",IF(E87&gt;D87,"REVIEW: ABOVE CUSTOMER PO",IF(E87=D87,"FULLY INVOICED",IF(E87&gt;0,"PARTIAL INVOICE","NOT INVOICED"))))</x:f>
      </x:c>
      <x:c r="P87" t="str">
        <x:f>IF(A87="","",IF(OR(L87="OVER BUDGET",L87="BUDGET EXHAUSTED",O87="REVIEW: ABOVE CUSTOMER PO",'ERP Snapshot'!L87="YES"),"CRITICAL / REVIEW",IF(OR(N87&gt;0,M87&gt;0,F87&gt;0),"FOLLOW UP","NORMAL")))</x:f>
      </x:c>
      <x:c r="Q87" t="str">
        <x:f>IF(A87="","",'ERP Snapshot'!N87)</x:f>
      </x:c>
      <x:c r="R87" t="str">
        <x:f>IF(A87="","",'ERP Snapshot'!Q87)</x:f>
      </x:c>
      <x:c r="S87" t="str">
        <x:f>IF(A87="","",'ERP Snapshot'!R87)</x:f>
      </x:c>
      <x:c r="T87" t="str">
        <x:f>IF(A87="","",'ERP Snapshot'!C87)</x:f>
      </x:c>
    </x:row>
    <x:row r="88">
      <x:c r="A88" t="str">
        <x:f>IF('ERP Snapshot'!A88="","",'ERP Snapshot'!A88)</x:f>
      </x:c>
      <x:c r="B88" t="str">
        <x:f>IF(A88="","",'ERP Snapshot'!B88)</x:f>
      </x:c>
      <x:c r="C88" t="str">
        <x:f>IF(A88="","",'ERP Snapshot'!D88)</x:f>
      </x:c>
      <x:c r="D88" t="str">
        <x:f>IF(A88="","",IF(C88="MXN",'ERP Snapshot'!E88/Settings!$B$2,'ERP Snapshot'!E88))</x:f>
      </x:c>
      <x:c r="E88" t="str">
        <x:f>IF(A88="","",IF(C88="MXN",'ERP Snapshot'!I88/Settings!$B$2,'ERP Snapshot'!I88))</x:f>
      </x:c>
      <x:c r="F88" t="str">
        <x:f>IF(A88="","",D88-E88)</x:f>
      </x:c>
      <x:c r="G88" t="str">
        <x:f>IF(A88="","",'ERP Snapshot'!F88)</x:f>
      </x:c>
      <x:c r="H88" t="str">
        <x:f>IF(A88="","",'ERP Snapshot'!G88)</x:f>
      </x:c>
      <x:c r="I88" t="str">
        <x:f>IF(A88="","",'ERP Snapshot'!H88)</x:f>
      </x:c>
      <x:c r="J88" t="str">
        <x:f>IF(A88="","",H88+I88)</x:f>
      </x:c>
      <x:c r="K88" s="8" t="str">
        <x:f>IF(A88="","",IF(G88&gt;0,J88/G88,0))</x:f>
      </x:c>
      <x:c r="L88" t="str">
        <x:f>IF(A88="","",IF(G88&lt;=0,"REVIEW: NO BUDGET",IF(K88&gt;1,"OVER BUDGET",IF(K88=1,"BUDGET EXHAUSTED",IF(K88&gt;=Settings!$B$3,"PREVENTIVE ALERT","OK")))))</x:f>
      </x:c>
      <x:c r="M88" t="str">
        <x:f>IF(A88="","",'ERP Snapshot'!K88)</x:f>
      </x:c>
      <x:c r="N88" t="str">
        <x:f>IF(A88="","",COUNTIFS(Exceptions!$A$2:$A$101,A88,Exceptions!$E$2:$E$101,"Open"))</x:f>
      </x:c>
      <x:c r="O88" t="str">
        <x:f>IF(A88="","",IF(E88&gt;D88,"REVIEW: ABOVE CUSTOMER PO",IF(E88=D88,"FULLY INVOICED",IF(E88&gt;0,"PARTIAL INVOICE","NOT INVOICED"))))</x:f>
      </x:c>
      <x:c r="P88" t="str">
        <x:f>IF(A88="","",IF(OR(L88="OVER BUDGET",L88="BUDGET EXHAUSTED",O88="REVIEW: ABOVE CUSTOMER PO",'ERP Snapshot'!L88="YES"),"CRITICAL / REVIEW",IF(OR(N88&gt;0,M88&gt;0,F88&gt;0),"FOLLOW UP","NORMAL")))</x:f>
      </x:c>
      <x:c r="Q88" t="str">
        <x:f>IF(A88="","",'ERP Snapshot'!N88)</x:f>
      </x:c>
      <x:c r="R88" t="str">
        <x:f>IF(A88="","",'ERP Snapshot'!Q88)</x:f>
      </x:c>
      <x:c r="S88" t="str">
        <x:f>IF(A88="","",'ERP Snapshot'!R88)</x:f>
      </x:c>
      <x:c r="T88" t="str">
        <x:f>IF(A88="","",'ERP Snapshot'!C88)</x:f>
      </x:c>
    </x:row>
    <x:row r="89">
      <x:c r="A89" t="str">
        <x:f>IF('ERP Snapshot'!A89="","",'ERP Snapshot'!A89)</x:f>
      </x:c>
      <x:c r="B89" t="str">
        <x:f>IF(A89="","",'ERP Snapshot'!B89)</x:f>
      </x:c>
      <x:c r="C89" t="str">
        <x:f>IF(A89="","",'ERP Snapshot'!D89)</x:f>
      </x:c>
      <x:c r="D89" t="str">
        <x:f>IF(A89="","",IF(C89="MXN",'ERP Snapshot'!E89/Settings!$B$2,'ERP Snapshot'!E89))</x:f>
      </x:c>
      <x:c r="E89" t="str">
        <x:f>IF(A89="","",IF(C89="MXN",'ERP Snapshot'!I89/Settings!$B$2,'ERP Snapshot'!I89))</x:f>
      </x:c>
      <x:c r="F89" t="str">
        <x:f>IF(A89="","",D89-E89)</x:f>
      </x:c>
      <x:c r="G89" t="str">
        <x:f>IF(A89="","",'ERP Snapshot'!F89)</x:f>
      </x:c>
      <x:c r="H89" t="str">
        <x:f>IF(A89="","",'ERP Snapshot'!G89)</x:f>
      </x:c>
      <x:c r="I89" t="str">
        <x:f>IF(A89="","",'ERP Snapshot'!H89)</x:f>
      </x:c>
      <x:c r="J89" t="str">
        <x:f>IF(A89="","",H89+I89)</x:f>
      </x:c>
      <x:c r="K89" s="8" t="str">
        <x:f>IF(A89="","",IF(G89&gt;0,J89/G89,0))</x:f>
      </x:c>
      <x:c r="L89" t="str">
        <x:f>IF(A89="","",IF(G89&lt;=0,"REVIEW: NO BUDGET",IF(K89&gt;1,"OVER BUDGET",IF(K89=1,"BUDGET EXHAUSTED",IF(K89&gt;=Settings!$B$3,"PREVENTIVE ALERT","OK")))))</x:f>
      </x:c>
      <x:c r="M89" t="str">
        <x:f>IF(A89="","",'ERP Snapshot'!K89)</x:f>
      </x:c>
      <x:c r="N89" t="str">
        <x:f>IF(A89="","",COUNTIFS(Exceptions!$A$2:$A$101,A89,Exceptions!$E$2:$E$101,"Open"))</x:f>
      </x:c>
      <x:c r="O89" t="str">
        <x:f>IF(A89="","",IF(E89&gt;D89,"REVIEW: ABOVE CUSTOMER PO",IF(E89=D89,"FULLY INVOICED",IF(E89&gt;0,"PARTIAL INVOICE","NOT INVOICED"))))</x:f>
      </x:c>
      <x:c r="P89" t="str">
        <x:f>IF(A89="","",IF(OR(L89="OVER BUDGET",L89="BUDGET EXHAUSTED",O89="REVIEW: ABOVE CUSTOMER PO",'ERP Snapshot'!L89="YES"),"CRITICAL / REVIEW",IF(OR(N89&gt;0,M89&gt;0,F89&gt;0),"FOLLOW UP","NORMAL")))</x:f>
      </x:c>
      <x:c r="Q89" t="str">
        <x:f>IF(A89="","",'ERP Snapshot'!N89)</x:f>
      </x:c>
      <x:c r="R89" t="str">
        <x:f>IF(A89="","",'ERP Snapshot'!Q89)</x:f>
      </x:c>
      <x:c r="S89" t="str">
        <x:f>IF(A89="","",'ERP Snapshot'!R89)</x:f>
      </x:c>
      <x:c r="T89" t="str">
        <x:f>IF(A89="","",'ERP Snapshot'!C89)</x:f>
      </x:c>
    </x:row>
    <x:row r="90">
      <x:c r="A90" t="str">
        <x:f>IF('ERP Snapshot'!A90="","",'ERP Snapshot'!A90)</x:f>
      </x:c>
      <x:c r="B90" t="str">
        <x:f>IF(A90="","",'ERP Snapshot'!B90)</x:f>
      </x:c>
      <x:c r="C90" t="str">
        <x:f>IF(A90="","",'ERP Snapshot'!D90)</x:f>
      </x:c>
      <x:c r="D90" t="str">
        <x:f>IF(A90="","",IF(C90="MXN",'ERP Snapshot'!E90/Settings!$B$2,'ERP Snapshot'!E90))</x:f>
      </x:c>
      <x:c r="E90" t="str">
        <x:f>IF(A90="","",IF(C90="MXN",'ERP Snapshot'!I90/Settings!$B$2,'ERP Snapshot'!I90))</x:f>
      </x:c>
      <x:c r="F90" t="str">
        <x:f>IF(A90="","",D90-E90)</x:f>
      </x:c>
      <x:c r="G90" t="str">
        <x:f>IF(A90="","",'ERP Snapshot'!F90)</x:f>
      </x:c>
      <x:c r="H90" t="str">
        <x:f>IF(A90="","",'ERP Snapshot'!G90)</x:f>
      </x:c>
      <x:c r="I90" t="str">
        <x:f>IF(A90="","",'ERP Snapshot'!H90)</x:f>
      </x:c>
      <x:c r="J90" t="str">
        <x:f>IF(A90="","",H90+I90)</x:f>
      </x:c>
      <x:c r="K90" s="8" t="str">
        <x:f>IF(A90="","",IF(G90&gt;0,J90/G90,0))</x:f>
      </x:c>
      <x:c r="L90" t="str">
        <x:f>IF(A90="","",IF(G90&lt;=0,"REVIEW: NO BUDGET",IF(K90&gt;1,"OVER BUDGET",IF(K90=1,"BUDGET EXHAUSTED",IF(K90&gt;=Settings!$B$3,"PREVENTIVE ALERT","OK")))))</x:f>
      </x:c>
      <x:c r="M90" t="str">
        <x:f>IF(A90="","",'ERP Snapshot'!K90)</x:f>
      </x:c>
      <x:c r="N90" t="str">
        <x:f>IF(A90="","",COUNTIFS(Exceptions!$A$2:$A$101,A90,Exceptions!$E$2:$E$101,"Open"))</x:f>
      </x:c>
      <x:c r="O90" t="str">
        <x:f>IF(A90="","",IF(E90&gt;D90,"REVIEW: ABOVE CUSTOMER PO",IF(E90=D90,"FULLY INVOICED",IF(E90&gt;0,"PARTIAL INVOICE","NOT INVOICED"))))</x:f>
      </x:c>
      <x:c r="P90" t="str">
        <x:f>IF(A90="","",IF(OR(L90="OVER BUDGET",L90="BUDGET EXHAUSTED",O90="REVIEW: ABOVE CUSTOMER PO",'ERP Snapshot'!L90="YES"),"CRITICAL / REVIEW",IF(OR(N90&gt;0,M90&gt;0,F90&gt;0),"FOLLOW UP","NORMAL")))</x:f>
      </x:c>
      <x:c r="Q90" t="str">
        <x:f>IF(A90="","",'ERP Snapshot'!N90)</x:f>
      </x:c>
      <x:c r="R90" t="str">
        <x:f>IF(A90="","",'ERP Snapshot'!Q90)</x:f>
      </x:c>
      <x:c r="S90" t="str">
        <x:f>IF(A90="","",'ERP Snapshot'!R90)</x:f>
      </x:c>
      <x:c r="T90" t="str">
        <x:f>IF(A90="","",'ERP Snapshot'!C90)</x:f>
      </x:c>
    </x:row>
    <x:row r="91">
      <x:c r="A91" t="str">
        <x:f>IF('ERP Snapshot'!A91="","",'ERP Snapshot'!A91)</x:f>
      </x:c>
      <x:c r="B91" t="str">
        <x:f>IF(A91="","",'ERP Snapshot'!B91)</x:f>
      </x:c>
      <x:c r="C91" t="str">
        <x:f>IF(A91="","",'ERP Snapshot'!D91)</x:f>
      </x:c>
      <x:c r="D91" t="str">
        <x:f>IF(A91="","",IF(C91="MXN",'ERP Snapshot'!E91/Settings!$B$2,'ERP Snapshot'!E91))</x:f>
      </x:c>
      <x:c r="E91" t="str">
        <x:f>IF(A91="","",IF(C91="MXN",'ERP Snapshot'!I91/Settings!$B$2,'ERP Snapshot'!I91))</x:f>
      </x:c>
      <x:c r="F91" t="str">
        <x:f>IF(A91="","",D91-E91)</x:f>
      </x:c>
      <x:c r="G91" t="str">
        <x:f>IF(A91="","",'ERP Snapshot'!F91)</x:f>
      </x:c>
      <x:c r="H91" t="str">
        <x:f>IF(A91="","",'ERP Snapshot'!G91)</x:f>
      </x:c>
      <x:c r="I91" t="str">
        <x:f>IF(A91="","",'ERP Snapshot'!H91)</x:f>
      </x:c>
      <x:c r="J91" t="str">
        <x:f>IF(A91="","",H91+I91)</x:f>
      </x:c>
      <x:c r="K91" s="8" t="str">
        <x:f>IF(A91="","",IF(G91&gt;0,J91/G91,0))</x:f>
      </x:c>
      <x:c r="L91" t="str">
        <x:f>IF(A91="","",IF(G91&lt;=0,"REVIEW: NO BUDGET",IF(K91&gt;1,"OVER BUDGET",IF(K91=1,"BUDGET EXHAUSTED",IF(K91&gt;=Settings!$B$3,"PREVENTIVE ALERT","OK")))))</x:f>
      </x:c>
      <x:c r="M91" t="str">
        <x:f>IF(A91="","",'ERP Snapshot'!K91)</x:f>
      </x:c>
      <x:c r="N91" t="str">
        <x:f>IF(A91="","",COUNTIFS(Exceptions!$A$2:$A$101,A91,Exceptions!$E$2:$E$101,"Open"))</x:f>
      </x:c>
      <x:c r="O91" t="str">
        <x:f>IF(A91="","",IF(E91&gt;D91,"REVIEW: ABOVE CUSTOMER PO",IF(E91=D91,"FULLY INVOICED",IF(E91&gt;0,"PARTIAL INVOICE","NOT INVOICED"))))</x:f>
      </x:c>
      <x:c r="P91" t="str">
        <x:f>IF(A91="","",IF(OR(L91="OVER BUDGET",L91="BUDGET EXHAUSTED",O91="REVIEW: ABOVE CUSTOMER PO",'ERP Snapshot'!L91="YES"),"CRITICAL / REVIEW",IF(OR(N91&gt;0,M91&gt;0,F91&gt;0),"FOLLOW UP","NORMAL")))</x:f>
      </x:c>
      <x:c r="Q91" t="str">
        <x:f>IF(A91="","",'ERP Snapshot'!N91)</x:f>
      </x:c>
      <x:c r="R91" t="str">
        <x:f>IF(A91="","",'ERP Snapshot'!Q91)</x:f>
      </x:c>
      <x:c r="S91" t="str">
        <x:f>IF(A91="","",'ERP Snapshot'!R91)</x:f>
      </x:c>
      <x:c r="T91" t="str">
        <x:f>IF(A91="","",'ERP Snapshot'!C91)</x:f>
      </x:c>
    </x:row>
    <x:row r="92">
      <x:c r="A92" t="str">
        <x:f>IF('ERP Snapshot'!A92="","",'ERP Snapshot'!A92)</x:f>
      </x:c>
      <x:c r="B92" t="str">
        <x:f>IF(A92="","",'ERP Snapshot'!B92)</x:f>
      </x:c>
      <x:c r="C92" t="str">
        <x:f>IF(A92="","",'ERP Snapshot'!D92)</x:f>
      </x:c>
      <x:c r="D92" t="str">
        <x:f>IF(A92="","",IF(C92="MXN",'ERP Snapshot'!E92/Settings!$B$2,'ERP Snapshot'!E92))</x:f>
      </x:c>
      <x:c r="E92" t="str">
        <x:f>IF(A92="","",IF(C92="MXN",'ERP Snapshot'!I92/Settings!$B$2,'ERP Snapshot'!I92))</x:f>
      </x:c>
      <x:c r="F92" t="str">
        <x:f>IF(A92="","",D92-E92)</x:f>
      </x:c>
      <x:c r="G92" t="str">
        <x:f>IF(A92="","",'ERP Snapshot'!F92)</x:f>
      </x:c>
      <x:c r="H92" t="str">
        <x:f>IF(A92="","",'ERP Snapshot'!G92)</x:f>
      </x:c>
      <x:c r="I92" t="str">
        <x:f>IF(A92="","",'ERP Snapshot'!H92)</x:f>
      </x:c>
      <x:c r="J92" t="str">
        <x:f>IF(A92="","",H92+I92)</x:f>
      </x:c>
      <x:c r="K92" s="8" t="str">
        <x:f>IF(A92="","",IF(G92&gt;0,J92/G92,0))</x:f>
      </x:c>
      <x:c r="L92" t="str">
        <x:f>IF(A92="","",IF(G92&lt;=0,"REVIEW: NO BUDGET",IF(K92&gt;1,"OVER BUDGET",IF(K92=1,"BUDGET EXHAUSTED",IF(K92&gt;=Settings!$B$3,"PREVENTIVE ALERT","OK")))))</x:f>
      </x:c>
      <x:c r="M92" t="str">
        <x:f>IF(A92="","",'ERP Snapshot'!K92)</x:f>
      </x:c>
      <x:c r="N92" t="str">
        <x:f>IF(A92="","",COUNTIFS(Exceptions!$A$2:$A$101,A92,Exceptions!$E$2:$E$101,"Open"))</x:f>
      </x:c>
      <x:c r="O92" t="str">
        <x:f>IF(A92="","",IF(E92&gt;D92,"REVIEW: ABOVE CUSTOMER PO",IF(E92=D92,"FULLY INVOICED",IF(E92&gt;0,"PARTIAL INVOICE","NOT INVOICED"))))</x:f>
      </x:c>
      <x:c r="P92" t="str">
        <x:f>IF(A92="","",IF(OR(L92="OVER BUDGET",L92="BUDGET EXHAUSTED",O92="REVIEW: ABOVE CUSTOMER PO",'ERP Snapshot'!L92="YES"),"CRITICAL / REVIEW",IF(OR(N92&gt;0,M92&gt;0,F92&gt;0),"FOLLOW UP","NORMAL")))</x:f>
      </x:c>
      <x:c r="Q92" t="str">
        <x:f>IF(A92="","",'ERP Snapshot'!N92)</x:f>
      </x:c>
      <x:c r="R92" t="str">
        <x:f>IF(A92="","",'ERP Snapshot'!Q92)</x:f>
      </x:c>
      <x:c r="S92" t="str">
        <x:f>IF(A92="","",'ERP Snapshot'!R92)</x:f>
      </x:c>
      <x:c r="T92" t="str">
        <x:f>IF(A92="","",'ERP Snapshot'!C92)</x:f>
      </x:c>
    </x:row>
    <x:row r="93">
      <x:c r="A93" t="str">
        <x:f>IF('ERP Snapshot'!A93="","",'ERP Snapshot'!A93)</x:f>
      </x:c>
      <x:c r="B93" t="str">
        <x:f>IF(A93="","",'ERP Snapshot'!B93)</x:f>
      </x:c>
      <x:c r="C93" t="str">
        <x:f>IF(A93="","",'ERP Snapshot'!D93)</x:f>
      </x:c>
      <x:c r="D93" t="str">
        <x:f>IF(A93="","",IF(C93="MXN",'ERP Snapshot'!E93/Settings!$B$2,'ERP Snapshot'!E93))</x:f>
      </x:c>
      <x:c r="E93" t="str">
        <x:f>IF(A93="","",IF(C93="MXN",'ERP Snapshot'!I93/Settings!$B$2,'ERP Snapshot'!I93))</x:f>
      </x:c>
      <x:c r="F93" t="str">
        <x:f>IF(A93="","",D93-E93)</x:f>
      </x:c>
      <x:c r="G93" t="str">
        <x:f>IF(A93="","",'ERP Snapshot'!F93)</x:f>
      </x:c>
      <x:c r="H93" t="str">
        <x:f>IF(A93="","",'ERP Snapshot'!G93)</x:f>
      </x:c>
      <x:c r="I93" t="str">
        <x:f>IF(A93="","",'ERP Snapshot'!H93)</x:f>
      </x:c>
      <x:c r="J93" t="str">
        <x:f>IF(A93="","",H93+I93)</x:f>
      </x:c>
      <x:c r="K93" s="8" t="str">
        <x:f>IF(A93="","",IF(G93&gt;0,J93/G93,0))</x:f>
      </x:c>
      <x:c r="L93" t="str">
        <x:f>IF(A93="","",IF(G93&lt;=0,"REVIEW: NO BUDGET",IF(K93&gt;1,"OVER BUDGET",IF(K93=1,"BUDGET EXHAUSTED",IF(K93&gt;=Settings!$B$3,"PREVENTIVE ALERT","OK")))))</x:f>
      </x:c>
      <x:c r="M93" t="str">
        <x:f>IF(A93="","",'ERP Snapshot'!K93)</x:f>
      </x:c>
      <x:c r="N93" t="str">
        <x:f>IF(A93="","",COUNTIFS(Exceptions!$A$2:$A$101,A93,Exceptions!$E$2:$E$101,"Open"))</x:f>
      </x:c>
      <x:c r="O93" t="str">
        <x:f>IF(A93="","",IF(E93&gt;D93,"REVIEW: ABOVE CUSTOMER PO",IF(E93=D93,"FULLY INVOICED",IF(E93&gt;0,"PARTIAL INVOICE","NOT INVOICED"))))</x:f>
      </x:c>
      <x:c r="P93" t="str">
        <x:f>IF(A93="","",IF(OR(L93="OVER BUDGET",L93="BUDGET EXHAUSTED",O93="REVIEW: ABOVE CUSTOMER PO",'ERP Snapshot'!L93="YES"),"CRITICAL / REVIEW",IF(OR(N93&gt;0,M93&gt;0,F93&gt;0),"FOLLOW UP","NORMAL")))</x:f>
      </x:c>
      <x:c r="Q93" t="str">
        <x:f>IF(A93="","",'ERP Snapshot'!N93)</x:f>
      </x:c>
      <x:c r="R93" t="str">
        <x:f>IF(A93="","",'ERP Snapshot'!Q93)</x:f>
      </x:c>
      <x:c r="S93" t="str">
        <x:f>IF(A93="","",'ERP Snapshot'!R93)</x:f>
      </x:c>
      <x:c r="T93" t="str">
        <x:f>IF(A93="","",'ERP Snapshot'!C93)</x:f>
      </x:c>
    </x:row>
    <x:row r="94">
      <x:c r="A94" t="str">
        <x:f>IF('ERP Snapshot'!A94="","",'ERP Snapshot'!A94)</x:f>
      </x:c>
      <x:c r="B94" t="str">
        <x:f>IF(A94="","",'ERP Snapshot'!B94)</x:f>
      </x:c>
      <x:c r="C94" t="str">
        <x:f>IF(A94="","",'ERP Snapshot'!D94)</x:f>
      </x:c>
      <x:c r="D94" t="str">
        <x:f>IF(A94="","",IF(C94="MXN",'ERP Snapshot'!E94/Settings!$B$2,'ERP Snapshot'!E94))</x:f>
      </x:c>
      <x:c r="E94" t="str">
        <x:f>IF(A94="","",IF(C94="MXN",'ERP Snapshot'!I94/Settings!$B$2,'ERP Snapshot'!I94))</x:f>
      </x:c>
      <x:c r="F94" t="str">
        <x:f>IF(A94="","",D94-E94)</x:f>
      </x:c>
      <x:c r="G94" t="str">
        <x:f>IF(A94="","",'ERP Snapshot'!F94)</x:f>
      </x:c>
      <x:c r="H94" t="str">
        <x:f>IF(A94="","",'ERP Snapshot'!G94)</x:f>
      </x:c>
      <x:c r="I94" t="str">
        <x:f>IF(A94="","",'ERP Snapshot'!H94)</x:f>
      </x:c>
      <x:c r="J94" t="str">
        <x:f>IF(A94="","",H94+I94)</x:f>
      </x:c>
      <x:c r="K94" s="8" t="str">
        <x:f>IF(A94="","",IF(G94&gt;0,J94/G94,0))</x:f>
      </x:c>
      <x:c r="L94" t="str">
        <x:f>IF(A94="","",IF(G94&lt;=0,"REVIEW: NO BUDGET",IF(K94&gt;1,"OVER BUDGET",IF(K94=1,"BUDGET EXHAUSTED",IF(K94&gt;=Settings!$B$3,"PREVENTIVE ALERT","OK")))))</x:f>
      </x:c>
      <x:c r="M94" t="str">
        <x:f>IF(A94="","",'ERP Snapshot'!K94)</x:f>
      </x:c>
      <x:c r="N94" t="str">
        <x:f>IF(A94="","",COUNTIFS(Exceptions!$A$2:$A$101,A94,Exceptions!$E$2:$E$101,"Open"))</x:f>
      </x:c>
      <x:c r="O94" t="str">
        <x:f>IF(A94="","",IF(E94&gt;D94,"REVIEW: ABOVE CUSTOMER PO",IF(E94=D94,"FULLY INVOICED",IF(E94&gt;0,"PARTIAL INVOICE","NOT INVOICED"))))</x:f>
      </x:c>
      <x:c r="P94" t="str">
        <x:f>IF(A94="","",IF(OR(L94="OVER BUDGET",L94="BUDGET EXHAUSTED",O94="REVIEW: ABOVE CUSTOMER PO",'ERP Snapshot'!L94="YES"),"CRITICAL / REVIEW",IF(OR(N94&gt;0,M94&gt;0,F94&gt;0),"FOLLOW UP","NORMAL")))</x:f>
      </x:c>
      <x:c r="Q94" t="str">
        <x:f>IF(A94="","",'ERP Snapshot'!N94)</x:f>
      </x:c>
      <x:c r="R94" t="str">
        <x:f>IF(A94="","",'ERP Snapshot'!Q94)</x:f>
      </x:c>
      <x:c r="S94" t="str">
        <x:f>IF(A94="","",'ERP Snapshot'!R94)</x:f>
      </x:c>
      <x:c r="T94" t="str">
        <x:f>IF(A94="","",'ERP Snapshot'!C94)</x:f>
      </x:c>
    </x:row>
    <x:row r="95">
      <x:c r="A95" t="str">
        <x:f>IF('ERP Snapshot'!A95="","",'ERP Snapshot'!A95)</x:f>
      </x:c>
      <x:c r="B95" t="str">
        <x:f>IF(A95="","",'ERP Snapshot'!B95)</x:f>
      </x:c>
      <x:c r="C95" t="str">
        <x:f>IF(A95="","",'ERP Snapshot'!D95)</x:f>
      </x:c>
      <x:c r="D95" t="str">
        <x:f>IF(A95="","",IF(C95="MXN",'ERP Snapshot'!E95/Settings!$B$2,'ERP Snapshot'!E95))</x:f>
      </x:c>
      <x:c r="E95" t="str">
        <x:f>IF(A95="","",IF(C95="MXN",'ERP Snapshot'!I95/Settings!$B$2,'ERP Snapshot'!I95))</x:f>
      </x:c>
      <x:c r="F95" t="str">
        <x:f>IF(A95="","",D95-E95)</x:f>
      </x:c>
      <x:c r="G95" t="str">
        <x:f>IF(A95="","",'ERP Snapshot'!F95)</x:f>
      </x:c>
      <x:c r="H95" t="str">
        <x:f>IF(A95="","",'ERP Snapshot'!G95)</x:f>
      </x:c>
      <x:c r="I95" t="str">
        <x:f>IF(A95="","",'ERP Snapshot'!H95)</x:f>
      </x:c>
      <x:c r="J95" t="str">
        <x:f>IF(A95="","",H95+I95)</x:f>
      </x:c>
      <x:c r="K95" s="8" t="str">
        <x:f>IF(A95="","",IF(G95&gt;0,J95/G95,0))</x:f>
      </x:c>
      <x:c r="L95" t="str">
        <x:f>IF(A95="","",IF(G95&lt;=0,"REVIEW: NO BUDGET",IF(K95&gt;1,"OVER BUDGET",IF(K95=1,"BUDGET EXHAUSTED",IF(K95&gt;=Settings!$B$3,"PREVENTIVE ALERT","OK")))))</x:f>
      </x:c>
      <x:c r="M95" t="str">
        <x:f>IF(A95="","",'ERP Snapshot'!K95)</x:f>
      </x:c>
      <x:c r="N95" t="str">
        <x:f>IF(A95="","",COUNTIFS(Exceptions!$A$2:$A$101,A95,Exceptions!$E$2:$E$101,"Open"))</x:f>
      </x:c>
      <x:c r="O95" t="str">
        <x:f>IF(A95="","",IF(E95&gt;D95,"REVIEW: ABOVE CUSTOMER PO",IF(E95=D95,"FULLY INVOICED",IF(E95&gt;0,"PARTIAL INVOICE","NOT INVOICED"))))</x:f>
      </x:c>
      <x:c r="P95" t="str">
        <x:f>IF(A95="","",IF(OR(L95="OVER BUDGET",L95="BUDGET EXHAUSTED",O95="REVIEW: ABOVE CUSTOMER PO",'ERP Snapshot'!L95="YES"),"CRITICAL / REVIEW",IF(OR(N95&gt;0,M95&gt;0,F95&gt;0),"FOLLOW UP","NORMAL")))</x:f>
      </x:c>
      <x:c r="Q95" t="str">
        <x:f>IF(A95="","",'ERP Snapshot'!N95)</x:f>
      </x:c>
      <x:c r="R95" t="str">
        <x:f>IF(A95="","",'ERP Snapshot'!Q95)</x:f>
      </x:c>
      <x:c r="S95" t="str">
        <x:f>IF(A95="","",'ERP Snapshot'!R95)</x:f>
      </x:c>
      <x:c r="T95" t="str">
        <x:f>IF(A95="","",'ERP Snapshot'!C95)</x:f>
      </x:c>
    </x:row>
    <x:row r="96">
      <x:c r="A96" t="str">
        <x:f>IF('ERP Snapshot'!A96="","",'ERP Snapshot'!A96)</x:f>
      </x:c>
      <x:c r="B96" t="str">
        <x:f>IF(A96="","",'ERP Snapshot'!B96)</x:f>
      </x:c>
      <x:c r="C96" t="str">
        <x:f>IF(A96="","",'ERP Snapshot'!D96)</x:f>
      </x:c>
      <x:c r="D96" t="str">
        <x:f>IF(A96="","",IF(C96="MXN",'ERP Snapshot'!E96/Settings!$B$2,'ERP Snapshot'!E96))</x:f>
      </x:c>
      <x:c r="E96" t="str">
        <x:f>IF(A96="","",IF(C96="MXN",'ERP Snapshot'!I96/Settings!$B$2,'ERP Snapshot'!I96))</x:f>
      </x:c>
      <x:c r="F96" t="str">
        <x:f>IF(A96="","",D96-E96)</x:f>
      </x:c>
      <x:c r="G96" t="str">
        <x:f>IF(A96="","",'ERP Snapshot'!F96)</x:f>
      </x:c>
      <x:c r="H96" t="str">
        <x:f>IF(A96="","",'ERP Snapshot'!G96)</x:f>
      </x:c>
      <x:c r="I96" t="str">
        <x:f>IF(A96="","",'ERP Snapshot'!H96)</x:f>
      </x:c>
      <x:c r="J96" t="str">
        <x:f>IF(A96="","",H96+I96)</x:f>
      </x:c>
      <x:c r="K96" s="8" t="str">
        <x:f>IF(A96="","",IF(G96&gt;0,J96/G96,0))</x:f>
      </x:c>
      <x:c r="L96" t="str">
        <x:f>IF(A96="","",IF(G96&lt;=0,"REVIEW: NO BUDGET",IF(K96&gt;1,"OVER BUDGET",IF(K96=1,"BUDGET EXHAUSTED",IF(K96&gt;=Settings!$B$3,"PREVENTIVE ALERT","OK")))))</x:f>
      </x:c>
      <x:c r="M96" t="str">
        <x:f>IF(A96="","",'ERP Snapshot'!K96)</x:f>
      </x:c>
      <x:c r="N96" t="str">
        <x:f>IF(A96="","",COUNTIFS(Exceptions!$A$2:$A$101,A96,Exceptions!$E$2:$E$101,"Open"))</x:f>
      </x:c>
      <x:c r="O96" t="str">
        <x:f>IF(A96="","",IF(E96&gt;D96,"REVIEW: ABOVE CUSTOMER PO",IF(E96=D96,"FULLY INVOICED",IF(E96&gt;0,"PARTIAL INVOICE","NOT INVOICED"))))</x:f>
      </x:c>
      <x:c r="P96" t="str">
        <x:f>IF(A96="","",IF(OR(L96="OVER BUDGET",L96="BUDGET EXHAUSTED",O96="REVIEW: ABOVE CUSTOMER PO",'ERP Snapshot'!L96="YES"),"CRITICAL / REVIEW",IF(OR(N96&gt;0,M96&gt;0,F96&gt;0),"FOLLOW UP","NORMAL")))</x:f>
      </x:c>
      <x:c r="Q96" t="str">
        <x:f>IF(A96="","",'ERP Snapshot'!N96)</x:f>
      </x:c>
      <x:c r="R96" t="str">
        <x:f>IF(A96="","",'ERP Snapshot'!Q96)</x:f>
      </x:c>
      <x:c r="S96" t="str">
        <x:f>IF(A96="","",'ERP Snapshot'!R96)</x:f>
      </x:c>
      <x:c r="T96" t="str">
        <x:f>IF(A96="","",'ERP Snapshot'!C96)</x:f>
      </x:c>
    </x:row>
    <x:row r="97">
      <x:c r="A97" t="str">
        <x:f>IF('ERP Snapshot'!A97="","",'ERP Snapshot'!A97)</x:f>
      </x:c>
      <x:c r="B97" t="str">
        <x:f>IF(A97="","",'ERP Snapshot'!B97)</x:f>
      </x:c>
      <x:c r="C97" t="str">
        <x:f>IF(A97="","",'ERP Snapshot'!D97)</x:f>
      </x:c>
      <x:c r="D97" t="str">
        <x:f>IF(A97="","",IF(C97="MXN",'ERP Snapshot'!E97/Settings!$B$2,'ERP Snapshot'!E97))</x:f>
      </x:c>
      <x:c r="E97" t="str">
        <x:f>IF(A97="","",IF(C97="MXN",'ERP Snapshot'!I97/Settings!$B$2,'ERP Snapshot'!I97))</x:f>
      </x:c>
      <x:c r="F97" t="str">
        <x:f>IF(A97="","",D97-E97)</x:f>
      </x:c>
      <x:c r="G97" t="str">
        <x:f>IF(A97="","",'ERP Snapshot'!F97)</x:f>
      </x:c>
      <x:c r="H97" t="str">
        <x:f>IF(A97="","",'ERP Snapshot'!G97)</x:f>
      </x:c>
      <x:c r="I97" t="str">
        <x:f>IF(A97="","",'ERP Snapshot'!H97)</x:f>
      </x:c>
      <x:c r="J97" t="str">
        <x:f>IF(A97="","",H97+I97)</x:f>
      </x:c>
      <x:c r="K97" s="8" t="str">
        <x:f>IF(A97="","",IF(G97&gt;0,J97/G97,0))</x:f>
      </x:c>
      <x:c r="L97" t="str">
        <x:f>IF(A97="","",IF(G97&lt;=0,"REVIEW: NO BUDGET",IF(K97&gt;1,"OVER BUDGET",IF(K97=1,"BUDGET EXHAUSTED",IF(K97&gt;=Settings!$B$3,"PREVENTIVE ALERT","OK")))))</x:f>
      </x:c>
      <x:c r="M97" t="str">
        <x:f>IF(A97="","",'ERP Snapshot'!K97)</x:f>
      </x:c>
      <x:c r="N97" t="str">
        <x:f>IF(A97="","",COUNTIFS(Exceptions!$A$2:$A$101,A97,Exceptions!$E$2:$E$101,"Open"))</x:f>
      </x:c>
      <x:c r="O97" t="str">
        <x:f>IF(A97="","",IF(E97&gt;D97,"REVIEW: ABOVE CUSTOMER PO",IF(E97=D97,"FULLY INVOICED",IF(E97&gt;0,"PARTIAL INVOICE","NOT INVOICED"))))</x:f>
      </x:c>
      <x:c r="P97" t="str">
        <x:f>IF(A97="","",IF(OR(L97="OVER BUDGET",L97="BUDGET EXHAUSTED",O97="REVIEW: ABOVE CUSTOMER PO",'ERP Snapshot'!L97="YES"),"CRITICAL / REVIEW",IF(OR(N97&gt;0,M97&gt;0,F97&gt;0),"FOLLOW UP","NORMAL")))</x:f>
      </x:c>
      <x:c r="Q97" t="str">
        <x:f>IF(A97="","",'ERP Snapshot'!N97)</x:f>
      </x:c>
      <x:c r="R97" t="str">
        <x:f>IF(A97="","",'ERP Snapshot'!Q97)</x:f>
      </x:c>
      <x:c r="S97" t="str">
        <x:f>IF(A97="","",'ERP Snapshot'!R97)</x:f>
      </x:c>
      <x:c r="T97" t="str">
        <x:f>IF(A97="","",'ERP Snapshot'!C97)</x:f>
      </x:c>
    </x:row>
    <x:row r="98">
      <x:c r="A98" t="str">
        <x:f>IF('ERP Snapshot'!A98="","",'ERP Snapshot'!A98)</x:f>
      </x:c>
      <x:c r="B98" t="str">
        <x:f>IF(A98="","",'ERP Snapshot'!B98)</x:f>
      </x:c>
      <x:c r="C98" t="str">
        <x:f>IF(A98="","",'ERP Snapshot'!D98)</x:f>
      </x:c>
      <x:c r="D98" t="str">
        <x:f>IF(A98="","",IF(C98="MXN",'ERP Snapshot'!E98/Settings!$B$2,'ERP Snapshot'!E98))</x:f>
      </x:c>
      <x:c r="E98" t="str">
        <x:f>IF(A98="","",IF(C98="MXN",'ERP Snapshot'!I98/Settings!$B$2,'ERP Snapshot'!I98))</x:f>
      </x:c>
      <x:c r="F98" t="str">
        <x:f>IF(A98="","",D98-E98)</x:f>
      </x:c>
      <x:c r="G98" t="str">
        <x:f>IF(A98="","",'ERP Snapshot'!F98)</x:f>
      </x:c>
      <x:c r="H98" t="str">
        <x:f>IF(A98="","",'ERP Snapshot'!G98)</x:f>
      </x:c>
      <x:c r="I98" t="str">
        <x:f>IF(A98="","",'ERP Snapshot'!H98)</x:f>
      </x:c>
      <x:c r="J98" t="str">
        <x:f>IF(A98="","",H98+I98)</x:f>
      </x:c>
      <x:c r="K98" s="8" t="str">
        <x:f>IF(A98="","",IF(G98&gt;0,J98/G98,0))</x:f>
      </x:c>
      <x:c r="L98" t="str">
        <x:f>IF(A98="","",IF(G98&lt;=0,"REVIEW: NO BUDGET",IF(K98&gt;1,"OVER BUDGET",IF(K98=1,"BUDGET EXHAUSTED",IF(K98&gt;=Settings!$B$3,"PREVENTIVE ALERT","OK")))))</x:f>
      </x:c>
      <x:c r="M98" t="str">
        <x:f>IF(A98="","",'ERP Snapshot'!K98)</x:f>
      </x:c>
      <x:c r="N98" t="str">
        <x:f>IF(A98="","",COUNTIFS(Exceptions!$A$2:$A$101,A98,Exceptions!$E$2:$E$101,"Open"))</x:f>
      </x:c>
      <x:c r="O98" t="str">
        <x:f>IF(A98="","",IF(E98&gt;D98,"REVIEW: ABOVE CUSTOMER PO",IF(E98=D98,"FULLY INVOICED",IF(E98&gt;0,"PARTIAL INVOICE","NOT INVOICED"))))</x:f>
      </x:c>
      <x:c r="P98" t="str">
        <x:f>IF(A98="","",IF(OR(L98="OVER BUDGET",L98="BUDGET EXHAUSTED",O98="REVIEW: ABOVE CUSTOMER PO",'ERP Snapshot'!L98="YES"),"CRITICAL / REVIEW",IF(OR(N98&gt;0,M98&gt;0,F98&gt;0),"FOLLOW UP","NORMAL")))</x:f>
      </x:c>
      <x:c r="Q98" t="str">
        <x:f>IF(A98="","",'ERP Snapshot'!N98)</x:f>
      </x:c>
      <x:c r="R98" t="str">
        <x:f>IF(A98="","",'ERP Snapshot'!Q98)</x:f>
      </x:c>
      <x:c r="S98" t="str">
        <x:f>IF(A98="","",'ERP Snapshot'!R98)</x:f>
      </x:c>
      <x:c r="T98" t="str">
        <x:f>IF(A98="","",'ERP Snapshot'!C98)</x:f>
      </x:c>
    </x:row>
    <x:row r="99">
      <x:c r="A99" t="str">
        <x:f>IF('ERP Snapshot'!A99="","",'ERP Snapshot'!A99)</x:f>
      </x:c>
      <x:c r="B99" t="str">
        <x:f>IF(A99="","",'ERP Snapshot'!B99)</x:f>
      </x:c>
      <x:c r="C99" t="str">
        <x:f>IF(A99="","",'ERP Snapshot'!D99)</x:f>
      </x:c>
      <x:c r="D99" t="str">
        <x:f>IF(A99="","",IF(C99="MXN",'ERP Snapshot'!E99/Settings!$B$2,'ERP Snapshot'!E99))</x:f>
      </x:c>
      <x:c r="E99" t="str">
        <x:f>IF(A99="","",IF(C99="MXN",'ERP Snapshot'!I99/Settings!$B$2,'ERP Snapshot'!I99))</x:f>
      </x:c>
      <x:c r="F99" t="str">
        <x:f>IF(A99="","",D99-E99)</x:f>
      </x:c>
      <x:c r="G99" t="str">
        <x:f>IF(A99="","",'ERP Snapshot'!F99)</x:f>
      </x:c>
      <x:c r="H99" t="str">
        <x:f>IF(A99="","",'ERP Snapshot'!G99)</x:f>
      </x:c>
      <x:c r="I99" t="str">
        <x:f>IF(A99="","",'ERP Snapshot'!H99)</x:f>
      </x:c>
      <x:c r="J99" t="str">
        <x:f>IF(A99="","",H99+I99)</x:f>
      </x:c>
      <x:c r="K99" s="8" t="str">
        <x:f>IF(A99="","",IF(G99&gt;0,J99/G99,0))</x:f>
      </x:c>
      <x:c r="L99" t="str">
        <x:f>IF(A99="","",IF(G99&lt;=0,"REVIEW: NO BUDGET",IF(K99&gt;1,"OVER BUDGET",IF(K99=1,"BUDGET EXHAUSTED",IF(K99&gt;=Settings!$B$3,"PREVENTIVE ALERT","OK")))))</x:f>
      </x:c>
      <x:c r="M99" t="str">
        <x:f>IF(A99="","",'ERP Snapshot'!K99)</x:f>
      </x:c>
      <x:c r="N99" t="str">
        <x:f>IF(A99="","",COUNTIFS(Exceptions!$A$2:$A$101,A99,Exceptions!$E$2:$E$101,"Open"))</x:f>
      </x:c>
      <x:c r="O99" t="str">
        <x:f>IF(A99="","",IF(E99&gt;D99,"REVIEW: ABOVE CUSTOMER PO",IF(E99=D99,"FULLY INVOICED",IF(E99&gt;0,"PARTIAL INVOICE","NOT INVOICED"))))</x:f>
      </x:c>
      <x:c r="P99" t="str">
        <x:f>IF(A99="","",IF(OR(L99="OVER BUDGET",L99="BUDGET EXHAUSTED",O99="REVIEW: ABOVE CUSTOMER PO",'ERP Snapshot'!L99="YES"),"CRITICAL / REVIEW",IF(OR(N99&gt;0,M99&gt;0,F99&gt;0),"FOLLOW UP","NORMAL")))</x:f>
      </x:c>
      <x:c r="Q99" t="str">
        <x:f>IF(A99="","",'ERP Snapshot'!N99)</x:f>
      </x:c>
      <x:c r="R99" t="str">
        <x:f>IF(A99="","",'ERP Snapshot'!Q99)</x:f>
      </x:c>
      <x:c r="S99" t="str">
        <x:f>IF(A99="","",'ERP Snapshot'!R99)</x:f>
      </x:c>
      <x:c r="T99" t="str">
        <x:f>IF(A99="","",'ERP Snapshot'!C99)</x:f>
      </x:c>
    </x:row>
    <x:row r="100">
      <x:c r="A100" t="str">
        <x:f>IF('ERP Snapshot'!A100="","",'ERP Snapshot'!A100)</x:f>
      </x:c>
      <x:c r="B100" t="str">
        <x:f>IF(A100="","",'ERP Snapshot'!B100)</x:f>
      </x:c>
      <x:c r="C100" t="str">
        <x:f>IF(A100="","",'ERP Snapshot'!D100)</x:f>
      </x:c>
      <x:c r="D100" t="str">
        <x:f>IF(A100="","",IF(C100="MXN",'ERP Snapshot'!E100/Settings!$B$2,'ERP Snapshot'!E100))</x:f>
      </x:c>
      <x:c r="E100" t="str">
        <x:f>IF(A100="","",IF(C100="MXN",'ERP Snapshot'!I100/Settings!$B$2,'ERP Snapshot'!I100))</x:f>
      </x:c>
      <x:c r="F100" t="str">
        <x:f>IF(A100="","",D100-E100)</x:f>
      </x:c>
      <x:c r="G100" t="str">
        <x:f>IF(A100="","",'ERP Snapshot'!F100)</x:f>
      </x:c>
      <x:c r="H100" t="str">
        <x:f>IF(A100="","",'ERP Snapshot'!G100)</x:f>
      </x:c>
      <x:c r="I100" t="str">
        <x:f>IF(A100="","",'ERP Snapshot'!H100)</x:f>
      </x:c>
      <x:c r="J100" t="str">
        <x:f>IF(A100="","",H100+I100)</x:f>
      </x:c>
      <x:c r="K100" s="8" t="str">
        <x:f>IF(A100="","",IF(G100&gt;0,J100/G100,0))</x:f>
      </x:c>
      <x:c r="L100" t="str">
        <x:f>IF(A100="","",IF(G100&lt;=0,"REVIEW: NO BUDGET",IF(K100&gt;1,"OVER BUDGET",IF(K100=1,"BUDGET EXHAUSTED",IF(K100&gt;=Settings!$B$3,"PREVENTIVE ALERT","OK")))))</x:f>
      </x:c>
      <x:c r="M100" t="str">
        <x:f>IF(A100="","",'ERP Snapshot'!K100)</x:f>
      </x:c>
      <x:c r="N100" t="str">
        <x:f>IF(A100="","",COUNTIFS(Exceptions!$A$2:$A$101,A100,Exceptions!$E$2:$E$101,"Open"))</x:f>
      </x:c>
      <x:c r="O100" t="str">
        <x:f>IF(A100="","",IF(E100&gt;D100,"REVIEW: ABOVE CUSTOMER PO",IF(E100=D100,"FULLY INVOICED",IF(E100&gt;0,"PARTIAL INVOICE","NOT INVOICED"))))</x:f>
      </x:c>
      <x:c r="P100" t="str">
        <x:f>IF(A100="","",IF(OR(L100="OVER BUDGET",L100="BUDGET EXHAUSTED",O100="REVIEW: ABOVE CUSTOMER PO",'ERP Snapshot'!L100="YES"),"CRITICAL / REVIEW",IF(OR(N100&gt;0,M100&gt;0,F100&gt;0),"FOLLOW UP","NORMAL")))</x:f>
      </x:c>
      <x:c r="Q100" t="str">
        <x:f>IF(A100="","",'ERP Snapshot'!N100)</x:f>
      </x:c>
      <x:c r="R100" t="str">
        <x:f>IF(A100="","",'ERP Snapshot'!Q100)</x:f>
      </x:c>
      <x:c r="S100" t="str">
        <x:f>IF(A100="","",'ERP Snapshot'!R100)</x:f>
      </x:c>
      <x:c r="T100" t="str">
        <x:f>IF(A100="","",'ERP Snapshot'!C100)</x:f>
      </x:c>
    </x:row>
    <x:row r="101">
      <x:c r="A101" t="str">
        <x:f>IF('ERP Snapshot'!A101="","",'ERP Snapshot'!A101)</x:f>
      </x:c>
      <x:c r="B101" t="str">
        <x:f>IF(A101="","",'ERP Snapshot'!B101)</x:f>
      </x:c>
      <x:c r="C101" t="str">
        <x:f>IF(A101="","",'ERP Snapshot'!D101)</x:f>
      </x:c>
      <x:c r="D101" t="str">
        <x:f>IF(A101="","",IF(C101="MXN",'ERP Snapshot'!E101/Settings!$B$2,'ERP Snapshot'!E101))</x:f>
      </x:c>
      <x:c r="E101" t="str">
        <x:f>IF(A101="","",IF(C101="MXN",'ERP Snapshot'!I101/Settings!$B$2,'ERP Snapshot'!I101))</x:f>
      </x:c>
      <x:c r="F101" t="str">
        <x:f>IF(A101="","",D101-E101)</x:f>
      </x:c>
      <x:c r="G101" t="str">
        <x:f>IF(A101="","",'ERP Snapshot'!F101)</x:f>
      </x:c>
      <x:c r="H101" t="str">
        <x:f>IF(A101="","",'ERP Snapshot'!G101)</x:f>
      </x:c>
      <x:c r="I101" t="str">
        <x:f>IF(A101="","",'ERP Snapshot'!H101)</x:f>
      </x:c>
      <x:c r="J101" t="str">
        <x:f>IF(A101="","",H101+I101)</x:f>
      </x:c>
      <x:c r="K101" s="8" t="str">
        <x:f>IF(A101="","",IF(G101&gt;0,J101/G101,0))</x:f>
      </x:c>
      <x:c r="L101" t="str">
        <x:f>IF(A101="","",IF(G101&lt;=0,"REVIEW: NO BUDGET",IF(K101&gt;1,"OVER BUDGET",IF(K101=1,"BUDGET EXHAUSTED",IF(K101&gt;=Settings!$B$3,"PREVENTIVE ALERT","OK")))))</x:f>
      </x:c>
      <x:c r="M101" t="str">
        <x:f>IF(A101="","",'ERP Snapshot'!K101)</x:f>
      </x:c>
      <x:c r="N101" t="str">
        <x:f>IF(A101="","",COUNTIFS(Exceptions!$A$2:$A$101,A101,Exceptions!$E$2:$E$101,"Open"))</x:f>
      </x:c>
      <x:c r="O101" t="str">
        <x:f>IF(A101="","",IF(E101&gt;D101,"REVIEW: ABOVE CUSTOMER PO",IF(E101=D101,"FULLY INVOICED",IF(E101&gt;0,"PARTIAL INVOICE","NOT INVOICED"))))</x:f>
      </x:c>
      <x:c r="P101" t="str">
        <x:f>IF(A101="","",IF(OR(L101="OVER BUDGET",L101="BUDGET EXHAUSTED",O101="REVIEW: ABOVE CUSTOMER PO",'ERP Snapshot'!L101="YES"),"CRITICAL / REVIEW",IF(OR(N101&gt;0,M101&gt;0,F101&gt;0),"FOLLOW UP","NORMAL")))</x:f>
      </x:c>
      <x:c r="Q101" t="str">
        <x:f>IF(A101="","",'ERP Snapshot'!N101)</x:f>
      </x:c>
      <x:c r="R101" t="str">
        <x:f>IF(A101="","",'ERP Snapshot'!Q101)</x:f>
      </x:c>
      <x:c r="S101" t="str">
        <x:f>IF(A101="","",'ERP Snapshot'!R101)</x:f>
      </x:c>
      <x:c r="T101" t="str">
        <x:f>IF(A101="","",'ERP Snapshot'!C101)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0" customHeight="1">
      <x:c r="A1" s="4" t="str">
        <x:v>Project ID (ERP)</x:v>
      </x:c>
      <x:c r="B1" s="4" t="str">
        <x:v>Estimated cost USD</x:v>
      </x:c>
      <x:c r="C1" s="4" t="str">
        <x:v>Target markup on cost</x:v>
      </x:c>
      <x:c r="D1" s="4" t="str">
        <x:v>Indicative quote USD</x:v>
      </x:c>
      <x:c r="E1" s="4" t="str">
        <x:v>Authorized Customer PO USD</x:v>
      </x:c>
      <x:c r="F1" s="4" t="str">
        <x:v>Expected profit vs estimate USD</x:v>
      </x:c>
      <x:c r="G1" s="4" t="str">
        <x:v>Expected margin on sale</x:v>
      </x:c>
      <x:c r="H1" s="4" t="str">
        <x:v>Quotation scenario adjustment USD</x:v>
      </x:c>
      <x:c r="I1" s="4" t="str">
        <x:v>Scenario quote USD</x:v>
      </x:c>
      <x:c r="J1" s="4" t="str">
        <x:v>Scenario markup on cost</x:v>
      </x:c>
      <x:c r="K1" s="4" t="str">
        <x:v>Notes</x:v>
      </x:c>
    </x:row>
    <x:row r="2">
      <x:c r="A2" t="str">
        <x:v>100245</x:v>
      </x:c>
      <x:c r="B2" t="n">
        <x:v>36000</x:v>
      </x:c>
      <x:c r="C2" s="8" t="n">
        <x:v>0.3</x:v>
      </x:c>
      <x:c r="D2" t="n">
        <x:f>IF(A2="","",B2*(1+C2))</x:f>
        <x:v>46800</x:v>
      </x:c>
      <x:c r="E2" t="n">
        <x:f>IF(A2="","",IFERROR(INDEX('Project Control'!$D$2:$D$101,MATCH(A2,'Project Control'!$A$2:$A$101,0)),0))</x:f>
        <x:v>50000</x:v>
      </x:c>
      <x:c r="F2" t="n">
        <x:f>IF(A2="","",E2-B2)</x:f>
        <x:v>14000</x:v>
      </x:c>
      <x:c r="G2" s="8" t="n">
        <x:f>IF(A2="","",IF(E2&gt;0,F2/E2,0))</x:f>
        <x:v>0.28</x:v>
      </x:c>
      <x:c r="H2" t="n">
        <x:v>1000</x:v>
      </x:c>
      <x:c r="I2" t="n">
        <x:f>IF(A2="","",D2+H2)</x:f>
        <x:v>47800</x:v>
      </x:c>
      <x:c r="J2" s="8" t="n">
        <x:f>IF(A2="","",IF(B2&gt;0,I2/B2-1,0))</x:f>
        <x:v>0.3277777777777777</x:v>
      </x:c>
      <x:c r="K2" t="str">
        <x:v>Illustrative quote; PO governs after award</x:v>
      </x:c>
    </x:row>
    <x:row r="3">
      <x:c r="A3" t="str">
        <x:v>100246</x:v>
      </x:c>
      <x:c r="B3" t="n">
        <x:v>30000</x:v>
      </x:c>
      <x:c r="C3" s="8" t="n">
        <x:v>0.3</x:v>
      </x:c>
      <x:c r="D3" t="n">
        <x:f>IF(A3="","",B3*(1+C3))</x:f>
        <x:v>39000</x:v>
      </x:c>
      <x:c r="E3" t="n">
        <x:f>IF(A3="","",IFERROR(INDEX('Project Control'!$D$2:$D$101,MATCH(A3,'Project Control'!$A$2:$A$101,0)),0))</x:f>
        <x:v>41000</x:v>
      </x:c>
      <x:c r="F3" t="n">
        <x:f>IF(A3="","",E3-B3)</x:f>
        <x:v>11000</x:v>
      </x:c>
      <x:c r="G3" s="8" t="n">
        <x:f>IF(A3="","",IF(E3&gt;0,F3/E3,0))</x:f>
        <x:v>0.2682926829268293</x:v>
      </x:c>
      <x:c r="H3" t="n">
        <x:v>-500</x:v>
      </x:c>
      <x:c r="I3" t="n">
        <x:f>IF(A3="","",D3+H3)</x:f>
        <x:v>38500</x:v>
      </x:c>
      <x:c r="J3" s="8" t="n">
        <x:f>IF(A3="","",IF(B3&gt;0,I3/B3-1,0))</x:f>
        <x:v>0.28333333333333344</x:v>
      </x:c>
      <x:c r="K3" t="str">
        <x:v>Illustrative quote; currency reporting USD</x:v>
      </x:c>
    </x:row>
    <x:row r="4">
      <x:c r="A4" t="str">
        <x:v>100247</x:v>
      </x:c>
      <x:c r="B4" t="n">
        <x:v>25500</x:v>
      </x:c>
      <x:c r="C4" s="8" t="n">
        <x:v>0.3</x:v>
      </x:c>
      <x:c r="D4" t="n">
        <x:f>IF(A4="","",B4*(1+C4))</x:f>
        <x:v>33150</x:v>
      </x:c>
      <x:c r="E4" t="n">
        <x:f>IF(A4="","",IFERROR(INDEX('Project Control'!$D$2:$D$101,MATCH(A4,'Project Control'!$A$2:$A$101,0)),0))</x:f>
        <x:v>34000</x:v>
      </x:c>
      <x:c r="F4" t="n">
        <x:f>IF(A4="","",E4-B4)</x:f>
        <x:v>8500</x:v>
      </x:c>
      <x:c r="G4" s="8" t="n">
        <x:f>IF(A4="","",IF(E4&gt;0,F4/E4,0))</x:f>
        <x:v>0.25</x:v>
      </x:c>
      <x:c r="H4" t="n">
        <x:v>0</x:v>
      </x:c>
      <x:c r="I4" t="n">
        <x:f>IF(A4="","",D4+H4)</x:f>
        <x:v>33150</x:v>
      </x:c>
      <x:c r="J4" s="8" t="n">
        <x:f>IF(A4="","",IF(B4&gt;0,I4/B4-1,0))</x:f>
        <x:v>0.30000000000000004</x:v>
      </x:c>
      <x:c r="K4" t="str">
        <x:v>No automatic price override</x:v>
      </x:c>
    </x:row>
    <x:row r="5">
      <x:c r="A5" t="str">
        <x:v>100248</x:v>
      </x:c>
      <x:c r="B5" t="n">
        <x:v>17000</x:v>
      </x:c>
      <x:c r="C5" s="8" t="n">
        <x:v>0.3</x:v>
      </x:c>
      <x:c r="D5" t="n">
        <x:f>IF(A5="","",B5*(1+C5))</x:f>
        <x:v>22100</x:v>
      </x:c>
      <x:c r="E5" t="n">
        <x:f>IF(A5="","",IFERROR(INDEX('Project Control'!$D$2:$D$101,MATCH(A5,'Project Control'!$A$2:$A$101,0)),0))</x:f>
        <x:v>24000</x:v>
      </x:c>
      <x:c r="F5" t="n">
        <x:f>IF(A5="","",E5-B5)</x:f>
        <x:v>7000</x:v>
      </x:c>
      <x:c r="G5" s="8" t="n">
        <x:f>IF(A5="","",IF(E5&gt;0,F5/E5,0))</x:f>
        <x:v>0.2916666666666667</x:v>
      </x:c>
      <x:c r="H5" t="n">
        <x:v>0</x:v>
      </x:c>
      <x:c r="I5" t="n">
        <x:f>IF(A5="","",D5+H5)</x:f>
        <x:v>22100</x:v>
      </x:c>
      <x:c r="J5" s="8" t="n">
        <x:f>IF(A5="","",IF(B5&gt;0,I5/B5-1,0))</x:f>
        <x:v>0.30000000000000004</x:v>
      </x:c>
      <x:c r="K5" t="str">
        <x:v>Historical pricing autonomy documented separately</x:v>
      </x:c>
    </x:row>
    <x:row r="6">
      <x:c r="C6" s="8"/>
      <x:c r="D6" t="str">
        <x:f>IF(A6="","",B6*(1+C6))</x:f>
      </x:c>
      <x:c r="E6" t="str">
        <x:f>IF(A6="","",IFERROR(INDEX('Project Control'!$D$2:$D$101,MATCH(A6,'Project Control'!$A$2:$A$101,0)),0))</x:f>
      </x:c>
      <x:c r="F6" t="str">
        <x:f>IF(A6="","",E6-B6)</x:f>
      </x:c>
      <x:c r="G6" s="8" t="str">
        <x:f>IF(A6="","",IF(E6&gt;0,F6/E6,0))</x:f>
      </x:c>
      <x:c r="I6" t="str">
        <x:f>IF(A6="","",D6+H6)</x:f>
      </x:c>
      <x:c r="J6" s="8" t="str">
        <x:f>IF(A6="","",IF(B6&gt;0,I6/B6-1,0))</x:f>
      </x:c>
    </x:row>
    <x:row r="7">
      <x:c r="C7" s="8"/>
      <x:c r="D7" t="str">
        <x:f>IF(A7="","",B7*(1+C7))</x:f>
      </x:c>
      <x:c r="E7" t="str">
        <x:f>IF(A7="","",IFERROR(INDEX('Project Control'!$D$2:$D$101,MATCH(A7,'Project Control'!$A$2:$A$101,0)),0))</x:f>
      </x:c>
      <x:c r="F7" t="str">
        <x:f>IF(A7="","",E7-B7)</x:f>
      </x:c>
      <x:c r="G7" s="8" t="str">
        <x:f>IF(A7="","",IF(E7&gt;0,F7/E7,0))</x:f>
      </x:c>
      <x:c r="I7" t="str">
        <x:f>IF(A7="","",D7+H7)</x:f>
      </x:c>
      <x:c r="J7" s="8" t="str">
        <x:f>IF(A7="","",IF(B7&gt;0,I7/B7-1,0))</x:f>
      </x:c>
    </x:row>
    <x:row r="8">
      <x:c r="C8" s="8"/>
      <x:c r="D8" t="str">
        <x:f>IF(A8="","",B8*(1+C8))</x:f>
      </x:c>
      <x:c r="E8" t="str">
        <x:f>IF(A8="","",IFERROR(INDEX('Project Control'!$D$2:$D$101,MATCH(A8,'Project Control'!$A$2:$A$101,0)),0))</x:f>
      </x:c>
      <x:c r="F8" t="str">
        <x:f>IF(A8="","",E8-B8)</x:f>
      </x:c>
      <x:c r="G8" s="8" t="str">
        <x:f>IF(A8="","",IF(E8&gt;0,F8/E8,0))</x:f>
      </x:c>
      <x:c r="I8" t="str">
        <x:f>IF(A8="","",D8+H8)</x:f>
      </x:c>
      <x:c r="J8" s="8" t="str">
        <x:f>IF(A8="","",IF(B8&gt;0,I8/B8-1,0))</x:f>
      </x:c>
    </x:row>
    <x:row r="9">
      <x:c r="C9" s="8"/>
      <x:c r="D9" t="str">
        <x:f>IF(A9="","",B9*(1+C9))</x:f>
      </x:c>
      <x:c r="E9" t="str">
        <x:f>IF(A9="","",IFERROR(INDEX('Project Control'!$D$2:$D$101,MATCH(A9,'Project Control'!$A$2:$A$101,0)),0))</x:f>
      </x:c>
      <x:c r="F9" t="str">
        <x:f>IF(A9="","",E9-B9)</x:f>
      </x:c>
      <x:c r="G9" s="8" t="str">
        <x:f>IF(A9="","",IF(E9&gt;0,F9/E9,0))</x:f>
      </x:c>
      <x:c r="I9" t="str">
        <x:f>IF(A9="","",D9+H9)</x:f>
      </x:c>
      <x:c r="J9" s="8" t="str">
        <x:f>IF(A9="","",IF(B9&gt;0,I9/B9-1,0))</x:f>
      </x:c>
    </x:row>
    <x:row r="10">
      <x:c r="C10" s="8"/>
      <x:c r="D10" t="str">
        <x:f>IF(A10="","",B10*(1+C10))</x:f>
      </x:c>
      <x:c r="E10" t="str">
        <x:f>IF(A10="","",IFERROR(INDEX('Project Control'!$D$2:$D$101,MATCH(A10,'Project Control'!$A$2:$A$101,0)),0))</x:f>
      </x:c>
      <x:c r="F10" t="str">
        <x:f>IF(A10="","",E10-B10)</x:f>
      </x:c>
      <x:c r="G10" s="8" t="str">
        <x:f>IF(A10="","",IF(E10&gt;0,F10/E10,0))</x:f>
      </x:c>
      <x:c r="I10" t="str">
        <x:f>IF(A10="","",D10+H10)</x:f>
      </x:c>
      <x:c r="J10" s="8" t="str">
        <x:f>IF(A10="","",IF(B10&gt;0,I10/B10-1,0))</x:f>
      </x:c>
    </x:row>
    <x:row r="11">
      <x:c r="C11" s="8"/>
      <x:c r="D11" t="str">
        <x:f>IF(A11="","",B11*(1+C11))</x:f>
      </x:c>
      <x:c r="E11" t="str">
        <x:f>IF(A11="","",IFERROR(INDEX('Project Control'!$D$2:$D$101,MATCH(A11,'Project Control'!$A$2:$A$101,0)),0))</x:f>
      </x:c>
      <x:c r="F11" t="str">
        <x:f>IF(A11="","",E11-B11)</x:f>
      </x:c>
      <x:c r="G11" s="8" t="str">
        <x:f>IF(A11="","",IF(E11&gt;0,F11/E11,0))</x:f>
      </x:c>
      <x:c r="I11" t="str">
        <x:f>IF(A11="","",D11+H11)</x:f>
      </x:c>
      <x:c r="J11" s="8" t="str">
        <x:f>IF(A11="","",IF(B11&gt;0,I11/B11-1,0))</x:f>
      </x:c>
    </x:row>
    <x:row r="12">
      <x:c r="C12" s="8"/>
      <x:c r="D12" t="str">
        <x:f>IF(A12="","",B12*(1+C12))</x:f>
      </x:c>
      <x:c r="E12" t="str">
        <x:f>IF(A12="","",IFERROR(INDEX('Project Control'!$D$2:$D$101,MATCH(A12,'Project Control'!$A$2:$A$101,0)),0))</x:f>
      </x:c>
      <x:c r="F12" t="str">
        <x:f>IF(A12="","",E12-B12)</x:f>
      </x:c>
      <x:c r="G12" s="8" t="str">
        <x:f>IF(A12="","",IF(E12&gt;0,F12/E12,0))</x:f>
      </x:c>
      <x:c r="I12" t="str">
        <x:f>IF(A12="","",D12+H12)</x:f>
      </x:c>
      <x:c r="J12" s="8" t="str">
        <x:f>IF(A12="","",IF(B12&gt;0,I12/B12-1,0))</x:f>
      </x:c>
    </x:row>
    <x:row r="13">
      <x:c r="C13" s="8"/>
      <x:c r="D13" t="str">
        <x:f>IF(A13="","",B13*(1+C13))</x:f>
      </x:c>
      <x:c r="E13" t="str">
        <x:f>IF(A13="","",IFERROR(INDEX('Project Control'!$D$2:$D$101,MATCH(A13,'Project Control'!$A$2:$A$101,0)),0))</x:f>
      </x:c>
      <x:c r="F13" t="str">
        <x:f>IF(A13="","",E13-B13)</x:f>
      </x:c>
      <x:c r="G13" s="8" t="str">
        <x:f>IF(A13="","",IF(E13&gt;0,F13/E13,0))</x:f>
      </x:c>
      <x:c r="I13" t="str">
        <x:f>IF(A13="","",D13+H13)</x:f>
      </x:c>
      <x:c r="J13" s="8" t="str">
        <x:f>IF(A13="","",IF(B13&gt;0,I13/B13-1,0))</x:f>
      </x:c>
    </x:row>
    <x:row r="14">
      <x:c r="C14" s="8"/>
      <x:c r="D14" t="str">
        <x:f>IF(A14="","",B14*(1+C14))</x:f>
      </x:c>
      <x:c r="E14" t="str">
        <x:f>IF(A14="","",IFERROR(INDEX('Project Control'!$D$2:$D$101,MATCH(A14,'Project Control'!$A$2:$A$101,0)),0))</x:f>
      </x:c>
      <x:c r="F14" t="str">
        <x:f>IF(A14="","",E14-B14)</x:f>
      </x:c>
      <x:c r="G14" s="8" t="str">
        <x:f>IF(A14="","",IF(E14&gt;0,F14/E14,0))</x:f>
      </x:c>
      <x:c r="I14" t="str">
        <x:f>IF(A14="","",D14+H14)</x:f>
      </x:c>
      <x:c r="J14" s="8" t="str">
        <x:f>IF(A14="","",IF(B14&gt;0,I14/B14-1,0))</x:f>
      </x:c>
    </x:row>
    <x:row r="15">
      <x:c r="C15" s="8"/>
      <x:c r="D15" t="str">
        <x:f>IF(A15="","",B15*(1+C15))</x:f>
      </x:c>
      <x:c r="E15" t="str">
        <x:f>IF(A15="","",IFERROR(INDEX('Project Control'!$D$2:$D$101,MATCH(A15,'Project Control'!$A$2:$A$101,0)),0))</x:f>
      </x:c>
      <x:c r="F15" t="str">
        <x:f>IF(A15="","",E15-B15)</x:f>
      </x:c>
      <x:c r="G15" s="8" t="str">
        <x:f>IF(A15="","",IF(E15&gt;0,F15/E15,0))</x:f>
      </x:c>
      <x:c r="I15" t="str">
        <x:f>IF(A15="","",D15+H15)</x:f>
      </x:c>
      <x:c r="J15" s="8" t="str">
        <x:f>IF(A15="","",IF(B15&gt;0,I15/B15-1,0))</x:f>
      </x:c>
    </x:row>
    <x:row r="16">
      <x:c r="C16" s="8"/>
      <x:c r="D16" t="str">
        <x:f>IF(A16="","",B16*(1+C16))</x:f>
      </x:c>
      <x:c r="E16" t="str">
        <x:f>IF(A16="","",IFERROR(INDEX('Project Control'!$D$2:$D$101,MATCH(A16,'Project Control'!$A$2:$A$101,0)),0))</x:f>
      </x:c>
      <x:c r="F16" t="str">
        <x:f>IF(A16="","",E16-B16)</x:f>
      </x:c>
      <x:c r="G16" s="8" t="str">
        <x:f>IF(A16="","",IF(E16&gt;0,F16/E16,0))</x:f>
      </x:c>
      <x:c r="I16" t="str">
        <x:f>IF(A16="","",D16+H16)</x:f>
      </x:c>
      <x:c r="J16" s="8" t="str">
        <x:f>IF(A16="","",IF(B16&gt;0,I16/B16-1,0))</x:f>
      </x:c>
    </x:row>
    <x:row r="17">
      <x:c r="C17" s="8"/>
      <x:c r="D17" t="str">
        <x:f>IF(A17="","",B17*(1+C17))</x:f>
      </x:c>
      <x:c r="E17" t="str">
        <x:f>IF(A17="","",IFERROR(INDEX('Project Control'!$D$2:$D$101,MATCH(A17,'Project Control'!$A$2:$A$101,0)),0))</x:f>
      </x:c>
      <x:c r="F17" t="str">
        <x:f>IF(A17="","",E17-B17)</x:f>
      </x:c>
      <x:c r="G17" s="8" t="str">
        <x:f>IF(A17="","",IF(E17&gt;0,F17/E17,0))</x:f>
      </x:c>
      <x:c r="I17" t="str">
        <x:f>IF(A17="","",D17+H17)</x:f>
      </x:c>
      <x:c r="J17" s="8" t="str">
        <x:f>IF(A17="","",IF(B17&gt;0,I17/B17-1,0))</x:f>
      </x:c>
    </x:row>
    <x:row r="18">
      <x:c r="C18" s="8"/>
      <x:c r="D18" t="str">
        <x:f>IF(A18="","",B18*(1+C18))</x:f>
      </x:c>
      <x:c r="E18" t="str">
        <x:f>IF(A18="","",IFERROR(INDEX('Project Control'!$D$2:$D$101,MATCH(A18,'Project Control'!$A$2:$A$101,0)),0))</x:f>
      </x:c>
      <x:c r="F18" t="str">
        <x:f>IF(A18="","",E18-B18)</x:f>
      </x:c>
      <x:c r="G18" s="8" t="str">
        <x:f>IF(A18="","",IF(E18&gt;0,F18/E18,0))</x:f>
      </x:c>
      <x:c r="I18" t="str">
        <x:f>IF(A18="","",D18+H18)</x:f>
      </x:c>
      <x:c r="J18" s="8" t="str">
        <x:f>IF(A18="","",IF(B18&gt;0,I18/B18-1,0))</x:f>
      </x:c>
    </x:row>
    <x:row r="19">
      <x:c r="C19" s="8"/>
      <x:c r="D19" t="str">
        <x:f>IF(A19="","",B19*(1+C19))</x:f>
      </x:c>
      <x:c r="E19" t="str">
        <x:f>IF(A19="","",IFERROR(INDEX('Project Control'!$D$2:$D$101,MATCH(A19,'Project Control'!$A$2:$A$101,0)),0))</x:f>
      </x:c>
      <x:c r="F19" t="str">
        <x:f>IF(A19="","",E19-B19)</x:f>
      </x:c>
      <x:c r="G19" s="8" t="str">
        <x:f>IF(A19="","",IF(E19&gt;0,F19/E19,0))</x:f>
      </x:c>
      <x:c r="I19" t="str">
        <x:f>IF(A19="","",D19+H19)</x:f>
      </x:c>
      <x:c r="J19" s="8" t="str">
        <x:f>IF(A19="","",IF(B19&gt;0,I19/B19-1,0))</x:f>
      </x:c>
    </x:row>
    <x:row r="20">
      <x:c r="C20" s="8"/>
      <x:c r="D20" t="str">
        <x:f>IF(A20="","",B20*(1+C20))</x:f>
      </x:c>
      <x:c r="E20" t="str">
        <x:f>IF(A20="","",IFERROR(INDEX('Project Control'!$D$2:$D$101,MATCH(A20,'Project Control'!$A$2:$A$101,0)),0))</x:f>
      </x:c>
      <x:c r="F20" t="str">
        <x:f>IF(A20="","",E20-B20)</x:f>
      </x:c>
      <x:c r="G20" s="8" t="str">
        <x:f>IF(A20="","",IF(E20&gt;0,F20/E20,0))</x:f>
      </x:c>
      <x:c r="I20" t="str">
        <x:f>IF(A20="","",D20+H20)</x:f>
      </x:c>
      <x:c r="J20" s="8" t="str">
        <x:f>IF(A20="","",IF(B20&gt;0,I20/B20-1,0))</x:f>
      </x:c>
    </x:row>
    <x:row r="21">
      <x:c r="C21" s="8"/>
      <x:c r="D21" t="str">
        <x:f>IF(A21="","",B21*(1+C21))</x:f>
      </x:c>
      <x:c r="E21" t="str">
        <x:f>IF(A21="","",IFERROR(INDEX('Project Control'!$D$2:$D$101,MATCH(A21,'Project Control'!$A$2:$A$101,0)),0))</x:f>
      </x:c>
      <x:c r="F21" t="str">
        <x:f>IF(A21="","",E21-B21)</x:f>
      </x:c>
      <x:c r="G21" s="8" t="str">
        <x:f>IF(A21="","",IF(E21&gt;0,F21/E21,0))</x:f>
      </x:c>
      <x:c r="I21" t="str">
        <x:f>IF(A21="","",D21+H21)</x:f>
      </x:c>
      <x:c r="J21" s="8" t="str">
        <x:f>IF(A21="","",IF(B21&gt;0,I21/B21-1,0))</x:f>
      </x:c>
    </x:row>
    <x:row r="22">
      <x:c r="C22" s="8"/>
      <x:c r="D22" t="str">
        <x:f>IF(A22="","",B22*(1+C22))</x:f>
      </x:c>
      <x:c r="E22" t="str">
        <x:f>IF(A22="","",IFERROR(INDEX('Project Control'!$D$2:$D$101,MATCH(A22,'Project Control'!$A$2:$A$101,0)),0))</x:f>
      </x:c>
      <x:c r="F22" t="str">
        <x:f>IF(A22="","",E22-B22)</x:f>
      </x:c>
      <x:c r="G22" s="8" t="str">
        <x:f>IF(A22="","",IF(E22&gt;0,F22/E22,0))</x:f>
      </x:c>
      <x:c r="I22" t="str">
        <x:f>IF(A22="","",D22+H22)</x:f>
      </x:c>
      <x:c r="J22" s="8" t="str">
        <x:f>IF(A22="","",IF(B22&gt;0,I22/B22-1,0))</x:f>
      </x:c>
    </x:row>
    <x:row r="23">
      <x:c r="C23" s="8"/>
      <x:c r="D23" t="str">
        <x:f>IF(A23="","",B23*(1+C23))</x:f>
      </x:c>
      <x:c r="E23" t="str">
        <x:f>IF(A23="","",IFERROR(INDEX('Project Control'!$D$2:$D$101,MATCH(A23,'Project Control'!$A$2:$A$101,0)),0))</x:f>
      </x:c>
      <x:c r="F23" t="str">
        <x:f>IF(A23="","",E23-B23)</x:f>
      </x:c>
      <x:c r="G23" s="8" t="str">
        <x:f>IF(A23="","",IF(E23&gt;0,F23/E23,0))</x:f>
      </x:c>
      <x:c r="I23" t="str">
        <x:f>IF(A23="","",D23+H23)</x:f>
      </x:c>
      <x:c r="J23" s="8" t="str">
        <x:f>IF(A23="","",IF(B23&gt;0,I23/B23-1,0))</x:f>
      </x:c>
    </x:row>
    <x:row r="24">
      <x:c r="C24" s="8"/>
      <x:c r="D24" t="str">
        <x:f>IF(A24="","",B24*(1+C24))</x:f>
      </x:c>
      <x:c r="E24" t="str">
        <x:f>IF(A24="","",IFERROR(INDEX('Project Control'!$D$2:$D$101,MATCH(A24,'Project Control'!$A$2:$A$101,0)),0))</x:f>
      </x:c>
      <x:c r="F24" t="str">
        <x:f>IF(A24="","",E24-B24)</x:f>
      </x:c>
      <x:c r="G24" s="8" t="str">
        <x:f>IF(A24="","",IF(E24&gt;0,F24/E24,0))</x:f>
      </x:c>
      <x:c r="I24" t="str">
        <x:f>IF(A24="","",D24+H24)</x:f>
      </x:c>
      <x:c r="J24" s="8" t="str">
        <x:f>IF(A24="","",IF(B24&gt;0,I24/B24-1,0))</x:f>
      </x:c>
    </x:row>
    <x:row r="25">
      <x:c r="C25" s="8"/>
      <x:c r="D25" t="str">
        <x:f>IF(A25="","",B25*(1+C25))</x:f>
      </x:c>
      <x:c r="E25" t="str">
        <x:f>IF(A25="","",IFERROR(INDEX('Project Control'!$D$2:$D$101,MATCH(A25,'Project Control'!$A$2:$A$101,0)),0))</x:f>
      </x:c>
      <x:c r="F25" t="str">
        <x:f>IF(A25="","",E25-B25)</x:f>
      </x:c>
      <x:c r="G25" s="8" t="str">
        <x:f>IF(A25="","",IF(E25&gt;0,F25/E25,0))</x:f>
      </x:c>
      <x:c r="I25" t="str">
        <x:f>IF(A25="","",D25+H25)</x:f>
      </x:c>
      <x:c r="J25" s="8" t="str">
        <x:f>IF(A25="","",IF(B25&gt;0,I25/B25-1,0))</x:f>
      </x:c>
    </x:row>
    <x:row r="26">
      <x:c r="C26" s="8"/>
      <x:c r="D26" t="str">
        <x:f>IF(A26="","",B26*(1+C26))</x:f>
      </x:c>
      <x:c r="E26" t="str">
        <x:f>IF(A26="","",IFERROR(INDEX('Project Control'!$D$2:$D$101,MATCH(A26,'Project Control'!$A$2:$A$101,0)),0))</x:f>
      </x:c>
      <x:c r="F26" t="str">
        <x:f>IF(A26="","",E26-B26)</x:f>
      </x:c>
      <x:c r="G26" s="8" t="str">
        <x:f>IF(A26="","",IF(E26&gt;0,F26/E26,0))</x:f>
      </x:c>
      <x:c r="I26" t="str">
        <x:f>IF(A26="","",D26+H26)</x:f>
      </x:c>
      <x:c r="J26" s="8" t="str">
        <x:f>IF(A26="","",IF(B26&gt;0,I26/B26-1,0))</x:f>
      </x:c>
    </x:row>
    <x:row r="27">
      <x:c r="C27" s="8"/>
      <x:c r="D27" t="str">
        <x:f>IF(A27="","",B27*(1+C27))</x:f>
      </x:c>
      <x:c r="E27" t="str">
        <x:f>IF(A27="","",IFERROR(INDEX('Project Control'!$D$2:$D$101,MATCH(A27,'Project Control'!$A$2:$A$101,0)),0))</x:f>
      </x:c>
      <x:c r="F27" t="str">
        <x:f>IF(A27="","",E27-B27)</x:f>
      </x:c>
      <x:c r="G27" s="8" t="str">
        <x:f>IF(A27="","",IF(E27&gt;0,F27/E27,0))</x:f>
      </x:c>
      <x:c r="I27" t="str">
        <x:f>IF(A27="","",D27+H27)</x:f>
      </x:c>
      <x:c r="J27" s="8" t="str">
        <x:f>IF(A27="","",IF(B27&gt;0,I27/B27-1,0))</x:f>
      </x:c>
    </x:row>
    <x:row r="28">
      <x:c r="C28" s="8"/>
      <x:c r="D28" t="str">
        <x:f>IF(A28="","",B28*(1+C28))</x:f>
      </x:c>
      <x:c r="E28" t="str">
        <x:f>IF(A28="","",IFERROR(INDEX('Project Control'!$D$2:$D$101,MATCH(A28,'Project Control'!$A$2:$A$101,0)),0))</x:f>
      </x:c>
      <x:c r="F28" t="str">
        <x:f>IF(A28="","",E28-B28)</x:f>
      </x:c>
      <x:c r="G28" s="8" t="str">
        <x:f>IF(A28="","",IF(E28&gt;0,F28/E28,0))</x:f>
      </x:c>
      <x:c r="I28" t="str">
        <x:f>IF(A28="","",D28+H28)</x:f>
      </x:c>
      <x:c r="J28" s="8" t="str">
        <x:f>IF(A28="","",IF(B28&gt;0,I28/B28-1,0))</x:f>
      </x:c>
    </x:row>
    <x:row r="29">
      <x:c r="C29" s="8"/>
      <x:c r="D29" t="str">
        <x:f>IF(A29="","",B29*(1+C29))</x:f>
      </x:c>
      <x:c r="E29" t="str">
        <x:f>IF(A29="","",IFERROR(INDEX('Project Control'!$D$2:$D$101,MATCH(A29,'Project Control'!$A$2:$A$101,0)),0))</x:f>
      </x:c>
      <x:c r="F29" t="str">
        <x:f>IF(A29="","",E29-B29)</x:f>
      </x:c>
      <x:c r="G29" s="8" t="str">
        <x:f>IF(A29="","",IF(E29&gt;0,F29/E29,0))</x:f>
      </x:c>
      <x:c r="I29" t="str">
        <x:f>IF(A29="","",D29+H29)</x:f>
      </x:c>
      <x:c r="J29" s="8" t="str">
        <x:f>IF(A29="","",IF(B29&gt;0,I29/B29-1,0))</x:f>
      </x:c>
    </x:row>
    <x:row r="30">
      <x:c r="C30" s="8"/>
      <x:c r="D30" t="str">
        <x:f>IF(A30="","",B30*(1+C30))</x:f>
      </x:c>
      <x:c r="E30" t="str">
        <x:f>IF(A30="","",IFERROR(INDEX('Project Control'!$D$2:$D$101,MATCH(A30,'Project Control'!$A$2:$A$101,0)),0))</x:f>
      </x:c>
      <x:c r="F30" t="str">
        <x:f>IF(A30="","",E30-B30)</x:f>
      </x:c>
      <x:c r="G30" s="8" t="str">
        <x:f>IF(A30="","",IF(E30&gt;0,F30/E30,0))</x:f>
      </x:c>
      <x:c r="I30" t="str">
        <x:f>IF(A30="","",D30+H30)</x:f>
      </x:c>
      <x:c r="J30" s="8" t="str">
        <x:f>IF(A30="","",IF(B30&gt;0,I30/B30-1,0))</x:f>
      </x:c>
    </x:row>
    <x:row r="31">
      <x:c r="C31" s="8"/>
      <x:c r="D31" t="str">
        <x:f>IF(A31="","",B31*(1+C31))</x:f>
      </x:c>
      <x:c r="E31" t="str">
        <x:f>IF(A31="","",IFERROR(INDEX('Project Control'!$D$2:$D$101,MATCH(A31,'Project Control'!$A$2:$A$101,0)),0))</x:f>
      </x:c>
      <x:c r="F31" t="str">
        <x:f>IF(A31="","",E31-B31)</x:f>
      </x:c>
      <x:c r="G31" s="8" t="str">
        <x:f>IF(A31="","",IF(E31&gt;0,F31/E31,0))</x:f>
      </x:c>
      <x:c r="I31" t="str">
        <x:f>IF(A31="","",D31+H31)</x:f>
      </x:c>
      <x:c r="J31" s="8" t="str">
        <x:f>IF(A31="","",IF(B31&gt;0,I31/B31-1,0))</x:f>
      </x:c>
    </x:row>
    <x:row r="32">
      <x:c r="C32" s="8"/>
      <x:c r="D32" t="str">
        <x:f>IF(A32="","",B32*(1+C32))</x:f>
      </x:c>
      <x:c r="E32" t="str">
        <x:f>IF(A32="","",IFERROR(INDEX('Project Control'!$D$2:$D$101,MATCH(A32,'Project Control'!$A$2:$A$101,0)),0))</x:f>
      </x:c>
      <x:c r="F32" t="str">
        <x:f>IF(A32="","",E32-B32)</x:f>
      </x:c>
      <x:c r="G32" s="8" t="str">
        <x:f>IF(A32="","",IF(E32&gt;0,F32/E32,0))</x:f>
      </x:c>
      <x:c r="I32" t="str">
        <x:f>IF(A32="","",D32+H32)</x:f>
      </x:c>
      <x:c r="J32" s="8" t="str">
        <x:f>IF(A32="","",IF(B32&gt;0,I32/B32-1,0))</x:f>
      </x:c>
    </x:row>
    <x:row r="33">
      <x:c r="C33" s="8"/>
      <x:c r="D33" t="str">
        <x:f>IF(A33="","",B33*(1+C33))</x:f>
      </x:c>
      <x:c r="E33" t="str">
        <x:f>IF(A33="","",IFERROR(INDEX('Project Control'!$D$2:$D$101,MATCH(A33,'Project Control'!$A$2:$A$101,0)),0))</x:f>
      </x:c>
      <x:c r="F33" t="str">
        <x:f>IF(A33="","",E33-B33)</x:f>
      </x:c>
      <x:c r="G33" s="8" t="str">
        <x:f>IF(A33="","",IF(E33&gt;0,F33/E33,0))</x:f>
      </x:c>
      <x:c r="I33" t="str">
        <x:f>IF(A33="","",D33+H33)</x:f>
      </x:c>
      <x:c r="J33" s="8" t="str">
        <x:f>IF(A33="","",IF(B33&gt;0,I33/B33-1,0))</x:f>
      </x:c>
    </x:row>
    <x:row r="34">
      <x:c r="C34" s="8"/>
      <x:c r="D34" t="str">
        <x:f>IF(A34="","",B34*(1+C34))</x:f>
      </x:c>
      <x:c r="E34" t="str">
        <x:f>IF(A34="","",IFERROR(INDEX('Project Control'!$D$2:$D$101,MATCH(A34,'Project Control'!$A$2:$A$101,0)),0))</x:f>
      </x:c>
      <x:c r="F34" t="str">
        <x:f>IF(A34="","",E34-B34)</x:f>
      </x:c>
      <x:c r="G34" s="8" t="str">
        <x:f>IF(A34="","",IF(E34&gt;0,F34/E34,0))</x:f>
      </x:c>
      <x:c r="I34" t="str">
        <x:f>IF(A34="","",D34+H34)</x:f>
      </x:c>
      <x:c r="J34" s="8" t="str">
        <x:f>IF(A34="","",IF(B34&gt;0,I34/B34-1,0))</x:f>
      </x:c>
    </x:row>
    <x:row r="35">
      <x:c r="C35" s="8"/>
      <x:c r="D35" t="str">
        <x:f>IF(A35="","",B35*(1+C35))</x:f>
      </x:c>
      <x:c r="E35" t="str">
        <x:f>IF(A35="","",IFERROR(INDEX('Project Control'!$D$2:$D$101,MATCH(A35,'Project Control'!$A$2:$A$101,0)),0))</x:f>
      </x:c>
      <x:c r="F35" t="str">
        <x:f>IF(A35="","",E35-B35)</x:f>
      </x:c>
      <x:c r="G35" s="8" t="str">
        <x:f>IF(A35="","",IF(E35&gt;0,F35/E35,0))</x:f>
      </x:c>
      <x:c r="I35" t="str">
        <x:f>IF(A35="","",D35+H35)</x:f>
      </x:c>
      <x:c r="J35" s="8" t="str">
        <x:f>IF(A35="","",IF(B35&gt;0,I35/B35-1,0))</x:f>
      </x:c>
    </x:row>
    <x:row r="36">
      <x:c r="C36" s="8"/>
      <x:c r="D36" t="str">
        <x:f>IF(A36="","",B36*(1+C36))</x:f>
      </x:c>
      <x:c r="E36" t="str">
        <x:f>IF(A36="","",IFERROR(INDEX('Project Control'!$D$2:$D$101,MATCH(A36,'Project Control'!$A$2:$A$101,0)),0))</x:f>
      </x:c>
      <x:c r="F36" t="str">
        <x:f>IF(A36="","",E36-B36)</x:f>
      </x:c>
      <x:c r="G36" s="8" t="str">
        <x:f>IF(A36="","",IF(E36&gt;0,F36/E36,0))</x:f>
      </x:c>
      <x:c r="I36" t="str">
        <x:f>IF(A36="","",D36+H36)</x:f>
      </x:c>
      <x:c r="J36" s="8" t="str">
        <x:f>IF(A36="","",IF(B36&gt;0,I36/B36-1,0))</x:f>
      </x:c>
    </x:row>
    <x:row r="37">
      <x:c r="C37" s="8"/>
      <x:c r="D37" t="str">
        <x:f>IF(A37="","",B37*(1+C37))</x:f>
      </x:c>
      <x:c r="E37" t="str">
        <x:f>IF(A37="","",IFERROR(INDEX('Project Control'!$D$2:$D$101,MATCH(A37,'Project Control'!$A$2:$A$101,0)),0))</x:f>
      </x:c>
      <x:c r="F37" t="str">
        <x:f>IF(A37="","",E37-B37)</x:f>
      </x:c>
      <x:c r="G37" s="8" t="str">
        <x:f>IF(A37="","",IF(E37&gt;0,F37/E37,0))</x:f>
      </x:c>
      <x:c r="I37" t="str">
        <x:f>IF(A37="","",D37+H37)</x:f>
      </x:c>
      <x:c r="J37" s="8" t="str">
        <x:f>IF(A37="","",IF(B37&gt;0,I37/B37-1,0))</x:f>
      </x:c>
    </x:row>
    <x:row r="38">
      <x:c r="C38" s="8"/>
      <x:c r="D38" t="str">
        <x:f>IF(A38="","",B38*(1+C38))</x:f>
      </x:c>
      <x:c r="E38" t="str">
        <x:f>IF(A38="","",IFERROR(INDEX('Project Control'!$D$2:$D$101,MATCH(A38,'Project Control'!$A$2:$A$101,0)),0))</x:f>
      </x:c>
      <x:c r="F38" t="str">
        <x:f>IF(A38="","",E38-B38)</x:f>
      </x:c>
      <x:c r="G38" s="8" t="str">
        <x:f>IF(A38="","",IF(E38&gt;0,F38/E38,0))</x:f>
      </x:c>
      <x:c r="I38" t="str">
        <x:f>IF(A38="","",D38+H38)</x:f>
      </x:c>
      <x:c r="J38" s="8" t="str">
        <x:f>IF(A38="","",IF(B38&gt;0,I38/B38-1,0))</x:f>
      </x:c>
    </x:row>
    <x:row r="39">
      <x:c r="C39" s="8"/>
      <x:c r="D39" t="str">
        <x:f>IF(A39="","",B39*(1+C39))</x:f>
      </x:c>
      <x:c r="E39" t="str">
        <x:f>IF(A39="","",IFERROR(INDEX('Project Control'!$D$2:$D$101,MATCH(A39,'Project Control'!$A$2:$A$101,0)),0))</x:f>
      </x:c>
      <x:c r="F39" t="str">
        <x:f>IF(A39="","",E39-B39)</x:f>
      </x:c>
      <x:c r="G39" s="8" t="str">
        <x:f>IF(A39="","",IF(E39&gt;0,F39/E39,0))</x:f>
      </x:c>
      <x:c r="I39" t="str">
        <x:f>IF(A39="","",D39+H39)</x:f>
      </x:c>
      <x:c r="J39" s="8" t="str">
        <x:f>IF(A39="","",IF(B39&gt;0,I39/B39-1,0))</x:f>
      </x:c>
    </x:row>
    <x:row r="40">
      <x:c r="C40" s="8"/>
      <x:c r="D40" t="str">
        <x:f>IF(A40="","",B40*(1+C40))</x:f>
      </x:c>
      <x:c r="E40" t="str">
        <x:f>IF(A40="","",IFERROR(INDEX('Project Control'!$D$2:$D$101,MATCH(A40,'Project Control'!$A$2:$A$101,0)),0))</x:f>
      </x:c>
      <x:c r="F40" t="str">
        <x:f>IF(A40="","",E40-B40)</x:f>
      </x:c>
      <x:c r="G40" s="8" t="str">
        <x:f>IF(A40="","",IF(E40&gt;0,F40/E40,0))</x:f>
      </x:c>
      <x:c r="I40" t="str">
        <x:f>IF(A40="","",D40+H40)</x:f>
      </x:c>
      <x:c r="J40" s="8" t="str">
        <x:f>IF(A40="","",IF(B40&gt;0,I40/B40-1,0))</x:f>
      </x:c>
    </x:row>
    <x:row r="41">
      <x:c r="C41" s="8"/>
      <x:c r="D41" t="str">
        <x:f>IF(A41="","",B41*(1+C41))</x:f>
      </x:c>
      <x:c r="E41" t="str">
        <x:f>IF(A41="","",IFERROR(INDEX('Project Control'!$D$2:$D$101,MATCH(A41,'Project Control'!$A$2:$A$101,0)),0))</x:f>
      </x:c>
      <x:c r="F41" t="str">
        <x:f>IF(A41="","",E41-B41)</x:f>
      </x:c>
      <x:c r="G41" s="8" t="str">
        <x:f>IF(A41="","",IF(E41&gt;0,F41/E41,0))</x:f>
      </x:c>
      <x:c r="I41" t="str">
        <x:f>IF(A41="","",D41+H41)</x:f>
      </x:c>
      <x:c r="J41" s="8" t="str">
        <x:f>IF(A41="","",IF(B41&gt;0,I41/B41-1,0))</x:f>
      </x:c>
    </x:row>
    <x:row r="42">
      <x:c r="C42" s="8"/>
      <x:c r="D42" t="str">
        <x:f>IF(A42="","",B42*(1+C42))</x:f>
      </x:c>
      <x:c r="E42" t="str">
        <x:f>IF(A42="","",IFERROR(INDEX('Project Control'!$D$2:$D$101,MATCH(A42,'Project Control'!$A$2:$A$101,0)),0))</x:f>
      </x:c>
      <x:c r="F42" t="str">
        <x:f>IF(A42="","",E42-B42)</x:f>
      </x:c>
      <x:c r="G42" s="8" t="str">
        <x:f>IF(A42="","",IF(E42&gt;0,F42/E42,0))</x:f>
      </x:c>
      <x:c r="I42" t="str">
        <x:f>IF(A42="","",D42+H42)</x:f>
      </x:c>
      <x:c r="J42" s="8" t="str">
        <x:f>IF(A42="","",IF(B42&gt;0,I42/B42-1,0))</x:f>
      </x:c>
    </x:row>
    <x:row r="43">
      <x:c r="C43" s="8"/>
      <x:c r="D43" t="str">
        <x:f>IF(A43="","",B43*(1+C43))</x:f>
      </x:c>
      <x:c r="E43" t="str">
        <x:f>IF(A43="","",IFERROR(INDEX('Project Control'!$D$2:$D$101,MATCH(A43,'Project Control'!$A$2:$A$101,0)),0))</x:f>
      </x:c>
      <x:c r="F43" t="str">
        <x:f>IF(A43="","",E43-B43)</x:f>
      </x:c>
      <x:c r="G43" s="8" t="str">
        <x:f>IF(A43="","",IF(E43&gt;0,F43/E43,0))</x:f>
      </x:c>
      <x:c r="I43" t="str">
        <x:f>IF(A43="","",D43+H43)</x:f>
      </x:c>
      <x:c r="J43" s="8" t="str">
        <x:f>IF(A43="","",IF(B43&gt;0,I43/B43-1,0))</x:f>
      </x:c>
    </x:row>
    <x:row r="44">
      <x:c r="C44" s="8"/>
      <x:c r="D44" t="str">
        <x:f>IF(A44="","",B44*(1+C44))</x:f>
      </x:c>
      <x:c r="E44" t="str">
        <x:f>IF(A44="","",IFERROR(INDEX('Project Control'!$D$2:$D$101,MATCH(A44,'Project Control'!$A$2:$A$101,0)),0))</x:f>
      </x:c>
      <x:c r="F44" t="str">
        <x:f>IF(A44="","",E44-B44)</x:f>
      </x:c>
      <x:c r="G44" s="8" t="str">
        <x:f>IF(A44="","",IF(E44&gt;0,F44/E44,0))</x:f>
      </x:c>
      <x:c r="I44" t="str">
        <x:f>IF(A44="","",D44+H44)</x:f>
      </x:c>
      <x:c r="J44" s="8" t="str">
        <x:f>IF(A44="","",IF(B44&gt;0,I44/B44-1,0))</x:f>
      </x:c>
    </x:row>
    <x:row r="45">
      <x:c r="C45" s="8"/>
      <x:c r="D45" t="str">
        <x:f>IF(A45="","",B45*(1+C45))</x:f>
      </x:c>
      <x:c r="E45" t="str">
        <x:f>IF(A45="","",IFERROR(INDEX('Project Control'!$D$2:$D$101,MATCH(A45,'Project Control'!$A$2:$A$101,0)),0))</x:f>
      </x:c>
      <x:c r="F45" t="str">
        <x:f>IF(A45="","",E45-B45)</x:f>
      </x:c>
      <x:c r="G45" s="8" t="str">
        <x:f>IF(A45="","",IF(E45&gt;0,F45/E45,0))</x:f>
      </x:c>
      <x:c r="I45" t="str">
        <x:f>IF(A45="","",D45+H45)</x:f>
      </x:c>
      <x:c r="J45" s="8" t="str">
        <x:f>IF(A45="","",IF(B45&gt;0,I45/B45-1,0))</x:f>
      </x:c>
    </x:row>
    <x:row r="46">
      <x:c r="C46" s="8"/>
      <x:c r="D46" t="str">
        <x:f>IF(A46="","",B46*(1+C46))</x:f>
      </x:c>
      <x:c r="E46" t="str">
        <x:f>IF(A46="","",IFERROR(INDEX('Project Control'!$D$2:$D$101,MATCH(A46,'Project Control'!$A$2:$A$101,0)),0))</x:f>
      </x:c>
      <x:c r="F46" t="str">
        <x:f>IF(A46="","",E46-B46)</x:f>
      </x:c>
      <x:c r="G46" s="8" t="str">
        <x:f>IF(A46="","",IF(E46&gt;0,F46/E46,0))</x:f>
      </x:c>
      <x:c r="I46" t="str">
        <x:f>IF(A46="","",D46+H46)</x:f>
      </x:c>
      <x:c r="J46" s="8" t="str">
        <x:f>IF(A46="","",IF(B46&gt;0,I46/B46-1,0))</x:f>
      </x:c>
    </x:row>
    <x:row r="47">
      <x:c r="C47" s="8"/>
      <x:c r="D47" t="str">
        <x:f>IF(A47="","",B47*(1+C47))</x:f>
      </x:c>
      <x:c r="E47" t="str">
        <x:f>IF(A47="","",IFERROR(INDEX('Project Control'!$D$2:$D$101,MATCH(A47,'Project Control'!$A$2:$A$101,0)),0))</x:f>
      </x:c>
      <x:c r="F47" t="str">
        <x:f>IF(A47="","",E47-B47)</x:f>
      </x:c>
      <x:c r="G47" s="8" t="str">
        <x:f>IF(A47="","",IF(E47&gt;0,F47/E47,0))</x:f>
      </x:c>
      <x:c r="I47" t="str">
        <x:f>IF(A47="","",D47+H47)</x:f>
      </x:c>
      <x:c r="J47" s="8" t="str">
        <x:f>IF(A47="","",IF(B47&gt;0,I47/B47-1,0))</x:f>
      </x:c>
    </x:row>
    <x:row r="48">
      <x:c r="C48" s="8"/>
      <x:c r="D48" t="str">
        <x:f>IF(A48="","",B48*(1+C48))</x:f>
      </x:c>
      <x:c r="E48" t="str">
        <x:f>IF(A48="","",IFERROR(INDEX('Project Control'!$D$2:$D$101,MATCH(A48,'Project Control'!$A$2:$A$101,0)),0))</x:f>
      </x:c>
      <x:c r="F48" t="str">
        <x:f>IF(A48="","",E48-B48)</x:f>
      </x:c>
      <x:c r="G48" s="8" t="str">
        <x:f>IF(A48="","",IF(E48&gt;0,F48/E48,0))</x:f>
      </x:c>
      <x:c r="I48" t="str">
        <x:f>IF(A48="","",D48+H48)</x:f>
      </x:c>
      <x:c r="J48" s="8" t="str">
        <x:f>IF(A48="","",IF(B48&gt;0,I48/B48-1,0))</x:f>
      </x:c>
    </x:row>
    <x:row r="49">
      <x:c r="C49" s="8"/>
      <x:c r="D49" t="str">
        <x:f>IF(A49="","",B49*(1+C49))</x:f>
      </x:c>
      <x:c r="E49" t="str">
        <x:f>IF(A49="","",IFERROR(INDEX('Project Control'!$D$2:$D$101,MATCH(A49,'Project Control'!$A$2:$A$101,0)),0))</x:f>
      </x:c>
      <x:c r="F49" t="str">
        <x:f>IF(A49="","",E49-B49)</x:f>
      </x:c>
      <x:c r="G49" s="8" t="str">
        <x:f>IF(A49="","",IF(E49&gt;0,F49/E49,0))</x:f>
      </x:c>
      <x:c r="I49" t="str">
        <x:f>IF(A49="","",D49+H49)</x:f>
      </x:c>
      <x:c r="J49" s="8" t="str">
        <x:f>IF(A49="","",IF(B49&gt;0,I49/B49-1,0))</x:f>
      </x:c>
    </x:row>
    <x:row r="50">
      <x:c r="C50" s="8"/>
      <x:c r="D50" t="str">
        <x:f>IF(A50="","",B50*(1+C50))</x:f>
      </x:c>
      <x:c r="E50" t="str">
        <x:f>IF(A50="","",IFERROR(INDEX('Project Control'!$D$2:$D$101,MATCH(A50,'Project Control'!$A$2:$A$101,0)),0))</x:f>
      </x:c>
      <x:c r="F50" t="str">
        <x:f>IF(A50="","",E50-B50)</x:f>
      </x:c>
      <x:c r="G50" s="8" t="str">
        <x:f>IF(A50="","",IF(E50&gt;0,F50/E50,0))</x:f>
      </x:c>
      <x:c r="I50" t="str">
        <x:f>IF(A50="","",D50+H50)</x:f>
      </x:c>
      <x:c r="J50" s="8" t="str">
        <x:f>IF(A50="","",IF(B50&gt;0,I50/B50-1,0))</x:f>
      </x:c>
    </x:row>
    <x:row r="51">
      <x:c r="C51" s="8"/>
      <x:c r="D51" t="str">
        <x:f>IF(A51="","",B51*(1+C51))</x:f>
      </x:c>
      <x:c r="E51" t="str">
        <x:f>IF(A51="","",IFERROR(INDEX('Project Control'!$D$2:$D$101,MATCH(A51,'Project Control'!$A$2:$A$101,0)),0))</x:f>
      </x:c>
      <x:c r="F51" t="str">
        <x:f>IF(A51="","",E51-B51)</x:f>
      </x:c>
      <x:c r="G51" s="8" t="str">
        <x:f>IF(A51="","",IF(E51&gt;0,F51/E51,0))</x:f>
      </x:c>
      <x:c r="I51" t="str">
        <x:f>IF(A51="","",D51+H51)</x:f>
      </x:c>
      <x:c r="J51" s="8" t="str">
        <x:f>IF(A51="","",IF(B51&gt;0,I51/B51-1,0))</x:f>
      </x:c>
    </x:row>
    <x:row r="52">
      <x:c r="C52" s="8"/>
      <x:c r="D52" t="str">
        <x:f>IF(A52="","",B52*(1+C52))</x:f>
      </x:c>
      <x:c r="E52" t="str">
        <x:f>IF(A52="","",IFERROR(INDEX('Project Control'!$D$2:$D$101,MATCH(A52,'Project Control'!$A$2:$A$101,0)),0))</x:f>
      </x:c>
      <x:c r="F52" t="str">
        <x:f>IF(A52="","",E52-B52)</x:f>
      </x:c>
      <x:c r="G52" s="8" t="str">
        <x:f>IF(A52="","",IF(E52&gt;0,F52/E52,0))</x:f>
      </x:c>
      <x:c r="I52" t="str">
        <x:f>IF(A52="","",D52+H52)</x:f>
      </x:c>
      <x:c r="J52" s="8" t="str">
        <x:f>IF(A52="","",IF(B52&gt;0,I52/B52-1,0))</x:f>
      </x:c>
    </x:row>
    <x:row r="53">
      <x:c r="C53" s="8"/>
      <x:c r="D53" t="str">
        <x:f>IF(A53="","",B53*(1+C53))</x:f>
      </x:c>
      <x:c r="E53" t="str">
        <x:f>IF(A53="","",IFERROR(INDEX('Project Control'!$D$2:$D$101,MATCH(A53,'Project Control'!$A$2:$A$101,0)),0))</x:f>
      </x:c>
      <x:c r="F53" t="str">
        <x:f>IF(A53="","",E53-B53)</x:f>
      </x:c>
      <x:c r="G53" s="8" t="str">
        <x:f>IF(A53="","",IF(E53&gt;0,F53/E53,0))</x:f>
      </x:c>
      <x:c r="I53" t="str">
        <x:f>IF(A53="","",D53+H53)</x:f>
      </x:c>
      <x:c r="J53" s="8" t="str">
        <x:f>IF(A53="","",IF(B53&gt;0,I53/B53-1,0))</x:f>
      </x:c>
    </x:row>
    <x:row r="54">
      <x:c r="C54" s="8"/>
      <x:c r="D54" t="str">
        <x:f>IF(A54="","",B54*(1+C54))</x:f>
      </x:c>
      <x:c r="E54" t="str">
        <x:f>IF(A54="","",IFERROR(INDEX('Project Control'!$D$2:$D$101,MATCH(A54,'Project Control'!$A$2:$A$101,0)),0))</x:f>
      </x:c>
      <x:c r="F54" t="str">
        <x:f>IF(A54="","",E54-B54)</x:f>
      </x:c>
      <x:c r="G54" s="8" t="str">
        <x:f>IF(A54="","",IF(E54&gt;0,F54/E54,0))</x:f>
      </x:c>
      <x:c r="I54" t="str">
        <x:f>IF(A54="","",D54+H54)</x:f>
      </x:c>
      <x:c r="J54" s="8" t="str">
        <x:f>IF(A54="","",IF(B54&gt;0,I54/B54-1,0))</x:f>
      </x:c>
    </x:row>
    <x:row r="55">
      <x:c r="C55" s="8"/>
      <x:c r="D55" t="str">
        <x:f>IF(A55="","",B55*(1+C55))</x:f>
      </x:c>
      <x:c r="E55" t="str">
        <x:f>IF(A55="","",IFERROR(INDEX('Project Control'!$D$2:$D$101,MATCH(A55,'Project Control'!$A$2:$A$101,0)),0))</x:f>
      </x:c>
      <x:c r="F55" t="str">
        <x:f>IF(A55="","",E55-B55)</x:f>
      </x:c>
      <x:c r="G55" s="8" t="str">
        <x:f>IF(A55="","",IF(E55&gt;0,F55/E55,0))</x:f>
      </x:c>
      <x:c r="I55" t="str">
        <x:f>IF(A55="","",D55+H55)</x:f>
      </x:c>
      <x:c r="J55" s="8" t="str">
        <x:f>IF(A55="","",IF(B55&gt;0,I55/B55-1,0))</x:f>
      </x:c>
    </x:row>
    <x:row r="56">
      <x:c r="C56" s="8"/>
      <x:c r="D56" t="str">
        <x:f>IF(A56="","",B56*(1+C56))</x:f>
      </x:c>
      <x:c r="E56" t="str">
        <x:f>IF(A56="","",IFERROR(INDEX('Project Control'!$D$2:$D$101,MATCH(A56,'Project Control'!$A$2:$A$101,0)),0))</x:f>
      </x:c>
      <x:c r="F56" t="str">
        <x:f>IF(A56="","",E56-B56)</x:f>
      </x:c>
      <x:c r="G56" s="8" t="str">
        <x:f>IF(A56="","",IF(E56&gt;0,F56/E56,0))</x:f>
      </x:c>
      <x:c r="I56" t="str">
        <x:f>IF(A56="","",D56+H56)</x:f>
      </x:c>
      <x:c r="J56" s="8" t="str">
        <x:f>IF(A56="","",IF(B56&gt;0,I56/B56-1,0))</x:f>
      </x:c>
    </x:row>
    <x:row r="57">
      <x:c r="C57" s="8"/>
      <x:c r="D57" t="str">
        <x:f>IF(A57="","",B57*(1+C57))</x:f>
      </x:c>
      <x:c r="E57" t="str">
        <x:f>IF(A57="","",IFERROR(INDEX('Project Control'!$D$2:$D$101,MATCH(A57,'Project Control'!$A$2:$A$101,0)),0))</x:f>
      </x:c>
      <x:c r="F57" t="str">
        <x:f>IF(A57="","",E57-B57)</x:f>
      </x:c>
      <x:c r="G57" s="8" t="str">
        <x:f>IF(A57="","",IF(E57&gt;0,F57/E57,0))</x:f>
      </x:c>
      <x:c r="I57" t="str">
        <x:f>IF(A57="","",D57+H57)</x:f>
      </x:c>
      <x:c r="J57" s="8" t="str">
        <x:f>IF(A57="","",IF(B57&gt;0,I57/B57-1,0))</x:f>
      </x:c>
    </x:row>
    <x:row r="58">
      <x:c r="C58" s="8"/>
      <x:c r="D58" t="str">
        <x:f>IF(A58="","",B58*(1+C58))</x:f>
      </x:c>
      <x:c r="E58" t="str">
        <x:f>IF(A58="","",IFERROR(INDEX('Project Control'!$D$2:$D$101,MATCH(A58,'Project Control'!$A$2:$A$101,0)),0))</x:f>
      </x:c>
      <x:c r="F58" t="str">
        <x:f>IF(A58="","",E58-B58)</x:f>
      </x:c>
      <x:c r="G58" s="8" t="str">
        <x:f>IF(A58="","",IF(E58&gt;0,F58/E58,0))</x:f>
      </x:c>
      <x:c r="I58" t="str">
        <x:f>IF(A58="","",D58+H58)</x:f>
      </x:c>
      <x:c r="J58" s="8" t="str">
        <x:f>IF(A58="","",IF(B58&gt;0,I58/B58-1,0))</x:f>
      </x:c>
    </x:row>
    <x:row r="59">
      <x:c r="C59" s="8"/>
      <x:c r="D59" t="str">
        <x:f>IF(A59="","",B59*(1+C59))</x:f>
      </x:c>
      <x:c r="E59" t="str">
        <x:f>IF(A59="","",IFERROR(INDEX('Project Control'!$D$2:$D$101,MATCH(A59,'Project Control'!$A$2:$A$101,0)),0))</x:f>
      </x:c>
      <x:c r="F59" t="str">
        <x:f>IF(A59="","",E59-B59)</x:f>
      </x:c>
      <x:c r="G59" s="8" t="str">
        <x:f>IF(A59="","",IF(E59&gt;0,F59/E59,0))</x:f>
      </x:c>
      <x:c r="I59" t="str">
        <x:f>IF(A59="","",D59+H59)</x:f>
      </x:c>
      <x:c r="J59" s="8" t="str">
        <x:f>IF(A59="","",IF(B59&gt;0,I59/B59-1,0))</x:f>
      </x:c>
    </x:row>
    <x:row r="60">
      <x:c r="C60" s="8"/>
      <x:c r="D60" t="str">
        <x:f>IF(A60="","",B60*(1+C60))</x:f>
      </x:c>
      <x:c r="E60" t="str">
        <x:f>IF(A60="","",IFERROR(INDEX('Project Control'!$D$2:$D$101,MATCH(A60,'Project Control'!$A$2:$A$101,0)),0))</x:f>
      </x:c>
      <x:c r="F60" t="str">
        <x:f>IF(A60="","",E60-B60)</x:f>
      </x:c>
      <x:c r="G60" s="8" t="str">
        <x:f>IF(A60="","",IF(E60&gt;0,F60/E60,0))</x:f>
      </x:c>
      <x:c r="I60" t="str">
        <x:f>IF(A60="","",D60+H60)</x:f>
      </x:c>
      <x:c r="J60" s="8" t="str">
        <x:f>IF(A60="","",IF(B60&gt;0,I60/B60-1,0))</x:f>
      </x:c>
    </x:row>
    <x:row r="61">
      <x:c r="C61" s="8"/>
      <x:c r="D61" t="str">
        <x:f>IF(A61="","",B61*(1+C61))</x:f>
      </x:c>
      <x:c r="E61" t="str">
        <x:f>IF(A61="","",IFERROR(INDEX('Project Control'!$D$2:$D$101,MATCH(A61,'Project Control'!$A$2:$A$101,0)),0))</x:f>
      </x:c>
      <x:c r="F61" t="str">
        <x:f>IF(A61="","",E61-B61)</x:f>
      </x:c>
      <x:c r="G61" s="8" t="str">
        <x:f>IF(A61="","",IF(E61&gt;0,F61/E61,0))</x:f>
      </x:c>
      <x:c r="I61" t="str">
        <x:f>IF(A61="","",D61+H61)</x:f>
      </x:c>
      <x:c r="J61" s="8" t="str">
        <x:f>IF(A61="","",IF(B61&gt;0,I61/B61-1,0))</x:f>
      </x:c>
    </x:row>
    <x:row r="62">
      <x:c r="C62" s="8"/>
      <x:c r="D62" t="str">
        <x:f>IF(A62="","",B62*(1+C62))</x:f>
      </x:c>
      <x:c r="E62" t="str">
        <x:f>IF(A62="","",IFERROR(INDEX('Project Control'!$D$2:$D$101,MATCH(A62,'Project Control'!$A$2:$A$101,0)),0))</x:f>
      </x:c>
      <x:c r="F62" t="str">
        <x:f>IF(A62="","",E62-B62)</x:f>
      </x:c>
      <x:c r="G62" s="8" t="str">
        <x:f>IF(A62="","",IF(E62&gt;0,F62/E62,0))</x:f>
      </x:c>
      <x:c r="I62" t="str">
        <x:f>IF(A62="","",D62+H62)</x:f>
      </x:c>
      <x:c r="J62" s="8" t="str">
        <x:f>IF(A62="","",IF(B62&gt;0,I62/B62-1,0))</x:f>
      </x:c>
    </x:row>
    <x:row r="63">
      <x:c r="C63" s="8"/>
      <x:c r="D63" t="str">
        <x:f>IF(A63="","",B63*(1+C63))</x:f>
      </x:c>
      <x:c r="E63" t="str">
        <x:f>IF(A63="","",IFERROR(INDEX('Project Control'!$D$2:$D$101,MATCH(A63,'Project Control'!$A$2:$A$101,0)),0))</x:f>
      </x:c>
      <x:c r="F63" t="str">
        <x:f>IF(A63="","",E63-B63)</x:f>
      </x:c>
      <x:c r="G63" s="8" t="str">
        <x:f>IF(A63="","",IF(E63&gt;0,F63/E63,0))</x:f>
      </x:c>
      <x:c r="I63" t="str">
        <x:f>IF(A63="","",D63+H63)</x:f>
      </x:c>
      <x:c r="J63" s="8" t="str">
        <x:f>IF(A63="","",IF(B63&gt;0,I63/B63-1,0))</x:f>
      </x:c>
    </x:row>
    <x:row r="64">
      <x:c r="C64" s="8"/>
      <x:c r="D64" t="str">
        <x:f>IF(A64="","",B64*(1+C64))</x:f>
      </x:c>
      <x:c r="E64" t="str">
        <x:f>IF(A64="","",IFERROR(INDEX('Project Control'!$D$2:$D$101,MATCH(A64,'Project Control'!$A$2:$A$101,0)),0))</x:f>
      </x:c>
      <x:c r="F64" t="str">
        <x:f>IF(A64="","",E64-B64)</x:f>
      </x:c>
      <x:c r="G64" s="8" t="str">
        <x:f>IF(A64="","",IF(E64&gt;0,F64/E64,0))</x:f>
      </x:c>
      <x:c r="I64" t="str">
        <x:f>IF(A64="","",D64+H64)</x:f>
      </x:c>
      <x:c r="J64" s="8" t="str">
        <x:f>IF(A64="","",IF(B64&gt;0,I64/B64-1,0))</x:f>
      </x:c>
    </x:row>
    <x:row r="65">
      <x:c r="C65" s="8"/>
      <x:c r="D65" t="str">
        <x:f>IF(A65="","",B65*(1+C65))</x:f>
      </x:c>
      <x:c r="E65" t="str">
        <x:f>IF(A65="","",IFERROR(INDEX('Project Control'!$D$2:$D$101,MATCH(A65,'Project Control'!$A$2:$A$101,0)),0))</x:f>
      </x:c>
      <x:c r="F65" t="str">
        <x:f>IF(A65="","",E65-B65)</x:f>
      </x:c>
      <x:c r="G65" s="8" t="str">
        <x:f>IF(A65="","",IF(E65&gt;0,F65/E65,0))</x:f>
      </x:c>
      <x:c r="I65" t="str">
        <x:f>IF(A65="","",D65+H65)</x:f>
      </x:c>
      <x:c r="J65" s="8" t="str">
        <x:f>IF(A65="","",IF(B65&gt;0,I65/B65-1,0))</x:f>
      </x:c>
    </x:row>
    <x:row r="66">
      <x:c r="C66" s="8"/>
      <x:c r="D66" t="str">
        <x:f>IF(A66="","",B66*(1+C66))</x:f>
      </x:c>
      <x:c r="E66" t="str">
        <x:f>IF(A66="","",IFERROR(INDEX('Project Control'!$D$2:$D$101,MATCH(A66,'Project Control'!$A$2:$A$101,0)),0))</x:f>
      </x:c>
      <x:c r="F66" t="str">
        <x:f>IF(A66="","",E66-B66)</x:f>
      </x:c>
      <x:c r="G66" s="8" t="str">
        <x:f>IF(A66="","",IF(E66&gt;0,F66/E66,0))</x:f>
      </x:c>
      <x:c r="I66" t="str">
        <x:f>IF(A66="","",D66+H66)</x:f>
      </x:c>
      <x:c r="J66" s="8" t="str">
        <x:f>IF(A66="","",IF(B66&gt;0,I66/B66-1,0))</x:f>
      </x:c>
    </x:row>
    <x:row r="67">
      <x:c r="C67" s="8"/>
      <x:c r="D67" t="str">
        <x:f>IF(A67="","",B67*(1+C67))</x:f>
      </x:c>
      <x:c r="E67" t="str">
        <x:f>IF(A67="","",IFERROR(INDEX('Project Control'!$D$2:$D$101,MATCH(A67,'Project Control'!$A$2:$A$101,0)),0))</x:f>
      </x:c>
      <x:c r="F67" t="str">
        <x:f>IF(A67="","",E67-B67)</x:f>
      </x:c>
      <x:c r="G67" s="8" t="str">
        <x:f>IF(A67="","",IF(E67&gt;0,F67/E67,0))</x:f>
      </x:c>
      <x:c r="I67" t="str">
        <x:f>IF(A67="","",D67+H67)</x:f>
      </x:c>
      <x:c r="J67" s="8" t="str">
        <x:f>IF(A67="","",IF(B67&gt;0,I67/B67-1,0))</x:f>
      </x:c>
    </x:row>
    <x:row r="68">
      <x:c r="C68" s="8"/>
      <x:c r="D68" t="str">
        <x:f>IF(A68="","",B68*(1+C68))</x:f>
      </x:c>
      <x:c r="E68" t="str">
        <x:f>IF(A68="","",IFERROR(INDEX('Project Control'!$D$2:$D$101,MATCH(A68,'Project Control'!$A$2:$A$101,0)),0))</x:f>
      </x:c>
      <x:c r="F68" t="str">
        <x:f>IF(A68="","",E68-B68)</x:f>
      </x:c>
      <x:c r="G68" s="8" t="str">
        <x:f>IF(A68="","",IF(E68&gt;0,F68/E68,0))</x:f>
      </x:c>
      <x:c r="I68" t="str">
        <x:f>IF(A68="","",D68+H68)</x:f>
      </x:c>
      <x:c r="J68" s="8" t="str">
        <x:f>IF(A68="","",IF(B68&gt;0,I68/B68-1,0))</x:f>
      </x:c>
    </x:row>
    <x:row r="69">
      <x:c r="C69" s="8"/>
      <x:c r="D69" t="str">
        <x:f>IF(A69="","",B69*(1+C69))</x:f>
      </x:c>
      <x:c r="E69" t="str">
        <x:f>IF(A69="","",IFERROR(INDEX('Project Control'!$D$2:$D$101,MATCH(A69,'Project Control'!$A$2:$A$101,0)),0))</x:f>
      </x:c>
      <x:c r="F69" t="str">
        <x:f>IF(A69="","",E69-B69)</x:f>
      </x:c>
      <x:c r="G69" s="8" t="str">
        <x:f>IF(A69="","",IF(E69&gt;0,F69/E69,0))</x:f>
      </x:c>
      <x:c r="I69" t="str">
        <x:f>IF(A69="","",D69+H69)</x:f>
      </x:c>
      <x:c r="J69" s="8" t="str">
        <x:f>IF(A69="","",IF(B69&gt;0,I69/B69-1,0))</x:f>
      </x:c>
    </x:row>
    <x:row r="70">
      <x:c r="C70" s="8"/>
      <x:c r="D70" t="str">
        <x:f>IF(A70="","",B70*(1+C70))</x:f>
      </x:c>
      <x:c r="E70" t="str">
        <x:f>IF(A70="","",IFERROR(INDEX('Project Control'!$D$2:$D$101,MATCH(A70,'Project Control'!$A$2:$A$101,0)),0))</x:f>
      </x:c>
      <x:c r="F70" t="str">
        <x:f>IF(A70="","",E70-B70)</x:f>
      </x:c>
      <x:c r="G70" s="8" t="str">
        <x:f>IF(A70="","",IF(E70&gt;0,F70/E70,0))</x:f>
      </x:c>
      <x:c r="I70" t="str">
        <x:f>IF(A70="","",D70+H70)</x:f>
      </x:c>
      <x:c r="J70" s="8" t="str">
        <x:f>IF(A70="","",IF(B70&gt;0,I70/B70-1,0))</x:f>
      </x:c>
    </x:row>
    <x:row r="71">
      <x:c r="C71" s="8"/>
      <x:c r="D71" t="str">
        <x:f>IF(A71="","",B71*(1+C71))</x:f>
      </x:c>
      <x:c r="E71" t="str">
        <x:f>IF(A71="","",IFERROR(INDEX('Project Control'!$D$2:$D$101,MATCH(A71,'Project Control'!$A$2:$A$101,0)),0))</x:f>
      </x:c>
      <x:c r="F71" t="str">
        <x:f>IF(A71="","",E71-B71)</x:f>
      </x:c>
      <x:c r="G71" s="8" t="str">
        <x:f>IF(A71="","",IF(E71&gt;0,F71/E71,0))</x:f>
      </x:c>
      <x:c r="I71" t="str">
        <x:f>IF(A71="","",D71+H71)</x:f>
      </x:c>
      <x:c r="J71" s="8" t="str">
        <x:f>IF(A71="","",IF(B71&gt;0,I71/B71-1,0))</x:f>
      </x:c>
    </x:row>
    <x:row r="72">
      <x:c r="C72" s="8"/>
      <x:c r="D72" t="str">
        <x:f>IF(A72="","",B72*(1+C72))</x:f>
      </x:c>
      <x:c r="E72" t="str">
        <x:f>IF(A72="","",IFERROR(INDEX('Project Control'!$D$2:$D$101,MATCH(A72,'Project Control'!$A$2:$A$101,0)),0))</x:f>
      </x:c>
      <x:c r="F72" t="str">
        <x:f>IF(A72="","",E72-B72)</x:f>
      </x:c>
      <x:c r="G72" s="8" t="str">
        <x:f>IF(A72="","",IF(E72&gt;0,F72/E72,0))</x:f>
      </x:c>
      <x:c r="I72" t="str">
        <x:f>IF(A72="","",D72+H72)</x:f>
      </x:c>
      <x:c r="J72" s="8" t="str">
        <x:f>IF(A72="","",IF(B72&gt;0,I72/B72-1,0))</x:f>
      </x:c>
    </x:row>
    <x:row r="73">
      <x:c r="C73" s="8"/>
      <x:c r="D73" t="str">
        <x:f>IF(A73="","",B73*(1+C73))</x:f>
      </x:c>
      <x:c r="E73" t="str">
        <x:f>IF(A73="","",IFERROR(INDEX('Project Control'!$D$2:$D$101,MATCH(A73,'Project Control'!$A$2:$A$101,0)),0))</x:f>
      </x:c>
      <x:c r="F73" t="str">
        <x:f>IF(A73="","",E73-B73)</x:f>
      </x:c>
      <x:c r="G73" s="8" t="str">
        <x:f>IF(A73="","",IF(E73&gt;0,F73/E73,0))</x:f>
      </x:c>
      <x:c r="I73" t="str">
        <x:f>IF(A73="","",D73+H73)</x:f>
      </x:c>
      <x:c r="J73" s="8" t="str">
        <x:f>IF(A73="","",IF(B73&gt;0,I73/B73-1,0))</x:f>
      </x:c>
    </x:row>
    <x:row r="74">
      <x:c r="C74" s="8"/>
      <x:c r="D74" t="str">
        <x:f>IF(A74="","",B74*(1+C74))</x:f>
      </x:c>
      <x:c r="E74" t="str">
        <x:f>IF(A74="","",IFERROR(INDEX('Project Control'!$D$2:$D$101,MATCH(A74,'Project Control'!$A$2:$A$101,0)),0))</x:f>
      </x:c>
      <x:c r="F74" t="str">
        <x:f>IF(A74="","",E74-B74)</x:f>
      </x:c>
      <x:c r="G74" s="8" t="str">
        <x:f>IF(A74="","",IF(E74&gt;0,F74/E74,0))</x:f>
      </x:c>
      <x:c r="I74" t="str">
        <x:f>IF(A74="","",D74+H74)</x:f>
      </x:c>
      <x:c r="J74" s="8" t="str">
        <x:f>IF(A74="","",IF(B74&gt;0,I74/B74-1,0))</x:f>
      </x:c>
    </x:row>
    <x:row r="75">
      <x:c r="C75" s="8"/>
      <x:c r="D75" t="str">
        <x:f>IF(A75="","",B75*(1+C75))</x:f>
      </x:c>
      <x:c r="E75" t="str">
        <x:f>IF(A75="","",IFERROR(INDEX('Project Control'!$D$2:$D$101,MATCH(A75,'Project Control'!$A$2:$A$101,0)),0))</x:f>
      </x:c>
      <x:c r="F75" t="str">
        <x:f>IF(A75="","",E75-B75)</x:f>
      </x:c>
      <x:c r="G75" s="8" t="str">
        <x:f>IF(A75="","",IF(E75&gt;0,F75/E75,0))</x:f>
      </x:c>
      <x:c r="I75" t="str">
        <x:f>IF(A75="","",D75+H75)</x:f>
      </x:c>
      <x:c r="J75" s="8" t="str">
        <x:f>IF(A75="","",IF(B75&gt;0,I75/B75-1,0))</x:f>
      </x:c>
    </x:row>
    <x:row r="76">
      <x:c r="C76" s="8"/>
      <x:c r="D76" t="str">
        <x:f>IF(A76="","",B76*(1+C76))</x:f>
      </x:c>
      <x:c r="E76" t="str">
        <x:f>IF(A76="","",IFERROR(INDEX('Project Control'!$D$2:$D$101,MATCH(A76,'Project Control'!$A$2:$A$101,0)),0))</x:f>
      </x:c>
      <x:c r="F76" t="str">
        <x:f>IF(A76="","",E76-B76)</x:f>
      </x:c>
      <x:c r="G76" s="8" t="str">
        <x:f>IF(A76="","",IF(E76&gt;0,F76/E76,0))</x:f>
      </x:c>
      <x:c r="I76" t="str">
        <x:f>IF(A76="","",D76+H76)</x:f>
      </x:c>
      <x:c r="J76" s="8" t="str">
        <x:f>IF(A76="","",IF(B76&gt;0,I76/B76-1,0))</x:f>
      </x:c>
    </x:row>
    <x:row r="77">
      <x:c r="C77" s="8"/>
      <x:c r="D77" t="str">
        <x:f>IF(A77="","",B77*(1+C77))</x:f>
      </x:c>
      <x:c r="E77" t="str">
        <x:f>IF(A77="","",IFERROR(INDEX('Project Control'!$D$2:$D$101,MATCH(A77,'Project Control'!$A$2:$A$101,0)),0))</x:f>
      </x:c>
      <x:c r="F77" t="str">
        <x:f>IF(A77="","",E77-B77)</x:f>
      </x:c>
      <x:c r="G77" s="8" t="str">
        <x:f>IF(A77="","",IF(E77&gt;0,F77/E77,0))</x:f>
      </x:c>
      <x:c r="I77" t="str">
        <x:f>IF(A77="","",D77+H77)</x:f>
      </x:c>
      <x:c r="J77" s="8" t="str">
        <x:f>IF(A77="","",IF(B77&gt;0,I77/B77-1,0))</x:f>
      </x:c>
    </x:row>
    <x:row r="78">
      <x:c r="C78" s="8"/>
      <x:c r="D78" t="str">
        <x:f>IF(A78="","",B78*(1+C78))</x:f>
      </x:c>
      <x:c r="E78" t="str">
        <x:f>IF(A78="","",IFERROR(INDEX('Project Control'!$D$2:$D$101,MATCH(A78,'Project Control'!$A$2:$A$101,0)),0))</x:f>
      </x:c>
      <x:c r="F78" t="str">
        <x:f>IF(A78="","",E78-B78)</x:f>
      </x:c>
      <x:c r="G78" s="8" t="str">
        <x:f>IF(A78="","",IF(E78&gt;0,F78/E78,0))</x:f>
      </x:c>
      <x:c r="I78" t="str">
        <x:f>IF(A78="","",D78+H78)</x:f>
      </x:c>
      <x:c r="J78" s="8" t="str">
        <x:f>IF(A78="","",IF(B78&gt;0,I78/B78-1,0))</x:f>
      </x:c>
    </x:row>
    <x:row r="79">
      <x:c r="C79" s="8"/>
      <x:c r="D79" t="str">
        <x:f>IF(A79="","",B79*(1+C79))</x:f>
      </x:c>
      <x:c r="E79" t="str">
        <x:f>IF(A79="","",IFERROR(INDEX('Project Control'!$D$2:$D$101,MATCH(A79,'Project Control'!$A$2:$A$101,0)),0))</x:f>
      </x:c>
      <x:c r="F79" t="str">
        <x:f>IF(A79="","",E79-B79)</x:f>
      </x:c>
      <x:c r="G79" s="8" t="str">
        <x:f>IF(A79="","",IF(E79&gt;0,F79/E79,0))</x:f>
      </x:c>
      <x:c r="I79" t="str">
        <x:f>IF(A79="","",D79+H79)</x:f>
      </x:c>
      <x:c r="J79" s="8" t="str">
        <x:f>IF(A79="","",IF(B79&gt;0,I79/B79-1,0))</x:f>
      </x:c>
    </x:row>
    <x:row r="80">
      <x:c r="C80" s="8"/>
      <x:c r="D80" t="str">
        <x:f>IF(A80="","",B80*(1+C80))</x:f>
      </x:c>
      <x:c r="E80" t="str">
        <x:f>IF(A80="","",IFERROR(INDEX('Project Control'!$D$2:$D$101,MATCH(A80,'Project Control'!$A$2:$A$101,0)),0))</x:f>
      </x:c>
      <x:c r="F80" t="str">
        <x:f>IF(A80="","",E80-B80)</x:f>
      </x:c>
      <x:c r="G80" s="8" t="str">
        <x:f>IF(A80="","",IF(E80&gt;0,F80/E80,0))</x:f>
      </x:c>
      <x:c r="I80" t="str">
        <x:f>IF(A80="","",D80+H80)</x:f>
      </x:c>
      <x:c r="J80" s="8" t="str">
        <x:f>IF(A80="","",IF(B80&gt;0,I80/B80-1,0))</x:f>
      </x:c>
    </x:row>
    <x:row r="81">
      <x:c r="C81" s="8"/>
      <x:c r="D81" t="str">
        <x:f>IF(A81="","",B81*(1+C81))</x:f>
      </x:c>
      <x:c r="E81" t="str">
        <x:f>IF(A81="","",IFERROR(INDEX('Project Control'!$D$2:$D$101,MATCH(A81,'Project Control'!$A$2:$A$101,0)),0))</x:f>
      </x:c>
      <x:c r="F81" t="str">
        <x:f>IF(A81="","",E81-B81)</x:f>
      </x:c>
      <x:c r="G81" s="8" t="str">
        <x:f>IF(A81="","",IF(E81&gt;0,F81/E81,0))</x:f>
      </x:c>
      <x:c r="I81" t="str">
        <x:f>IF(A81="","",D81+H81)</x:f>
      </x:c>
      <x:c r="J81" s="8" t="str">
        <x:f>IF(A81="","",IF(B81&gt;0,I81/B81-1,0))</x:f>
      </x:c>
    </x:row>
    <x:row r="82">
      <x:c r="C82" s="8"/>
      <x:c r="D82" t="str">
        <x:f>IF(A82="","",B82*(1+C82))</x:f>
      </x:c>
      <x:c r="E82" t="str">
        <x:f>IF(A82="","",IFERROR(INDEX('Project Control'!$D$2:$D$101,MATCH(A82,'Project Control'!$A$2:$A$101,0)),0))</x:f>
      </x:c>
      <x:c r="F82" t="str">
        <x:f>IF(A82="","",E82-B82)</x:f>
      </x:c>
      <x:c r="G82" s="8" t="str">
        <x:f>IF(A82="","",IF(E82&gt;0,F82/E82,0))</x:f>
      </x:c>
      <x:c r="I82" t="str">
        <x:f>IF(A82="","",D82+H82)</x:f>
      </x:c>
      <x:c r="J82" s="8" t="str">
        <x:f>IF(A82="","",IF(B82&gt;0,I82/B82-1,0))</x:f>
      </x:c>
    </x:row>
    <x:row r="83">
      <x:c r="C83" s="8"/>
      <x:c r="D83" t="str">
        <x:f>IF(A83="","",B83*(1+C83))</x:f>
      </x:c>
      <x:c r="E83" t="str">
        <x:f>IF(A83="","",IFERROR(INDEX('Project Control'!$D$2:$D$101,MATCH(A83,'Project Control'!$A$2:$A$101,0)),0))</x:f>
      </x:c>
      <x:c r="F83" t="str">
        <x:f>IF(A83="","",E83-B83)</x:f>
      </x:c>
      <x:c r="G83" s="8" t="str">
        <x:f>IF(A83="","",IF(E83&gt;0,F83/E83,0))</x:f>
      </x:c>
      <x:c r="I83" t="str">
        <x:f>IF(A83="","",D83+H83)</x:f>
      </x:c>
      <x:c r="J83" s="8" t="str">
        <x:f>IF(A83="","",IF(B83&gt;0,I83/B83-1,0))</x:f>
      </x:c>
    </x:row>
    <x:row r="84">
      <x:c r="C84" s="8"/>
      <x:c r="D84" t="str">
        <x:f>IF(A84="","",B84*(1+C84))</x:f>
      </x:c>
      <x:c r="E84" t="str">
        <x:f>IF(A84="","",IFERROR(INDEX('Project Control'!$D$2:$D$101,MATCH(A84,'Project Control'!$A$2:$A$101,0)),0))</x:f>
      </x:c>
      <x:c r="F84" t="str">
        <x:f>IF(A84="","",E84-B84)</x:f>
      </x:c>
      <x:c r="G84" s="8" t="str">
        <x:f>IF(A84="","",IF(E84&gt;0,F84/E84,0))</x:f>
      </x:c>
      <x:c r="I84" t="str">
        <x:f>IF(A84="","",D84+H84)</x:f>
      </x:c>
      <x:c r="J84" s="8" t="str">
        <x:f>IF(A84="","",IF(B84&gt;0,I84/B84-1,0))</x:f>
      </x:c>
    </x:row>
    <x:row r="85">
      <x:c r="C85" s="8"/>
      <x:c r="D85" t="str">
        <x:f>IF(A85="","",B85*(1+C85))</x:f>
      </x:c>
      <x:c r="E85" t="str">
        <x:f>IF(A85="","",IFERROR(INDEX('Project Control'!$D$2:$D$101,MATCH(A85,'Project Control'!$A$2:$A$101,0)),0))</x:f>
      </x:c>
      <x:c r="F85" t="str">
        <x:f>IF(A85="","",E85-B85)</x:f>
      </x:c>
      <x:c r="G85" s="8" t="str">
        <x:f>IF(A85="","",IF(E85&gt;0,F85/E85,0))</x:f>
      </x:c>
      <x:c r="I85" t="str">
        <x:f>IF(A85="","",D85+H85)</x:f>
      </x:c>
      <x:c r="J85" s="8" t="str">
        <x:f>IF(A85="","",IF(B85&gt;0,I85/B85-1,0))</x:f>
      </x:c>
    </x:row>
    <x:row r="86">
      <x:c r="C86" s="8"/>
      <x:c r="D86" t="str">
        <x:f>IF(A86="","",B86*(1+C86))</x:f>
      </x:c>
      <x:c r="E86" t="str">
        <x:f>IF(A86="","",IFERROR(INDEX('Project Control'!$D$2:$D$101,MATCH(A86,'Project Control'!$A$2:$A$101,0)),0))</x:f>
      </x:c>
      <x:c r="F86" t="str">
        <x:f>IF(A86="","",E86-B86)</x:f>
      </x:c>
      <x:c r="G86" s="8" t="str">
        <x:f>IF(A86="","",IF(E86&gt;0,F86/E86,0))</x:f>
      </x:c>
      <x:c r="I86" t="str">
        <x:f>IF(A86="","",D86+H86)</x:f>
      </x:c>
      <x:c r="J86" s="8" t="str">
        <x:f>IF(A86="","",IF(B86&gt;0,I86/B86-1,0))</x:f>
      </x:c>
    </x:row>
    <x:row r="87">
      <x:c r="C87" s="8"/>
      <x:c r="D87" t="str">
        <x:f>IF(A87="","",B87*(1+C87))</x:f>
      </x:c>
      <x:c r="E87" t="str">
        <x:f>IF(A87="","",IFERROR(INDEX('Project Control'!$D$2:$D$101,MATCH(A87,'Project Control'!$A$2:$A$101,0)),0))</x:f>
      </x:c>
      <x:c r="F87" t="str">
        <x:f>IF(A87="","",E87-B87)</x:f>
      </x:c>
      <x:c r="G87" s="8" t="str">
        <x:f>IF(A87="","",IF(E87&gt;0,F87/E87,0))</x:f>
      </x:c>
      <x:c r="I87" t="str">
        <x:f>IF(A87="","",D87+H87)</x:f>
      </x:c>
      <x:c r="J87" s="8" t="str">
        <x:f>IF(A87="","",IF(B87&gt;0,I87/B87-1,0))</x:f>
      </x:c>
    </x:row>
    <x:row r="88">
      <x:c r="C88" s="8"/>
      <x:c r="D88" t="str">
        <x:f>IF(A88="","",B88*(1+C88))</x:f>
      </x:c>
      <x:c r="E88" t="str">
        <x:f>IF(A88="","",IFERROR(INDEX('Project Control'!$D$2:$D$101,MATCH(A88,'Project Control'!$A$2:$A$101,0)),0))</x:f>
      </x:c>
      <x:c r="F88" t="str">
        <x:f>IF(A88="","",E88-B88)</x:f>
      </x:c>
      <x:c r="G88" s="8" t="str">
        <x:f>IF(A88="","",IF(E88&gt;0,F88/E88,0))</x:f>
      </x:c>
      <x:c r="I88" t="str">
        <x:f>IF(A88="","",D88+H88)</x:f>
      </x:c>
      <x:c r="J88" s="8" t="str">
        <x:f>IF(A88="","",IF(B88&gt;0,I88/B88-1,0))</x:f>
      </x:c>
    </x:row>
    <x:row r="89">
      <x:c r="C89" s="8"/>
      <x:c r="D89" t="str">
        <x:f>IF(A89="","",B89*(1+C89))</x:f>
      </x:c>
      <x:c r="E89" t="str">
        <x:f>IF(A89="","",IFERROR(INDEX('Project Control'!$D$2:$D$101,MATCH(A89,'Project Control'!$A$2:$A$101,0)),0))</x:f>
      </x:c>
      <x:c r="F89" t="str">
        <x:f>IF(A89="","",E89-B89)</x:f>
      </x:c>
      <x:c r="G89" s="8" t="str">
        <x:f>IF(A89="","",IF(E89&gt;0,F89/E89,0))</x:f>
      </x:c>
      <x:c r="I89" t="str">
        <x:f>IF(A89="","",D89+H89)</x:f>
      </x:c>
      <x:c r="J89" s="8" t="str">
        <x:f>IF(A89="","",IF(B89&gt;0,I89/B89-1,0))</x:f>
      </x:c>
    </x:row>
    <x:row r="90">
      <x:c r="C90" s="8"/>
      <x:c r="D90" t="str">
        <x:f>IF(A90="","",B90*(1+C90))</x:f>
      </x:c>
      <x:c r="E90" t="str">
        <x:f>IF(A90="","",IFERROR(INDEX('Project Control'!$D$2:$D$101,MATCH(A90,'Project Control'!$A$2:$A$101,0)),0))</x:f>
      </x:c>
      <x:c r="F90" t="str">
        <x:f>IF(A90="","",E90-B90)</x:f>
      </x:c>
      <x:c r="G90" s="8" t="str">
        <x:f>IF(A90="","",IF(E90&gt;0,F90/E90,0))</x:f>
      </x:c>
      <x:c r="I90" t="str">
        <x:f>IF(A90="","",D90+H90)</x:f>
      </x:c>
      <x:c r="J90" s="8" t="str">
        <x:f>IF(A90="","",IF(B90&gt;0,I90/B90-1,0))</x:f>
      </x:c>
    </x:row>
    <x:row r="91">
      <x:c r="C91" s="8"/>
      <x:c r="D91" t="str">
        <x:f>IF(A91="","",B91*(1+C91))</x:f>
      </x:c>
      <x:c r="E91" t="str">
        <x:f>IF(A91="","",IFERROR(INDEX('Project Control'!$D$2:$D$101,MATCH(A91,'Project Control'!$A$2:$A$101,0)),0))</x:f>
      </x:c>
      <x:c r="F91" t="str">
        <x:f>IF(A91="","",E91-B91)</x:f>
      </x:c>
      <x:c r="G91" s="8" t="str">
        <x:f>IF(A91="","",IF(E91&gt;0,F91/E91,0))</x:f>
      </x:c>
      <x:c r="I91" t="str">
        <x:f>IF(A91="","",D91+H91)</x:f>
      </x:c>
      <x:c r="J91" s="8" t="str">
        <x:f>IF(A91="","",IF(B91&gt;0,I91/B91-1,0))</x:f>
      </x:c>
    </x:row>
    <x:row r="92">
      <x:c r="C92" s="8"/>
      <x:c r="D92" t="str">
        <x:f>IF(A92="","",B92*(1+C92))</x:f>
      </x:c>
      <x:c r="E92" t="str">
        <x:f>IF(A92="","",IFERROR(INDEX('Project Control'!$D$2:$D$101,MATCH(A92,'Project Control'!$A$2:$A$101,0)),0))</x:f>
      </x:c>
      <x:c r="F92" t="str">
        <x:f>IF(A92="","",E92-B92)</x:f>
      </x:c>
      <x:c r="G92" s="8" t="str">
        <x:f>IF(A92="","",IF(E92&gt;0,F92/E92,0))</x:f>
      </x:c>
      <x:c r="I92" t="str">
        <x:f>IF(A92="","",D92+H92)</x:f>
      </x:c>
      <x:c r="J92" s="8" t="str">
        <x:f>IF(A92="","",IF(B92&gt;0,I92/B92-1,0))</x:f>
      </x:c>
    </x:row>
    <x:row r="93">
      <x:c r="C93" s="8"/>
      <x:c r="D93" t="str">
        <x:f>IF(A93="","",B93*(1+C93))</x:f>
      </x:c>
      <x:c r="E93" t="str">
        <x:f>IF(A93="","",IFERROR(INDEX('Project Control'!$D$2:$D$101,MATCH(A93,'Project Control'!$A$2:$A$101,0)),0))</x:f>
      </x:c>
      <x:c r="F93" t="str">
        <x:f>IF(A93="","",E93-B93)</x:f>
      </x:c>
      <x:c r="G93" s="8" t="str">
        <x:f>IF(A93="","",IF(E93&gt;0,F93/E93,0))</x:f>
      </x:c>
      <x:c r="I93" t="str">
        <x:f>IF(A93="","",D93+H93)</x:f>
      </x:c>
      <x:c r="J93" s="8" t="str">
        <x:f>IF(A93="","",IF(B93&gt;0,I93/B93-1,0))</x:f>
      </x:c>
    </x:row>
    <x:row r="94">
      <x:c r="C94" s="8"/>
      <x:c r="D94" t="str">
        <x:f>IF(A94="","",B94*(1+C94))</x:f>
      </x:c>
      <x:c r="E94" t="str">
        <x:f>IF(A94="","",IFERROR(INDEX('Project Control'!$D$2:$D$101,MATCH(A94,'Project Control'!$A$2:$A$101,0)),0))</x:f>
      </x:c>
      <x:c r="F94" t="str">
        <x:f>IF(A94="","",E94-B94)</x:f>
      </x:c>
      <x:c r="G94" s="8" t="str">
        <x:f>IF(A94="","",IF(E94&gt;0,F94/E94,0))</x:f>
      </x:c>
      <x:c r="I94" t="str">
        <x:f>IF(A94="","",D94+H94)</x:f>
      </x:c>
      <x:c r="J94" s="8" t="str">
        <x:f>IF(A94="","",IF(B94&gt;0,I94/B94-1,0))</x:f>
      </x:c>
    </x:row>
    <x:row r="95">
      <x:c r="C95" s="8"/>
      <x:c r="D95" t="str">
        <x:f>IF(A95="","",B95*(1+C95))</x:f>
      </x:c>
      <x:c r="E95" t="str">
        <x:f>IF(A95="","",IFERROR(INDEX('Project Control'!$D$2:$D$101,MATCH(A95,'Project Control'!$A$2:$A$101,0)),0))</x:f>
      </x:c>
      <x:c r="F95" t="str">
        <x:f>IF(A95="","",E95-B95)</x:f>
      </x:c>
      <x:c r="G95" s="8" t="str">
        <x:f>IF(A95="","",IF(E95&gt;0,F95/E95,0))</x:f>
      </x:c>
      <x:c r="I95" t="str">
        <x:f>IF(A95="","",D95+H95)</x:f>
      </x:c>
      <x:c r="J95" s="8" t="str">
        <x:f>IF(A95="","",IF(B95&gt;0,I95/B95-1,0))</x:f>
      </x:c>
    </x:row>
    <x:row r="96">
      <x:c r="C96" s="8"/>
      <x:c r="D96" t="str">
        <x:f>IF(A96="","",B96*(1+C96))</x:f>
      </x:c>
      <x:c r="E96" t="str">
        <x:f>IF(A96="","",IFERROR(INDEX('Project Control'!$D$2:$D$101,MATCH(A96,'Project Control'!$A$2:$A$101,0)),0))</x:f>
      </x:c>
      <x:c r="F96" t="str">
        <x:f>IF(A96="","",E96-B96)</x:f>
      </x:c>
      <x:c r="G96" s="8" t="str">
        <x:f>IF(A96="","",IF(E96&gt;0,F96/E96,0))</x:f>
      </x:c>
      <x:c r="I96" t="str">
        <x:f>IF(A96="","",D96+H96)</x:f>
      </x:c>
      <x:c r="J96" s="8" t="str">
        <x:f>IF(A96="","",IF(B96&gt;0,I96/B96-1,0))</x:f>
      </x:c>
    </x:row>
    <x:row r="97">
      <x:c r="C97" s="8"/>
      <x:c r="D97" t="str">
        <x:f>IF(A97="","",B97*(1+C97))</x:f>
      </x:c>
      <x:c r="E97" t="str">
        <x:f>IF(A97="","",IFERROR(INDEX('Project Control'!$D$2:$D$101,MATCH(A97,'Project Control'!$A$2:$A$101,0)),0))</x:f>
      </x:c>
      <x:c r="F97" t="str">
        <x:f>IF(A97="","",E97-B97)</x:f>
      </x:c>
      <x:c r="G97" s="8" t="str">
        <x:f>IF(A97="","",IF(E97&gt;0,F97/E97,0))</x:f>
      </x:c>
      <x:c r="I97" t="str">
        <x:f>IF(A97="","",D97+H97)</x:f>
      </x:c>
      <x:c r="J97" s="8" t="str">
        <x:f>IF(A97="","",IF(B97&gt;0,I97/B97-1,0))</x:f>
      </x:c>
    </x:row>
    <x:row r="98">
      <x:c r="C98" s="8"/>
      <x:c r="D98" t="str">
        <x:f>IF(A98="","",B98*(1+C98))</x:f>
      </x:c>
      <x:c r="E98" t="str">
        <x:f>IF(A98="","",IFERROR(INDEX('Project Control'!$D$2:$D$101,MATCH(A98,'Project Control'!$A$2:$A$101,0)),0))</x:f>
      </x:c>
      <x:c r="F98" t="str">
        <x:f>IF(A98="","",E98-B98)</x:f>
      </x:c>
      <x:c r="G98" s="8" t="str">
        <x:f>IF(A98="","",IF(E98&gt;0,F98/E98,0))</x:f>
      </x:c>
      <x:c r="I98" t="str">
        <x:f>IF(A98="","",D98+H98)</x:f>
      </x:c>
      <x:c r="J98" s="8" t="str">
        <x:f>IF(A98="","",IF(B98&gt;0,I98/B98-1,0))</x:f>
      </x:c>
    </x:row>
    <x:row r="99">
      <x:c r="C99" s="8"/>
      <x:c r="D99" t="str">
        <x:f>IF(A99="","",B99*(1+C99))</x:f>
      </x:c>
      <x:c r="E99" t="str">
        <x:f>IF(A99="","",IFERROR(INDEX('Project Control'!$D$2:$D$101,MATCH(A99,'Project Control'!$A$2:$A$101,0)),0))</x:f>
      </x:c>
      <x:c r="F99" t="str">
        <x:f>IF(A99="","",E99-B99)</x:f>
      </x:c>
      <x:c r="G99" s="8" t="str">
        <x:f>IF(A99="","",IF(E99&gt;0,F99/E99,0))</x:f>
      </x:c>
      <x:c r="I99" t="str">
        <x:f>IF(A99="","",D99+H99)</x:f>
      </x:c>
      <x:c r="J99" s="8" t="str">
        <x:f>IF(A99="","",IF(B99&gt;0,I99/B99-1,0))</x:f>
      </x:c>
    </x:row>
    <x:row r="100">
      <x:c r="C100" s="8"/>
      <x:c r="D100" t="str">
        <x:f>IF(A100="","",B100*(1+C100))</x:f>
      </x:c>
      <x:c r="E100" t="str">
        <x:f>IF(A100="","",IFERROR(INDEX('Project Control'!$D$2:$D$101,MATCH(A100,'Project Control'!$A$2:$A$101,0)),0))</x:f>
      </x:c>
      <x:c r="F100" t="str">
        <x:f>IF(A100="","",E100-B100)</x:f>
      </x:c>
      <x:c r="G100" s="8" t="str">
        <x:f>IF(A100="","",IF(E100&gt;0,F100/E100,0))</x:f>
      </x:c>
      <x:c r="I100" t="str">
        <x:f>IF(A100="","",D100+H100)</x:f>
      </x:c>
      <x:c r="J100" s="8" t="str">
        <x:f>IF(A100="","",IF(B100&gt;0,I100/B100-1,0))</x:f>
      </x:c>
    </x:row>
    <x:row r="101">
      <x:c r="C101" s="8"/>
      <x:c r="D101" t="str">
        <x:f>IF(A101="","",B101*(1+C101))</x:f>
      </x:c>
      <x:c r="E101" t="str">
        <x:f>IF(A101="","",IFERROR(INDEX('Project Control'!$D$2:$D$101,MATCH(A101,'Project Control'!$A$2:$A$101,0)),0))</x:f>
      </x:c>
      <x:c r="F101" t="str">
        <x:f>IF(A101="","",E101-B101)</x:f>
      </x:c>
      <x:c r="G101" s="8" t="str">
        <x:f>IF(A101="","",IF(E101&gt;0,F101/E101,0))</x:f>
      </x:c>
      <x:c r="I101" t="str">
        <x:f>IF(A101="","",D101+H101)</x:f>
      </x:c>
      <x:c r="J101" s="8" t="str">
        <x:f>IF(A101="","",IF(B101&gt;0,I101/B101-1,0))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64" hidden="0" customWidth="1"/>
  </x:cols>
  <x:sheetData>
    <x:row r="1" ht="40" customHeight="1">
      <x:c r="A1" s="4" t="str">
        <x:v>KPI (USD unless stated)</x:v>
      </x:c>
      <x:c r="B1" s="4" t="str">
        <x:v>Value</x:v>
      </x:c>
      <x:c r="C1" s="4" t="str">
        <x:v>Interpretation</x:v>
      </x:c>
    </x:row>
    <x:row r="2">
      <x:c r="A2" t="str">
        <x:v>Projects in snapshot</x:v>
      </x:c>
      <x:c r="B2" t="n">
        <x:f>COUNTA('ERP Snapshot'!A2:A101)</x:f>
        <x:v>4</x:v>
      </x:c>
      <x:c r="C2" t="str">
        <x:v>Unique ERP Project IDs, one row each</x:v>
      </x:c>
    </x:row>
    <x:row r="3">
      <x:c r="A3" t="str">
        <x:v>Authorized Customer PO USD</x:v>
      </x:c>
      <x:c r="B3" t="n">
        <x:f>SUM('Project Control'!D2:D101)</x:f>
        <x:v>149000</x:v>
      </x:c>
      <x:c r="C3" t="str">
        <x:v>Commercial control from ERP PO totals</x:v>
      </x:c>
    </x:row>
    <x:row r="4">
      <x:c r="A4" t="str">
        <x:v>Invoiced revenue USD</x:v>
      </x:c>
      <x:c r="B4" t="n">
        <x:f>SUM('Project Control'!E2:E101)</x:f>
        <x:v>81000</x:v>
      </x:c>
      <x:c r="C4" t="str">
        <x:v>Cumulative invoiced total, converted if necessary</x:v>
      </x:c>
    </x:row>
    <x:row r="5">
      <x:c r="A5" t="str">
        <x:v>Uninvoiced value USD</x:v>
      </x:c>
      <x:c r="B5" t="n">
        <x:f>SUM('Project Control'!F2:F101)</x:f>
        <x:v>68000</x:v>
      </x:c>
      <x:c r="C5" t="str">
        <x:v>Authorized minus invoiced; negative requires review</x:v>
      </x:c>
    </x:row>
    <x:row r="6">
      <x:c r="A6" t="str">
        <x:v>Approved cost budgets USD</x:v>
      </x:c>
      <x:c r="B6" t="n">
        <x:f>SUM('Project Control'!G2:G101)</x:f>
        <x:v>114000</x:v>
      </x:c>
      <x:c r="C6" t="str">
        <x:v>Latest approved project budget per ERP snapshot</x:v>
      </x:c>
    </x:row>
    <x:row r="7">
      <x:c r="A7" t="str">
        <x:v>Recognized costs USD</x:v>
      </x:c>
      <x:c r="B7" t="n">
        <x:f>SUM('Project Control'!H2:H101)</x:f>
        <x:v>86000</x:v>
      </x:c>
      <x:c r="C7" t="str">
        <x:v>ERP recognized, not necessarily paid</x:v>
      </x:c>
    </x:row>
    <x:row r="8">
      <x:c r="A8" t="str">
        <x:v>Open commitments USD</x:v>
      </x:c>
      <x:c r="B8" t="n">
        <x:f>SUM('Project Control'!I2:I101)</x:f>
        <x:v>20000</x:v>
      </x:c>
      <x:c r="C8" t="str">
        <x:v>Unrecognized only; do not double-count ERP costs</x:v>
      </x:c>
    </x:row>
    <x:row r="9">
      <x:c r="A9" t="str">
        <x:v>Cost exposure USD</x:v>
      </x:c>
      <x:c r="B9" t="n">
        <x:f>SUM('Project Control'!J2:J101)</x:f>
        <x:v>106000</x:v>
      </x:c>
      <x:c r="C9" t="str">
        <x:v>Recognized costs + unrecognized commitments</x:v>
      </x:c>
    </x:row>
    <x:row r="10">
      <x:c r="A10" t="str">
        <x:v>Projects at / over budget</x:v>
      </x:c>
      <x:c r="B10" t="n">
        <x:f>COUNTIF('Project Control'!L2:L101,"OVER BUDGET")+COUNTIF('Project Control'!L2:L101,"BUDGET EXHAUSTED")</x:f>
        <x:v>1</x:v>
      </x:c>
      <x:c r="C10" t="str">
        <x:v>Preventive threshold not counted here</x:v>
      </x:c>
    </x:row>
    <x:row r="11">
      <x:c r="A11" t="str">
        <x:v>Projects at preventive threshold</x:v>
      </x:c>
      <x:c r="B11" t="n">
        <x:f>COUNTIF('Project Control'!L2:L101,"PREVENTIVE ALERT")</x:f>
        <x:v>2</x:v>
      </x:c>
      <x:c r="C11" t="str">
        <x:v>At threshold, below 100%</x:v>
      </x:c>
    </x:row>
    <x:row r="12">
      <x:c r="A12" t="str">
        <x:v>Projects with pending supplier POs</x:v>
      </x:c>
      <x:c r="B12" t="n">
        <x:f>COUNTIF('Project Control'!M2:M101,"&gt;0")</x:f>
        <x:v>2</x:v>
      </x:c>
      <x:c r="C12" t="str">
        <x:v>ERP summary count, not individual lines</x:v>
      </x:c>
    </x:row>
    <x:row r="13">
      <x:c r="A13" t="str">
        <x:v>Projects with open exceptions</x:v>
      </x:c>
      <x:c r="B13" t="n">
        <x:f>COUNTIF('Project Control'!N2:N101,"&gt;0")</x:f>
        <x:v>3</x:v>
      </x:c>
      <x:c r="C13" t="str">
        <x:v>Manual management exceptions</x:v>
      </x:c>
    </x:row>
    <x:row r="14">
      <x:c r="A14" t="str">
        <x:v>Projects with outstanding invoicing</x:v>
      </x:c>
      <x:c r="B14" t="n">
        <x:f>COUNTIF('Project Control'!F2:F101,"&gt;0")</x:f>
        <x:v>3</x:v>
      </x:c>
      <x:c r="C14" t="str">
        <x:v>Customer PO authorized value not yet invoiced</x:v>
      </x:c>
    </x:row>
    <x:row r="15">
      <x:c r="A15" t="str">
        <x:v>Projects with critical follow-up</x:v>
      </x:c>
      <x:c r="B15" t="n">
        <x:f>COUNTIF('Project Control'!P2:P101,"CRITICAL / REVIEW")</x:f>
        <x:v>2</x:v>
      </x:c>
      <x:c r="C15" t="str">
        <x:v>Critical flags or financial review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4" hidden="0" customWidth="1"/>
    <x:col min="7" max="7" width="44" hidden="0" customWidth="1"/>
  </x:cols>
  <x:sheetData>
    <x:row r="1" ht="40" customHeight="1">
      <x:c r="A1" s="4" t="str">
        <x:v>Update date</x:v>
      </x:c>
      <x:c r="B1" s="4" t="str">
        <x:v>Update type</x:v>
      </x:c>
      <x:c r="C1" s="4" t="str">
        <x:v>ERP export / source</x:v>
      </x:c>
      <x:c r="D1" s="4" t="str">
        <x:v>Projects refreshed</x:v>
      </x:c>
      <x:c r="E1" s="4" t="str">
        <x:v>Updated by</x:v>
      </x:c>
      <x:c r="F1" s="4" t="str">
        <x:v>Reason / critical incident</x:v>
      </x:c>
      <x:c r="G1" s="4" t="str">
        <x:v>Validation / notes</x:v>
      </x:c>
    </x:row>
    <x:row r="2">
      <x:c r="A2" t="str">
        <x:v>2026-10-16</x:v>
      </x:c>
      <x:c r="B2" t="str">
        <x:v>Weekly</x:v>
      </x:c>
      <x:c r="C2" t="str">
        <x:v>ERP-W42-001</x:v>
      </x:c>
      <x:c r="D2" t="n">
        <x:v>4</x:v>
      </x:c>
      <x:c r="E2" t="str">
        <x:v>Simulated user</x:v>
      </x:c>
      <x:c r="F2" t="str">
        <x:v>Baseline fictional snapshot</x:v>
      </x:c>
      <x:c r="G2" t="str">
        <x:v>No actual ERP connection; demonstration only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00" hidden="0" customWidth="1"/>
    <x:col min="4" max="4" width="22" hidden="0" customWidth="1"/>
  </x:cols>
  <x:sheetData>
    <x:row r="1" ht="40" customHeight="1">
      <x:c r="A1" s="4" t="str">
        <x:v>ID</x:v>
      </x:c>
      <x:c r="B1" s="4" t="str">
        <x:v>Topic</x:v>
      </x:c>
      <x:c r="C1" s="4" t="str">
        <x:v>Rule / open question</x:v>
      </x:c>
      <x:c r="D1" s="4" t="str">
        <x:v>Status</x:v>
      </x:c>
    </x:row>
    <x:row r="2">
      <x:c r="A2" t="str">
        <x:v>BR-001</x:v>
      </x:c>
      <x:c r="B2" t="str">
        <x:v>ERP system of record</x:v>
      </x:c>
      <x:c r="C2" t="str">
        <x:v>Project ID assigned by ERP. Excel never generates IDs; project summary only.</x:v>
      </x:c>
      <x:c r="D2" t="str">
        <x:v>APPROVED</x:v>
      </x:c>
    </x:row>
    <x:row r="3">
      <x:c r="A3" t="str">
        <x:v>BR-002</x:v>
      </x:c>
      <x:c r="B3" t="str">
        <x:v>Update cadence</x:v>
      </x:c>
      <x:c r="C3" t="str">
        <x:v>Weekly consolidated ERP snapshot; extraordinary refresh on critical incidents.</x:v>
      </x:c>
      <x:c r="D3" t="str">
        <x:v>APPROVED</x:v>
      </x:c>
    </x:row>
    <x:row r="4">
      <x:c r="A4" t="str">
        <x:v>BR-003</x:v>
      </x:c>
      <x:c r="B4" t="str">
        <x:v>Data entry ownership</x:v>
      </x:c>
      <x:c r="C4" t="str">
        <x:v>ERP provides transactional facts; manual edits only for management exceptions and update log.</x:v>
      </x:c>
      <x:c r="D4" t="str">
        <x:v>APPROVED</x:v>
      </x:c>
    </x:row>
    <x:row r="5">
      <x:c r="A5" t="str">
        <x:v>BR-004</x:v>
      </x:c>
      <x:c r="B5" t="str">
        <x:v>Customer PO</x:v>
      </x:c>
      <x:c r="C5" t="str">
        <x:v>Authorized PO total controls sales; no customer PO line replication.</x:v>
      </x:c>
      <x:c r="D5" t="str">
        <x:v>APPROVED</x:v>
      </x:c>
    </x:row>
    <x:row r="6">
      <x:c r="A6" t="str">
        <x:v>BR-005</x:v>
      </x:c>
      <x:c r="B6" t="str">
        <x:v>Supplier PO</x:v>
      </x:c>
      <x:c r="C6" t="str">
        <x:v>Only project-level counts and pending status; material details remain in ERP.</x:v>
      </x:c>
      <x:c r="D6" t="str">
        <x:v>APPROVED</x:v>
      </x:c>
    </x:row>
    <x:row r="7">
      <x:c r="A7" t="str">
        <x:v>BR-006</x:v>
      </x:c>
      <x:c r="B7" t="str">
        <x:v>Budget vs pricing</x:v>
      </x:c>
      <x:c r="C7" t="str">
        <x:v>Budget is approved cost; customer PO authorized sale is independent of 30% quotation markup.</x:v>
      </x:c>
      <x:c r="D7" t="str">
        <x:v>APPROVED</x:v>
      </x:c>
    </x:row>
    <x:row r="8">
      <x:c r="A8" t="str">
        <x:v>BR-007</x:v>
      </x:c>
      <x:c r="B8" t="str">
        <x:v>Cost exposure</x:v>
      </x:c>
      <x:c r="C8" t="str">
        <x:v>Recognized ERP costs + OPEN UNRECOGNIZED commitments; source ERP must exclude recognized amounts.</x:v>
      </x:c>
      <x:c r="D8" t="str">
        <x:v>ASSUMPTION / TEST</x:v>
      </x:c>
    </x:row>
    <x:row r="9">
      <x:c r="A9" t="str">
        <x:v>BR-008</x:v>
      </x:c>
      <x:c r="B9" t="str">
        <x:v>21-day buffer</x:v>
      </x:c>
      <x:c r="C9" t="str">
        <x:v>7 days processing + 7 days intermediary + 7 days final customer.</x:v>
      </x:c>
      <x:c r="D9" t="str">
        <x:v>APPROVED</x:v>
      </x:c>
    </x:row>
    <x:row r="10">
      <x:c r="A10" t="str">
        <x:v>PL-001</x:v>
      </x:c>
      <x:c r="B10" t="str">
        <x:v>FX policy</x:v>
      </x:c>
      <x:c r="C10" t="str">
        <x:v>Illustrative fixed FX in Settings. Finance/ERP policy on historical or ERP rates remains undecided.</x:v>
      </x:c>
      <x:c r="D10" t="str">
        <x:v>OPEN</x:v>
      </x:c>
    </x:row>
    <x:row r="11">
      <x:c r="A11" t="str">
        <x:v>PL-002</x:v>
      </x:c>
      <x:c r="B11" t="str">
        <x:v>Over-PO invoicing</x:v>
      </x:c>
      <x:c r="C11" t="str">
        <x:v>Flag when invoicing exceeds authorized Customer PO; escalation and ERP correction policy pending.</x:v>
      </x:c>
      <x:c r="D11" t="str">
        <x:v>OPEN</x:v>
      </x:c>
    </x:row>
    <x:row r="12">
      <x:c r="A12" t="str">
        <x:v>PL-003</x:v>
      </x:c>
      <x:c r="B12" t="str">
        <x:v>ERP export mapping</x:v>
      </x:c>
      <x:c r="C12" t="str">
        <x:v>Confirm actual ERP export fields and extraction method before real-world use.</x:v>
      </x:c>
      <x:c r="D12" t="str">
        <x:v>OPEN</x:v>
      </x:c>
    </x:row>
    <x:row r="13">
      <x:c r="A13" t="str">
        <x:v>PL-004</x:v>
      </x:c>
      <x:c r="B13" t="str">
        <x:v>Critical incident trigger</x:v>
      </x:c>
      <x:c r="C13" t="str">
        <x:v>Define operational severity criteria and responsible approver for extraordinary refresh.</x:v>
      </x:c>
      <x:c r="D13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3" hidden="0" customWidth="1"/>
  </x:cols>
  <x:sheetData>
    <x:row r="1" ht="42" customHeight="1">
      <x:c r="A1" s="13" t="str">
        <x:v>Business Unit</x:v>
      </x:c>
      <x:c r="B1" s="13" t="str">
        <x:v>Brand / Line</x:v>
      </x:c>
      <x:c r="C1" s="13" t="str">
        <x:v>Active</x:v>
      </x:c>
      <x:c r="D1" s="13" t="str">
        <x:v>Scope</x:v>
      </x:c>
      <x:c r="E1" s="13" t="str">
        <x:v>Guidance</x:v>
      </x:c>
    </x:row>
    <x:row r="2">
      <x:c r="A2" t="str">
        <x:v>Strategic Services</x:v>
      </x:c>
      <x:c r="B2" t="str">
        <x:v>N/A</x:v>
      </x:c>
      <x:c r="C2" t="str">
        <x:v>YES</x:v>
      </x:c>
      <x:c r="D2" t="str">
        <x:v>IN SCOPE</x:v>
      </x:c>
      <x:c r="E2" t="str">
        <x:v>Project-based strategic services</x:v>
      </x:c>
    </x:row>
    <x:row r="3">
      <x:c r="A3" t="str">
        <x:v>Brands</x:v>
      </x:c>
      <x:c r="B3" t="str">
        <x:v>Desoutter</x:v>
      </x:c>
      <x:c r="C3" t="str">
        <x:v>YES</x:v>
      </x:c>
      <x:c r="D3" t="str">
        <x:v>IN SCOPE</x:v>
      </x:c>
      <x:c r="E3" t="str">
        <x:v>One brand per quotation</x:v>
      </x:c>
    </x:row>
    <x:row r="4">
      <x:c r="A4" t="str">
        <x:v>Brands</x:v>
      </x:c>
      <x:c r="B4" t="str">
        <x:v>Datalogic</x:v>
      </x:c>
      <x:c r="C4" t="str">
        <x:v>YES</x:v>
      </x:c>
      <x:c r="D4" t="str">
        <x:v>IN SCOPE</x:v>
      </x:c>
      <x:c r="E4" t="str">
        <x:v>One brand per quotation</x:v>
      </x:c>
    </x:row>
    <x:row r="5">
      <x:c r="A5" t="str">
        <x:v>Brands</x:v>
      </x:c>
      <x:c r="B5" t="str">
        <x:v>Graco</x:v>
      </x:c>
      <x:c r="C5" t="str">
        <x:v>YES</x:v>
      </x:c>
      <x:c r="D5" t="str">
        <x:v>IN SCOPE</x:v>
      </x:c>
      <x:c r="E5" t="str">
        <x:v>One brand per quotation</x:v>
      </x:c>
    </x:row>
    <x:row r="6">
      <x:c r="A6" t="str">
        <x:v>Brands</x:v>
      </x:c>
      <x:c r="B6" t="str">
        <x:v>Chicago Pneumatic</x:v>
      </x:c>
      <x:c r="C6" t="str">
        <x:v>YES</x:v>
      </x:c>
      <x:c r="D6" t="str">
        <x:v>IN SCOPE</x:v>
      </x:c>
      <x:c r="E6" t="str">
        <x:v>One brand per quotation</x:v>
      </x:c>
    </x:row>
    <x:row r="7">
      <x:c r="A7" t="str">
        <x:v>Brands</x:v>
      </x:c>
      <x:c r="B7" t="str">
        <x:v>Ohtake</x:v>
      </x:c>
      <x:c r="C7" t="str">
        <x:v>YES</x:v>
      </x:c>
      <x:c r="D7" t="str">
        <x:v>IN SCOPE</x:v>
      </x:c>
      <x:c r="E7" t="str">
        <x:v>One brand per quotation</x:v>
      </x:c>
    </x:row>
    <x:row r="8">
      <x:c r="A8" t="str">
        <x:v>Brands</x:v>
      </x:c>
      <x:c r="B8" t="str">
        <x:v>Other / configurable</x:v>
      </x:c>
      <x:c r="C8" t="str">
        <x:v>YES</x:v>
      </x:c>
      <x:c r="D8" t="str">
        <x:v>IN SCOPE</x:v>
      </x:c>
      <x:c r="E8" t="str">
        <x:v>Replace with actual new brand</x:v>
      </x:c>
    </x:row>
    <x:row r="9">
      <x:c r="A9" t="str">
        <x:v>Automation</x:v>
      </x:c>
      <x:c r="B9" t="str">
        <x:v>N/A</x:v>
      </x:c>
      <x:c r="C9" t="str">
        <x:v>YES</x:v>
      </x:c>
      <x:c r="D9" t="str">
        <x:v>OUT OF SCOPE</x:v>
      </x:c>
      <x:c r="E9" t="str">
        <x:v>Company BU; no user-attributed results</x:v>
      </x:c>
    </x:row>
    <x:row r="10">
      <x:c r="A10" t="str">
        <x:v>Machining</x:v>
      </x:c>
      <x:c r="B10" t="str">
        <x:v>N/A</x:v>
      </x:c>
      <x:c r="C10" t="str">
        <x:v>YES</x:v>
      </x:c>
      <x:c r="D10" t="str">
        <x:v>OUT OF SCOPE</x:v>
      </x:c>
      <x:c r="E10" t="str">
        <x:v>Company BU; no user-attributed results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62" hidden="0" customWidth="1"/>
  </x:cols>
  <x:sheetData>
    <x:row r="1" ht="42" customHeight="1">
      <x:c r="A1" s="13" t="str">
        <x:v>Entity code</x:v>
      </x:c>
      <x:c r="B1" s="13" t="str">
        <x:v>Entity description</x:v>
      </x:c>
      <x:c r="C1" s="13" t="str">
        <x:v>Reporting currency</x:v>
      </x:c>
      <x:c r="D1" s="13" t="str">
        <x:v>Sales currencies</x:v>
      </x:c>
      <x:c r="E1" s="13" t="str">
        <x:v>Notes</x:v>
      </x:c>
    </x:row>
    <x:row r="2">
      <x:c r="A2" t="str">
        <x:v>MX</x:v>
      </x:c>
      <x:c r="B2" t="str">
        <x:v>Mexico selling entity</x:v>
      </x:c>
      <x:c r="C2" t="str">
        <x:v>USD</x:v>
      </x:c>
      <x:c r="D2" t="str">
        <x:v>MXN / USD</x:v>
      </x:c>
      <x:c r="E2" t="str">
        <x:v>ERP legal entity code to be mapped</x:v>
      </x:c>
    </x:row>
    <x:row r="3">
      <x:c r="A3" t="str">
        <x:v>US</x:v>
      </x:c>
      <x:c r="B3" t="str">
        <x:v>USA selling entity</x:v>
      </x:c>
      <x:c r="C3" t="str">
        <x:v>USD</x:v>
      </x:c>
      <x:c r="D3" t="str">
        <x:v>ERP-defined</x:v>
      </x:c>
      <x:c r="E3" t="str">
        <x:v>USA can act as intercompany supplier to MX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2" customHeight="1">
      <x:c r="A1" s="13" t="str">
        <x:v>Project ID (ERP)</x:v>
      </x:c>
      <x:c r="B1" s="13" t="str">
        <x:v>Customer</x:v>
      </x:c>
      <x:c r="C1" s="13" t="str">
        <x:v>Business Unit</x:v>
      </x:c>
      <x:c r="D1" s="13" t="str">
        <x:v>Brand</x:v>
      </x:c>
      <x:c r="E1" s="13" t="str">
        <x:v>Selling Entity</x:v>
      </x:c>
      <x:c r="F1" s="13" t="str">
        <x:v>Sale currency</x:v>
      </x:c>
      <x:c r="G1" s="13" t="str">
        <x:v>Authorized PO USD</x:v>
      </x:c>
      <x:c r="H1" s="13" t="str">
        <x:v>Invoiced to date USD</x:v>
      </x:c>
      <x:c r="I1" s="13" t="str">
        <x:v>Uninvoiced USD</x:v>
      </x:c>
      <x:c r="J1" s="13" t="str">
        <x:v>Recognized cost USD</x:v>
      </x:c>
      <x:c r="K1" s="13" t="str">
        <x:v>Open commitments USD</x:v>
      </x:c>
      <x:c r="L1" s="13" t="str">
        <x:v>Project status</x:v>
      </x:c>
    </x:row>
    <x:row r="2">
      <x:c r="A2" t="str">
        <x:f>IF('Project Control'!A2="","",'Project Control'!A2)</x:f>
        <x:v>100245</x:v>
      </x:c>
      <x:c r="B2" t="str">
        <x:f>IF(A2="","",'Project Control'!B2)</x:f>
        <x:v>Customer A</x:v>
      </x:c>
      <x:c r="C2" t="str">
        <x:f>IF(A2="","",'Project Control'!R2)</x:f>
        <x:v>Strategic Services</x:v>
      </x:c>
      <x:c r="D2" t="str">
        <x:f>IF(A2="","",'Project Control'!S2)</x:f>
        <x:v>N/A</x:v>
      </x:c>
      <x:c r="E2" t="str">
        <x:f>IF(A2="","",'Project Control'!T2)</x:f>
        <x:v>MX</x:v>
      </x:c>
      <x:c r="F2" t="str">
        <x:f>IF(A2="","",'Project Control'!C2)</x:f>
        <x:v>USD</x:v>
      </x:c>
      <x:c r="G2" t="n">
        <x:f>IF(A2="","",'Project Control'!D2)</x:f>
        <x:v>50000</x:v>
      </x:c>
      <x:c r="H2" t="n">
        <x:f>IF(A2="","",'Project Control'!E2)</x:f>
        <x:v>28000</x:v>
      </x:c>
      <x:c r="I2" t="n">
        <x:f>IF(A2="","",'Project Control'!F2)</x:f>
        <x:v>22000</x:v>
      </x:c>
      <x:c r="J2" t="n">
        <x:f>IF(A2="","",'Project Control'!H2)</x:f>
        <x:v>24000</x:v>
      </x:c>
      <x:c r="K2" t="n">
        <x:f>IF(A2="","",'Project Control'!I2)</x:f>
        <x:v>11000</x:v>
      </x:c>
      <x:c r="L2" t="str">
        <x:f>IF(A2="","",'Project Control'!O2)</x:f>
        <x:v>PARTIAL INVOICE</x:v>
      </x:c>
    </x:row>
    <x:row r="3">
      <x:c r="A3" t="str">
        <x:f>IF('Project Control'!A3="","",'Project Control'!A3)</x:f>
        <x:v>100246</x:v>
      </x:c>
      <x:c r="B3" t="str">
        <x:f>IF(A3="","",'Project Control'!B3)</x:f>
        <x:v>Customer B</x:v>
      </x:c>
      <x:c r="C3" t="str">
        <x:f>IF(A3="","",'Project Control'!R3)</x:f>
        <x:v>Brands</x:v>
      </x:c>
      <x:c r="D3" t="str">
        <x:f>IF(A3="","",'Project Control'!S3)</x:f>
        <x:v>Desoutter</x:v>
      </x:c>
      <x:c r="E3" t="str">
        <x:f>IF(A3="","",'Project Control'!T3)</x:f>
        <x:v>MX</x:v>
      </x:c>
      <x:c r="F3" t="str">
        <x:f>IF(A3="","",'Project Control'!C3)</x:f>
        <x:v>MXN</x:v>
      </x:c>
      <x:c r="G3" t="n">
        <x:f>IF(A3="","",'Project Control'!D3)</x:f>
        <x:v>41000</x:v>
      </x:c>
      <x:c r="H3" t="n">
        <x:f>IF(A3="","",'Project Control'!E3)</x:f>
        <x:v>41000</x:v>
      </x:c>
      <x:c r="I3" t="n">
        <x:f>IF(A3="","",'Project Control'!F3)</x:f>
        <x:v>0</x:v>
      </x:c>
      <x:c r="J3" t="n">
        <x:f>IF(A3="","",'Project Control'!H3)</x:f>
        <x:v>29000</x:v>
      </x:c>
      <x:c r="K3" t="n">
        <x:f>IF(A3="","",'Project Control'!I3)</x:f>
        <x:v>2000</x:v>
      </x:c>
      <x:c r="L3" t="str">
        <x:f>IF(A3="","",'Project Control'!O3)</x:f>
        <x:v>FULLY INVOICED</x:v>
      </x:c>
    </x:row>
    <x:row r="4">
      <x:c r="A4" t="str">
        <x:f>IF('Project Control'!A4="","",'Project Control'!A4)</x:f>
        <x:v>100247</x:v>
      </x:c>
      <x:c r="B4" t="str">
        <x:f>IF(A4="","",'Project Control'!B4)</x:f>
        <x:v>Customer C</x:v>
      </x:c>
      <x:c r="C4" t="str">
        <x:f>IF(A4="","",'Project Control'!R4)</x:f>
        <x:v>Brands</x:v>
      </x:c>
      <x:c r="D4" t="str">
        <x:f>IF(A4="","",'Project Control'!S4)</x:f>
        <x:v>Datalogic</x:v>
      </x:c>
      <x:c r="E4" t="str">
        <x:f>IF(A4="","",'Project Control'!T4)</x:f>
        <x:v>US</x:v>
      </x:c>
      <x:c r="F4" t="str">
        <x:f>IF(A4="","",'Project Control'!C4)</x:f>
        <x:v>USD</x:v>
      </x:c>
      <x:c r="G4" t="n">
        <x:f>IF(A4="","",'Project Control'!D4)</x:f>
        <x:v>34000</x:v>
      </x:c>
      <x:c r="H4" t="n">
        <x:f>IF(A4="","",'Project Control'!E4)</x:f>
        <x:v>12000</x:v>
      </x:c>
      <x:c r="I4" t="n">
        <x:f>IF(A4="","",'Project Control'!F4)</x:f>
        <x:v>22000</x:v>
      </x:c>
      <x:c r="J4" t="n">
        <x:f>IF(A4="","",'Project Control'!H4)</x:f>
        <x:v>21000</x:v>
      </x:c>
      <x:c r="K4" t="n">
        <x:f>IF(A4="","",'Project Control'!I4)</x:f>
        <x:v>7000</x:v>
      </x:c>
      <x:c r="L4" t="str">
        <x:f>IF(A4="","",'Project Control'!O4)</x:f>
        <x:v>PARTIAL INVOICE</x:v>
      </x:c>
    </x:row>
    <x:row r="5">
      <x:c r="A5" t="str">
        <x:f>IF('Project Control'!A5="","",'Project Control'!A5)</x:f>
        <x:v>100248</x:v>
      </x:c>
      <x:c r="B5" t="str">
        <x:f>IF(A5="","",'Project Control'!B5)</x:f>
        <x:v>Customer D</x:v>
      </x:c>
      <x:c r="C5" t="str">
        <x:f>IF(A5="","",'Project Control'!R5)</x:f>
        <x:v>Strategic Services</x:v>
      </x:c>
      <x:c r="D5" t="str">
        <x:f>IF(A5="","",'Project Control'!S5)</x:f>
        <x:v>N/A</x:v>
      </x:c>
      <x:c r="E5" t="str">
        <x:f>IF(A5="","",'Project Control'!T5)</x:f>
        <x:v>MX</x:v>
      </x:c>
      <x:c r="F5" t="str">
        <x:f>IF(A5="","",'Project Control'!C5)</x:f>
        <x:v>USD</x:v>
      </x:c>
      <x:c r="G5" t="n">
        <x:f>IF(A5="","",'Project Control'!D5)</x:f>
        <x:v>24000</x:v>
      </x:c>
      <x:c r="H5" t="n">
        <x:f>IF(A5="","",'Project Control'!E5)</x:f>
        <x:v>0</x:v>
      </x:c>
      <x:c r="I5" t="n">
        <x:f>IF(A5="","",'Project Control'!F5)</x:f>
        <x:v>24000</x:v>
      </x:c>
      <x:c r="J5" t="n">
        <x:f>IF(A5="","",'Project Control'!H5)</x:f>
        <x:v>12000</x:v>
      </x:c>
      <x:c r="K5" t="n">
        <x:f>IF(A5="","",'Project Control'!I5)</x:f>
        <x:v>0</x:v>
      </x:c>
      <x:c r="L5" t="str">
        <x:f>IF(A5="","",'Project Control'!O5)</x:f>
        <x:v>NOT INVOICED</x:v>
      </x:c>
    </x:row>
    <x:row r="6">
      <x:c r="A6" t="str">
        <x:f>IF('Project Control'!A6="","",'Project Control'!A6)</x:f>
      </x:c>
      <x:c r="B6" t="str">
        <x:f>IF(A6="","",'Project Control'!B6)</x:f>
      </x:c>
      <x:c r="C6" t="str">
        <x:f>IF(A6="","",'Project Control'!R6)</x:f>
      </x:c>
      <x:c r="D6" t="str">
        <x:f>IF(A6="","",'Project Control'!S6)</x:f>
      </x:c>
      <x:c r="E6" t="str">
        <x:f>IF(A6="","",'Project Control'!T6)</x:f>
      </x:c>
      <x:c r="F6" t="str">
        <x:f>IF(A6="","",'Project Control'!C6)</x:f>
      </x:c>
      <x:c r="G6" t="str">
        <x:f>IF(A6="","",'Project Control'!D6)</x:f>
      </x:c>
      <x:c r="H6" t="str">
        <x:f>IF(A6="","",'Project Control'!E6)</x:f>
      </x:c>
      <x:c r="I6" t="str">
        <x:f>IF(A6="","",'Project Control'!F6)</x:f>
      </x:c>
      <x:c r="J6" t="str">
        <x:f>IF(A6="","",'Project Control'!H6)</x:f>
      </x:c>
      <x:c r="K6" t="str">
        <x:f>IF(A6="","",'Project Control'!I6)</x:f>
      </x:c>
      <x:c r="L6" t="str">
        <x:f>IF(A6="","",'Project Control'!O6)</x:f>
      </x:c>
    </x:row>
    <x:row r="7">
      <x:c r="A7" t="str">
        <x:f>IF('Project Control'!A7="","",'Project Control'!A7)</x:f>
      </x:c>
      <x:c r="B7" t="str">
        <x:f>IF(A7="","",'Project Control'!B7)</x:f>
      </x:c>
      <x:c r="C7" t="str">
        <x:f>IF(A7="","",'Project Control'!R7)</x:f>
      </x:c>
      <x:c r="D7" t="str">
        <x:f>IF(A7="","",'Project Control'!S7)</x:f>
      </x:c>
      <x:c r="E7" t="str">
        <x:f>IF(A7="","",'Project Control'!T7)</x:f>
      </x:c>
      <x:c r="F7" t="str">
        <x:f>IF(A7="","",'Project Control'!C7)</x:f>
      </x:c>
      <x:c r="G7" t="str">
        <x:f>IF(A7="","",'Project Control'!D7)</x:f>
      </x:c>
      <x:c r="H7" t="str">
        <x:f>IF(A7="","",'Project Control'!E7)</x:f>
      </x:c>
      <x:c r="I7" t="str">
        <x:f>IF(A7="","",'Project Control'!F7)</x:f>
      </x:c>
      <x:c r="J7" t="str">
        <x:f>IF(A7="","",'Project Control'!H7)</x:f>
      </x:c>
      <x:c r="K7" t="str">
        <x:f>IF(A7="","",'Project Control'!I7)</x:f>
      </x:c>
      <x:c r="L7" t="str">
        <x:f>IF(A7="","",'Project Control'!O7)</x:f>
      </x:c>
    </x:row>
    <x:row r="8">
      <x:c r="A8" t="str">
        <x:f>IF('Project Control'!A8="","",'Project Control'!A8)</x:f>
      </x:c>
      <x:c r="B8" t="str">
        <x:f>IF(A8="","",'Project Control'!B8)</x:f>
      </x:c>
      <x:c r="C8" t="str">
        <x:f>IF(A8="","",'Project Control'!R8)</x:f>
      </x:c>
      <x:c r="D8" t="str">
        <x:f>IF(A8="","",'Project Control'!S8)</x:f>
      </x:c>
      <x:c r="E8" t="str">
        <x:f>IF(A8="","",'Project Control'!T8)</x:f>
      </x:c>
      <x:c r="F8" t="str">
        <x:f>IF(A8="","",'Project Control'!C8)</x:f>
      </x:c>
      <x:c r="G8" t="str">
        <x:f>IF(A8="","",'Project Control'!D8)</x:f>
      </x:c>
      <x:c r="H8" t="str">
        <x:f>IF(A8="","",'Project Control'!E8)</x:f>
      </x:c>
      <x:c r="I8" t="str">
        <x:f>IF(A8="","",'Project Control'!F8)</x:f>
      </x:c>
      <x:c r="J8" t="str">
        <x:f>IF(A8="","",'Project Control'!H8)</x:f>
      </x:c>
      <x:c r="K8" t="str">
        <x:f>IF(A8="","",'Project Control'!I8)</x:f>
      </x:c>
      <x:c r="L8" t="str">
        <x:f>IF(A8="","",'Project Control'!O8)</x:f>
      </x:c>
    </x:row>
    <x:row r="9">
      <x:c r="A9" t="str">
        <x:f>IF('Project Control'!A9="","",'Project Control'!A9)</x:f>
      </x:c>
      <x:c r="B9" t="str">
        <x:f>IF(A9="","",'Project Control'!B9)</x:f>
      </x:c>
      <x:c r="C9" t="str">
        <x:f>IF(A9="","",'Project Control'!R9)</x:f>
      </x:c>
      <x:c r="D9" t="str">
        <x:f>IF(A9="","",'Project Control'!S9)</x:f>
      </x:c>
      <x:c r="E9" t="str">
        <x:f>IF(A9="","",'Project Control'!T9)</x:f>
      </x:c>
      <x:c r="F9" t="str">
        <x:f>IF(A9="","",'Project Control'!C9)</x:f>
      </x:c>
      <x:c r="G9" t="str">
        <x:f>IF(A9="","",'Project Control'!D9)</x:f>
      </x:c>
      <x:c r="H9" t="str">
        <x:f>IF(A9="","",'Project Control'!E9)</x:f>
      </x:c>
      <x:c r="I9" t="str">
        <x:f>IF(A9="","",'Project Control'!F9)</x:f>
      </x:c>
      <x:c r="J9" t="str">
        <x:f>IF(A9="","",'Project Control'!H9)</x:f>
      </x:c>
      <x:c r="K9" t="str">
        <x:f>IF(A9="","",'Project Control'!I9)</x:f>
      </x:c>
      <x:c r="L9" t="str">
        <x:f>IF(A9="","",'Project Control'!O9)</x:f>
      </x:c>
    </x:row>
    <x:row r="10">
      <x:c r="A10" t="str">
        <x:f>IF('Project Control'!A10="","",'Project Control'!A10)</x:f>
      </x:c>
      <x:c r="B10" t="str">
        <x:f>IF(A10="","",'Project Control'!B10)</x:f>
      </x:c>
      <x:c r="C10" t="str">
        <x:f>IF(A10="","",'Project Control'!R10)</x:f>
      </x:c>
      <x:c r="D10" t="str">
        <x:f>IF(A10="","",'Project Control'!S10)</x:f>
      </x:c>
      <x:c r="E10" t="str">
        <x:f>IF(A10="","",'Project Control'!T10)</x:f>
      </x:c>
      <x:c r="F10" t="str">
        <x:f>IF(A10="","",'Project Control'!C10)</x:f>
      </x:c>
      <x:c r="G10" t="str">
        <x:f>IF(A10="","",'Project Control'!D10)</x:f>
      </x:c>
      <x:c r="H10" t="str">
        <x:f>IF(A10="","",'Project Control'!E10)</x:f>
      </x:c>
      <x:c r="I10" t="str">
        <x:f>IF(A10="","",'Project Control'!F10)</x:f>
      </x:c>
      <x:c r="J10" t="str">
        <x:f>IF(A10="","",'Project Control'!H10)</x:f>
      </x:c>
      <x:c r="K10" t="str">
        <x:f>IF(A10="","",'Project Control'!I10)</x:f>
      </x:c>
      <x:c r="L10" t="str">
        <x:f>IF(A10="","",'Project Control'!O10)</x:f>
      </x:c>
    </x:row>
    <x:row r="11">
      <x:c r="A11" t="str">
        <x:f>IF('Project Control'!A11="","",'Project Control'!A11)</x:f>
      </x:c>
      <x:c r="B11" t="str">
        <x:f>IF(A11="","",'Project Control'!B11)</x:f>
      </x:c>
      <x:c r="C11" t="str">
        <x:f>IF(A11="","",'Project Control'!R11)</x:f>
      </x:c>
      <x:c r="D11" t="str">
        <x:f>IF(A11="","",'Project Control'!S11)</x:f>
      </x:c>
      <x:c r="E11" t="str">
        <x:f>IF(A11="","",'Project Control'!T11)</x:f>
      </x:c>
      <x:c r="F11" t="str">
        <x:f>IF(A11="","",'Project Control'!C11)</x:f>
      </x:c>
      <x:c r="G11" t="str">
        <x:f>IF(A11="","",'Project Control'!D11)</x:f>
      </x:c>
      <x:c r="H11" t="str">
        <x:f>IF(A11="","",'Project Control'!E11)</x:f>
      </x:c>
      <x:c r="I11" t="str">
        <x:f>IF(A11="","",'Project Control'!F11)</x:f>
      </x:c>
      <x:c r="J11" t="str">
        <x:f>IF(A11="","",'Project Control'!H11)</x:f>
      </x:c>
      <x:c r="K11" t="str">
        <x:f>IF(A11="","",'Project Control'!I11)</x:f>
      </x:c>
      <x:c r="L11" t="str">
        <x:f>IF(A11="","",'Project Control'!O11)</x:f>
      </x:c>
    </x:row>
    <x:row r="12">
      <x:c r="A12" t="str">
        <x:f>IF('Project Control'!A12="","",'Project Control'!A12)</x:f>
      </x:c>
      <x:c r="B12" t="str">
        <x:f>IF(A12="","",'Project Control'!B12)</x:f>
      </x:c>
      <x:c r="C12" t="str">
        <x:f>IF(A12="","",'Project Control'!R12)</x:f>
      </x:c>
      <x:c r="D12" t="str">
        <x:f>IF(A12="","",'Project Control'!S12)</x:f>
      </x:c>
      <x:c r="E12" t="str">
        <x:f>IF(A12="","",'Project Control'!T12)</x:f>
      </x:c>
      <x:c r="F12" t="str">
        <x:f>IF(A12="","",'Project Control'!C12)</x:f>
      </x:c>
      <x:c r="G12" t="str">
        <x:f>IF(A12="","",'Project Control'!D12)</x:f>
      </x:c>
      <x:c r="H12" t="str">
        <x:f>IF(A12="","",'Project Control'!E12)</x:f>
      </x:c>
      <x:c r="I12" t="str">
        <x:f>IF(A12="","",'Project Control'!F12)</x:f>
      </x:c>
      <x:c r="J12" t="str">
        <x:f>IF(A12="","",'Project Control'!H12)</x:f>
      </x:c>
      <x:c r="K12" t="str">
        <x:f>IF(A12="","",'Project Control'!I12)</x:f>
      </x:c>
      <x:c r="L12" t="str">
        <x:f>IF(A12="","",'Project Control'!O12)</x:f>
      </x:c>
    </x:row>
    <x:row r="13">
      <x:c r="A13" t="str">
        <x:f>IF('Project Control'!A13="","",'Project Control'!A13)</x:f>
      </x:c>
      <x:c r="B13" t="str">
        <x:f>IF(A13="","",'Project Control'!B13)</x:f>
      </x:c>
      <x:c r="C13" t="str">
        <x:f>IF(A13="","",'Project Control'!R13)</x:f>
      </x:c>
      <x:c r="D13" t="str">
        <x:f>IF(A13="","",'Project Control'!S13)</x:f>
      </x:c>
      <x:c r="E13" t="str">
        <x:f>IF(A13="","",'Project Control'!T13)</x:f>
      </x:c>
      <x:c r="F13" t="str">
        <x:f>IF(A13="","",'Project Control'!C13)</x:f>
      </x:c>
      <x:c r="G13" t="str">
        <x:f>IF(A13="","",'Project Control'!D13)</x:f>
      </x:c>
      <x:c r="H13" t="str">
        <x:f>IF(A13="","",'Project Control'!E13)</x:f>
      </x:c>
      <x:c r="I13" t="str">
        <x:f>IF(A13="","",'Project Control'!F13)</x:f>
      </x:c>
      <x:c r="J13" t="str">
        <x:f>IF(A13="","",'Project Control'!H13)</x:f>
      </x:c>
      <x:c r="K13" t="str">
        <x:f>IF(A13="","",'Project Control'!I13)</x:f>
      </x:c>
      <x:c r="L13" t="str">
        <x:f>IF(A13="","",'Project Control'!O13)</x:f>
      </x:c>
    </x:row>
    <x:row r="14">
      <x:c r="A14" t="str">
        <x:f>IF('Project Control'!A14="","",'Project Control'!A14)</x:f>
      </x:c>
      <x:c r="B14" t="str">
        <x:f>IF(A14="","",'Project Control'!B14)</x:f>
      </x:c>
      <x:c r="C14" t="str">
        <x:f>IF(A14="","",'Project Control'!R14)</x:f>
      </x:c>
      <x:c r="D14" t="str">
        <x:f>IF(A14="","",'Project Control'!S14)</x:f>
      </x:c>
      <x:c r="E14" t="str">
        <x:f>IF(A14="","",'Project Control'!T14)</x:f>
      </x:c>
      <x:c r="F14" t="str">
        <x:f>IF(A14="","",'Project Control'!C14)</x:f>
      </x:c>
      <x:c r="G14" t="str">
        <x:f>IF(A14="","",'Project Control'!D14)</x:f>
      </x:c>
      <x:c r="H14" t="str">
        <x:f>IF(A14="","",'Project Control'!E14)</x:f>
      </x:c>
      <x:c r="I14" t="str">
        <x:f>IF(A14="","",'Project Control'!F14)</x:f>
      </x:c>
      <x:c r="J14" t="str">
        <x:f>IF(A14="","",'Project Control'!H14)</x:f>
      </x:c>
      <x:c r="K14" t="str">
        <x:f>IF(A14="","",'Project Control'!I14)</x:f>
      </x:c>
      <x:c r="L14" t="str">
        <x:f>IF(A14="","",'Project Control'!O14)</x:f>
      </x:c>
    </x:row>
    <x:row r="15">
      <x:c r="A15" t="str">
        <x:f>IF('Project Control'!A15="","",'Project Control'!A15)</x:f>
      </x:c>
      <x:c r="B15" t="str">
        <x:f>IF(A15="","",'Project Control'!B15)</x:f>
      </x:c>
      <x:c r="C15" t="str">
        <x:f>IF(A15="","",'Project Control'!R15)</x:f>
      </x:c>
      <x:c r="D15" t="str">
        <x:f>IF(A15="","",'Project Control'!S15)</x:f>
      </x:c>
      <x:c r="E15" t="str">
        <x:f>IF(A15="","",'Project Control'!T15)</x:f>
      </x:c>
      <x:c r="F15" t="str">
        <x:f>IF(A15="","",'Project Control'!C15)</x:f>
      </x:c>
      <x:c r="G15" t="str">
        <x:f>IF(A15="","",'Project Control'!D15)</x:f>
      </x:c>
      <x:c r="H15" t="str">
        <x:f>IF(A15="","",'Project Control'!E15)</x:f>
      </x:c>
      <x:c r="I15" t="str">
        <x:f>IF(A15="","",'Project Control'!F15)</x:f>
      </x:c>
      <x:c r="J15" t="str">
        <x:f>IF(A15="","",'Project Control'!H15)</x:f>
      </x:c>
      <x:c r="K15" t="str">
        <x:f>IF(A15="","",'Project Control'!I15)</x:f>
      </x:c>
      <x:c r="L15" t="str">
        <x:f>IF(A15="","",'Project Control'!O15)</x:f>
      </x:c>
    </x:row>
    <x:row r="16">
      <x:c r="A16" t="str">
        <x:f>IF('Project Control'!A16="","",'Project Control'!A16)</x:f>
      </x:c>
      <x:c r="B16" t="str">
        <x:f>IF(A16="","",'Project Control'!B16)</x:f>
      </x:c>
      <x:c r="C16" t="str">
        <x:f>IF(A16="","",'Project Control'!R16)</x:f>
      </x:c>
      <x:c r="D16" t="str">
        <x:f>IF(A16="","",'Project Control'!S16)</x:f>
      </x:c>
      <x:c r="E16" t="str">
        <x:f>IF(A16="","",'Project Control'!T16)</x:f>
      </x:c>
      <x:c r="F16" t="str">
        <x:f>IF(A16="","",'Project Control'!C16)</x:f>
      </x:c>
      <x:c r="G16" t="str">
        <x:f>IF(A16="","",'Project Control'!D16)</x:f>
      </x:c>
      <x:c r="H16" t="str">
        <x:f>IF(A16="","",'Project Control'!E16)</x:f>
      </x:c>
      <x:c r="I16" t="str">
        <x:f>IF(A16="","",'Project Control'!F16)</x:f>
      </x:c>
      <x:c r="J16" t="str">
        <x:f>IF(A16="","",'Project Control'!H16)</x:f>
      </x:c>
      <x:c r="K16" t="str">
        <x:f>IF(A16="","",'Project Control'!I16)</x:f>
      </x:c>
      <x:c r="L16" t="str">
        <x:f>IF(A16="","",'Project Control'!O16)</x:f>
      </x:c>
    </x:row>
    <x:row r="17">
      <x:c r="A17" t="str">
        <x:f>IF('Project Control'!A17="","",'Project Control'!A17)</x:f>
      </x:c>
      <x:c r="B17" t="str">
        <x:f>IF(A17="","",'Project Control'!B17)</x:f>
      </x:c>
      <x:c r="C17" t="str">
        <x:f>IF(A17="","",'Project Control'!R17)</x:f>
      </x:c>
      <x:c r="D17" t="str">
        <x:f>IF(A17="","",'Project Control'!S17)</x:f>
      </x:c>
      <x:c r="E17" t="str">
        <x:f>IF(A17="","",'Project Control'!T17)</x:f>
      </x:c>
      <x:c r="F17" t="str">
        <x:f>IF(A17="","",'Project Control'!C17)</x:f>
      </x:c>
      <x:c r="G17" t="str">
        <x:f>IF(A17="","",'Project Control'!D17)</x:f>
      </x:c>
      <x:c r="H17" t="str">
        <x:f>IF(A17="","",'Project Control'!E17)</x:f>
      </x:c>
      <x:c r="I17" t="str">
        <x:f>IF(A17="","",'Project Control'!F17)</x:f>
      </x:c>
      <x:c r="J17" t="str">
        <x:f>IF(A17="","",'Project Control'!H17)</x:f>
      </x:c>
      <x:c r="K17" t="str">
        <x:f>IF(A17="","",'Project Control'!I17)</x:f>
      </x:c>
      <x:c r="L17" t="str">
        <x:f>IF(A17="","",'Project Control'!O17)</x:f>
      </x:c>
    </x:row>
    <x:row r="18">
      <x:c r="A18" t="str">
        <x:f>IF('Project Control'!A18="","",'Project Control'!A18)</x:f>
      </x:c>
      <x:c r="B18" t="str">
        <x:f>IF(A18="","",'Project Control'!B18)</x:f>
      </x:c>
      <x:c r="C18" t="str">
        <x:f>IF(A18="","",'Project Control'!R18)</x:f>
      </x:c>
      <x:c r="D18" t="str">
        <x:f>IF(A18="","",'Project Control'!S18)</x:f>
      </x:c>
      <x:c r="E18" t="str">
        <x:f>IF(A18="","",'Project Control'!T18)</x:f>
      </x:c>
      <x:c r="F18" t="str">
        <x:f>IF(A18="","",'Project Control'!C18)</x:f>
      </x:c>
      <x:c r="G18" t="str">
        <x:f>IF(A18="","",'Project Control'!D18)</x:f>
      </x:c>
      <x:c r="H18" t="str">
        <x:f>IF(A18="","",'Project Control'!E18)</x:f>
      </x:c>
      <x:c r="I18" t="str">
        <x:f>IF(A18="","",'Project Control'!F18)</x:f>
      </x:c>
      <x:c r="J18" t="str">
        <x:f>IF(A18="","",'Project Control'!H18)</x:f>
      </x:c>
      <x:c r="K18" t="str">
        <x:f>IF(A18="","",'Project Control'!I18)</x:f>
      </x:c>
      <x:c r="L18" t="str">
        <x:f>IF(A18="","",'Project Control'!O18)</x:f>
      </x:c>
    </x:row>
    <x:row r="19">
      <x:c r="A19" t="str">
        <x:f>IF('Project Control'!A19="","",'Project Control'!A19)</x:f>
      </x:c>
      <x:c r="B19" t="str">
        <x:f>IF(A19="","",'Project Control'!B19)</x:f>
      </x:c>
      <x:c r="C19" t="str">
        <x:f>IF(A19="","",'Project Control'!R19)</x:f>
      </x:c>
      <x:c r="D19" t="str">
        <x:f>IF(A19="","",'Project Control'!S19)</x:f>
      </x:c>
      <x:c r="E19" t="str">
        <x:f>IF(A19="","",'Project Control'!T19)</x:f>
      </x:c>
      <x:c r="F19" t="str">
        <x:f>IF(A19="","",'Project Control'!C19)</x:f>
      </x:c>
      <x:c r="G19" t="str">
        <x:f>IF(A19="","",'Project Control'!D19)</x:f>
      </x:c>
      <x:c r="H19" t="str">
        <x:f>IF(A19="","",'Project Control'!E19)</x:f>
      </x:c>
      <x:c r="I19" t="str">
        <x:f>IF(A19="","",'Project Control'!F19)</x:f>
      </x:c>
      <x:c r="J19" t="str">
        <x:f>IF(A19="","",'Project Control'!H19)</x:f>
      </x:c>
      <x:c r="K19" t="str">
        <x:f>IF(A19="","",'Project Control'!I19)</x:f>
      </x:c>
      <x:c r="L19" t="str">
        <x:f>IF(A19="","",'Project Control'!O19)</x:f>
      </x:c>
    </x:row>
    <x:row r="20">
      <x:c r="A20" t="str">
        <x:f>IF('Project Control'!A20="","",'Project Control'!A20)</x:f>
      </x:c>
      <x:c r="B20" t="str">
        <x:f>IF(A20="","",'Project Control'!B20)</x:f>
      </x:c>
      <x:c r="C20" t="str">
        <x:f>IF(A20="","",'Project Control'!R20)</x:f>
      </x:c>
      <x:c r="D20" t="str">
        <x:f>IF(A20="","",'Project Control'!S20)</x:f>
      </x:c>
      <x:c r="E20" t="str">
        <x:f>IF(A20="","",'Project Control'!T20)</x:f>
      </x:c>
      <x:c r="F20" t="str">
        <x:f>IF(A20="","",'Project Control'!C20)</x:f>
      </x:c>
      <x:c r="G20" t="str">
        <x:f>IF(A20="","",'Project Control'!D20)</x:f>
      </x:c>
      <x:c r="H20" t="str">
        <x:f>IF(A20="","",'Project Control'!E20)</x:f>
      </x:c>
      <x:c r="I20" t="str">
        <x:f>IF(A20="","",'Project Control'!F20)</x:f>
      </x:c>
      <x:c r="J20" t="str">
        <x:f>IF(A20="","",'Project Control'!H20)</x:f>
      </x:c>
      <x:c r="K20" t="str">
        <x:f>IF(A20="","",'Project Control'!I20)</x:f>
      </x:c>
      <x:c r="L20" t="str">
        <x:f>IF(A20="","",'Project Control'!O20)</x:f>
      </x:c>
    </x:row>
    <x:row r="21">
      <x:c r="A21" t="str">
        <x:f>IF('Project Control'!A21="","",'Project Control'!A21)</x:f>
      </x:c>
      <x:c r="B21" t="str">
        <x:f>IF(A21="","",'Project Control'!B21)</x:f>
      </x:c>
      <x:c r="C21" t="str">
        <x:f>IF(A21="","",'Project Control'!R21)</x:f>
      </x:c>
      <x:c r="D21" t="str">
        <x:f>IF(A21="","",'Project Control'!S21)</x:f>
      </x:c>
      <x:c r="E21" t="str">
        <x:f>IF(A21="","",'Project Control'!T21)</x:f>
      </x:c>
      <x:c r="F21" t="str">
        <x:f>IF(A21="","",'Project Control'!C21)</x:f>
      </x:c>
      <x:c r="G21" t="str">
        <x:f>IF(A21="","",'Project Control'!D21)</x:f>
      </x:c>
      <x:c r="H21" t="str">
        <x:f>IF(A21="","",'Project Control'!E21)</x:f>
      </x:c>
      <x:c r="I21" t="str">
        <x:f>IF(A21="","",'Project Control'!F21)</x:f>
      </x:c>
      <x:c r="J21" t="str">
        <x:f>IF(A21="","",'Project Control'!H21)</x:f>
      </x:c>
      <x:c r="K21" t="str">
        <x:f>IF(A21="","",'Project Control'!I21)</x:f>
      </x:c>
      <x:c r="L21" t="str">
        <x:f>IF(A21="","",'Project Control'!O21)</x:f>
      </x:c>
    </x:row>
    <x:row r="22">
      <x:c r="A22" t="str">
        <x:f>IF('Project Control'!A22="","",'Project Control'!A22)</x:f>
      </x:c>
      <x:c r="B22" t="str">
        <x:f>IF(A22="","",'Project Control'!B22)</x:f>
      </x:c>
      <x:c r="C22" t="str">
        <x:f>IF(A22="","",'Project Control'!R22)</x:f>
      </x:c>
      <x:c r="D22" t="str">
        <x:f>IF(A22="","",'Project Control'!S22)</x:f>
      </x:c>
      <x:c r="E22" t="str">
        <x:f>IF(A22="","",'Project Control'!T22)</x:f>
      </x:c>
      <x:c r="F22" t="str">
        <x:f>IF(A22="","",'Project Control'!C22)</x:f>
      </x:c>
      <x:c r="G22" t="str">
        <x:f>IF(A22="","",'Project Control'!D22)</x:f>
      </x:c>
      <x:c r="H22" t="str">
        <x:f>IF(A22="","",'Project Control'!E22)</x:f>
      </x:c>
      <x:c r="I22" t="str">
        <x:f>IF(A22="","",'Project Control'!F22)</x:f>
      </x:c>
      <x:c r="J22" t="str">
        <x:f>IF(A22="","",'Project Control'!H22)</x:f>
      </x:c>
      <x:c r="K22" t="str">
        <x:f>IF(A22="","",'Project Control'!I22)</x:f>
      </x:c>
      <x:c r="L22" t="str">
        <x:f>IF(A22="","",'Project Control'!O22)</x:f>
      </x:c>
    </x:row>
    <x:row r="23">
      <x:c r="A23" t="str">
        <x:f>IF('Project Control'!A23="","",'Project Control'!A23)</x:f>
      </x:c>
      <x:c r="B23" t="str">
        <x:f>IF(A23="","",'Project Control'!B23)</x:f>
      </x:c>
      <x:c r="C23" t="str">
        <x:f>IF(A23="","",'Project Control'!R23)</x:f>
      </x:c>
      <x:c r="D23" t="str">
        <x:f>IF(A23="","",'Project Control'!S23)</x:f>
      </x:c>
      <x:c r="E23" t="str">
        <x:f>IF(A23="","",'Project Control'!T23)</x:f>
      </x:c>
      <x:c r="F23" t="str">
        <x:f>IF(A23="","",'Project Control'!C23)</x:f>
      </x:c>
      <x:c r="G23" t="str">
        <x:f>IF(A23="","",'Project Control'!D23)</x:f>
      </x:c>
      <x:c r="H23" t="str">
        <x:f>IF(A23="","",'Project Control'!E23)</x:f>
      </x:c>
      <x:c r="I23" t="str">
        <x:f>IF(A23="","",'Project Control'!F23)</x:f>
      </x:c>
      <x:c r="J23" t="str">
        <x:f>IF(A23="","",'Project Control'!H23)</x:f>
      </x:c>
      <x:c r="K23" t="str">
        <x:f>IF(A23="","",'Project Control'!I23)</x:f>
      </x:c>
      <x:c r="L23" t="str">
        <x:f>IF(A23="","",'Project Control'!O23)</x:f>
      </x:c>
    </x:row>
    <x:row r="24">
      <x:c r="A24" t="str">
        <x:f>IF('Project Control'!A24="","",'Project Control'!A24)</x:f>
      </x:c>
      <x:c r="B24" t="str">
        <x:f>IF(A24="","",'Project Control'!B24)</x:f>
      </x:c>
      <x:c r="C24" t="str">
        <x:f>IF(A24="","",'Project Control'!R24)</x:f>
      </x:c>
      <x:c r="D24" t="str">
        <x:f>IF(A24="","",'Project Control'!S24)</x:f>
      </x:c>
      <x:c r="E24" t="str">
        <x:f>IF(A24="","",'Project Control'!T24)</x:f>
      </x:c>
      <x:c r="F24" t="str">
        <x:f>IF(A24="","",'Project Control'!C24)</x:f>
      </x:c>
      <x:c r="G24" t="str">
        <x:f>IF(A24="","",'Project Control'!D24)</x:f>
      </x:c>
      <x:c r="H24" t="str">
        <x:f>IF(A24="","",'Project Control'!E24)</x:f>
      </x:c>
      <x:c r="I24" t="str">
        <x:f>IF(A24="","",'Project Control'!F24)</x:f>
      </x:c>
      <x:c r="J24" t="str">
        <x:f>IF(A24="","",'Project Control'!H24)</x:f>
      </x:c>
      <x:c r="K24" t="str">
        <x:f>IF(A24="","",'Project Control'!I24)</x:f>
      </x:c>
      <x:c r="L24" t="str">
        <x:f>IF(A24="","",'Project Control'!O24)</x:f>
      </x:c>
    </x:row>
    <x:row r="25">
      <x:c r="A25" t="str">
        <x:f>IF('Project Control'!A25="","",'Project Control'!A25)</x:f>
      </x:c>
      <x:c r="B25" t="str">
        <x:f>IF(A25="","",'Project Control'!B25)</x:f>
      </x:c>
      <x:c r="C25" t="str">
        <x:f>IF(A25="","",'Project Control'!R25)</x:f>
      </x:c>
      <x:c r="D25" t="str">
        <x:f>IF(A25="","",'Project Control'!S25)</x:f>
      </x:c>
      <x:c r="E25" t="str">
        <x:f>IF(A25="","",'Project Control'!T25)</x:f>
      </x:c>
      <x:c r="F25" t="str">
        <x:f>IF(A25="","",'Project Control'!C25)</x:f>
      </x:c>
      <x:c r="G25" t="str">
        <x:f>IF(A25="","",'Project Control'!D25)</x:f>
      </x:c>
      <x:c r="H25" t="str">
        <x:f>IF(A25="","",'Project Control'!E25)</x:f>
      </x:c>
      <x:c r="I25" t="str">
        <x:f>IF(A25="","",'Project Control'!F25)</x:f>
      </x:c>
      <x:c r="J25" t="str">
        <x:f>IF(A25="","",'Project Control'!H25)</x:f>
      </x:c>
      <x:c r="K25" t="str">
        <x:f>IF(A25="","",'Project Control'!I25)</x:f>
      </x:c>
      <x:c r="L25" t="str">
        <x:f>IF(A25="","",'Project Control'!O25)</x:f>
      </x:c>
    </x:row>
    <x:row r="26">
      <x:c r="A26" t="str">
        <x:f>IF('Project Control'!A26="","",'Project Control'!A26)</x:f>
      </x:c>
      <x:c r="B26" t="str">
        <x:f>IF(A26="","",'Project Control'!B26)</x:f>
      </x:c>
      <x:c r="C26" t="str">
        <x:f>IF(A26="","",'Project Control'!R26)</x:f>
      </x:c>
      <x:c r="D26" t="str">
        <x:f>IF(A26="","",'Project Control'!S26)</x:f>
      </x:c>
      <x:c r="E26" t="str">
        <x:f>IF(A26="","",'Project Control'!T26)</x:f>
      </x:c>
      <x:c r="F26" t="str">
        <x:f>IF(A26="","",'Project Control'!C26)</x:f>
      </x:c>
      <x:c r="G26" t="str">
        <x:f>IF(A26="","",'Project Control'!D26)</x:f>
      </x:c>
      <x:c r="H26" t="str">
        <x:f>IF(A26="","",'Project Control'!E26)</x:f>
      </x:c>
      <x:c r="I26" t="str">
        <x:f>IF(A26="","",'Project Control'!F26)</x:f>
      </x:c>
      <x:c r="J26" t="str">
        <x:f>IF(A26="","",'Project Control'!H26)</x:f>
      </x:c>
      <x:c r="K26" t="str">
        <x:f>IF(A26="","",'Project Control'!I26)</x:f>
      </x:c>
      <x:c r="L26" t="str">
        <x:f>IF(A26="","",'Project Control'!O26)</x:f>
      </x:c>
    </x:row>
    <x:row r="27">
      <x:c r="A27" t="str">
        <x:f>IF('Project Control'!A27="","",'Project Control'!A27)</x:f>
      </x:c>
      <x:c r="B27" t="str">
        <x:f>IF(A27="","",'Project Control'!B27)</x:f>
      </x:c>
      <x:c r="C27" t="str">
        <x:f>IF(A27="","",'Project Control'!R27)</x:f>
      </x:c>
      <x:c r="D27" t="str">
        <x:f>IF(A27="","",'Project Control'!S27)</x:f>
      </x:c>
      <x:c r="E27" t="str">
        <x:f>IF(A27="","",'Project Control'!T27)</x:f>
      </x:c>
      <x:c r="F27" t="str">
        <x:f>IF(A27="","",'Project Control'!C27)</x:f>
      </x:c>
      <x:c r="G27" t="str">
        <x:f>IF(A27="","",'Project Control'!D27)</x:f>
      </x:c>
      <x:c r="H27" t="str">
        <x:f>IF(A27="","",'Project Control'!E27)</x:f>
      </x:c>
      <x:c r="I27" t="str">
        <x:f>IF(A27="","",'Project Control'!F27)</x:f>
      </x:c>
      <x:c r="J27" t="str">
        <x:f>IF(A27="","",'Project Control'!H27)</x:f>
      </x:c>
      <x:c r="K27" t="str">
        <x:f>IF(A27="","",'Project Control'!I27)</x:f>
      </x:c>
      <x:c r="L27" t="str">
        <x:f>IF(A27="","",'Project Control'!O27)</x:f>
      </x:c>
    </x:row>
    <x:row r="28">
      <x:c r="A28" t="str">
        <x:f>IF('Project Control'!A28="","",'Project Control'!A28)</x:f>
      </x:c>
      <x:c r="B28" t="str">
        <x:f>IF(A28="","",'Project Control'!B28)</x:f>
      </x:c>
      <x:c r="C28" t="str">
        <x:f>IF(A28="","",'Project Control'!R28)</x:f>
      </x:c>
      <x:c r="D28" t="str">
        <x:f>IF(A28="","",'Project Control'!S28)</x:f>
      </x:c>
      <x:c r="E28" t="str">
        <x:f>IF(A28="","",'Project Control'!T28)</x:f>
      </x:c>
      <x:c r="F28" t="str">
        <x:f>IF(A28="","",'Project Control'!C28)</x:f>
      </x:c>
      <x:c r="G28" t="str">
        <x:f>IF(A28="","",'Project Control'!D28)</x:f>
      </x:c>
      <x:c r="H28" t="str">
        <x:f>IF(A28="","",'Project Control'!E28)</x:f>
      </x:c>
      <x:c r="I28" t="str">
        <x:f>IF(A28="","",'Project Control'!F28)</x:f>
      </x:c>
      <x:c r="J28" t="str">
        <x:f>IF(A28="","",'Project Control'!H28)</x:f>
      </x:c>
      <x:c r="K28" t="str">
        <x:f>IF(A28="","",'Project Control'!I28)</x:f>
      </x:c>
      <x:c r="L28" t="str">
        <x:f>IF(A28="","",'Project Control'!O28)</x:f>
      </x:c>
    </x:row>
    <x:row r="29">
      <x:c r="A29" t="str">
        <x:f>IF('Project Control'!A29="","",'Project Control'!A29)</x:f>
      </x:c>
      <x:c r="B29" t="str">
        <x:f>IF(A29="","",'Project Control'!B29)</x:f>
      </x:c>
      <x:c r="C29" t="str">
        <x:f>IF(A29="","",'Project Control'!R29)</x:f>
      </x:c>
      <x:c r="D29" t="str">
        <x:f>IF(A29="","",'Project Control'!S29)</x:f>
      </x:c>
      <x:c r="E29" t="str">
        <x:f>IF(A29="","",'Project Control'!T29)</x:f>
      </x:c>
      <x:c r="F29" t="str">
        <x:f>IF(A29="","",'Project Control'!C29)</x:f>
      </x:c>
      <x:c r="G29" t="str">
        <x:f>IF(A29="","",'Project Control'!D29)</x:f>
      </x:c>
      <x:c r="H29" t="str">
        <x:f>IF(A29="","",'Project Control'!E29)</x:f>
      </x:c>
      <x:c r="I29" t="str">
        <x:f>IF(A29="","",'Project Control'!F29)</x:f>
      </x:c>
      <x:c r="J29" t="str">
        <x:f>IF(A29="","",'Project Control'!H29)</x:f>
      </x:c>
      <x:c r="K29" t="str">
        <x:f>IF(A29="","",'Project Control'!I29)</x:f>
      </x:c>
      <x:c r="L29" t="str">
        <x:f>IF(A29="","",'Project Control'!O29)</x:f>
      </x:c>
    </x:row>
    <x:row r="30">
      <x:c r="A30" t="str">
        <x:f>IF('Project Control'!A30="","",'Project Control'!A30)</x:f>
      </x:c>
      <x:c r="B30" t="str">
        <x:f>IF(A30="","",'Project Control'!B30)</x:f>
      </x:c>
      <x:c r="C30" t="str">
        <x:f>IF(A30="","",'Project Control'!R30)</x:f>
      </x:c>
      <x:c r="D30" t="str">
        <x:f>IF(A30="","",'Project Control'!S30)</x:f>
      </x:c>
      <x:c r="E30" t="str">
        <x:f>IF(A30="","",'Project Control'!T30)</x:f>
      </x:c>
      <x:c r="F30" t="str">
        <x:f>IF(A30="","",'Project Control'!C30)</x:f>
      </x:c>
      <x:c r="G30" t="str">
        <x:f>IF(A30="","",'Project Control'!D30)</x:f>
      </x:c>
      <x:c r="H30" t="str">
        <x:f>IF(A30="","",'Project Control'!E30)</x:f>
      </x:c>
      <x:c r="I30" t="str">
        <x:f>IF(A30="","",'Project Control'!F30)</x:f>
      </x:c>
      <x:c r="J30" t="str">
        <x:f>IF(A30="","",'Project Control'!H30)</x:f>
      </x:c>
      <x:c r="K30" t="str">
        <x:f>IF(A30="","",'Project Control'!I30)</x:f>
      </x:c>
      <x:c r="L30" t="str">
        <x:f>IF(A30="","",'Project Control'!O30)</x:f>
      </x:c>
    </x:row>
    <x:row r="31">
      <x:c r="A31" t="str">
        <x:f>IF('Project Control'!A31="","",'Project Control'!A31)</x:f>
      </x:c>
      <x:c r="B31" t="str">
        <x:f>IF(A31="","",'Project Control'!B31)</x:f>
      </x:c>
      <x:c r="C31" t="str">
        <x:f>IF(A31="","",'Project Control'!R31)</x:f>
      </x:c>
      <x:c r="D31" t="str">
        <x:f>IF(A31="","",'Project Control'!S31)</x:f>
      </x:c>
      <x:c r="E31" t="str">
        <x:f>IF(A31="","",'Project Control'!T31)</x:f>
      </x:c>
      <x:c r="F31" t="str">
        <x:f>IF(A31="","",'Project Control'!C31)</x:f>
      </x:c>
      <x:c r="G31" t="str">
        <x:f>IF(A31="","",'Project Control'!D31)</x:f>
      </x:c>
      <x:c r="H31" t="str">
        <x:f>IF(A31="","",'Project Control'!E31)</x:f>
      </x:c>
      <x:c r="I31" t="str">
        <x:f>IF(A31="","",'Project Control'!F31)</x:f>
      </x:c>
      <x:c r="J31" t="str">
        <x:f>IF(A31="","",'Project Control'!H31)</x:f>
      </x:c>
      <x:c r="K31" t="str">
        <x:f>IF(A31="","",'Project Control'!I31)</x:f>
      </x:c>
      <x:c r="L31" t="str">
        <x:f>IF(A31="","",'Project Control'!O31)</x:f>
      </x:c>
    </x:row>
    <x:row r="32">
      <x:c r="A32" t="str">
        <x:f>IF('Project Control'!A32="","",'Project Control'!A32)</x:f>
      </x:c>
      <x:c r="B32" t="str">
        <x:f>IF(A32="","",'Project Control'!B32)</x:f>
      </x:c>
      <x:c r="C32" t="str">
        <x:f>IF(A32="","",'Project Control'!R32)</x:f>
      </x:c>
      <x:c r="D32" t="str">
        <x:f>IF(A32="","",'Project Control'!S32)</x:f>
      </x:c>
      <x:c r="E32" t="str">
        <x:f>IF(A32="","",'Project Control'!T32)</x:f>
      </x:c>
      <x:c r="F32" t="str">
        <x:f>IF(A32="","",'Project Control'!C32)</x:f>
      </x:c>
      <x:c r="G32" t="str">
        <x:f>IF(A32="","",'Project Control'!D32)</x:f>
      </x:c>
      <x:c r="H32" t="str">
        <x:f>IF(A32="","",'Project Control'!E32)</x:f>
      </x:c>
      <x:c r="I32" t="str">
        <x:f>IF(A32="","",'Project Control'!F32)</x:f>
      </x:c>
      <x:c r="J32" t="str">
        <x:f>IF(A32="","",'Project Control'!H32)</x:f>
      </x:c>
      <x:c r="K32" t="str">
        <x:f>IF(A32="","",'Project Control'!I32)</x:f>
      </x:c>
      <x:c r="L32" t="str">
        <x:f>IF(A32="","",'Project Control'!O32)</x:f>
      </x:c>
    </x:row>
    <x:row r="33">
      <x:c r="A33" t="str">
        <x:f>IF('Project Control'!A33="","",'Project Control'!A33)</x:f>
      </x:c>
      <x:c r="B33" t="str">
        <x:f>IF(A33="","",'Project Control'!B33)</x:f>
      </x:c>
      <x:c r="C33" t="str">
        <x:f>IF(A33="","",'Project Control'!R33)</x:f>
      </x:c>
      <x:c r="D33" t="str">
        <x:f>IF(A33="","",'Project Control'!S33)</x:f>
      </x:c>
      <x:c r="E33" t="str">
        <x:f>IF(A33="","",'Project Control'!T33)</x:f>
      </x:c>
      <x:c r="F33" t="str">
        <x:f>IF(A33="","",'Project Control'!C33)</x:f>
      </x:c>
      <x:c r="G33" t="str">
        <x:f>IF(A33="","",'Project Control'!D33)</x:f>
      </x:c>
      <x:c r="H33" t="str">
        <x:f>IF(A33="","",'Project Control'!E33)</x:f>
      </x:c>
      <x:c r="I33" t="str">
        <x:f>IF(A33="","",'Project Control'!F33)</x:f>
      </x:c>
      <x:c r="J33" t="str">
        <x:f>IF(A33="","",'Project Control'!H33)</x:f>
      </x:c>
      <x:c r="K33" t="str">
        <x:f>IF(A33="","",'Project Control'!I33)</x:f>
      </x:c>
      <x:c r="L33" t="str">
        <x:f>IF(A33="","",'Project Control'!O33)</x:f>
      </x:c>
    </x:row>
    <x:row r="34">
      <x:c r="A34" t="str">
        <x:f>IF('Project Control'!A34="","",'Project Control'!A34)</x:f>
      </x:c>
      <x:c r="B34" t="str">
        <x:f>IF(A34="","",'Project Control'!B34)</x:f>
      </x:c>
      <x:c r="C34" t="str">
        <x:f>IF(A34="","",'Project Control'!R34)</x:f>
      </x:c>
      <x:c r="D34" t="str">
        <x:f>IF(A34="","",'Project Control'!S34)</x:f>
      </x:c>
      <x:c r="E34" t="str">
        <x:f>IF(A34="","",'Project Control'!T34)</x:f>
      </x:c>
      <x:c r="F34" t="str">
        <x:f>IF(A34="","",'Project Control'!C34)</x:f>
      </x:c>
      <x:c r="G34" t="str">
        <x:f>IF(A34="","",'Project Control'!D34)</x:f>
      </x:c>
      <x:c r="H34" t="str">
        <x:f>IF(A34="","",'Project Control'!E34)</x:f>
      </x:c>
      <x:c r="I34" t="str">
        <x:f>IF(A34="","",'Project Control'!F34)</x:f>
      </x:c>
      <x:c r="J34" t="str">
        <x:f>IF(A34="","",'Project Control'!H34)</x:f>
      </x:c>
      <x:c r="K34" t="str">
        <x:f>IF(A34="","",'Project Control'!I34)</x:f>
      </x:c>
      <x:c r="L34" t="str">
        <x:f>IF(A34="","",'Project Control'!O34)</x:f>
      </x:c>
    </x:row>
    <x:row r="35">
      <x:c r="A35" t="str">
        <x:f>IF('Project Control'!A35="","",'Project Control'!A35)</x:f>
      </x:c>
      <x:c r="B35" t="str">
        <x:f>IF(A35="","",'Project Control'!B35)</x:f>
      </x:c>
      <x:c r="C35" t="str">
        <x:f>IF(A35="","",'Project Control'!R35)</x:f>
      </x:c>
      <x:c r="D35" t="str">
        <x:f>IF(A35="","",'Project Control'!S35)</x:f>
      </x:c>
      <x:c r="E35" t="str">
        <x:f>IF(A35="","",'Project Control'!T35)</x:f>
      </x:c>
      <x:c r="F35" t="str">
        <x:f>IF(A35="","",'Project Control'!C35)</x:f>
      </x:c>
      <x:c r="G35" t="str">
        <x:f>IF(A35="","",'Project Control'!D35)</x:f>
      </x:c>
      <x:c r="H35" t="str">
        <x:f>IF(A35="","",'Project Control'!E35)</x:f>
      </x:c>
      <x:c r="I35" t="str">
        <x:f>IF(A35="","",'Project Control'!F35)</x:f>
      </x:c>
      <x:c r="J35" t="str">
        <x:f>IF(A35="","",'Project Control'!H35)</x:f>
      </x:c>
      <x:c r="K35" t="str">
        <x:f>IF(A35="","",'Project Control'!I35)</x:f>
      </x:c>
      <x:c r="L35" t="str">
        <x:f>IF(A35="","",'Project Control'!O35)</x:f>
      </x:c>
    </x:row>
    <x:row r="36">
      <x:c r="A36" t="str">
        <x:f>IF('Project Control'!A36="","",'Project Control'!A36)</x:f>
      </x:c>
      <x:c r="B36" t="str">
        <x:f>IF(A36="","",'Project Control'!B36)</x:f>
      </x:c>
      <x:c r="C36" t="str">
        <x:f>IF(A36="","",'Project Control'!R36)</x:f>
      </x:c>
      <x:c r="D36" t="str">
        <x:f>IF(A36="","",'Project Control'!S36)</x:f>
      </x:c>
      <x:c r="E36" t="str">
        <x:f>IF(A36="","",'Project Control'!T36)</x:f>
      </x:c>
      <x:c r="F36" t="str">
        <x:f>IF(A36="","",'Project Control'!C36)</x:f>
      </x:c>
      <x:c r="G36" t="str">
        <x:f>IF(A36="","",'Project Control'!D36)</x:f>
      </x:c>
      <x:c r="H36" t="str">
        <x:f>IF(A36="","",'Project Control'!E36)</x:f>
      </x:c>
      <x:c r="I36" t="str">
        <x:f>IF(A36="","",'Project Control'!F36)</x:f>
      </x:c>
      <x:c r="J36" t="str">
        <x:f>IF(A36="","",'Project Control'!H36)</x:f>
      </x:c>
      <x:c r="K36" t="str">
        <x:f>IF(A36="","",'Project Control'!I36)</x:f>
      </x:c>
      <x:c r="L36" t="str">
        <x:f>IF(A36="","",'Project Control'!O36)</x:f>
      </x:c>
    </x:row>
    <x:row r="37">
      <x:c r="A37" t="str">
        <x:f>IF('Project Control'!A37="","",'Project Control'!A37)</x:f>
      </x:c>
      <x:c r="B37" t="str">
        <x:f>IF(A37="","",'Project Control'!B37)</x:f>
      </x:c>
      <x:c r="C37" t="str">
        <x:f>IF(A37="","",'Project Control'!R37)</x:f>
      </x:c>
      <x:c r="D37" t="str">
        <x:f>IF(A37="","",'Project Control'!S37)</x:f>
      </x:c>
      <x:c r="E37" t="str">
        <x:f>IF(A37="","",'Project Control'!T37)</x:f>
      </x:c>
      <x:c r="F37" t="str">
        <x:f>IF(A37="","",'Project Control'!C37)</x:f>
      </x:c>
      <x:c r="G37" t="str">
        <x:f>IF(A37="","",'Project Control'!D37)</x:f>
      </x:c>
      <x:c r="H37" t="str">
        <x:f>IF(A37="","",'Project Control'!E37)</x:f>
      </x:c>
      <x:c r="I37" t="str">
        <x:f>IF(A37="","",'Project Control'!F37)</x:f>
      </x:c>
      <x:c r="J37" t="str">
        <x:f>IF(A37="","",'Project Control'!H37)</x:f>
      </x:c>
      <x:c r="K37" t="str">
        <x:f>IF(A37="","",'Project Control'!I37)</x:f>
      </x:c>
      <x:c r="L37" t="str">
        <x:f>IF(A37="","",'Project Control'!O37)</x:f>
      </x:c>
    </x:row>
    <x:row r="38">
      <x:c r="A38" t="str">
        <x:f>IF('Project Control'!A38="","",'Project Control'!A38)</x:f>
      </x:c>
      <x:c r="B38" t="str">
        <x:f>IF(A38="","",'Project Control'!B38)</x:f>
      </x:c>
      <x:c r="C38" t="str">
        <x:f>IF(A38="","",'Project Control'!R38)</x:f>
      </x:c>
      <x:c r="D38" t="str">
        <x:f>IF(A38="","",'Project Control'!S38)</x:f>
      </x:c>
      <x:c r="E38" t="str">
        <x:f>IF(A38="","",'Project Control'!T38)</x:f>
      </x:c>
      <x:c r="F38" t="str">
        <x:f>IF(A38="","",'Project Control'!C38)</x:f>
      </x:c>
      <x:c r="G38" t="str">
        <x:f>IF(A38="","",'Project Control'!D38)</x:f>
      </x:c>
      <x:c r="H38" t="str">
        <x:f>IF(A38="","",'Project Control'!E38)</x:f>
      </x:c>
      <x:c r="I38" t="str">
        <x:f>IF(A38="","",'Project Control'!F38)</x:f>
      </x:c>
      <x:c r="J38" t="str">
        <x:f>IF(A38="","",'Project Control'!H38)</x:f>
      </x:c>
      <x:c r="K38" t="str">
        <x:f>IF(A38="","",'Project Control'!I38)</x:f>
      </x:c>
      <x:c r="L38" t="str">
        <x:f>IF(A38="","",'Project Control'!O38)</x:f>
      </x:c>
    </x:row>
    <x:row r="39">
      <x:c r="A39" t="str">
        <x:f>IF('Project Control'!A39="","",'Project Control'!A39)</x:f>
      </x:c>
      <x:c r="B39" t="str">
        <x:f>IF(A39="","",'Project Control'!B39)</x:f>
      </x:c>
      <x:c r="C39" t="str">
        <x:f>IF(A39="","",'Project Control'!R39)</x:f>
      </x:c>
      <x:c r="D39" t="str">
        <x:f>IF(A39="","",'Project Control'!S39)</x:f>
      </x:c>
      <x:c r="E39" t="str">
        <x:f>IF(A39="","",'Project Control'!T39)</x:f>
      </x:c>
      <x:c r="F39" t="str">
        <x:f>IF(A39="","",'Project Control'!C39)</x:f>
      </x:c>
      <x:c r="G39" t="str">
        <x:f>IF(A39="","",'Project Control'!D39)</x:f>
      </x:c>
      <x:c r="H39" t="str">
        <x:f>IF(A39="","",'Project Control'!E39)</x:f>
      </x:c>
      <x:c r="I39" t="str">
        <x:f>IF(A39="","",'Project Control'!F39)</x:f>
      </x:c>
      <x:c r="J39" t="str">
        <x:f>IF(A39="","",'Project Control'!H39)</x:f>
      </x:c>
      <x:c r="K39" t="str">
        <x:f>IF(A39="","",'Project Control'!I39)</x:f>
      </x:c>
      <x:c r="L39" t="str">
        <x:f>IF(A39="","",'Project Control'!O39)</x:f>
      </x:c>
    </x:row>
    <x:row r="40">
      <x:c r="A40" t="str">
        <x:f>IF('Project Control'!A40="","",'Project Control'!A40)</x:f>
      </x:c>
      <x:c r="B40" t="str">
        <x:f>IF(A40="","",'Project Control'!B40)</x:f>
      </x:c>
      <x:c r="C40" t="str">
        <x:f>IF(A40="","",'Project Control'!R40)</x:f>
      </x:c>
      <x:c r="D40" t="str">
        <x:f>IF(A40="","",'Project Control'!S40)</x:f>
      </x:c>
      <x:c r="E40" t="str">
        <x:f>IF(A40="","",'Project Control'!T40)</x:f>
      </x:c>
      <x:c r="F40" t="str">
        <x:f>IF(A40="","",'Project Control'!C40)</x:f>
      </x:c>
      <x:c r="G40" t="str">
        <x:f>IF(A40="","",'Project Control'!D40)</x:f>
      </x:c>
      <x:c r="H40" t="str">
        <x:f>IF(A40="","",'Project Control'!E40)</x:f>
      </x:c>
      <x:c r="I40" t="str">
        <x:f>IF(A40="","",'Project Control'!F40)</x:f>
      </x:c>
      <x:c r="J40" t="str">
        <x:f>IF(A40="","",'Project Control'!H40)</x:f>
      </x:c>
      <x:c r="K40" t="str">
        <x:f>IF(A40="","",'Project Control'!I40)</x:f>
      </x:c>
      <x:c r="L40" t="str">
        <x:f>IF(A40="","",'Project Control'!O40)</x:f>
      </x:c>
    </x:row>
    <x:row r="41">
      <x:c r="A41" t="str">
        <x:f>IF('Project Control'!A41="","",'Project Control'!A41)</x:f>
      </x:c>
      <x:c r="B41" t="str">
        <x:f>IF(A41="","",'Project Control'!B41)</x:f>
      </x:c>
      <x:c r="C41" t="str">
        <x:f>IF(A41="","",'Project Control'!R41)</x:f>
      </x:c>
      <x:c r="D41" t="str">
        <x:f>IF(A41="","",'Project Control'!S41)</x:f>
      </x:c>
      <x:c r="E41" t="str">
        <x:f>IF(A41="","",'Project Control'!T41)</x:f>
      </x:c>
      <x:c r="F41" t="str">
        <x:f>IF(A41="","",'Project Control'!C41)</x:f>
      </x:c>
      <x:c r="G41" t="str">
        <x:f>IF(A41="","",'Project Control'!D41)</x:f>
      </x:c>
      <x:c r="H41" t="str">
        <x:f>IF(A41="","",'Project Control'!E41)</x:f>
      </x:c>
      <x:c r="I41" t="str">
        <x:f>IF(A41="","",'Project Control'!F41)</x:f>
      </x:c>
      <x:c r="J41" t="str">
        <x:f>IF(A41="","",'Project Control'!H41)</x:f>
      </x:c>
      <x:c r="K41" t="str">
        <x:f>IF(A41="","",'Project Control'!I41)</x:f>
      </x:c>
      <x:c r="L41" t="str">
        <x:f>IF(A41="","",'Project Control'!O41)</x:f>
      </x:c>
    </x:row>
    <x:row r="42">
      <x:c r="A42" t="str">
        <x:f>IF('Project Control'!A42="","",'Project Control'!A42)</x:f>
      </x:c>
      <x:c r="B42" t="str">
        <x:f>IF(A42="","",'Project Control'!B42)</x:f>
      </x:c>
      <x:c r="C42" t="str">
        <x:f>IF(A42="","",'Project Control'!R42)</x:f>
      </x:c>
      <x:c r="D42" t="str">
        <x:f>IF(A42="","",'Project Control'!S42)</x:f>
      </x:c>
      <x:c r="E42" t="str">
        <x:f>IF(A42="","",'Project Control'!T42)</x:f>
      </x:c>
      <x:c r="F42" t="str">
        <x:f>IF(A42="","",'Project Control'!C42)</x:f>
      </x:c>
      <x:c r="G42" t="str">
        <x:f>IF(A42="","",'Project Control'!D42)</x:f>
      </x:c>
      <x:c r="H42" t="str">
        <x:f>IF(A42="","",'Project Control'!E42)</x:f>
      </x:c>
      <x:c r="I42" t="str">
        <x:f>IF(A42="","",'Project Control'!F42)</x:f>
      </x:c>
      <x:c r="J42" t="str">
        <x:f>IF(A42="","",'Project Control'!H42)</x:f>
      </x:c>
      <x:c r="K42" t="str">
        <x:f>IF(A42="","",'Project Control'!I42)</x:f>
      </x:c>
      <x:c r="L42" t="str">
        <x:f>IF(A42="","",'Project Control'!O42)</x:f>
      </x:c>
    </x:row>
    <x:row r="43">
      <x:c r="A43" t="str">
        <x:f>IF('Project Control'!A43="","",'Project Control'!A43)</x:f>
      </x:c>
      <x:c r="B43" t="str">
        <x:f>IF(A43="","",'Project Control'!B43)</x:f>
      </x:c>
      <x:c r="C43" t="str">
        <x:f>IF(A43="","",'Project Control'!R43)</x:f>
      </x:c>
      <x:c r="D43" t="str">
        <x:f>IF(A43="","",'Project Control'!S43)</x:f>
      </x:c>
      <x:c r="E43" t="str">
        <x:f>IF(A43="","",'Project Control'!T43)</x:f>
      </x:c>
      <x:c r="F43" t="str">
        <x:f>IF(A43="","",'Project Control'!C43)</x:f>
      </x:c>
      <x:c r="G43" t="str">
        <x:f>IF(A43="","",'Project Control'!D43)</x:f>
      </x:c>
      <x:c r="H43" t="str">
        <x:f>IF(A43="","",'Project Control'!E43)</x:f>
      </x:c>
      <x:c r="I43" t="str">
        <x:f>IF(A43="","",'Project Control'!F43)</x:f>
      </x:c>
      <x:c r="J43" t="str">
        <x:f>IF(A43="","",'Project Control'!H43)</x:f>
      </x:c>
      <x:c r="K43" t="str">
        <x:f>IF(A43="","",'Project Control'!I43)</x:f>
      </x:c>
      <x:c r="L43" t="str">
        <x:f>IF(A43="","",'Project Control'!O43)</x:f>
      </x:c>
    </x:row>
    <x:row r="44">
      <x:c r="A44" t="str">
        <x:f>IF('Project Control'!A44="","",'Project Control'!A44)</x:f>
      </x:c>
      <x:c r="B44" t="str">
        <x:f>IF(A44="","",'Project Control'!B44)</x:f>
      </x:c>
      <x:c r="C44" t="str">
        <x:f>IF(A44="","",'Project Control'!R44)</x:f>
      </x:c>
      <x:c r="D44" t="str">
        <x:f>IF(A44="","",'Project Control'!S44)</x:f>
      </x:c>
      <x:c r="E44" t="str">
        <x:f>IF(A44="","",'Project Control'!T44)</x:f>
      </x:c>
      <x:c r="F44" t="str">
        <x:f>IF(A44="","",'Project Control'!C44)</x:f>
      </x:c>
      <x:c r="G44" t="str">
        <x:f>IF(A44="","",'Project Control'!D44)</x:f>
      </x:c>
      <x:c r="H44" t="str">
        <x:f>IF(A44="","",'Project Control'!E44)</x:f>
      </x:c>
      <x:c r="I44" t="str">
        <x:f>IF(A44="","",'Project Control'!F44)</x:f>
      </x:c>
      <x:c r="J44" t="str">
        <x:f>IF(A44="","",'Project Control'!H44)</x:f>
      </x:c>
      <x:c r="K44" t="str">
        <x:f>IF(A44="","",'Project Control'!I44)</x:f>
      </x:c>
      <x:c r="L44" t="str">
        <x:f>IF(A44="","",'Project Control'!O44)</x:f>
      </x:c>
    </x:row>
    <x:row r="45">
      <x:c r="A45" t="str">
        <x:f>IF('Project Control'!A45="","",'Project Control'!A45)</x:f>
      </x:c>
      <x:c r="B45" t="str">
        <x:f>IF(A45="","",'Project Control'!B45)</x:f>
      </x:c>
      <x:c r="C45" t="str">
        <x:f>IF(A45="","",'Project Control'!R45)</x:f>
      </x:c>
      <x:c r="D45" t="str">
        <x:f>IF(A45="","",'Project Control'!S45)</x:f>
      </x:c>
      <x:c r="E45" t="str">
        <x:f>IF(A45="","",'Project Control'!T45)</x:f>
      </x:c>
      <x:c r="F45" t="str">
        <x:f>IF(A45="","",'Project Control'!C45)</x:f>
      </x:c>
      <x:c r="G45" t="str">
        <x:f>IF(A45="","",'Project Control'!D45)</x:f>
      </x:c>
      <x:c r="H45" t="str">
        <x:f>IF(A45="","",'Project Control'!E45)</x:f>
      </x:c>
      <x:c r="I45" t="str">
        <x:f>IF(A45="","",'Project Control'!F45)</x:f>
      </x:c>
      <x:c r="J45" t="str">
        <x:f>IF(A45="","",'Project Control'!H45)</x:f>
      </x:c>
      <x:c r="K45" t="str">
        <x:f>IF(A45="","",'Project Control'!I45)</x:f>
      </x:c>
      <x:c r="L45" t="str">
        <x:f>IF(A45="","",'Project Control'!O45)</x:f>
      </x:c>
    </x:row>
    <x:row r="46">
      <x:c r="A46" t="str">
        <x:f>IF('Project Control'!A46="","",'Project Control'!A46)</x:f>
      </x:c>
      <x:c r="B46" t="str">
        <x:f>IF(A46="","",'Project Control'!B46)</x:f>
      </x:c>
      <x:c r="C46" t="str">
        <x:f>IF(A46="","",'Project Control'!R46)</x:f>
      </x:c>
      <x:c r="D46" t="str">
        <x:f>IF(A46="","",'Project Control'!S46)</x:f>
      </x:c>
      <x:c r="E46" t="str">
        <x:f>IF(A46="","",'Project Control'!T46)</x:f>
      </x:c>
      <x:c r="F46" t="str">
        <x:f>IF(A46="","",'Project Control'!C46)</x:f>
      </x:c>
      <x:c r="G46" t="str">
        <x:f>IF(A46="","",'Project Control'!D46)</x:f>
      </x:c>
      <x:c r="H46" t="str">
        <x:f>IF(A46="","",'Project Control'!E46)</x:f>
      </x:c>
      <x:c r="I46" t="str">
        <x:f>IF(A46="","",'Project Control'!F46)</x:f>
      </x:c>
      <x:c r="J46" t="str">
        <x:f>IF(A46="","",'Project Control'!H46)</x:f>
      </x:c>
      <x:c r="K46" t="str">
        <x:f>IF(A46="","",'Project Control'!I46)</x:f>
      </x:c>
      <x:c r="L46" t="str">
        <x:f>IF(A46="","",'Project Control'!O46)</x:f>
      </x:c>
    </x:row>
    <x:row r="47">
      <x:c r="A47" t="str">
        <x:f>IF('Project Control'!A47="","",'Project Control'!A47)</x:f>
      </x:c>
      <x:c r="B47" t="str">
        <x:f>IF(A47="","",'Project Control'!B47)</x:f>
      </x:c>
      <x:c r="C47" t="str">
        <x:f>IF(A47="","",'Project Control'!R47)</x:f>
      </x:c>
      <x:c r="D47" t="str">
        <x:f>IF(A47="","",'Project Control'!S47)</x:f>
      </x:c>
      <x:c r="E47" t="str">
        <x:f>IF(A47="","",'Project Control'!T47)</x:f>
      </x:c>
      <x:c r="F47" t="str">
        <x:f>IF(A47="","",'Project Control'!C47)</x:f>
      </x:c>
      <x:c r="G47" t="str">
        <x:f>IF(A47="","",'Project Control'!D47)</x:f>
      </x:c>
      <x:c r="H47" t="str">
        <x:f>IF(A47="","",'Project Control'!E47)</x:f>
      </x:c>
      <x:c r="I47" t="str">
        <x:f>IF(A47="","",'Project Control'!F47)</x:f>
      </x:c>
      <x:c r="J47" t="str">
        <x:f>IF(A47="","",'Project Control'!H47)</x:f>
      </x:c>
      <x:c r="K47" t="str">
        <x:f>IF(A47="","",'Project Control'!I47)</x:f>
      </x:c>
      <x:c r="L47" t="str">
        <x:f>IF(A47="","",'Project Control'!O47)</x:f>
      </x:c>
    </x:row>
    <x:row r="48">
      <x:c r="A48" t="str">
        <x:f>IF('Project Control'!A48="","",'Project Control'!A48)</x:f>
      </x:c>
      <x:c r="B48" t="str">
        <x:f>IF(A48="","",'Project Control'!B48)</x:f>
      </x:c>
      <x:c r="C48" t="str">
        <x:f>IF(A48="","",'Project Control'!R48)</x:f>
      </x:c>
      <x:c r="D48" t="str">
        <x:f>IF(A48="","",'Project Control'!S48)</x:f>
      </x:c>
      <x:c r="E48" t="str">
        <x:f>IF(A48="","",'Project Control'!T48)</x:f>
      </x:c>
      <x:c r="F48" t="str">
        <x:f>IF(A48="","",'Project Control'!C48)</x:f>
      </x:c>
      <x:c r="G48" t="str">
        <x:f>IF(A48="","",'Project Control'!D48)</x:f>
      </x:c>
      <x:c r="H48" t="str">
        <x:f>IF(A48="","",'Project Control'!E48)</x:f>
      </x:c>
      <x:c r="I48" t="str">
        <x:f>IF(A48="","",'Project Control'!F48)</x:f>
      </x:c>
      <x:c r="J48" t="str">
        <x:f>IF(A48="","",'Project Control'!H48)</x:f>
      </x:c>
      <x:c r="K48" t="str">
        <x:f>IF(A48="","",'Project Control'!I48)</x:f>
      </x:c>
      <x:c r="L48" t="str">
        <x:f>IF(A48="","",'Project Control'!O48)</x:f>
      </x:c>
    </x:row>
    <x:row r="49">
      <x:c r="A49" t="str">
        <x:f>IF('Project Control'!A49="","",'Project Control'!A49)</x:f>
      </x:c>
      <x:c r="B49" t="str">
        <x:f>IF(A49="","",'Project Control'!B49)</x:f>
      </x:c>
      <x:c r="C49" t="str">
        <x:f>IF(A49="","",'Project Control'!R49)</x:f>
      </x:c>
      <x:c r="D49" t="str">
        <x:f>IF(A49="","",'Project Control'!S49)</x:f>
      </x:c>
      <x:c r="E49" t="str">
        <x:f>IF(A49="","",'Project Control'!T49)</x:f>
      </x:c>
      <x:c r="F49" t="str">
        <x:f>IF(A49="","",'Project Control'!C49)</x:f>
      </x:c>
      <x:c r="G49" t="str">
        <x:f>IF(A49="","",'Project Control'!D49)</x:f>
      </x:c>
      <x:c r="H49" t="str">
        <x:f>IF(A49="","",'Project Control'!E49)</x:f>
      </x:c>
      <x:c r="I49" t="str">
        <x:f>IF(A49="","",'Project Control'!F49)</x:f>
      </x:c>
      <x:c r="J49" t="str">
        <x:f>IF(A49="","",'Project Control'!H49)</x:f>
      </x:c>
      <x:c r="K49" t="str">
        <x:f>IF(A49="","",'Project Control'!I49)</x:f>
      </x:c>
      <x:c r="L49" t="str">
        <x:f>IF(A49="","",'Project Control'!O49)</x:f>
      </x:c>
    </x:row>
    <x:row r="50">
      <x:c r="A50" t="str">
        <x:f>IF('Project Control'!A50="","",'Project Control'!A50)</x:f>
      </x:c>
      <x:c r="B50" t="str">
        <x:f>IF(A50="","",'Project Control'!B50)</x:f>
      </x:c>
      <x:c r="C50" t="str">
        <x:f>IF(A50="","",'Project Control'!R50)</x:f>
      </x:c>
      <x:c r="D50" t="str">
        <x:f>IF(A50="","",'Project Control'!S50)</x:f>
      </x:c>
      <x:c r="E50" t="str">
        <x:f>IF(A50="","",'Project Control'!T50)</x:f>
      </x:c>
      <x:c r="F50" t="str">
        <x:f>IF(A50="","",'Project Control'!C50)</x:f>
      </x:c>
      <x:c r="G50" t="str">
        <x:f>IF(A50="","",'Project Control'!D50)</x:f>
      </x:c>
      <x:c r="H50" t="str">
        <x:f>IF(A50="","",'Project Control'!E50)</x:f>
      </x:c>
      <x:c r="I50" t="str">
        <x:f>IF(A50="","",'Project Control'!F50)</x:f>
      </x:c>
      <x:c r="J50" t="str">
        <x:f>IF(A50="","",'Project Control'!H50)</x:f>
      </x:c>
      <x:c r="K50" t="str">
        <x:f>IF(A50="","",'Project Control'!I50)</x:f>
      </x:c>
      <x:c r="L50" t="str">
        <x:f>IF(A50="","",'Project Control'!O50)</x:f>
      </x:c>
    </x:row>
    <x:row r="51">
      <x:c r="A51" t="str">
        <x:f>IF('Project Control'!A51="","",'Project Control'!A51)</x:f>
      </x:c>
      <x:c r="B51" t="str">
        <x:f>IF(A51="","",'Project Control'!B51)</x:f>
      </x:c>
      <x:c r="C51" t="str">
        <x:f>IF(A51="","",'Project Control'!R51)</x:f>
      </x:c>
      <x:c r="D51" t="str">
        <x:f>IF(A51="","",'Project Control'!S51)</x:f>
      </x:c>
      <x:c r="E51" t="str">
        <x:f>IF(A51="","",'Project Control'!T51)</x:f>
      </x:c>
      <x:c r="F51" t="str">
        <x:f>IF(A51="","",'Project Control'!C51)</x:f>
      </x:c>
      <x:c r="G51" t="str">
        <x:f>IF(A51="","",'Project Control'!D51)</x:f>
      </x:c>
      <x:c r="H51" t="str">
        <x:f>IF(A51="","",'Project Control'!E51)</x:f>
      </x:c>
      <x:c r="I51" t="str">
        <x:f>IF(A51="","",'Project Control'!F51)</x:f>
      </x:c>
      <x:c r="J51" t="str">
        <x:f>IF(A51="","",'Project Control'!H51)</x:f>
      </x:c>
      <x:c r="K51" t="str">
        <x:f>IF(A51="","",'Project Control'!I51)</x:f>
      </x:c>
      <x:c r="L51" t="str">
        <x:f>IF(A51="","",'Project Control'!O51)</x:f>
      </x:c>
    </x:row>
    <x:row r="52">
      <x:c r="A52" t="str">
        <x:f>IF('Project Control'!A52="","",'Project Control'!A52)</x:f>
      </x:c>
      <x:c r="B52" t="str">
        <x:f>IF(A52="","",'Project Control'!B52)</x:f>
      </x:c>
      <x:c r="C52" t="str">
        <x:f>IF(A52="","",'Project Control'!R52)</x:f>
      </x:c>
      <x:c r="D52" t="str">
        <x:f>IF(A52="","",'Project Control'!S52)</x:f>
      </x:c>
      <x:c r="E52" t="str">
        <x:f>IF(A52="","",'Project Control'!T52)</x:f>
      </x:c>
      <x:c r="F52" t="str">
        <x:f>IF(A52="","",'Project Control'!C52)</x:f>
      </x:c>
      <x:c r="G52" t="str">
        <x:f>IF(A52="","",'Project Control'!D52)</x:f>
      </x:c>
      <x:c r="H52" t="str">
        <x:f>IF(A52="","",'Project Control'!E52)</x:f>
      </x:c>
      <x:c r="I52" t="str">
        <x:f>IF(A52="","",'Project Control'!F52)</x:f>
      </x:c>
      <x:c r="J52" t="str">
        <x:f>IF(A52="","",'Project Control'!H52)</x:f>
      </x:c>
      <x:c r="K52" t="str">
        <x:f>IF(A52="","",'Project Control'!I52)</x:f>
      </x:c>
      <x:c r="L52" t="str">
        <x:f>IF(A52="","",'Project Control'!O52)</x:f>
      </x:c>
    </x:row>
    <x:row r="53">
      <x:c r="A53" t="str">
        <x:f>IF('Project Control'!A53="","",'Project Control'!A53)</x:f>
      </x:c>
      <x:c r="B53" t="str">
        <x:f>IF(A53="","",'Project Control'!B53)</x:f>
      </x:c>
      <x:c r="C53" t="str">
        <x:f>IF(A53="","",'Project Control'!R53)</x:f>
      </x:c>
      <x:c r="D53" t="str">
        <x:f>IF(A53="","",'Project Control'!S53)</x:f>
      </x:c>
      <x:c r="E53" t="str">
        <x:f>IF(A53="","",'Project Control'!T53)</x:f>
      </x:c>
      <x:c r="F53" t="str">
        <x:f>IF(A53="","",'Project Control'!C53)</x:f>
      </x:c>
      <x:c r="G53" t="str">
        <x:f>IF(A53="","",'Project Control'!D53)</x:f>
      </x:c>
      <x:c r="H53" t="str">
        <x:f>IF(A53="","",'Project Control'!E53)</x:f>
      </x:c>
      <x:c r="I53" t="str">
        <x:f>IF(A53="","",'Project Control'!F53)</x:f>
      </x:c>
      <x:c r="J53" t="str">
        <x:f>IF(A53="","",'Project Control'!H53)</x:f>
      </x:c>
      <x:c r="K53" t="str">
        <x:f>IF(A53="","",'Project Control'!I53)</x:f>
      </x:c>
      <x:c r="L53" t="str">
        <x:f>IF(A53="","",'Project Control'!O53)</x:f>
      </x:c>
    </x:row>
    <x:row r="54">
      <x:c r="A54" t="str">
        <x:f>IF('Project Control'!A54="","",'Project Control'!A54)</x:f>
      </x:c>
      <x:c r="B54" t="str">
        <x:f>IF(A54="","",'Project Control'!B54)</x:f>
      </x:c>
      <x:c r="C54" t="str">
        <x:f>IF(A54="","",'Project Control'!R54)</x:f>
      </x:c>
      <x:c r="D54" t="str">
        <x:f>IF(A54="","",'Project Control'!S54)</x:f>
      </x:c>
      <x:c r="E54" t="str">
        <x:f>IF(A54="","",'Project Control'!T54)</x:f>
      </x:c>
      <x:c r="F54" t="str">
        <x:f>IF(A54="","",'Project Control'!C54)</x:f>
      </x:c>
      <x:c r="G54" t="str">
        <x:f>IF(A54="","",'Project Control'!D54)</x:f>
      </x:c>
      <x:c r="H54" t="str">
        <x:f>IF(A54="","",'Project Control'!E54)</x:f>
      </x:c>
      <x:c r="I54" t="str">
        <x:f>IF(A54="","",'Project Control'!F54)</x:f>
      </x:c>
      <x:c r="J54" t="str">
        <x:f>IF(A54="","",'Project Control'!H54)</x:f>
      </x:c>
      <x:c r="K54" t="str">
        <x:f>IF(A54="","",'Project Control'!I54)</x:f>
      </x:c>
      <x:c r="L54" t="str">
        <x:f>IF(A54="","",'Project Control'!O54)</x:f>
      </x:c>
    </x:row>
    <x:row r="55">
      <x:c r="A55" t="str">
        <x:f>IF('Project Control'!A55="","",'Project Control'!A55)</x:f>
      </x:c>
      <x:c r="B55" t="str">
        <x:f>IF(A55="","",'Project Control'!B55)</x:f>
      </x:c>
      <x:c r="C55" t="str">
        <x:f>IF(A55="","",'Project Control'!R55)</x:f>
      </x:c>
      <x:c r="D55" t="str">
        <x:f>IF(A55="","",'Project Control'!S55)</x:f>
      </x:c>
      <x:c r="E55" t="str">
        <x:f>IF(A55="","",'Project Control'!T55)</x:f>
      </x:c>
      <x:c r="F55" t="str">
        <x:f>IF(A55="","",'Project Control'!C55)</x:f>
      </x:c>
      <x:c r="G55" t="str">
        <x:f>IF(A55="","",'Project Control'!D55)</x:f>
      </x:c>
      <x:c r="H55" t="str">
        <x:f>IF(A55="","",'Project Control'!E55)</x:f>
      </x:c>
      <x:c r="I55" t="str">
        <x:f>IF(A55="","",'Project Control'!F55)</x:f>
      </x:c>
      <x:c r="J55" t="str">
        <x:f>IF(A55="","",'Project Control'!H55)</x:f>
      </x:c>
      <x:c r="K55" t="str">
        <x:f>IF(A55="","",'Project Control'!I55)</x:f>
      </x:c>
      <x:c r="L55" t="str">
        <x:f>IF(A55="","",'Project Control'!O55)</x:f>
      </x:c>
    </x:row>
    <x:row r="56">
      <x:c r="A56" t="str">
        <x:f>IF('Project Control'!A56="","",'Project Control'!A56)</x:f>
      </x:c>
      <x:c r="B56" t="str">
        <x:f>IF(A56="","",'Project Control'!B56)</x:f>
      </x:c>
      <x:c r="C56" t="str">
        <x:f>IF(A56="","",'Project Control'!R56)</x:f>
      </x:c>
      <x:c r="D56" t="str">
        <x:f>IF(A56="","",'Project Control'!S56)</x:f>
      </x:c>
      <x:c r="E56" t="str">
        <x:f>IF(A56="","",'Project Control'!T56)</x:f>
      </x:c>
      <x:c r="F56" t="str">
        <x:f>IF(A56="","",'Project Control'!C56)</x:f>
      </x:c>
      <x:c r="G56" t="str">
        <x:f>IF(A56="","",'Project Control'!D56)</x:f>
      </x:c>
      <x:c r="H56" t="str">
        <x:f>IF(A56="","",'Project Control'!E56)</x:f>
      </x:c>
      <x:c r="I56" t="str">
        <x:f>IF(A56="","",'Project Control'!F56)</x:f>
      </x:c>
      <x:c r="J56" t="str">
        <x:f>IF(A56="","",'Project Control'!H56)</x:f>
      </x:c>
      <x:c r="K56" t="str">
        <x:f>IF(A56="","",'Project Control'!I56)</x:f>
      </x:c>
      <x:c r="L56" t="str">
        <x:f>IF(A56="","",'Project Control'!O56)</x:f>
      </x:c>
    </x:row>
    <x:row r="57">
      <x:c r="A57" t="str">
        <x:f>IF('Project Control'!A57="","",'Project Control'!A57)</x:f>
      </x:c>
      <x:c r="B57" t="str">
        <x:f>IF(A57="","",'Project Control'!B57)</x:f>
      </x:c>
      <x:c r="C57" t="str">
        <x:f>IF(A57="","",'Project Control'!R57)</x:f>
      </x:c>
      <x:c r="D57" t="str">
        <x:f>IF(A57="","",'Project Control'!S57)</x:f>
      </x:c>
      <x:c r="E57" t="str">
        <x:f>IF(A57="","",'Project Control'!T57)</x:f>
      </x:c>
      <x:c r="F57" t="str">
        <x:f>IF(A57="","",'Project Control'!C57)</x:f>
      </x:c>
      <x:c r="G57" t="str">
        <x:f>IF(A57="","",'Project Control'!D57)</x:f>
      </x:c>
      <x:c r="H57" t="str">
        <x:f>IF(A57="","",'Project Control'!E57)</x:f>
      </x:c>
      <x:c r="I57" t="str">
        <x:f>IF(A57="","",'Project Control'!F57)</x:f>
      </x:c>
      <x:c r="J57" t="str">
        <x:f>IF(A57="","",'Project Control'!H57)</x:f>
      </x:c>
      <x:c r="K57" t="str">
        <x:f>IF(A57="","",'Project Control'!I57)</x:f>
      </x:c>
      <x:c r="L57" t="str">
        <x:f>IF(A57="","",'Project Control'!O57)</x:f>
      </x:c>
    </x:row>
    <x:row r="58">
      <x:c r="A58" t="str">
        <x:f>IF('Project Control'!A58="","",'Project Control'!A58)</x:f>
      </x:c>
      <x:c r="B58" t="str">
        <x:f>IF(A58="","",'Project Control'!B58)</x:f>
      </x:c>
      <x:c r="C58" t="str">
        <x:f>IF(A58="","",'Project Control'!R58)</x:f>
      </x:c>
      <x:c r="D58" t="str">
        <x:f>IF(A58="","",'Project Control'!S58)</x:f>
      </x:c>
      <x:c r="E58" t="str">
        <x:f>IF(A58="","",'Project Control'!T58)</x:f>
      </x:c>
      <x:c r="F58" t="str">
        <x:f>IF(A58="","",'Project Control'!C58)</x:f>
      </x:c>
      <x:c r="G58" t="str">
        <x:f>IF(A58="","",'Project Control'!D58)</x:f>
      </x:c>
      <x:c r="H58" t="str">
        <x:f>IF(A58="","",'Project Control'!E58)</x:f>
      </x:c>
      <x:c r="I58" t="str">
        <x:f>IF(A58="","",'Project Control'!F58)</x:f>
      </x:c>
      <x:c r="J58" t="str">
        <x:f>IF(A58="","",'Project Control'!H58)</x:f>
      </x:c>
      <x:c r="K58" t="str">
        <x:f>IF(A58="","",'Project Control'!I58)</x:f>
      </x:c>
      <x:c r="L58" t="str">
        <x:f>IF(A58="","",'Project Control'!O58)</x:f>
      </x:c>
    </x:row>
    <x:row r="59">
      <x:c r="A59" t="str">
        <x:f>IF('Project Control'!A59="","",'Project Control'!A59)</x:f>
      </x:c>
      <x:c r="B59" t="str">
        <x:f>IF(A59="","",'Project Control'!B59)</x:f>
      </x:c>
      <x:c r="C59" t="str">
        <x:f>IF(A59="","",'Project Control'!R59)</x:f>
      </x:c>
      <x:c r="D59" t="str">
        <x:f>IF(A59="","",'Project Control'!S59)</x:f>
      </x:c>
      <x:c r="E59" t="str">
        <x:f>IF(A59="","",'Project Control'!T59)</x:f>
      </x:c>
      <x:c r="F59" t="str">
        <x:f>IF(A59="","",'Project Control'!C59)</x:f>
      </x:c>
      <x:c r="G59" t="str">
        <x:f>IF(A59="","",'Project Control'!D59)</x:f>
      </x:c>
      <x:c r="H59" t="str">
        <x:f>IF(A59="","",'Project Control'!E59)</x:f>
      </x:c>
      <x:c r="I59" t="str">
        <x:f>IF(A59="","",'Project Control'!F59)</x:f>
      </x:c>
      <x:c r="J59" t="str">
        <x:f>IF(A59="","",'Project Control'!H59)</x:f>
      </x:c>
      <x:c r="K59" t="str">
        <x:f>IF(A59="","",'Project Control'!I59)</x:f>
      </x:c>
      <x:c r="L59" t="str">
        <x:f>IF(A59="","",'Project Control'!O59)</x:f>
      </x:c>
    </x:row>
    <x:row r="60">
      <x:c r="A60" t="str">
        <x:f>IF('Project Control'!A60="","",'Project Control'!A60)</x:f>
      </x:c>
      <x:c r="B60" t="str">
        <x:f>IF(A60="","",'Project Control'!B60)</x:f>
      </x:c>
      <x:c r="C60" t="str">
        <x:f>IF(A60="","",'Project Control'!R60)</x:f>
      </x:c>
      <x:c r="D60" t="str">
        <x:f>IF(A60="","",'Project Control'!S60)</x:f>
      </x:c>
      <x:c r="E60" t="str">
        <x:f>IF(A60="","",'Project Control'!T60)</x:f>
      </x:c>
      <x:c r="F60" t="str">
        <x:f>IF(A60="","",'Project Control'!C60)</x:f>
      </x:c>
      <x:c r="G60" t="str">
        <x:f>IF(A60="","",'Project Control'!D60)</x:f>
      </x:c>
      <x:c r="H60" t="str">
        <x:f>IF(A60="","",'Project Control'!E60)</x:f>
      </x:c>
      <x:c r="I60" t="str">
        <x:f>IF(A60="","",'Project Control'!F60)</x:f>
      </x:c>
      <x:c r="J60" t="str">
        <x:f>IF(A60="","",'Project Control'!H60)</x:f>
      </x:c>
      <x:c r="K60" t="str">
        <x:f>IF(A60="","",'Project Control'!I60)</x:f>
      </x:c>
      <x:c r="L60" t="str">
        <x:f>IF(A60="","",'Project Control'!O60)</x:f>
      </x:c>
    </x:row>
    <x:row r="61">
      <x:c r="A61" t="str">
        <x:f>IF('Project Control'!A61="","",'Project Control'!A61)</x:f>
      </x:c>
      <x:c r="B61" t="str">
        <x:f>IF(A61="","",'Project Control'!B61)</x:f>
      </x:c>
      <x:c r="C61" t="str">
        <x:f>IF(A61="","",'Project Control'!R61)</x:f>
      </x:c>
      <x:c r="D61" t="str">
        <x:f>IF(A61="","",'Project Control'!S61)</x:f>
      </x:c>
      <x:c r="E61" t="str">
        <x:f>IF(A61="","",'Project Control'!T61)</x:f>
      </x:c>
      <x:c r="F61" t="str">
        <x:f>IF(A61="","",'Project Control'!C61)</x:f>
      </x:c>
      <x:c r="G61" t="str">
        <x:f>IF(A61="","",'Project Control'!D61)</x:f>
      </x:c>
      <x:c r="H61" t="str">
        <x:f>IF(A61="","",'Project Control'!E61)</x:f>
      </x:c>
      <x:c r="I61" t="str">
        <x:f>IF(A61="","",'Project Control'!F61)</x:f>
      </x:c>
      <x:c r="J61" t="str">
        <x:f>IF(A61="","",'Project Control'!H61)</x:f>
      </x:c>
      <x:c r="K61" t="str">
        <x:f>IF(A61="","",'Project Control'!I61)</x:f>
      </x:c>
      <x:c r="L61" t="str">
        <x:f>IF(A61="","",'Project Control'!O61)</x:f>
      </x:c>
    </x:row>
    <x:row r="62">
      <x:c r="A62" t="str">
        <x:f>IF('Project Control'!A62="","",'Project Control'!A62)</x:f>
      </x:c>
      <x:c r="B62" t="str">
        <x:f>IF(A62="","",'Project Control'!B62)</x:f>
      </x:c>
      <x:c r="C62" t="str">
        <x:f>IF(A62="","",'Project Control'!R62)</x:f>
      </x:c>
      <x:c r="D62" t="str">
        <x:f>IF(A62="","",'Project Control'!S62)</x:f>
      </x:c>
      <x:c r="E62" t="str">
        <x:f>IF(A62="","",'Project Control'!T62)</x:f>
      </x:c>
      <x:c r="F62" t="str">
        <x:f>IF(A62="","",'Project Control'!C62)</x:f>
      </x:c>
      <x:c r="G62" t="str">
        <x:f>IF(A62="","",'Project Control'!D62)</x:f>
      </x:c>
      <x:c r="H62" t="str">
        <x:f>IF(A62="","",'Project Control'!E62)</x:f>
      </x:c>
      <x:c r="I62" t="str">
        <x:f>IF(A62="","",'Project Control'!F62)</x:f>
      </x:c>
      <x:c r="J62" t="str">
        <x:f>IF(A62="","",'Project Control'!H62)</x:f>
      </x:c>
      <x:c r="K62" t="str">
        <x:f>IF(A62="","",'Project Control'!I62)</x:f>
      </x:c>
      <x:c r="L62" t="str">
        <x:f>IF(A62="","",'Project Control'!O62)</x:f>
      </x:c>
    </x:row>
    <x:row r="63">
      <x:c r="A63" t="str">
        <x:f>IF('Project Control'!A63="","",'Project Control'!A63)</x:f>
      </x:c>
      <x:c r="B63" t="str">
        <x:f>IF(A63="","",'Project Control'!B63)</x:f>
      </x:c>
      <x:c r="C63" t="str">
        <x:f>IF(A63="","",'Project Control'!R63)</x:f>
      </x:c>
      <x:c r="D63" t="str">
        <x:f>IF(A63="","",'Project Control'!S63)</x:f>
      </x:c>
      <x:c r="E63" t="str">
        <x:f>IF(A63="","",'Project Control'!T63)</x:f>
      </x:c>
      <x:c r="F63" t="str">
        <x:f>IF(A63="","",'Project Control'!C63)</x:f>
      </x:c>
      <x:c r="G63" t="str">
        <x:f>IF(A63="","",'Project Control'!D63)</x:f>
      </x:c>
      <x:c r="H63" t="str">
        <x:f>IF(A63="","",'Project Control'!E63)</x:f>
      </x:c>
      <x:c r="I63" t="str">
        <x:f>IF(A63="","",'Project Control'!F63)</x:f>
      </x:c>
      <x:c r="J63" t="str">
        <x:f>IF(A63="","",'Project Control'!H63)</x:f>
      </x:c>
      <x:c r="K63" t="str">
        <x:f>IF(A63="","",'Project Control'!I63)</x:f>
      </x:c>
      <x:c r="L63" t="str">
        <x:f>IF(A63="","",'Project Control'!O63)</x:f>
      </x:c>
    </x:row>
    <x:row r="64">
      <x:c r="A64" t="str">
        <x:f>IF('Project Control'!A64="","",'Project Control'!A64)</x:f>
      </x:c>
      <x:c r="B64" t="str">
        <x:f>IF(A64="","",'Project Control'!B64)</x:f>
      </x:c>
      <x:c r="C64" t="str">
        <x:f>IF(A64="","",'Project Control'!R64)</x:f>
      </x:c>
      <x:c r="D64" t="str">
        <x:f>IF(A64="","",'Project Control'!S64)</x:f>
      </x:c>
      <x:c r="E64" t="str">
        <x:f>IF(A64="","",'Project Control'!T64)</x:f>
      </x:c>
      <x:c r="F64" t="str">
        <x:f>IF(A64="","",'Project Control'!C64)</x:f>
      </x:c>
      <x:c r="G64" t="str">
        <x:f>IF(A64="","",'Project Control'!D64)</x:f>
      </x:c>
      <x:c r="H64" t="str">
        <x:f>IF(A64="","",'Project Control'!E64)</x:f>
      </x:c>
      <x:c r="I64" t="str">
        <x:f>IF(A64="","",'Project Control'!F64)</x:f>
      </x:c>
      <x:c r="J64" t="str">
        <x:f>IF(A64="","",'Project Control'!H64)</x:f>
      </x:c>
      <x:c r="K64" t="str">
        <x:f>IF(A64="","",'Project Control'!I64)</x:f>
      </x:c>
      <x:c r="L64" t="str">
        <x:f>IF(A64="","",'Project Control'!O64)</x:f>
      </x:c>
    </x:row>
    <x:row r="65">
      <x:c r="A65" t="str">
        <x:f>IF('Project Control'!A65="","",'Project Control'!A65)</x:f>
      </x:c>
      <x:c r="B65" t="str">
        <x:f>IF(A65="","",'Project Control'!B65)</x:f>
      </x:c>
      <x:c r="C65" t="str">
        <x:f>IF(A65="","",'Project Control'!R65)</x:f>
      </x:c>
      <x:c r="D65" t="str">
        <x:f>IF(A65="","",'Project Control'!S65)</x:f>
      </x:c>
      <x:c r="E65" t="str">
        <x:f>IF(A65="","",'Project Control'!T65)</x:f>
      </x:c>
      <x:c r="F65" t="str">
        <x:f>IF(A65="","",'Project Control'!C65)</x:f>
      </x:c>
      <x:c r="G65" t="str">
        <x:f>IF(A65="","",'Project Control'!D65)</x:f>
      </x:c>
      <x:c r="H65" t="str">
        <x:f>IF(A65="","",'Project Control'!E65)</x:f>
      </x:c>
      <x:c r="I65" t="str">
        <x:f>IF(A65="","",'Project Control'!F65)</x:f>
      </x:c>
      <x:c r="J65" t="str">
        <x:f>IF(A65="","",'Project Control'!H65)</x:f>
      </x:c>
      <x:c r="K65" t="str">
        <x:f>IF(A65="","",'Project Control'!I65)</x:f>
      </x:c>
      <x:c r="L65" t="str">
        <x:f>IF(A65="","",'Project Control'!O65)</x:f>
      </x:c>
    </x:row>
    <x:row r="66">
      <x:c r="A66" t="str">
        <x:f>IF('Project Control'!A66="","",'Project Control'!A66)</x:f>
      </x:c>
      <x:c r="B66" t="str">
        <x:f>IF(A66="","",'Project Control'!B66)</x:f>
      </x:c>
      <x:c r="C66" t="str">
        <x:f>IF(A66="","",'Project Control'!R66)</x:f>
      </x:c>
      <x:c r="D66" t="str">
        <x:f>IF(A66="","",'Project Control'!S66)</x:f>
      </x:c>
      <x:c r="E66" t="str">
        <x:f>IF(A66="","",'Project Control'!T66)</x:f>
      </x:c>
      <x:c r="F66" t="str">
        <x:f>IF(A66="","",'Project Control'!C66)</x:f>
      </x:c>
      <x:c r="G66" t="str">
        <x:f>IF(A66="","",'Project Control'!D66)</x:f>
      </x:c>
      <x:c r="H66" t="str">
        <x:f>IF(A66="","",'Project Control'!E66)</x:f>
      </x:c>
      <x:c r="I66" t="str">
        <x:f>IF(A66="","",'Project Control'!F66)</x:f>
      </x:c>
      <x:c r="J66" t="str">
        <x:f>IF(A66="","",'Project Control'!H66)</x:f>
      </x:c>
      <x:c r="K66" t="str">
        <x:f>IF(A66="","",'Project Control'!I66)</x:f>
      </x:c>
      <x:c r="L66" t="str">
        <x:f>IF(A66="","",'Project Control'!O66)</x:f>
      </x:c>
    </x:row>
    <x:row r="67">
      <x:c r="A67" t="str">
        <x:f>IF('Project Control'!A67="","",'Project Control'!A67)</x:f>
      </x:c>
      <x:c r="B67" t="str">
        <x:f>IF(A67="","",'Project Control'!B67)</x:f>
      </x:c>
      <x:c r="C67" t="str">
        <x:f>IF(A67="","",'Project Control'!R67)</x:f>
      </x:c>
      <x:c r="D67" t="str">
        <x:f>IF(A67="","",'Project Control'!S67)</x:f>
      </x:c>
      <x:c r="E67" t="str">
        <x:f>IF(A67="","",'Project Control'!T67)</x:f>
      </x:c>
      <x:c r="F67" t="str">
        <x:f>IF(A67="","",'Project Control'!C67)</x:f>
      </x:c>
      <x:c r="G67" t="str">
        <x:f>IF(A67="","",'Project Control'!D67)</x:f>
      </x:c>
      <x:c r="H67" t="str">
        <x:f>IF(A67="","",'Project Control'!E67)</x:f>
      </x:c>
      <x:c r="I67" t="str">
        <x:f>IF(A67="","",'Project Control'!F67)</x:f>
      </x:c>
      <x:c r="J67" t="str">
        <x:f>IF(A67="","",'Project Control'!H67)</x:f>
      </x:c>
      <x:c r="K67" t="str">
        <x:f>IF(A67="","",'Project Control'!I67)</x:f>
      </x:c>
      <x:c r="L67" t="str">
        <x:f>IF(A67="","",'Project Control'!O67)</x:f>
      </x:c>
    </x:row>
    <x:row r="68">
      <x:c r="A68" t="str">
        <x:f>IF('Project Control'!A68="","",'Project Control'!A68)</x:f>
      </x:c>
      <x:c r="B68" t="str">
        <x:f>IF(A68="","",'Project Control'!B68)</x:f>
      </x:c>
      <x:c r="C68" t="str">
        <x:f>IF(A68="","",'Project Control'!R68)</x:f>
      </x:c>
      <x:c r="D68" t="str">
        <x:f>IF(A68="","",'Project Control'!S68)</x:f>
      </x:c>
      <x:c r="E68" t="str">
        <x:f>IF(A68="","",'Project Control'!T68)</x:f>
      </x:c>
      <x:c r="F68" t="str">
        <x:f>IF(A68="","",'Project Control'!C68)</x:f>
      </x:c>
      <x:c r="G68" t="str">
        <x:f>IF(A68="","",'Project Control'!D68)</x:f>
      </x:c>
      <x:c r="H68" t="str">
        <x:f>IF(A68="","",'Project Control'!E68)</x:f>
      </x:c>
      <x:c r="I68" t="str">
        <x:f>IF(A68="","",'Project Control'!F68)</x:f>
      </x:c>
      <x:c r="J68" t="str">
        <x:f>IF(A68="","",'Project Control'!H68)</x:f>
      </x:c>
      <x:c r="K68" t="str">
        <x:f>IF(A68="","",'Project Control'!I68)</x:f>
      </x:c>
      <x:c r="L68" t="str">
        <x:f>IF(A68="","",'Project Control'!O68)</x:f>
      </x:c>
    </x:row>
    <x:row r="69">
      <x:c r="A69" t="str">
        <x:f>IF('Project Control'!A69="","",'Project Control'!A69)</x:f>
      </x:c>
      <x:c r="B69" t="str">
        <x:f>IF(A69="","",'Project Control'!B69)</x:f>
      </x:c>
      <x:c r="C69" t="str">
        <x:f>IF(A69="","",'Project Control'!R69)</x:f>
      </x:c>
      <x:c r="D69" t="str">
        <x:f>IF(A69="","",'Project Control'!S69)</x:f>
      </x:c>
      <x:c r="E69" t="str">
        <x:f>IF(A69="","",'Project Control'!T69)</x:f>
      </x:c>
      <x:c r="F69" t="str">
        <x:f>IF(A69="","",'Project Control'!C69)</x:f>
      </x:c>
      <x:c r="G69" t="str">
        <x:f>IF(A69="","",'Project Control'!D69)</x:f>
      </x:c>
      <x:c r="H69" t="str">
        <x:f>IF(A69="","",'Project Control'!E69)</x:f>
      </x:c>
      <x:c r="I69" t="str">
        <x:f>IF(A69="","",'Project Control'!F69)</x:f>
      </x:c>
      <x:c r="J69" t="str">
        <x:f>IF(A69="","",'Project Control'!H69)</x:f>
      </x:c>
      <x:c r="K69" t="str">
        <x:f>IF(A69="","",'Project Control'!I69)</x:f>
      </x:c>
      <x:c r="L69" t="str">
        <x:f>IF(A69="","",'Project Control'!O69)</x:f>
      </x:c>
    </x:row>
    <x:row r="70">
      <x:c r="A70" t="str">
        <x:f>IF('Project Control'!A70="","",'Project Control'!A70)</x:f>
      </x:c>
      <x:c r="B70" t="str">
        <x:f>IF(A70="","",'Project Control'!B70)</x:f>
      </x:c>
      <x:c r="C70" t="str">
        <x:f>IF(A70="","",'Project Control'!R70)</x:f>
      </x:c>
      <x:c r="D70" t="str">
        <x:f>IF(A70="","",'Project Control'!S70)</x:f>
      </x:c>
      <x:c r="E70" t="str">
        <x:f>IF(A70="","",'Project Control'!T70)</x:f>
      </x:c>
      <x:c r="F70" t="str">
        <x:f>IF(A70="","",'Project Control'!C70)</x:f>
      </x:c>
      <x:c r="G70" t="str">
        <x:f>IF(A70="","",'Project Control'!D70)</x:f>
      </x:c>
      <x:c r="H70" t="str">
        <x:f>IF(A70="","",'Project Control'!E70)</x:f>
      </x:c>
      <x:c r="I70" t="str">
        <x:f>IF(A70="","",'Project Control'!F70)</x:f>
      </x:c>
      <x:c r="J70" t="str">
        <x:f>IF(A70="","",'Project Control'!H70)</x:f>
      </x:c>
      <x:c r="K70" t="str">
        <x:f>IF(A70="","",'Project Control'!I70)</x:f>
      </x:c>
      <x:c r="L70" t="str">
        <x:f>IF(A70="","",'Project Control'!O70)</x:f>
      </x:c>
    </x:row>
    <x:row r="71">
      <x:c r="A71" t="str">
        <x:f>IF('Project Control'!A71="","",'Project Control'!A71)</x:f>
      </x:c>
      <x:c r="B71" t="str">
        <x:f>IF(A71="","",'Project Control'!B71)</x:f>
      </x:c>
      <x:c r="C71" t="str">
        <x:f>IF(A71="","",'Project Control'!R71)</x:f>
      </x:c>
      <x:c r="D71" t="str">
        <x:f>IF(A71="","",'Project Control'!S71)</x:f>
      </x:c>
      <x:c r="E71" t="str">
        <x:f>IF(A71="","",'Project Control'!T71)</x:f>
      </x:c>
      <x:c r="F71" t="str">
        <x:f>IF(A71="","",'Project Control'!C71)</x:f>
      </x:c>
      <x:c r="G71" t="str">
        <x:f>IF(A71="","",'Project Control'!D71)</x:f>
      </x:c>
      <x:c r="H71" t="str">
        <x:f>IF(A71="","",'Project Control'!E71)</x:f>
      </x:c>
      <x:c r="I71" t="str">
        <x:f>IF(A71="","",'Project Control'!F71)</x:f>
      </x:c>
      <x:c r="J71" t="str">
        <x:f>IF(A71="","",'Project Control'!H71)</x:f>
      </x:c>
      <x:c r="K71" t="str">
        <x:f>IF(A71="","",'Project Control'!I71)</x:f>
      </x:c>
      <x:c r="L71" t="str">
        <x:f>IF(A71="","",'Project Control'!O71)</x:f>
      </x:c>
    </x:row>
    <x:row r="72">
      <x:c r="A72" t="str">
        <x:f>IF('Project Control'!A72="","",'Project Control'!A72)</x:f>
      </x:c>
      <x:c r="B72" t="str">
        <x:f>IF(A72="","",'Project Control'!B72)</x:f>
      </x:c>
      <x:c r="C72" t="str">
        <x:f>IF(A72="","",'Project Control'!R72)</x:f>
      </x:c>
      <x:c r="D72" t="str">
        <x:f>IF(A72="","",'Project Control'!S72)</x:f>
      </x:c>
      <x:c r="E72" t="str">
        <x:f>IF(A72="","",'Project Control'!T72)</x:f>
      </x:c>
      <x:c r="F72" t="str">
        <x:f>IF(A72="","",'Project Control'!C72)</x:f>
      </x:c>
      <x:c r="G72" t="str">
        <x:f>IF(A72="","",'Project Control'!D72)</x:f>
      </x:c>
      <x:c r="H72" t="str">
        <x:f>IF(A72="","",'Project Control'!E72)</x:f>
      </x:c>
      <x:c r="I72" t="str">
        <x:f>IF(A72="","",'Project Control'!F72)</x:f>
      </x:c>
      <x:c r="J72" t="str">
        <x:f>IF(A72="","",'Project Control'!H72)</x:f>
      </x:c>
      <x:c r="K72" t="str">
        <x:f>IF(A72="","",'Project Control'!I72)</x:f>
      </x:c>
      <x:c r="L72" t="str">
        <x:f>IF(A72="","",'Project Control'!O72)</x:f>
      </x:c>
    </x:row>
    <x:row r="73">
      <x:c r="A73" t="str">
        <x:f>IF('Project Control'!A73="","",'Project Control'!A73)</x:f>
      </x:c>
      <x:c r="B73" t="str">
        <x:f>IF(A73="","",'Project Control'!B73)</x:f>
      </x:c>
      <x:c r="C73" t="str">
        <x:f>IF(A73="","",'Project Control'!R73)</x:f>
      </x:c>
      <x:c r="D73" t="str">
        <x:f>IF(A73="","",'Project Control'!S73)</x:f>
      </x:c>
      <x:c r="E73" t="str">
        <x:f>IF(A73="","",'Project Control'!T73)</x:f>
      </x:c>
      <x:c r="F73" t="str">
        <x:f>IF(A73="","",'Project Control'!C73)</x:f>
      </x:c>
      <x:c r="G73" t="str">
        <x:f>IF(A73="","",'Project Control'!D73)</x:f>
      </x:c>
      <x:c r="H73" t="str">
        <x:f>IF(A73="","",'Project Control'!E73)</x:f>
      </x:c>
      <x:c r="I73" t="str">
        <x:f>IF(A73="","",'Project Control'!F73)</x:f>
      </x:c>
      <x:c r="J73" t="str">
        <x:f>IF(A73="","",'Project Control'!H73)</x:f>
      </x:c>
      <x:c r="K73" t="str">
        <x:f>IF(A73="","",'Project Control'!I73)</x:f>
      </x:c>
      <x:c r="L73" t="str">
        <x:f>IF(A73="","",'Project Control'!O73)</x:f>
      </x:c>
    </x:row>
    <x:row r="74">
      <x:c r="A74" t="str">
        <x:f>IF('Project Control'!A74="","",'Project Control'!A74)</x:f>
      </x:c>
      <x:c r="B74" t="str">
        <x:f>IF(A74="","",'Project Control'!B74)</x:f>
      </x:c>
      <x:c r="C74" t="str">
        <x:f>IF(A74="","",'Project Control'!R74)</x:f>
      </x:c>
      <x:c r="D74" t="str">
        <x:f>IF(A74="","",'Project Control'!S74)</x:f>
      </x:c>
      <x:c r="E74" t="str">
        <x:f>IF(A74="","",'Project Control'!T74)</x:f>
      </x:c>
      <x:c r="F74" t="str">
        <x:f>IF(A74="","",'Project Control'!C74)</x:f>
      </x:c>
      <x:c r="G74" t="str">
        <x:f>IF(A74="","",'Project Control'!D74)</x:f>
      </x:c>
      <x:c r="H74" t="str">
        <x:f>IF(A74="","",'Project Control'!E74)</x:f>
      </x:c>
      <x:c r="I74" t="str">
        <x:f>IF(A74="","",'Project Control'!F74)</x:f>
      </x:c>
      <x:c r="J74" t="str">
        <x:f>IF(A74="","",'Project Control'!H74)</x:f>
      </x:c>
      <x:c r="K74" t="str">
        <x:f>IF(A74="","",'Project Control'!I74)</x:f>
      </x:c>
      <x:c r="L74" t="str">
        <x:f>IF(A74="","",'Project Control'!O74)</x:f>
      </x:c>
    </x:row>
    <x:row r="75">
      <x:c r="A75" t="str">
        <x:f>IF('Project Control'!A75="","",'Project Control'!A75)</x:f>
      </x:c>
      <x:c r="B75" t="str">
        <x:f>IF(A75="","",'Project Control'!B75)</x:f>
      </x:c>
      <x:c r="C75" t="str">
        <x:f>IF(A75="","",'Project Control'!R75)</x:f>
      </x:c>
      <x:c r="D75" t="str">
        <x:f>IF(A75="","",'Project Control'!S75)</x:f>
      </x:c>
      <x:c r="E75" t="str">
        <x:f>IF(A75="","",'Project Control'!T75)</x:f>
      </x:c>
      <x:c r="F75" t="str">
        <x:f>IF(A75="","",'Project Control'!C75)</x:f>
      </x:c>
      <x:c r="G75" t="str">
        <x:f>IF(A75="","",'Project Control'!D75)</x:f>
      </x:c>
      <x:c r="H75" t="str">
        <x:f>IF(A75="","",'Project Control'!E75)</x:f>
      </x:c>
      <x:c r="I75" t="str">
        <x:f>IF(A75="","",'Project Control'!F75)</x:f>
      </x:c>
      <x:c r="J75" t="str">
        <x:f>IF(A75="","",'Project Control'!H75)</x:f>
      </x:c>
      <x:c r="K75" t="str">
        <x:f>IF(A75="","",'Project Control'!I75)</x:f>
      </x:c>
      <x:c r="L75" t="str">
        <x:f>IF(A75="","",'Project Control'!O75)</x:f>
      </x:c>
    </x:row>
    <x:row r="76">
      <x:c r="A76" t="str">
        <x:f>IF('Project Control'!A76="","",'Project Control'!A76)</x:f>
      </x:c>
      <x:c r="B76" t="str">
        <x:f>IF(A76="","",'Project Control'!B76)</x:f>
      </x:c>
      <x:c r="C76" t="str">
        <x:f>IF(A76="","",'Project Control'!R76)</x:f>
      </x:c>
      <x:c r="D76" t="str">
        <x:f>IF(A76="","",'Project Control'!S76)</x:f>
      </x:c>
      <x:c r="E76" t="str">
        <x:f>IF(A76="","",'Project Control'!T76)</x:f>
      </x:c>
      <x:c r="F76" t="str">
        <x:f>IF(A76="","",'Project Control'!C76)</x:f>
      </x:c>
      <x:c r="G76" t="str">
        <x:f>IF(A76="","",'Project Control'!D76)</x:f>
      </x:c>
      <x:c r="H76" t="str">
        <x:f>IF(A76="","",'Project Control'!E76)</x:f>
      </x:c>
      <x:c r="I76" t="str">
        <x:f>IF(A76="","",'Project Control'!F76)</x:f>
      </x:c>
      <x:c r="J76" t="str">
        <x:f>IF(A76="","",'Project Control'!H76)</x:f>
      </x:c>
      <x:c r="K76" t="str">
        <x:f>IF(A76="","",'Project Control'!I76)</x:f>
      </x:c>
      <x:c r="L76" t="str">
        <x:f>IF(A76="","",'Project Control'!O76)</x:f>
      </x:c>
    </x:row>
    <x:row r="77">
      <x:c r="A77" t="str">
        <x:f>IF('Project Control'!A77="","",'Project Control'!A77)</x:f>
      </x:c>
      <x:c r="B77" t="str">
        <x:f>IF(A77="","",'Project Control'!B77)</x:f>
      </x:c>
      <x:c r="C77" t="str">
        <x:f>IF(A77="","",'Project Control'!R77)</x:f>
      </x:c>
      <x:c r="D77" t="str">
        <x:f>IF(A77="","",'Project Control'!S77)</x:f>
      </x:c>
      <x:c r="E77" t="str">
        <x:f>IF(A77="","",'Project Control'!T77)</x:f>
      </x:c>
      <x:c r="F77" t="str">
        <x:f>IF(A77="","",'Project Control'!C77)</x:f>
      </x:c>
      <x:c r="G77" t="str">
        <x:f>IF(A77="","",'Project Control'!D77)</x:f>
      </x:c>
      <x:c r="H77" t="str">
        <x:f>IF(A77="","",'Project Control'!E77)</x:f>
      </x:c>
      <x:c r="I77" t="str">
        <x:f>IF(A77="","",'Project Control'!F77)</x:f>
      </x:c>
      <x:c r="J77" t="str">
        <x:f>IF(A77="","",'Project Control'!H77)</x:f>
      </x:c>
      <x:c r="K77" t="str">
        <x:f>IF(A77="","",'Project Control'!I77)</x:f>
      </x:c>
      <x:c r="L77" t="str">
        <x:f>IF(A77="","",'Project Control'!O77)</x:f>
      </x:c>
    </x:row>
    <x:row r="78">
      <x:c r="A78" t="str">
        <x:f>IF('Project Control'!A78="","",'Project Control'!A78)</x:f>
      </x:c>
      <x:c r="B78" t="str">
        <x:f>IF(A78="","",'Project Control'!B78)</x:f>
      </x:c>
      <x:c r="C78" t="str">
        <x:f>IF(A78="","",'Project Control'!R78)</x:f>
      </x:c>
      <x:c r="D78" t="str">
        <x:f>IF(A78="","",'Project Control'!S78)</x:f>
      </x:c>
      <x:c r="E78" t="str">
        <x:f>IF(A78="","",'Project Control'!T78)</x:f>
      </x:c>
      <x:c r="F78" t="str">
        <x:f>IF(A78="","",'Project Control'!C78)</x:f>
      </x:c>
      <x:c r="G78" t="str">
        <x:f>IF(A78="","",'Project Control'!D78)</x:f>
      </x:c>
      <x:c r="H78" t="str">
        <x:f>IF(A78="","",'Project Control'!E78)</x:f>
      </x:c>
      <x:c r="I78" t="str">
        <x:f>IF(A78="","",'Project Control'!F78)</x:f>
      </x:c>
      <x:c r="J78" t="str">
        <x:f>IF(A78="","",'Project Control'!H78)</x:f>
      </x:c>
      <x:c r="K78" t="str">
        <x:f>IF(A78="","",'Project Control'!I78)</x:f>
      </x:c>
      <x:c r="L78" t="str">
        <x:f>IF(A78="","",'Project Control'!O78)</x:f>
      </x:c>
    </x:row>
    <x:row r="79">
      <x:c r="A79" t="str">
        <x:f>IF('Project Control'!A79="","",'Project Control'!A79)</x:f>
      </x:c>
      <x:c r="B79" t="str">
        <x:f>IF(A79="","",'Project Control'!B79)</x:f>
      </x:c>
      <x:c r="C79" t="str">
        <x:f>IF(A79="","",'Project Control'!R79)</x:f>
      </x:c>
      <x:c r="D79" t="str">
        <x:f>IF(A79="","",'Project Control'!S79)</x:f>
      </x:c>
      <x:c r="E79" t="str">
        <x:f>IF(A79="","",'Project Control'!T79)</x:f>
      </x:c>
      <x:c r="F79" t="str">
        <x:f>IF(A79="","",'Project Control'!C79)</x:f>
      </x:c>
      <x:c r="G79" t="str">
        <x:f>IF(A79="","",'Project Control'!D79)</x:f>
      </x:c>
      <x:c r="H79" t="str">
        <x:f>IF(A79="","",'Project Control'!E79)</x:f>
      </x:c>
      <x:c r="I79" t="str">
        <x:f>IF(A79="","",'Project Control'!F79)</x:f>
      </x:c>
      <x:c r="J79" t="str">
        <x:f>IF(A79="","",'Project Control'!H79)</x:f>
      </x:c>
      <x:c r="K79" t="str">
        <x:f>IF(A79="","",'Project Control'!I79)</x:f>
      </x:c>
      <x:c r="L79" t="str">
        <x:f>IF(A79="","",'Project Control'!O79)</x:f>
      </x:c>
    </x:row>
    <x:row r="80">
      <x:c r="A80" t="str">
        <x:f>IF('Project Control'!A80="","",'Project Control'!A80)</x:f>
      </x:c>
      <x:c r="B80" t="str">
        <x:f>IF(A80="","",'Project Control'!B80)</x:f>
      </x:c>
      <x:c r="C80" t="str">
        <x:f>IF(A80="","",'Project Control'!R80)</x:f>
      </x:c>
      <x:c r="D80" t="str">
        <x:f>IF(A80="","",'Project Control'!S80)</x:f>
      </x:c>
      <x:c r="E80" t="str">
        <x:f>IF(A80="","",'Project Control'!T80)</x:f>
      </x:c>
      <x:c r="F80" t="str">
        <x:f>IF(A80="","",'Project Control'!C80)</x:f>
      </x:c>
      <x:c r="G80" t="str">
        <x:f>IF(A80="","",'Project Control'!D80)</x:f>
      </x:c>
      <x:c r="H80" t="str">
        <x:f>IF(A80="","",'Project Control'!E80)</x:f>
      </x:c>
      <x:c r="I80" t="str">
        <x:f>IF(A80="","",'Project Control'!F80)</x:f>
      </x:c>
      <x:c r="J80" t="str">
        <x:f>IF(A80="","",'Project Control'!H80)</x:f>
      </x:c>
      <x:c r="K80" t="str">
        <x:f>IF(A80="","",'Project Control'!I80)</x:f>
      </x:c>
      <x:c r="L80" t="str">
        <x:f>IF(A80="","",'Project Control'!O80)</x:f>
      </x:c>
    </x:row>
    <x:row r="81">
      <x:c r="A81" t="str">
        <x:f>IF('Project Control'!A81="","",'Project Control'!A81)</x:f>
      </x:c>
      <x:c r="B81" t="str">
        <x:f>IF(A81="","",'Project Control'!B81)</x:f>
      </x:c>
      <x:c r="C81" t="str">
        <x:f>IF(A81="","",'Project Control'!R81)</x:f>
      </x:c>
      <x:c r="D81" t="str">
        <x:f>IF(A81="","",'Project Control'!S81)</x:f>
      </x:c>
      <x:c r="E81" t="str">
        <x:f>IF(A81="","",'Project Control'!T81)</x:f>
      </x:c>
      <x:c r="F81" t="str">
        <x:f>IF(A81="","",'Project Control'!C81)</x:f>
      </x:c>
      <x:c r="G81" t="str">
        <x:f>IF(A81="","",'Project Control'!D81)</x:f>
      </x:c>
      <x:c r="H81" t="str">
        <x:f>IF(A81="","",'Project Control'!E81)</x:f>
      </x:c>
      <x:c r="I81" t="str">
        <x:f>IF(A81="","",'Project Control'!F81)</x:f>
      </x:c>
      <x:c r="J81" t="str">
        <x:f>IF(A81="","",'Project Control'!H81)</x:f>
      </x:c>
      <x:c r="K81" t="str">
        <x:f>IF(A81="","",'Project Control'!I81)</x:f>
      </x:c>
      <x:c r="L81" t="str">
        <x:f>IF(A81="","",'Project Control'!O81)</x:f>
      </x:c>
    </x:row>
    <x:row r="82">
      <x:c r="A82" t="str">
        <x:f>IF('Project Control'!A82="","",'Project Control'!A82)</x:f>
      </x:c>
      <x:c r="B82" t="str">
        <x:f>IF(A82="","",'Project Control'!B82)</x:f>
      </x:c>
      <x:c r="C82" t="str">
        <x:f>IF(A82="","",'Project Control'!R82)</x:f>
      </x:c>
      <x:c r="D82" t="str">
        <x:f>IF(A82="","",'Project Control'!S82)</x:f>
      </x:c>
      <x:c r="E82" t="str">
        <x:f>IF(A82="","",'Project Control'!T82)</x:f>
      </x:c>
      <x:c r="F82" t="str">
        <x:f>IF(A82="","",'Project Control'!C82)</x:f>
      </x:c>
      <x:c r="G82" t="str">
        <x:f>IF(A82="","",'Project Control'!D82)</x:f>
      </x:c>
      <x:c r="H82" t="str">
        <x:f>IF(A82="","",'Project Control'!E82)</x:f>
      </x:c>
      <x:c r="I82" t="str">
        <x:f>IF(A82="","",'Project Control'!F82)</x:f>
      </x:c>
      <x:c r="J82" t="str">
        <x:f>IF(A82="","",'Project Control'!H82)</x:f>
      </x:c>
      <x:c r="K82" t="str">
        <x:f>IF(A82="","",'Project Control'!I82)</x:f>
      </x:c>
      <x:c r="L82" t="str">
        <x:f>IF(A82="","",'Project Control'!O82)</x:f>
      </x:c>
    </x:row>
    <x:row r="83">
      <x:c r="A83" t="str">
        <x:f>IF('Project Control'!A83="","",'Project Control'!A83)</x:f>
      </x:c>
      <x:c r="B83" t="str">
        <x:f>IF(A83="","",'Project Control'!B83)</x:f>
      </x:c>
      <x:c r="C83" t="str">
        <x:f>IF(A83="","",'Project Control'!R83)</x:f>
      </x:c>
      <x:c r="D83" t="str">
        <x:f>IF(A83="","",'Project Control'!S83)</x:f>
      </x:c>
      <x:c r="E83" t="str">
        <x:f>IF(A83="","",'Project Control'!T83)</x:f>
      </x:c>
      <x:c r="F83" t="str">
        <x:f>IF(A83="","",'Project Control'!C83)</x:f>
      </x:c>
      <x:c r="G83" t="str">
        <x:f>IF(A83="","",'Project Control'!D83)</x:f>
      </x:c>
      <x:c r="H83" t="str">
        <x:f>IF(A83="","",'Project Control'!E83)</x:f>
      </x:c>
      <x:c r="I83" t="str">
        <x:f>IF(A83="","",'Project Control'!F83)</x:f>
      </x:c>
      <x:c r="J83" t="str">
        <x:f>IF(A83="","",'Project Control'!H83)</x:f>
      </x:c>
      <x:c r="K83" t="str">
        <x:f>IF(A83="","",'Project Control'!I83)</x:f>
      </x:c>
      <x:c r="L83" t="str">
        <x:f>IF(A83="","",'Project Control'!O83)</x:f>
      </x:c>
    </x:row>
    <x:row r="84">
      <x:c r="A84" t="str">
        <x:f>IF('Project Control'!A84="","",'Project Control'!A84)</x:f>
      </x:c>
      <x:c r="B84" t="str">
        <x:f>IF(A84="","",'Project Control'!B84)</x:f>
      </x:c>
      <x:c r="C84" t="str">
        <x:f>IF(A84="","",'Project Control'!R84)</x:f>
      </x:c>
      <x:c r="D84" t="str">
        <x:f>IF(A84="","",'Project Control'!S84)</x:f>
      </x:c>
      <x:c r="E84" t="str">
        <x:f>IF(A84="","",'Project Control'!T84)</x:f>
      </x:c>
      <x:c r="F84" t="str">
        <x:f>IF(A84="","",'Project Control'!C84)</x:f>
      </x:c>
      <x:c r="G84" t="str">
        <x:f>IF(A84="","",'Project Control'!D84)</x:f>
      </x:c>
      <x:c r="H84" t="str">
        <x:f>IF(A84="","",'Project Control'!E84)</x:f>
      </x:c>
      <x:c r="I84" t="str">
        <x:f>IF(A84="","",'Project Control'!F84)</x:f>
      </x:c>
      <x:c r="J84" t="str">
        <x:f>IF(A84="","",'Project Control'!H84)</x:f>
      </x:c>
      <x:c r="K84" t="str">
        <x:f>IF(A84="","",'Project Control'!I84)</x:f>
      </x:c>
      <x:c r="L84" t="str">
        <x:f>IF(A84="","",'Project Control'!O84)</x:f>
      </x:c>
    </x:row>
    <x:row r="85">
      <x:c r="A85" t="str">
        <x:f>IF('Project Control'!A85="","",'Project Control'!A85)</x:f>
      </x:c>
      <x:c r="B85" t="str">
        <x:f>IF(A85="","",'Project Control'!B85)</x:f>
      </x:c>
      <x:c r="C85" t="str">
        <x:f>IF(A85="","",'Project Control'!R85)</x:f>
      </x:c>
      <x:c r="D85" t="str">
        <x:f>IF(A85="","",'Project Control'!S85)</x:f>
      </x:c>
      <x:c r="E85" t="str">
        <x:f>IF(A85="","",'Project Control'!T85)</x:f>
      </x:c>
      <x:c r="F85" t="str">
        <x:f>IF(A85="","",'Project Control'!C85)</x:f>
      </x:c>
      <x:c r="G85" t="str">
        <x:f>IF(A85="","",'Project Control'!D85)</x:f>
      </x:c>
      <x:c r="H85" t="str">
        <x:f>IF(A85="","",'Project Control'!E85)</x:f>
      </x:c>
      <x:c r="I85" t="str">
        <x:f>IF(A85="","",'Project Control'!F85)</x:f>
      </x:c>
      <x:c r="J85" t="str">
        <x:f>IF(A85="","",'Project Control'!H85)</x:f>
      </x:c>
      <x:c r="K85" t="str">
        <x:f>IF(A85="","",'Project Control'!I85)</x:f>
      </x:c>
      <x:c r="L85" t="str">
        <x:f>IF(A85="","",'Project Control'!O85)</x:f>
      </x:c>
    </x:row>
    <x:row r="86">
      <x:c r="A86" t="str">
        <x:f>IF('Project Control'!A86="","",'Project Control'!A86)</x:f>
      </x:c>
      <x:c r="B86" t="str">
        <x:f>IF(A86="","",'Project Control'!B86)</x:f>
      </x:c>
      <x:c r="C86" t="str">
        <x:f>IF(A86="","",'Project Control'!R86)</x:f>
      </x:c>
      <x:c r="D86" t="str">
        <x:f>IF(A86="","",'Project Control'!S86)</x:f>
      </x:c>
      <x:c r="E86" t="str">
        <x:f>IF(A86="","",'Project Control'!T86)</x:f>
      </x:c>
      <x:c r="F86" t="str">
        <x:f>IF(A86="","",'Project Control'!C86)</x:f>
      </x:c>
      <x:c r="G86" t="str">
        <x:f>IF(A86="","",'Project Control'!D86)</x:f>
      </x:c>
      <x:c r="H86" t="str">
        <x:f>IF(A86="","",'Project Control'!E86)</x:f>
      </x:c>
      <x:c r="I86" t="str">
        <x:f>IF(A86="","",'Project Control'!F86)</x:f>
      </x:c>
      <x:c r="J86" t="str">
        <x:f>IF(A86="","",'Project Control'!H86)</x:f>
      </x:c>
      <x:c r="K86" t="str">
        <x:f>IF(A86="","",'Project Control'!I86)</x:f>
      </x:c>
      <x:c r="L86" t="str">
        <x:f>IF(A86="","",'Project Control'!O86)</x:f>
      </x:c>
    </x:row>
    <x:row r="87">
      <x:c r="A87" t="str">
        <x:f>IF('Project Control'!A87="","",'Project Control'!A87)</x:f>
      </x:c>
      <x:c r="B87" t="str">
        <x:f>IF(A87="","",'Project Control'!B87)</x:f>
      </x:c>
      <x:c r="C87" t="str">
        <x:f>IF(A87="","",'Project Control'!R87)</x:f>
      </x:c>
      <x:c r="D87" t="str">
        <x:f>IF(A87="","",'Project Control'!S87)</x:f>
      </x:c>
      <x:c r="E87" t="str">
        <x:f>IF(A87="","",'Project Control'!T87)</x:f>
      </x:c>
      <x:c r="F87" t="str">
        <x:f>IF(A87="","",'Project Control'!C87)</x:f>
      </x:c>
      <x:c r="G87" t="str">
        <x:f>IF(A87="","",'Project Control'!D87)</x:f>
      </x:c>
      <x:c r="H87" t="str">
        <x:f>IF(A87="","",'Project Control'!E87)</x:f>
      </x:c>
      <x:c r="I87" t="str">
        <x:f>IF(A87="","",'Project Control'!F87)</x:f>
      </x:c>
      <x:c r="J87" t="str">
        <x:f>IF(A87="","",'Project Control'!H87)</x:f>
      </x:c>
      <x:c r="K87" t="str">
        <x:f>IF(A87="","",'Project Control'!I87)</x:f>
      </x:c>
      <x:c r="L87" t="str">
        <x:f>IF(A87="","",'Project Control'!O87)</x:f>
      </x:c>
    </x:row>
    <x:row r="88">
      <x:c r="A88" t="str">
        <x:f>IF('Project Control'!A88="","",'Project Control'!A88)</x:f>
      </x:c>
      <x:c r="B88" t="str">
        <x:f>IF(A88="","",'Project Control'!B88)</x:f>
      </x:c>
      <x:c r="C88" t="str">
        <x:f>IF(A88="","",'Project Control'!R88)</x:f>
      </x:c>
      <x:c r="D88" t="str">
        <x:f>IF(A88="","",'Project Control'!S88)</x:f>
      </x:c>
      <x:c r="E88" t="str">
        <x:f>IF(A88="","",'Project Control'!T88)</x:f>
      </x:c>
      <x:c r="F88" t="str">
        <x:f>IF(A88="","",'Project Control'!C88)</x:f>
      </x:c>
      <x:c r="G88" t="str">
        <x:f>IF(A88="","",'Project Control'!D88)</x:f>
      </x:c>
      <x:c r="H88" t="str">
        <x:f>IF(A88="","",'Project Control'!E88)</x:f>
      </x:c>
      <x:c r="I88" t="str">
        <x:f>IF(A88="","",'Project Control'!F88)</x:f>
      </x:c>
      <x:c r="J88" t="str">
        <x:f>IF(A88="","",'Project Control'!H88)</x:f>
      </x:c>
      <x:c r="K88" t="str">
        <x:f>IF(A88="","",'Project Control'!I88)</x:f>
      </x:c>
      <x:c r="L88" t="str">
        <x:f>IF(A88="","",'Project Control'!O88)</x:f>
      </x:c>
    </x:row>
    <x:row r="89">
      <x:c r="A89" t="str">
        <x:f>IF('Project Control'!A89="","",'Project Control'!A89)</x:f>
      </x:c>
      <x:c r="B89" t="str">
        <x:f>IF(A89="","",'Project Control'!B89)</x:f>
      </x:c>
      <x:c r="C89" t="str">
        <x:f>IF(A89="","",'Project Control'!R89)</x:f>
      </x:c>
      <x:c r="D89" t="str">
        <x:f>IF(A89="","",'Project Control'!S89)</x:f>
      </x:c>
      <x:c r="E89" t="str">
        <x:f>IF(A89="","",'Project Control'!T89)</x:f>
      </x:c>
      <x:c r="F89" t="str">
        <x:f>IF(A89="","",'Project Control'!C89)</x:f>
      </x:c>
      <x:c r="G89" t="str">
        <x:f>IF(A89="","",'Project Control'!D89)</x:f>
      </x:c>
      <x:c r="H89" t="str">
        <x:f>IF(A89="","",'Project Control'!E89)</x:f>
      </x:c>
      <x:c r="I89" t="str">
        <x:f>IF(A89="","",'Project Control'!F89)</x:f>
      </x:c>
      <x:c r="J89" t="str">
        <x:f>IF(A89="","",'Project Control'!H89)</x:f>
      </x:c>
      <x:c r="K89" t="str">
        <x:f>IF(A89="","",'Project Control'!I89)</x:f>
      </x:c>
      <x:c r="L89" t="str">
        <x:f>IF(A89="","",'Project Control'!O89)</x:f>
      </x:c>
    </x:row>
    <x:row r="90">
      <x:c r="A90" t="str">
        <x:f>IF('Project Control'!A90="","",'Project Control'!A90)</x:f>
      </x:c>
      <x:c r="B90" t="str">
        <x:f>IF(A90="","",'Project Control'!B90)</x:f>
      </x:c>
      <x:c r="C90" t="str">
        <x:f>IF(A90="","",'Project Control'!R90)</x:f>
      </x:c>
      <x:c r="D90" t="str">
        <x:f>IF(A90="","",'Project Control'!S90)</x:f>
      </x:c>
      <x:c r="E90" t="str">
        <x:f>IF(A90="","",'Project Control'!T90)</x:f>
      </x:c>
      <x:c r="F90" t="str">
        <x:f>IF(A90="","",'Project Control'!C90)</x:f>
      </x:c>
      <x:c r="G90" t="str">
        <x:f>IF(A90="","",'Project Control'!D90)</x:f>
      </x:c>
      <x:c r="H90" t="str">
        <x:f>IF(A90="","",'Project Control'!E90)</x:f>
      </x:c>
      <x:c r="I90" t="str">
        <x:f>IF(A90="","",'Project Control'!F90)</x:f>
      </x:c>
      <x:c r="J90" t="str">
        <x:f>IF(A90="","",'Project Control'!H90)</x:f>
      </x:c>
      <x:c r="K90" t="str">
        <x:f>IF(A90="","",'Project Control'!I90)</x:f>
      </x:c>
      <x:c r="L90" t="str">
        <x:f>IF(A90="","",'Project Control'!O90)</x:f>
      </x:c>
    </x:row>
    <x:row r="91">
      <x:c r="A91" t="str">
        <x:f>IF('Project Control'!A91="","",'Project Control'!A91)</x:f>
      </x:c>
      <x:c r="B91" t="str">
        <x:f>IF(A91="","",'Project Control'!B91)</x:f>
      </x:c>
      <x:c r="C91" t="str">
        <x:f>IF(A91="","",'Project Control'!R91)</x:f>
      </x:c>
      <x:c r="D91" t="str">
        <x:f>IF(A91="","",'Project Control'!S91)</x:f>
      </x:c>
      <x:c r="E91" t="str">
        <x:f>IF(A91="","",'Project Control'!T91)</x:f>
      </x:c>
      <x:c r="F91" t="str">
        <x:f>IF(A91="","",'Project Control'!C91)</x:f>
      </x:c>
      <x:c r="G91" t="str">
        <x:f>IF(A91="","",'Project Control'!D91)</x:f>
      </x:c>
      <x:c r="H91" t="str">
        <x:f>IF(A91="","",'Project Control'!E91)</x:f>
      </x:c>
      <x:c r="I91" t="str">
        <x:f>IF(A91="","",'Project Control'!F91)</x:f>
      </x:c>
      <x:c r="J91" t="str">
        <x:f>IF(A91="","",'Project Control'!H91)</x:f>
      </x:c>
      <x:c r="K91" t="str">
        <x:f>IF(A91="","",'Project Control'!I91)</x:f>
      </x:c>
      <x:c r="L91" t="str">
        <x:f>IF(A91="","",'Project Control'!O91)</x:f>
      </x:c>
    </x:row>
    <x:row r="92">
      <x:c r="A92" t="str">
        <x:f>IF('Project Control'!A92="","",'Project Control'!A92)</x:f>
      </x:c>
      <x:c r="B92" t="str">
        <x:f>IF(A92="","",'Project Control'!B92)</x:f>
      </x:c>
      <x:c r="C92" t="str">
        <x:f>IF(A92="","",'Project Control'!R92)</x:f>
      </x:c>
      <x:c r="D92" t="str">
        <x:f>IF(A92="","",'Project Control'!S92)</x:f>
      </x:c>
      <x:c r="E92" t="str">
        <x:f>IF(A92="","",'Project Control'!T92)</x:f>
      </x:c>
      <x:c r="F92" t="str">
        <x:f>IF(A92="","",'Project Control'!C92)</x:f>
      </x:c>
      <x:c r="G92" t="str">
        <x:f>IF(A92="","",'Project Control'!D92)</x:f>
      </x:c>
      <x:c r="H92" t="str">
        <x:f>IF(A92="","",'Project Control'!E92)</x:f>
      </x:c>
      <x:c r="I92" t="str">
        <x:f>IF(A92="","",'Project Control'!F92)</x:f>
      </x:c>
      <x:c r="J92" t="str">
        <x:f>IF(A92="","",'Project Control'!H92)</x:f>
      </x:c>
      <x:c r="K92" t="str">
        <x:f>IF(A92="","",'Project Control'!I92)</x:f>
      </x:c>
      <x:c r="L92" t="str">
        <x:f>IF(A92="","",'Project Control'!O92)</x:f>
      </x:c>
    </x:row>
    <x:row r="93">
      <x:c r="A93" t="str">
        <x:f>IF('Project Control'!A93="","",'Project Control'!A93)</x:f>
      </x:c>
      <x:c r="B93" t="str">
        <x:f>IF(A93="","",'Project Control'!B93)</x:f>
      </x:c>
      <x:c r="C93" t="str">
        <x:f>IF(A93="","",'Project Control'!R93)</x:f>
      </x:c>
      <x:c r="D93" t="str">
        <x:f>IF(A93="","",'Project Control'!S93)</x:f>
      </x:c>
      <x:c r="E93" t="str">
        <x:f>IF(A93="","",'Project Control'!T93)</x:f>
      </x:c>
      <x:c r="F93" t="str">
        <x:f>IF(A93="","",'Project Control'!C93)</x:f>
      </x:c>
      <x:c r="G93" t="str">
        <x:f>IF(A93="","",'Project Control'!D93)</x:f>
      </x:c>
      <x:c r="H93" t="str">
        <x:f>IF(A93="","",'Project Control'!E93)</x:f>
      </x:c>
      <x:c r="I93" t="str">
        <x:f>IF(A93="","",'Project Control'!F93)</x:f>
      </x:c>
      <x:c r="J93" t="str">
        <x:f>IF(A93="","",'Project Control'!H93)</x:f>
      </x:c>
      <x:c r="K93" t="str">
        <x:f>IF(A93="","",'Project Control'!I93)</x:f>
      </x:c>
      <x:c r="L93" t="str">
        <x:f>IF(A93="","",'Project Control'!O93)</x:f>
      </x:c>
    </x:row>
    <x:row r="94">
      <x:c r="A94" t="str">
        <x:f>IF('Project Control'!A94="","",'Project Control'!A94)</x:f>
      </x:c>
      <x:c r="B94" t="str">
        <x:f>IF(A94="","",'Project Control'!B94)</x:f>
      </x:c>
      <x:c r="C94" t="str">
        <x:f>IF(A94="","",'Project Control'!R94)</x:f>
      </x:c>
      <x:c r="D94" t="str">
        <x:f>IF(A94="","",'Project Control'!S94)</x:f>
      </x:c>
      <x:c r="E94" t="str">
        <x:f>IF(A94="","",'Project Control'!T94)</x:f>
      </x:c>
      <x:c r="F94" t="str">
        <x:f>IF(A94="","",'Project Control'!C94)</x:f>
      </x:c>
      <x:c r="G94" t="str">
        <x:f>IF(A94="","",'Project Control'!D94)</x:f>
      </x:c>
      <x:c r="H94" t="str">
        <x:f>IF(A94="","",'Project Control'!E94)</x:f>
      </x:c>
      <x:c r="I94" t="str">
        <x:f>IF(A94="","",'Project Control'!F94)</x:f>
      </x:c>
      <x:c r="J94" t="str">
        <x:f>IF(A94="","",'Project Control'!H94)</x:f>
      </x:c>
      <x:c r="K94" t="str">
        <x:f>IF(A94="","",'Project Control'!I94)</x:f>
      </x:c>
      <x:c r="L94" t="str">
        <x:f>IF(A94="","",'Project Control'!O94)</x:f>
      </x:c>
    </x:row>
    <x:row r="95">
      <x:c r="A95" t="str">
        <x:f>IF('Project Control'!A95="","",'Project Control'!A95)</x:f>
      </x:c>
      <x:c r="B95" t="str">
        <x:f>IF(A95="","",'Project Control'!B95)</x:f>
      </x:c>
      <x:c r="C95" t="str">
        <x:f>IF(A95="","",'Project Control'!R95)</x:f>
      </x:c>
      <x:c r="D95" t="str">
        <x:f>IF(A95="","",'Project Control'!S95)</x:f>
      </x:c>
      <x:c r="E95" t="str">
        <x:f>IF(A95="","",'Project Control'!T95)</x:f>
      </x:c>
      <x:c r="F95" t="str">
        <x:f>IF(A95="","",'Project Control'!C95)</x:f>
      </x:c>
      <x:c r="G95" t="str">
        <x:f>IF(A95="","",'Project Control'!D95)</x:f>
      </x:c>
      <x:c r="H95" t="str">
        <x:f>IF(A95="","",'Project Control'!E95)</x:f>
      </x:c>
      <x:c r="I95" t="str">
        <x:f>IF(A95="","",'Project Control'!F95)</x:f>
      </x:c>
      <x:c r="J95" t="str">
        <x:f>IF(A95="","",'Project Control'!H95)</x:f>
      </x:c>
      <x:c r="K95" t="str">
        <x:f>IF(A95="","",'Project Control'!I95)</x:f>
      </x:c>
      <x:c r="L95" t="str">
        <x:f>IF(A95="","",'Project Control'!O95)</x:f>
      </x:c>
    </x:row>
    <x:row r="96">
      <x:c r="A96" t="str">
        <x:f>IF('Project Control'!A96="","",'Project Control'!A96)</x:f>
      </x:c>
      <x:c r="B96" t="str">
        <x:f>IF(A96="","",'Project Control'!B96)</x:f>
      </x:c>
      <x:c r="C96" t="str">
        <x:f>IF(A96="","",'Project Control'!R96)</x:f>
      </x:c>
      <x:c r="D96" t="str">
        <x:f>IF(A96="","",'Project Control'!S96)</x:f>
      </x:c>
      <x:c r="E96" t="str">
        <x:f>IF(A96="","",'Project Control'!T96)</x:f>
      </x:c>
      <x:c r="F96" t="str">
        <x:f>IF(A96="","",'Project Control'!C96)</x:f>
      </x:c>
      <x:c r="G96" t="str">
        <x:f>IF(A96="","",'Project Control'!D96)</x:f>
      </x:c>
      <x:c r="H96" t="str">
        <x:f>IF(A96="","",'Project Control'!E96)</x:f>
      </x:c>
      <x:c r="I96" t="str">
        <x:f>IF(A96="","",'Project Control'!F96)</x:f>
      </x:c>
      <x:c r="J96" t="str">
        <x:f>IF(A96="","",'Project Control'!H96)</x:f>
      </x:c>
      <x:c r="K96" t="str">
        <x:f>IF(A96="","",'Project Control'!I96)</x:f>
      </x:c>
      <x:c r="L96" t="str">
        <x:f>IF(A96="","",'Project Control'!O96)</x:f>
      </x:c>
    </x:row>
    <x:row r="97">
      <x:c r="A97" t="str">
        <x:f>IF('Project Control'!A97="","",'Project Control'!A97)</x:f>
      </x:c>
      <x:c r="B97" t="str">
        <x:f>IF(A97="","",'Project Control'!B97)</x:f>
      </x:c>
      <x:c r="C97" t="str">
        <x:f>IF(A97="","",'Project Control'!R97)</x:f>
      </x:c>
      <x:c r="D97" t="str">
        <x:f>IF(A97="","",'Project Control'!S97)</x:f>
      </x:c>
      <x:c r="E97" t="str">
        <x:f>IF(A97="","",'Project Control'!T97)</x:f>
      </x:c>
      <x:c r="F97" t="str">
        <x:f>IF(A97="","",'Project Control'!C97)</x:f>
      </x:c>
      <x:c r="G97" t="str">
        <x:f>IF(A97="","",'Project Control'!D97)</x:f>
      </x:c>
      <x:c r="H97" t="str">
        <x:f>IF(A97="","",'Project Control'!E97)</x:f>
      </x:c>
      <x:c r="I97" t="str">
        <x:f>IF(A97="","",'Project Control'!F97)</x:f>
      </x:c>
      <x:c r="J97" t="str">
        <x:f>IF(A97="","",'Project Control'!H97)</x:f>
      </x:c>
      <x:c r="K97" t="str">
        <x:f>IF(A97="","",'Project Control'!I97)</x:f>
      </x:c>
      <x:c r="L97" t="str">
        <x:f>IF(A97="","",'Project Control'!O97)</x:f>
      </x:c>
    </x:row>
    <x:row r="98">
      <x:c r="A98" t="str">
        <x:f>IF('Project Control'!A98="","",'Project Control'!A98)</x:f>
      </x:c>
      <x:c r="B98" t="str">
        <x:f>IF(A98="","",'Project Control'!B98)</x:f>
      </x:c>
      <x:c r="C98" t="str">
        <x:f>IF(A98="","",'Project Control'!R98)</x:f>
      </x:c>
      <x:c r="D98" t="str">
        <x:f>IF(A98="","",'Project Control'!S98)</x:f>
      </x:c>
      <x:c r="E98" t="str">
        <x:f>IF(A98="","",'Project Control'!T98)</x:f>
      </x:c>
      <x:c r="F98" t="str">
        <x:f>IF(A98="","",'Project Control'!C98)</x:f>
      </x:c>
      <x:c r="G98" t="str">
        <x:f>IF(A98="","",'Project Control'!D98)</x:f>
      </x:c>
      <x:c r="H98" t="str">
        <x:f>IF(A98="","",'Project Control'!E98)</x:f>
      </x:c>
      <x:c r="I98" t="str">
        <x:f>IF(A98="","",'Project Control'!F98)</x:f>
      </x:c>
      <x:c r="J98" t="str">
        <x:f>IF(A98="","",'Project Control'!H98)</x:f>
      </x:c>
      <x:c r="K98" t="str">
        <x:f>IF(A98="","",'Project Control'!I98)</x:f>
      </x:c>
      <x:c r="L98" t="str">
        <x:f>IF(A98="","",'Project Control'!O98)</x:f>
      </x:c>
    </x:row>
    <x:row r="99">
      <x:c r="A99" t="str">
        <x:f>IF('Project Control'!A99="","",'Project Control'!A99)</x:f>
      </x:c>
      <x:c r="B99" t="str">
        <x:f>IF(A99="","",'Project Control'!B99)</x:f>
      </x:c>
      <x:c r="C99" t="str">
        <x:f>IF(A99="","",'Project Control'!R99)</x:f>
      </x:c>
      <x:c r="D99" t="str">
        <x:f>IF(A99="","",'Project Control'!S99)</x:f>
      </x:c>
      <x:c r="E99" t="str">
        <x:f>IF(A99="","",'Project Control'!T99)</x:f>
      </x:c>
      <x:c r="F99" t="str">
        <x:f>IF(A99="","",'Project Control'!C99)</x:f>
      </x:c>
      <x:c r="G99" t="str">
        <x:f>IF(A99="","",'Project Control'!D99)</x:f>
      </x:c>
      <x:c r="H99" t="str">
        <x:f>IF(A99="","",'Project Control'!E99)</x:f>
      </x:c>
      <x:c r="I99" t="str">
        <x:f>IF(A99="","",'Project Control'!F99)</x:f>
      </x:c>
      <x:c r="J99" t="str">
        <x:f>IF(A99="","",'Project Control'!H99)</x:f>
      </x:c>
      <x:c r="K99" t="str">
        <x:f>IF(A99="","",'Project Control'!I99)</x:f>
      </x:c>
      <x:c r="L99" t="str">
        <x:f>IF(A99="","",'Project Control'!O99)</x:f>
      </x:c>
    </x:row>
    <x:row r="100">
      <x:c r="A100" t="str">
        <x:f>IF('Project Control'!A100="","",'Project Control'!A100)</x:f>
      </x:c>
      <x:c r="B100" t="str">
        <x:f>IF(A100="","",'Project Control'!B100)</x:f>
      </x:c>
      <x:c r="C100" t="str">
        <x:f>IF(A100="","",'Project Control'!R100)</x:f>
      </x:c>
      <x:c r="D100" t="str">
        <x:f>IF(A100="","",'Project Control'!S100)</x:f>
      </x:c>
      <x:c r="E100" t="str">
        <x:f>IF(A100="","",'Project Control'!T100)</x:f>
      </x:c>
      <x:c r="F100" t="str">
        <x:f>IF(A100="","",'Project Control'!C100)</x:f>
      </x:c>
      <x:c r="G100" t="str">
        <x:f>IF(A100="","",'Project Control'!D100)</x:f>
      </x:c>
      <x:c r="H100" t="str">
        <x:f>IF(A100="","",'Project Control'!E100)</x:f>
      </x:c>
      <x:c r="I100" t="str">
        <x:f>IF(A100="","",'Project Control'!F100)</x:f>
      </x:c>
      <x:c r="J100" t="str">
        <x:f>IF(A100="","",'Project Control'!H100)</x:f>
      </x:c>
      <x:c r="K100" t="str">
        <x:f>IF(A100="","",'Project Control'!I100)</x:f>
      </x:c>
      <x:c r="L100" t="str">
        <x:f>IF(A100="","",'Project Control'!O100)</x:f>
      </x:c>
    </x:row>
    <x:row r="101">
      <x:c r="A101" t="str">
        <x:f>IF('Project Control'!A101="","",'Project Control'!A101)</x:f>
      </x:c>
      <x:c r="B101" t="str">
        <x:f>IF(A101="","",'Project Control'!B101)</x:f>
      </x:c>
      <x:c r="C101" t="str">
        <x:f>IF(A101="","",'Project Control'!R101)</x:f>
      </x:c>
      <x:c r="D101" t="str">
        <x:f>IF(A101="","",'Project Control'!S101)</x:f>
      </x:c>
      <x:c r="E101" t="str">
        <x:f>IF(A101="","",'Project Control'!T101)</x:f>
      </x:c>
      <x:c r="F101" t="str">
        <x:f>IF(A101="","",'Project Control'!C101)</x:f>
      </x:c>
      <x:c r="G101" t="str">
        <x:f>IF(A101="","",'Project Control'!D101)</x:f>
      </x:c>
      <x:c r="H101" t="str">
        <x:f>IF(A101="","",'Project Control'!E101)</x:f>
      </x:c>
      <x:c r="I101" t="str">
        <x:f>IF(A101="","",'Project Control'!F101)</x:f>
      </x:c>
      <x:c r="J101" t="str">
        <x:f>IF(A101="","",'Project Control'!H101)</x:f>
      </x:c>
      <x:c r="K101" t="str">
        <x:f>IF(A101="","",'Project Control'!I101)</x:f>
      </x:c>
      <x:c r="L101" t="str">
        <x:f>IF(A101="","",'Project Control'!O101)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7" hidden="0" customWidth="1"/>
  </x:cols>
  <x:sheetData>
    <x:row r="1" ht="42" customHeight="1">
      <x:c r="A1" s="13" t="str">
        <x:v>Month YYYY-MM</x:v>
      </x:c>
      <x:c r="B1" s="13" t="str">
        <x:v>Project ID (ERP)</x:v>
      </x:c>
      <x:c r="C1" s="13" t="str">
        <x:v>Customer</x:v>
      </x:c>
      <x:c r="D1" s="13" t="str">
        <x:v>Business Unit</x:v>
      </x:c>
      <x:c r="E1" s="13" t="str">
        <x:v>Brand</x:v>
      </x:c>
      <x:c r="F1" s="13" t="str">
        <x:v>Selling Entity</x:v>
      </x:c>
      <x:c r="G1" s="13" t="str">
        <x:v>Customer PO intake USD</x:v>
      </x:c>
      <x:c r="H1" s="13" t="str">
        <x:v>Invoiced this month USD</x:v>
      </x:c>
      <x:c r="I1" s="13" t="str">
        <x:v>Investment 1 paid USD</x:v>
      </x:c>
      <x:c r="J1" s="13" t="str">
        <x:v>Investment 2 open USD EOM</x:v>
      </x:c>
      <x:c r="K1" s="13" t="str">
        <x:v>ERP cost recognized this month USD</x:v>
      </x:c>
      <x:c r="L1" s="13" t="str">
        <x:v>Source ERP export</x:v>
      </x:c>
      <x:c r="M1" s="13" t="str">
        <x:v>Validation / notes</x:v>
      </x:c>
    </x:row>
    <x:row r="2">
      <x:c r="A2" t="str">
        <x:v>2026-09</x:v>
      </x:c>
      <x:c r="B2" t="str">
        <x:v>100245</x:v>
      </x:c>
      <x:c r="C2" t="str">
        <x:v>Customer A</x:v>
      </x:c>
      <x:c r="D2" t="str">
        <x:v>Strategic Services</x:v>
      </x:c>
      <x:c r="E2" t="str">
        <x:v>N/A</x:v>
      </x:c>
      <x:c r="F2" t="str">
        <x:v>MX</x:v>
      </x:c>
      <x:c r="G2" t="n">
        <x:v>50000</x:v>
      </x:c>
      <x:c r="H2" t="n">
        <x:v>18000</x:v>
      </x:c>
      <x:c r="I2" t="n">
        <x:v>14000</x:v>
      </x:c>
      <x:c r="J2" t="n">
        <x:v>10000</x:v>
      </x:c>
      <x:c r="K2" t="n">
        <x:v>16000</x:v>
      </x:c>
      <x:c r="L2" t="str">
        <x:v>ERP-SEP-001</x:v>
      </x:c>
      <x:c r="M2" t="str">
        <x:v>Simulated; PO received September</x:v>
      </x:c>
    </x:row>
    <x:row r="3">
      <x:c r="A3" t="str">
        <x:v>2026-09</x:v>
      </x:c>
      <x:c r="B3" t="str">
        <x:v>100246</x:v>
      </x:c>
      <x:c r="C3" t="str">
        <x:v>Customer B</x:v>
      </x:c>
      <x:c r="D3" t="str">
        <x:v>Brands</x:v>
      </x:c>
      <x:c r="E3" t="str">
        <x:v>Desoutter</x:v>
      </x:c>
      <x:c r="F3" t="str">
        <x:v>MX</x:v>
      </x:c>
      <x:c r="G3" t="n">
        <x:v>41000</x:v>
      </x:c>
      <x:c r="H3" t="n">
        <x:v>20500</x:v>
      </x:c>
      <x:c r="I3" t="n">
        <x:v>16000</x:v>
      </x:c>
      <x:c r="J3" t="n">
        <x:v>4000</x:v>
      </x:c>
      <x:c r="K3" t="n">
        <x:v>18000</x:v>
      </x:c>
      <x:c r="L3" t="str">
        <x:v>ERP-SEP-001</x:v>
      </x:c>
      <x:c r="M3" t="str">
        <x:v>Simulated; USD normalized</x:v>
      </x:c>
    </x:row>
    <x:row r="4">
      <x:c r="A4" t="str">
        <x:v>2026-09</x:v>
      </x:c>
      <x:c r="B4" t="str">
        <x:v>100247</x:v>
      </x:c>
      <x:c r="C4" t="str">
        <x:v>Customer C</x:v>
      </x:c>
      <x:c r="D4" t="str">
        <x:v>Brands</x:v>
      </x:c>
      <x:c r="E4" t="str">
        <x:v>Datalogic</x:v>
      </x:c>
      <x:c r="F4" t="str">
        <x:v>US</x:v>
      </x:c>
      <x:c r="G4" t="n">
        <x:v>34000</x:v>
      </x:c>
      <x:c r="H4" t="n">
        <x:v>8000</x:v>
      </x:c>
      <x:c r="I4" t="n">
        <x:v>6000</x:v>
      </x:c>
      <x:c r="J4" t="n">
        <x:v>9000</x:v>
      </x:c>
      <x:c r="K4" t="n">
        <x:v>9000</x:v>
      </x:c>
      <x:c r="L4" t="str">
        <x:v>ERP-SEP-001</x:v>
      </x:c>
      <x:c r="M4" t="str">
        <x:v>Simulated</x:v>
      </x:c>
    </x:row>
    <x:row r="5">
      <x:c r="A5" t="str">
        <x:v>2026-10</x:v>
      </x:c>
      <x:c r="B5" t="str">
        <x:v>100245</x:v>
      </x:c>
      <x:c r="C5" t="str">
        <x:v>Customer A</x:v>
      </x:c>
      <x:c r="D5" t="str">
        <x:v>Strategic Services</x:v>
      </x:c>
      <x:c r="E5" t="str">
        <x:v>N/A</x:v>
      </x:c>
      <x:c r="F5" t="str">
        <x:v>MX</x:v>
      </x:c>
      <x:c r="G5" t="n">
        <x:v>0</x:v>
      </x:c>
      <x:c r="H5" t="n">
        <x:v>10000</x:v>
      </x:c>
      <x:c r="I5" t="n">
        <x:v>11000</x:v>
      </x:c>
      <x:c r="J5" t="n">
        <x:v>11000</x:v>
      </x:c>
      <x:c r="K5" t="n">
        <x:v>8000</x:v>
      </x:c>
      <x:c r="L5" t="str">
        <x:v>ERP-OCT-001</x:v>
      </x:c>
      <x:c r="M5" t="str">
        <x:v>Simulated; not new PO intake</x:v>
      </x:c>
    </x:row>
    <x:row r="6">
      <x:c r="A6" t="str">
        <x:v>2026-10</x:v>
      </x:c>
      <x:c r="B6" t="str">
        <x:v>100246</x:v>
      </x:c>
      <x:c r="C6" t="str">
        <x:v>Customer B</x:v>
      </x:c>
      <x:c r="D6" t="str">
        <x:v>Brands</x:v>
      </x:c>
      <x:c r="E6" t="str">
        <x:v>Desoutter</x:v>
      </x:c>
      <x:c r="F6" t="str">
        <x:v>MX</x:v>
      </x:c>
      <x:c r="G6" t="n">
        <x:v>0</x:v>
      </x:c>
      <x:c r="H6" t="n">
        <x:v>20500</x:v>
      </x:c>
      <x:c r="I6" t="n">
        <x:v>14000</x:v>
      </x:c>
      <x:c r="J6" t="n">
        <x:v>2000</x:v>
      </x:c>
      <x:c r="K6" t="n">
        <x:v>11000</x:v>
      </x:c>
      <x:c r="L6" t="str">
        <x:v>ERP-OCT-001</x:v>
      </x:c>
      <x:c r="M6" t="str">
        <x:v>Simulated</x:v>
      </x:c>
    </x:row>
    <x:row r="7">
      <x:c r="A7" t="str">
        <x:v>2026-10</x:v>
      </x:c>
      <x:c r="B7" t="str">
        <x:v>100247</x:v>
      </x:c>
      <x:c r="C7" t="str">
        <x:v>Customer C</x:v>
      </x:c>
      <x:c r="D7" t="str">
        <x:v>Brands</x:v>
      </x:c>
      <x:c r="E7" t="str">
        <x:v>Datalogic</x:v>
      </x:c>
      <x:c r="F7" t="str">
        <x:v>US</x:v>
      </x:c>
      <x:c r="G7" t="n">
        <x:v>0</x:v>
      </x:c>
      <x:c r="H7" t="n">
        <x:v>4000</x:v>
      </x:c>
      <x:c r="I7" t="n">
        <x:v>10000</x:v>
      </x:c>
      <x:c r="J7" t="n">
        <x:v>7000</x:v>
      </x:c>
      <x:c r="K7" t="n">
        <x:v>12000</x:v>
      </x:c>
      <x:c r="L7" t="str">
        <x:v>ERP-OCT-001</x:v>
      </x:c>
      <x:c r="M7" t="str">
        <x:v>Simulated</x:v>
      </x:c>
    </x:row>
    <x:row r="8">
      <x:c r="A8" t="str">
        <x:v>2026-10</x:v>
      </x:c>
      <x:c r="B8" t="str">
        <x:v>100248</x:v>
      </x:c>
      <x:c r="C8" t="str">
        <x:v>Customer D</x:v>
      </x:c>
      <x:c r="D8" t="str">
        <x:v>Strategic Services</x:v>
      </x:c>
      <x:c r="E8" t="str">
        <x:v>N/A</x:v>
      </x:c>
      <x:c r="F8" t="str">
        <x:v>MX</x:v>
      </x:c>
      <x:c r="G8" t="n">
        <x:v>24000</x:v>
      </x:c>
      <x:c r="H8" t="n">
        <x:v>0</x:v>
      </x:c>
      <x:c r="I8" t="n">
        <x:v>8000</x:v>
      </x:c>
      <x:c r="J8" t="n">
        <x:v>0</x:v>
      </x:c>
      <x:c r="K8" t="n">
        <x:v>12000</x:v>
      </x:c>
      <x:c r="L8" t="str">
        <x:v>ERP-OCT-001</x:v>
      </x:c>
      <x:c r="M8" t="str">
        <x:v>Simulated; open PO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42" customHeight="1">
      <x:c r="A1" s="13" t="str">
        <x:v>Month YYYY-MM</x:v>
      </x:c>
      <x:c r="B1" s="13" t="str">
        <x:v>Business Unit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recognized cost USD</x:v>
      </x:c>
      <x:c r="I1" s="13" t="str">
        <x:v>Operational gap: invoice less cost USD</x:v>
      </x:c>
      <x:c r="J1" s="13" t="str">
        <x:v>Reconciliation flag</x:v>
      </x:c>
    </x:row>
    <x:row r="2">
      <x:c r="A2" t="str">
        <x:v>2026-09</x:v>
      </x:c>
      <x:c r="B2" t="str">
        <x:v>Strategic Services</x:v>
      </x:c>
      <x:c r="C2" t="str">
        <x:v>MX</x:v>
      </x:c>
      <x:c r="D2" t="n">
        <x:f>SUMIFS('Monthly Project Activity'!$G$2:$G$101,'Monthly Project Activity'!$A$2:$A$101,$A2,'Monthly Project Activity'!$D$2:$D$101,$B2,'Monthly Project Activity'!$F$2:$F$101,$C2)</x:f>
        <x:v>50000</x:v>
      </x:c>
      <x:c r="E2" t="n">
        <x:f>SUMIFS('Monthly Project Activity'!$H$2:$H$101,'Monthly Project Activity'!$A$2:$A$101,$A2,'Monthly Project Activity'!$D$2:$D$101,$B2,'Monthly Project Activity'!$F$2:$F$101,$C2)</x:f>
        <x:v>18000</x:v>
      </x:c>
      <x:c r="F2" t="n">
        <x:f>SUMIFS('Monthly Project Activity'!$I$2:$I$101,'Monthly Project Activity'!$A$2:$A$101,$A2,'Monthly Project Activity'!$D$2:$D$101,$B2,'Monthly Project Activity'!$F$2:$F$101,$C2)</x:f>
        <x:v>14000</x:v>
      </x:c>
      <x:c r="G2" t="n">
        <x:f>SUMIFS('Monthly Project Activity'!$J$2:$J$101,'Monthly Project Activity'!$A$2:$A$101,$A2,'Monthly Project Activity'!$D$2:$D$101,$B2,'Monthly Project Activity'!$F$2:$F$101,$C2)</x:f>
        <x:v>10000</x:v>
      </x:c>
      <x:c r="H2" t="n">
        <x:f>SUMIFS('Monthly Project Activity'!$K$2:$K$101,'Monthly Project Activity'!$A$2:$A$101,$A2,'Monthly Project Activity'!$D$2:$D$101,$B2,'Monthly Project Activity'!$F$2:$F$101,$C2)</x:f>
        <x:v>16000</x:v>
      </x:c>
      <x:c r="I2" t="n">
        <x:f>E2-H2</x:f>
        <x:v>2000</x:v>
      </x:c>
      <x:c r="J2" t="str">
        <x:f>IF(COUNTIFS('Monthly Project Activity'!$A$2:$A$101,A2,'Monthly Project Activity'!$D$2:$D$101,B2,'Monthly Project Activity'!$F$2:$F$101,C2)=0,"NO ACTIVITY","ERP SUMMARY / REVIEW")</x:f>
        <x:v>ERP SUMMARY / REVIEW</x:v>
      </x:c>
    </x:row>
    <x:row r="3">
      <x:c r="A3" t="str">
        <x:v>2026-09</x:v>
      </x:c>
      <x:c r="B3" t="str">
        <x:v>Strategic Services</x:v>
      </x:c>
      <x:c r="C3" t="str">
        <x:v>US</x:v>
      </x:c>
      <x:c r="D3" t="n">
        <x:f>SUMIFS('Monthly Project Activity'!$G$2:$G$101,'Monthly Project Activity'!$A$2:$A$101,$A3,'Monthly Project Activity'!$D$2:$D$101,$B3,'Monthly Project Activity'!$F$2:$F$101,$C3)</x:f>
        <x:v>0</x:v>
      </x:c>
      <x:c r="E3" t="n">
        <x:f>SUMIFS('Monthly Project Activity'!$H$2:$H$101,'Monthly Project Activity'!$A$2:$A$101,$A3,'Monthly Project Activity'!$D$2:$D$101,$B3,'Monthly Project Activity'!$F$2:$F$101,$C3)</x:f>
        <x:v>0</x:v>
      </x:c>
      <x:c r="F3" t="n">
        <x:f>SUMIFS('Monthly Project Activity'!$I$2:$I$101,'Monthly Project Activity'!$A$2:$A$101,$A3,'Monthly Project Activity'!$D$2:$D$101,$B3,'Monthly Project Activity'!$F$2:$F$101,$C3)</x:f>
        <x:v>0</x:v>
      </x:c>
      <x:c r="G3" t="n">
        <x:f>SUMIFS('Monthly Project Activity'!$J$2:$J$101,'Monthly Project Activity'!$A$2:$A$101,$A3,'Monthly Project Activity'!$D$2:$D$101,$B3,'Monthly Project Activity'!$F$2:$F$101,$C3)</x:f>
        <x:v>0</x:v>
      </x:c>
      <x:c r="H3" t="n">
        <x:f>SUMIFS('Monthly Project Activity'!$K$2:$K$101,'Monthly Project Activity'!$A$2:$A$101,$A3,'Monthly Project Activity'!$D$2:$D$101,$B3,'Monthly Project Activity'!$F$2:$F$101,$C3)</x:f>
        <x:v>0</x:v>
      </x:c>
      <x:c r="I3" t="n">
        <x:f>E3-H3</x:f>
        <x:v>0</x:v>
      </x:c>
      <x:c r="J3" t="str">
        <x:f>IF(COUNTIFS('Monthly Project Activity'!$A$2:$A$101,A3,'Monthly Project Activity'!$D$2:$D$101,B3,'Monthly Project Activity'!$F$2:$F$101,C3)=0,"NO ACTIVITY","ERP SUMMARY / REVIEW")</x:f>
        <x:v>NO ACTIVITY</x:v>
      </x:c>
    </x:row>
    <x:row r="4">
      <x:c r="A4" t="str">
        <x:v>2026-09</x:v>
      </x:c>
      <x:c r="B4" t="str">
        <x:v>Brands</x:v>
      </x:c>
      <x:c r="C4" t="str">
        <x:v>MX</x:v>
      </x:c>
      <x:c r="D4" t="n">
        <x:f>SUMIFS('Monthly Project Activity'!$G$2:$G$101,'Monthly Project Activity'!$A$2:$A$101,$A4,'Monthly Project Activity'!$D$2:$D$101,$B4,'Monthly Project Activity'!$F$2:$F$101,$C4)</x:f>
        <x:v>41000</x:v>
      </x:c>
      <x:c r="E4" t="n">
        <x:f>SUMIFS('Monthly Project Activity'!$H$2:$H$101,'Monthly Project Activity'!$A$2:$A$101,$A4,'Monthly Project Activity'!$D$2:$D$101,$B4,'Monthly Project Activity'!$F$2:$F$101,$C4)</x:f>
        <x:v>20500</x:v>
      </x:c>
      <x:c r="F4" t="n">
        <x:f>SUMIFS('Monthly Project Activity'!$I$2:$I$101,'Monthly Project Activity'!$A$2:$A$101,$A4,'Monthly Project Activity'!$D$2:$D$101,$B4,'Monthly Project Activity'!$F$2:$F$101,$C4)</x:f>
        <x:v>16000</x:v>
      </x:c>
      <x:c r="G4" t="n">
        <x:f>SUMIFS('Monthly Project Activity'!$J$2:$J$101,'Monthly Project Activity'!$A$2:$A$101,$A4,'Monthly Project Activity'!$D$2:$D$101,$B4,'Monthly Project Activity'!$F$2:$F$101,$C4)</x:f>
        <x:v>4000</x:v>
      </x:c>
      <x:c r="H4" t="n">
        <x:f>SUMIFS('Monthly Project Activity'!$K$2:$K$101,'Monthly Project Activity'!$A$2:$A$101,$A4,'Monthly Project Activity'!$D$2:$D$101,$B4,'Monthly Project Activity'!$F$2:$F$101,$C4)</x:f>
        <x:v>18000</x:v>
      </x:c>
      <x:c r="I4" t="n">
        <x:f>E4-H4</x:f>
        <x:v>2500</x:v>
      </x:c>
      <x:c r="J4" t="str">
        <x:f>IF(COUNTIFS('Monthly Project Activity'!$A$2:$A$101,A4,'Monthly Project Activity'!$D$2:$D$101,B4,'Monthly Project Activity'!$F$2:$F$101,C4)=0,"NO ACTIVITY","ERP SUMMARY / REVIEW")</x:f>
        <x:v>ERP SUMMARY / REVIEW</x:v>
      </x:c>
    </x:row>
    <x:row r="5">
      <x:c r="A5" t="str">
        <x:v>2026-09</x:v>
      </x:c>
      <x:c r="B5" t="str">
        <x:v>Brands</x:v>
      </x:c>
      <x:c r="C5" t="str">
        <x:v>US</x:v>
      </x:c>
      <x:c r="D5" t="n">
        <x:f>SUMIFS('Monthly Project Activity'!$G$2:$G$101,'Monthly Project Activity'!$A$2:$A$101,$A5,'Monthly Project Activity'!$D$2:$D$101,$B5,'Monthly Project Activity'!$F$2:$F$101,$C5)</x:f>
        <x:v>34000</x:v>
      </x:c>
      <x:c r="E5" t="n">
        <x:f>SUMIFS('Monthly Project Activity'!$H$2:$H$101,'Monthly Project Activity'!$A$2:$A$101,$A5,'Monthly Project Activity'!$D$2:$D$101,$B5,'Monthly Project Activity'!$F$2:$F$101,$C5)</x:f>
        <x:v>8000</x:v>
      </x:c>
      <x:c r="F5" t="n">
        <x:f>SUMIFS('Monthly Project Activity'!$I$2:$I$101,'Monthly Project Activity'!$A$2:$A$101,$A5,'Monthly Project Activity'!$D$2:$D$101,$B5,'Monthly Project Activity'!$F$2:$F$101,$C5)</x:f>
        <x:v>6000</x:v>
      </x:c>
      <x:c r="G5" t="n">
        <x:f>SUMIFS('Monthly Project Activity'!$J$2:$J$101,'Monthly Project Activity'!$A$2:$A$101,$A5,'Monthly Project Activity'!$D$2:$D$101,$B5,'Monthly Project Activity'!$F$2:$F$101,$C5)</x:f>
        <x:v>9000</x:v>
      </x:c>
      <x:c r="H5" t="n">
        <x:f>SUMIFS('Monthly Project Activity'!$K$2:$K$101,'Monthly Project Activity'!$A$2:$A$101,$A5,'Monthly Project Activity'!$D$2:$D$101,$B5,'Monthly Project Activity'!$F$2:$F$101,$C5)</x:f>
        <x:v>9000</x:v>
      </x:c>
      <x:c r="I5" t="n">
        <x:f>E5-H5</x:f>
        <x:v>-1000</x:v>
      </x:c>
      <x:c r="J5" t="str">
        <x:f>IF(COUNTIFS('Monthly Project Activity'!$A$2:$A$101,A5,'Monthly Project Activity'!$D$2:$D$101,B5,'Monthly Project Activity'!$F$2:$F$101,C5)=0,"NO ACTIVITY","ERP SUMMARY / REVIEW")</x:f>
        <x:v>ERP SUMMARY / REVIEW</x:v>
      </x:c>
    </x:row>
    <x:row r="6">
      <x:c r="A6" t="str">
        <x:v>2026-10</x:v>
      </x:c>
      <x:c r="B6" t="str">
        <x:v>Strategic Services</x:v>
      </x:c>
      <x:c r="C6" t="str">
        <x:v>MX</x:v>
      </x:c>
      <x:c r="D6" t="n">
        <x:f>SUMIFS('Monthly Project Activity'!$G$2:$G$101,'Monthly Project Activity'!$A$2:$A$101,$A6,'Monthly Project Activity'!$D$2:$D$101,$B6,'Monthly Project Activity'!$F$2:$F$101,$C6)</x:f>
        <x:v>24000</x:v>
      </x:c>
      <x:c r="E6" t="n">
        <x:f>SUMIFS('Monthly Project Activity'!$H$2:$H$101,'Monthly Project Activity'!$A$2:$A$101,$A6,'Monthly Project Activity'!$D$2:$D$101,$B6,'Monthly Project Activity'!$F$2:$F$101,$C6)</x:f>
        <x:v>10000</x:v>
      </x:c>
      <x:c r="F6" t="n">
        <x:f>SUMIFS('Monthly Project Activity'!$I$2:$I$101,'Monthly Project Activity'!$A$2:$A$101,$A6,'Monthly Project Activity'!$D$2:$D$101,$B6,'Monthly Project Activity'!$F$2:$F$101,$C6)</x:f>
        <x:v>19000</x:v>
      </x:c>
      <x:c r="G6" t="n">
        <x:f>SUMIFS('Monthly Project Activity'!$J$2:$J$101,'Monthly Project Activity'!$A$2:$A$101,$A6,'Monthly Project Activity'!$D$2:$D$101,$B6,'Monthly Project Activity'!$F$2:$F$101,$C6)</x:f>
        <x:v>11000</x:v>
      </x:c>
      <x:c r="H6" t="n">
        <x:f>SUMIFS('Monthly Project Activity'!$K$2:$K$101,'Monthly Project Activity'!$A$2:$A$101,$A6,'Monthly Project Activity'!$D$2:$D$101,$B6,'Monthly Project Activity'!$F$2:$F$101,$C6)</x:f>
        <x:v>20000</x:v>
      </x:c>
      <x:c r="I6" t="n">
        <x:f>E6-H6</x:f>
        <x:v>-10000</x:v>
      </x:c>
      <x:c r="J6" t="str">
        <x:f>IF(COUNTIFS('Monthly Project Activity'!$A$2:$A$101,A6,'Monthly Project Activity'!$D$2:$D$101,B6,'Monthly Project Activity'!$F$2:$F$101,C6)=0,"NO ACTIVITY","ERP SUMMARY / REVIEW")</x:f>
        <x:v>ERP SUMMARY / REVIEW</x:v>
      </x:c>
    </x:row>
    <x:row r="7">
      <x:c r="A7" t="str">
        <x:v>2026-10</x:v>
      </x:c>
      <x:c r="B7" t="str">
        <x:v>Strategic Services</x:v>
      </x:c>
      <x:c r="C7" t="str">
        <x:v>US</x:v>
      </x:c>
      <x:c r="D7" t="n">
        <x:f>SUMIFS('Monthly Project Activity'!$G$2:$G$101,'Monthly Project Activity'!$A$2:$A$101,$A7,'Monthly Project Activity'!$D$2:$D$101,$B7,'Monthly Project Activity'!$F$2:$F$101,$C7)</x:f>
        <x:v>0</x:v>
      </x:c>
      <x:c r="E7" t="n">
        <x:f>SUMIFS('Monthly Project Activity'!$H$2:$H$101,'Monthly Project Activity'!$A$2:$A$101,$A7,'Monthly Project Activity'!$D$2:$D$101,$B7,'Monthly Project Activity'!$F$2:$F$101,$C7)</x:f>
        <x:v>0</x:v>
      </x:c>
      <x:c r="F7" t="n">
        <x:f>SUMIFS('Monthly Project Activity'!$I$2:$I$101,'Monthly Project Activity'!$A$2:$A$101,$A7,'Monthly Project Activity'!$D$2:$D$101,$B7,'Monthly Project Activity'!$F$2:$F$101,$C7)</x:f>
        <x:v>0</x:v>
      </x:c>
      <x:c r="G7" t="n">
        <x:f>SUMIFS('Monthly Project Activity'!$J$2:$J$101,'Monthly Project Activity'!$A$2:$A$101,$A7,'Monthly Project Activity'!$D$2:$D$101,$B7,'Monthly Project Activity'!$F$2:$F$101,$C7)</x:f>
        <x:v>0</x:v>
      </x:c>
      <x:c r="H7" t="n">
        <x:f>SUMIFS('Monthly Project Activity'!$K$2:$K$101,'Monthly Project Activity'!$A$2:$A$101,$A7,'Monthly Project Activity'!$D$2:$D$101,$B7,'Monthly Project Activity'!$F$2:$F$101,$C7)</x:f>
        <x:v>0</x:v>
      </x:c>
      <x:c r="I7" t="n">
        <x:f>E7-H7</x:f>
        <x:v>0</x:v>
      </x:c>
      <x:c r="J7" t="str">
        <x:f>IF(COUNTIFS('Monthly Project Activity'!$A$2:$A$101,A7,'Monthly Project Activity'!$D$2:$D$101,B7,'Monthly Project Activity'!$F$2:$F$101,C7)=0,"NO ACTIVITY","ERP SUMMARY / REVIEW")</x:f>
        <x:v>NO ACTIVITY</x:v>
      </x:c>
    </x:row>
    <x:row r="8">
      <x:c r="A8" t="str">
        <x:v>2026-10</x:v>
      </x:c>
      <x:c r="B8" t="str">
        <x:v>Brands</x:v>
      </x:c>
      <x:c r="C8" t="str">
        <x:v>MX</x:v>
      </x:c>
      <x:c r="D8" t="n">
        <x:f>SUMIFS('Monthly Project Activity'!$G$2:$G$101,'Monthly Project Activity'!$A$2:$A$101,$A8,'Monthly Project Activity'!$D$2:$D$101,$B8,'Monthly Project Activity'!$F$2:$F$101,$C8)</x:f>
        <x:v>0</x:v>
      </x:c>
      <x:c r="E8" t="n">
        <x:f>SUMIFS('Monthly Project Activity'!$H$2:$H$101,'Monthly Project Activity'!$A$2:$A$101,$A8,'Monthly Project Activity'!$D$2:$D$101,$B8,'Monthly Project Activity'!$F$2:$F$101,$C8)</x:f>
        <x:v>20500</x:v>
      </x:c>
      <x:c r="F8" t="n">
        <x:f>SUMIFS('Monthly Project Activity'!$I$2:$I$101,'Monthly Project Activity'!$A$2:$A$101,$A8,'Monthly Project Activity'!$D$2:$D$101,$B8,'Monthly Project Activity'!$F$2:$F$101,$C8)</x:f>
        <x:v>14000</x:v>
      </x:c>
      <x:c r="G8" t="n">
        <x:f>SUMIFS('Monthly Project Activity'!$J$2:$J$101,'Monthly Project Activity'!$A$2:$A$101,$A8,'Monthly Project Activity'!$D$2:$D$101,$B8,'Monthly Project Activity'!$F$2:$F$101,$C8)</x:f>
        <x:v>2000</x:v>
      </x:c>
      <x:c r="H8" t="n">
        <x:f>SUMIFS('Monthly Project Activity'!$K$2:$K$101,'Monthly Project Activity'!$A$2:$A$101,$A8,'Monthly Project Activity'!$D$2:$D$101,$B8,'Monthly Project Activity'!$F$2:$F$101,$C8)</x:f>
        <x:v>11000</x:v>
      </x:c>
      <x:c r="I8" t="n">
        <x:f>E8-H8</x:f>
        <x:v>9500</x:v>
      </x:c>
      <x:c r="J8" t="str">
        <x:f>IF(COUNTIFS('Monthly Project Activity'!$A$2:$A$101,A8,'Monthly Project Activity'!$D$2:$D$101,B8,'Monthly Project Activity'!$F$2:$F$101,C8)=0,"NO ACTIVITY","ERP SUMMARY / REVIEW")</x:f>
        <x:v>ERP SUMMARY / REVIEW</x:v>
      </x:c>
    </x:row>
    <x:row r="9">
      <x:c r="A9" t="str">
        <x:v>2026-10</x:v>
      </x:c>
      <x:c r="B9" t="str">
        <x:v>Brands</x:v>
      </x:c>
      <x:c r="C9" t="str">
        <x:v>US</x:v>
      </x:c>
      <x:c r="D9" t="n">
        <x:f>SUMIFS('Monthly Project Activity'!$G$2:$G$101,'Monthly Project Activity'!$A$2:$A$101,$A9,'Monthly Project Activity'!$D$2:$D$101,$B9,'Monthly Project Activity'!$F$2:$F$101,$C9)</x:f>
        <x:v>0</x:v>
      </x:c>
      <x:c r="E9" t="n">
        <x:f>SUMIFS('Monthly Project Activity'!$H$2:$H$101,'Monthly Project Activity'!$A$2:$A$101,$A9,'Monthly Project Activity'!$D$2:$D$101,$B9,'Monthly Project Activity'!$F$2:$F$101,$C9)</x:f>
        <x:v>4000</x:v>
      </x:c>
      <x:c r="F9" t="n">
        <x:f>SUMIFS('Monthly Project Activity'!$I$2:$I$101,'Monthly Project Activity'!$A$2:$A$101,$A9,'Monthly Project Activity'!$D$2:$D$101,$B9,'Monthly Project Activity'!$F$2:$F$101,$C9)</x:f>
        <x:v>10000</x:v>
      </x:c>
      <x:c r="G9" t="n">
        <x:f>SUMIFS('Monthly Project Activity'!$J$2:$J$101,'Monthly Project Activity'!$A$2:$A$101,$A9,'Monthly Project Activity'!$D$2:$D$101,$B9,'Monthly Project Activity'!$F$2:$F$101,$C9)</x:f>
        <x:v>7000</x:v>
      </x:c>
      <x:c r="H9" t="n">
        <x:f>SUMIFS('Monthly Project Activity'!$K$2:$K$101,'Monthly Project Activity'!$A$2:$A$101,$A9,'Monthly Project Activity'!$D$2:$D$101,$B9,'Monthly Project Activity'!$F$2:$F$101,$C9)</x:f>
        <x:v>12000</x:v>
      </x:c>
      <x:c r="I9" t="n">
        <x:f>E9-H9</x:f>
        <x:v>-8000</x:v>
      </x:c>
      <x:c r="J9" t="str">
        <x:f>IF(COUNTIFS('Monthly Project Activity'!$A$2:$A$101,A9,'Monthly Project Activity'!$D$2:$D$101,B9,'Monthly Project Activity'!$F$2:$F$101,C9)=0,"NO ACTIVITY","ERP SUMMARY / REVIEW")</x:f>
        <x:v>ERP SUMMARY / REVIEW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2" customHeight="1">
      <x:c r="A1" s="13" t="str">
        <x:v>Month YYYY-MM</x:v>
      </x:c>
      <x:c r="B1" s="13" t="str">
        <x:v>Brand</x:v>
      </x:c>
      <x:c r="C1" s="13" t="str">
        <x:v>Selling Entity</x:v>
      </x:c>
      <x:c r="D1" s="13" t="str">
        <x:v>PO intake USD</x:v>
      </x:c>
      <x:c r="E1" s="13" t="str">
        <x:v>Invoiced USD</x:v>
      </x:c>
      <x:c r="F1" s="13" t="str">
        <x:v>Investment 1 paid USD</x:v>
      </x:c>
      <x:c r="G1" s="13" t="str">
        <x:v>Investment 2 open EOM USD</x:v>
      </x:c>
      <x:c r="H1" s="13" t="str">
        <x:v>ERP cost recognized USD</x:v>
      </x:c>
    </x:row>
    <x:row r="2">
      <x:c r="A2" t="str">
        <x:v>2026-09</x:v>
      </x:c>
      <x:c r="B2" t="str">
        <x:v>Desoutter</x:v>
      </x:c>
      <x:c r="C2" t="str">
        <x:v>MX</x:v>
      </x:c>
      <x:c r="D2" t="n">
        <x:f>SUMIFS('Monthly Project Activity'!$G$2:$G$101,'Monthly Project Activity'!$A$2:$A$101,$A2,'Monthly Project Activity'!$E$2:$E$101,$B2,'Monthly Project Activity'!$F$2:$F$101,$C2,'Monthly Project Activity'!$D$2:$D$101,"Brands")</x:f>
        <x:v>41000</x:v>
      </x:c>
      <x:c r="E2" t="n">
        <x:f>SUMIFS('Monthly Project Activity'!$H$2:$H$101,'Monthly Project Activity'!$A$2:$A$101,$A2,'Monthly Project Activity'!$E$2:$E$101,$B2,'Monthly Project Activity'!$F$2:$F$101,$C2,'Monthly Project Activity'!$D$2:$D$101,"Brands")</x:f>
        <x:v>20500</x:v>
      </x:c>
      <x:c r="F2" t="n">
        <x:f>SUMIFS('Monthly Project Activity'!$I$2:$I$101,'Monthly Project Activity'!$A$2:$A$101,$A2,'Monthly Project Activity'!$E$2:$E$101,$B2,'Monthly Project Activity'!$F$2:$F$101,$C2,'Monthly Project Activity'!$D$2:$D$101,"Brands")</x:f>
        <x:v>16000</x:v>
      </x:c>
      <x:c r="G2" t="n">
        <x:f>SUMIFS('Monthly Project Activity'!$J$2:$J$101,'Monthly Project Activity'!$A$2:$A$101,$A2,'Monthly Project Activity'!$E$2:$E$101,$B2,'Monthly Project Activity'!$F$2:$F$101,$C2,'Monthly Project Activity'!$D$2:$D$101,"Brands")</x:f>
        <x:v>4000</x:v>
      </x:c>
      <x:c r="H2" t="n">
        <x:f>SUMIFS('Monthly Project Activity'!$K$2:$K$101,'Monthly Project Activity'!$A$2:$A$101,$A2,'Monthly Project Activity'!$E$2:$E$101,$B2,'Monthly Project Activity'!$F$2:$F$101,$C2,'Monthly Project Activity'!$D$2:$D$101,"Brands")</x:f>
        <x:v>18000</x:v>
      </x:c>
    </x:row>
    <x:row r="3">
      <x:c r="A3" t="str">
        <x:v>2026-09</x:v>
      </x:c>
      <x:c r="B3" t="str">
        <x:v>Desoutter</x:v>
      </x:c>
      <x:c r="C3" t="str">
        <x:v>US</x:v>
      </x:c>
      <x:c r="D3" t="n">
        <x:f>SUMIFS('Monthly Project Activity'!$G$2:$G$101,'Monthly Project Activity'!$A$2:$A$101,$A3,'Monthly Project Activity'!$E$2:$E$101,$B3,'Monthly Project Activity'!$F$2:$F$101,$C3,'Monthly Project Activity'!$D$2:$D$101,"Brands")</x:f>
        <x:v>0</x:v>
      </x:c>
      <x:c r="E3" t="n">
        <x:f>SUMIFS('Monthly Project Activity'!$H$2:$H$101,'Monthly Project Activity'!$A$2:$A$101,$A3,'Monthly Project Activity'!$E$2:$E$101,$B3,'Monthly Project Activity'!$F$2:$F$101,$C3,'Monthly Project Activity'!$D$2:$D$101,"Brands")</x:f>
        <x:v>0</x:v>
      </x:c>
      <x:c r="F3" t="n">
        <x:f>SUMIFS('Monthly Project Activity'!$I$2:$I$101,'Monthly Project Activity'!$A$2:$A$101,$A3,'Monthly Project Activity'!$E$2:$E$101,$B3,'Monthly Project Activity'!$F$2:$F$101,$C3,'Monthly Project Activity'!$D$2:$D$101,"Brands")</x:f>
        <x:v>0</x:v>
      </x:c>
      <x:c r="G3" t="n">
        <x:f>SUMIFS('Monthly Project Activity'!$J$2:$J$101,'Monthly Project Activity'!$A$2:$A$101,$A3,'Monthly Project Activity'!$E$2:$E$101,$B3,'Monthly Project Activity'!$F$2:$F$101,$C3,'Monthly Project Activity'!$D$2:$D$101,"Brands")</x:f>
        <x:v>0</x:v>
      </x:c>
      <x:c r="H3" t="n">
        <x:f>SUMIFS('Monthly Project Activity'!$K$2:$K$101,'Monthly Project Activity'!$A$2:$A$101,$A3,'Monthly Project Activity'!$E$2:$E$101,$B3,'Monthly Project Activity'!$F$2:$F$101,$C3,'Monthly Project Activity'!$D$2:$D$101,"Brands")</x:f>
        <x:v>0</x:v>
      </x:c>
    </x:row>
    <x:row r="4">
      <x:c r="A4" t="str">
        <x:v>2026-09</x:v>
      </x:c>
      <x:c r="B4" t="str">
        <x:v>Datalogic</x:v>
      </x:c>
      <x:c r="C4" t="str">
        <x:v>MX</x:v>
      </x:c>
      <x:c r="D4" t="n">
        <x:f>SUMIFS('Monthly Project Activity'!$G$2:$G$101,'Monthly Project Activity'!$A$2:$A$101,$A4,'Monthly Project Activity'!$E$2:$E$101,$B4,'Monthly Project Activity'!$F$2:$F$101,$C4,'Monthly Project Activity'!$D$2:$D$101,"Brands")</x:f>
        <x:v>0</x:v>
      </x:c>
      <x:c r="E4" t="n">
        <x:f>SUMIFS('Monthly Project Activity'!$H$2:$H$101,'Monthly Project Activity'!$A$2:$A$101,$A4,'Monthly Project Activity'!$E$2:$E$101,$B4,'Monthly Project Activity'!$F$2:$F$101,$C4,'Monthly Project Activity'!$D$2:$D$101,"Brands")</x:f>
        <x:v>0</x:v>
      </x:c>
      <x:c r="F4" t="n">
        <x:f>SUMIFS('Monthly Project Activity'!$I$2:$I$101,'Monthly Project Activity'!$A$2:$A$101,$A4,'Monthly Project Activity'!$E$2:$E$101,$B4,'Monthly Project Activity'!$F$2:$F$101,$C4,'Monthly Project Activity'!$D$2:$D$101,"Brands")</x:f>
        <x:v>0</x:v>
      </x:c>
      <x:c r="G4" t="n">
        <x:f>SUMIFS('Monthly Project Activity'!$J$2:$J$101,'Monthly Project Activity'!$A$2:$A$101,$A4,'Monthly Project Activity'!$E$2:$E$101,$B4,'Monthly Project Activity'!$F$2:$F$101,$C4,'Monthly Project Activity'!$D$2:$D$101,"Brands")</x:f>
        <x:v>0</x:v>
      </x:c>
      <x:c r="H4" t="n">
        <x:f>SUMIFS('Monthly Project Activity'!$K$2:$K$101,'Monthly Project Activity'!$A$2:$A$101,$A4,'Monthly Project Activity'!$E$2:$E$101,$B4,'Monthly Project Activity'!$F$2:$F$101,$C4,'Monthly Project Activity'!$D$2:$D$101,"Brands")</x:f>
        <x:v>0</x:v>
      </x:c>
    </x:row>
    <x:row r="5">
      <x:c r="A5" t="str">
        <x:v>2026-09</x:v>
      </x:c>
      <x:c r="B5" t="str">
        <x:v>Datalogic</x:v>
      </x:c>
      <x:c r="C5" t="str">
        <x:v>US</x:v>
      </x:c>
      <x:c r="D5" t="n">
        <x:f>SUMIFS('Monthly Project Activity'!$G$2:$G$101,'Monthly Project Activity'!$A$2:$A$101,$A5,'Monthly Project Activity'!$E$2:$E$101,$B5,'Monthly Project Activity'!$F$2:$F$101,$C5,'Monthly Project Activity'!$D$2:$D$101,"Brands")</x:f>
        <x:v>34000</x:v>
      </x:c>
      <x:c r="E5" t="n">
        <x:f>SUMIFS('Monthly Project Activity'!$H$2:$H$101,'Monthly Project Activity'!$A$2:$A$101,$A5,'Monthly Project Activity'!$E$2:$E$101,$B5,'Monthly Project Activity'!$F$2:$F$101,$C5,'Monthly Project Activity'!$D$2:$D$101,"Brands")</x:f>
        <x:v>8000</x:v>
      </x:c>
      <x:c r="F5" t="n">
        <x:f>SUMIFS('Monthly Project Activity'!$I$2:$I$101,'Monthly Project Activity'!$A$2:$A$101,$A5,'Monthly Project Activity'!$E$2:$E$101,$B5,'Monthly Project Activity'!$F$2:$F$101,$C5,'Monthly Project Activity'!$D$2:$D$101,"Brands")</x:f>
        <x:v>6000</x:v>
      </x:c>
      <x:c r="G5" t="n">
        <x:f>SUMIFS('Monthly Project Activity'!$J$2:$J$101,'Monthly Project Activity'!$A$2:$A$101,$A5,'Monthly Project Activity'!$E$2:$E$101,$B5,'Monthly Project Activity'!$F$2:$F$101,$C5,'Monthly Project Activity'!$D$2:$D$101,"Brands")</x:f>
        <x:v>9000</x:v>
      </x:c>
      <x:c r="H5" t="n">
        <x:f>SUMIFS('Monthly Project Activity'!$K$2:$K$101,'Monthly Project Activity'!$A$2:$A$101,$A5,'Monthly Project Activity'!$E$2:$E$101,$B5,'Monthly Project Activity'!$F$2:$F$101,$C5,'Monthly Project Activity'!$D$2:$D$101,"Brands")</x:f>
        <x:v>9000</x:v>
      </x:c>
    </x:row>
    <x:row r="6">
      <x:c r="A6" t="str">
        <x:v>2026-09</x:v>
      </x:c>
      <x:c r="B6" t="str">
        <x:v>Graco</x:v>
      </x:c>
      <x:c r="C6" t="str">
        <x:v>MX</x:v>
      </x:c>
      <x:c r="D6" t="n">
        <x:f>SUMIFS('Monthly Project Activity'!$G$2:$G$101,'Monthly Project Activity'!$A$2:$A$101,$A6,'Monthly Project Activity'!$E$2:$E$101,$B6,'Monthly Project Activity'!$F$2:$F$101,$C6,'Monthly Project Activity'!$D$2:$D$101,"Brands")</x:f>
        <x:v>0</x:v>
      </x:c>
      <x:c r="E6" t="n">
        <x:f>SUMIFS('Monthly Project Activity'!$H$2:$H$101,'Monthly Project Activity'!$A$2:$A$101,$A6,'Monthly Project Activity'!$E$2:$E$101,$B6,'Monthly Project Activity'!$F$2:$F$101,$C6,'Monthly Project Activity'!$D$2:$D$101,"Brands")</x:f>
        <x:v>0</x:v>
      </x:c>
      <x:c r="F6" t="n">
        <x:f>SUMIFS('Monthly Project Activity'!$I$2:$I$101,'Monthly Project Activity'!$A$2:$A$101,$A6,'Monthly Project Activity'!$E$2:$E$101,$B6,'Monthly Project Activity'!$F$2:$F$101,$C6,'Monthly Project Activity'!$D$2:$D$101,"Brands")</x:f>
        <x:v>0</x:v>
      </x:c>
      <x:c r="G6" t="n">
        <x:f>SUMIFS('Monthly Project Activity'!$J$2:$J$101,'Monthly Project Activity'!$A$2:$A$101,$A6,'Monthly Project Activity'!$E$2:$E$101,$B6,'Monthly Project Activity'!$F$2:$F$101,$C6,'Monthly Project Activity'!$D$2:$D$101,"Brands")</x:f>
        <x:v>0</x:v>
      </x:c>
      <x:c r="H6" t="n">
        <x:f>SUMIFS('Monthly Project Activity'!$K$2:$K$101,'Monthly Project Activity'!$A$2:$A$101,$A6,'Monthly Project Activity'!$E$2:$E$101,$B6,'Monthly Project Activity'!$F$2:$F$101,$C6,'Monthly Project Activity'!$D$2:$D$101,"Brands")</x:f>
        <x:v>0</x:v>
      </x:c>
    </x:row>
    <x:row r="7">
      <x:c r="A7" t="str">
        <x:v>2026-09</x:v>
      </x:c>
      <x:c r="B7" t="str">
        <x:v>Graco</x:v>
      </x:c>
      <x:c r="C7" t="str">
        <x:v>US</x:v>
      </x:c>
      <x:c r="D7" t="n">
        <x:f>SUMIFS('Monthly Project Activity'!$G$2:$G$101,'Monthly Project Activity'!$A$2:$A$101,$A7,'Monthly Project Activity'!$E$2:$E$101,$B7,'Monthly Project Activity'!$F$2:$F$101,$C7,'Monthly Project Activity'!$D$2:$D$101,"Brands")</x:f>
        <x:v>0</x:v>
      </x:c>
      <x:c r="E7" t="n">
        <x:f>SUMIFS('Monthly Project Activity'!$H$2:$H$101,'Monthly Project Activity'!$A$2:$A$101,$A7,'Monthly Project Activity'!$E$2:$E$101,$B7,'Monthly Project Activity'!$F$2:$F$101,$C7,'Monthly Project Activity'!$D$2:$D$101,"Brands")</x:f>
        <x:v>0</x:v>
      </x:c>
      <x:c r="F7" t="n">
        <x:f>SUMIFS('Monthly Project Activity'!$I$2:$I$101,'Monthly Project Activity'!$A$2:$A$101,$A7,'Monthly Project Activity'!$E$2:$E$101,$B7,'Monthly Project Activity'!$F$2:$F$101,$C7,'Monthly Project Activity'!$D$2:$D$101,"Brands")</x:f>
        <x:v>0</x:v>
      </x:c>
      <x:c r="G7" t="n">
        <x:f>SUMIFS('Monthly Project Activity'!$J$2:$J$101,'Monthly Project Activity'!$A$2:$A$101,$A7,'Monthly Project Activity'!$E$2:$E$101,$B7,'Monthly Project Activity'!$F$2:$F$101,$C7,'Monthly Project Activity'!$D$2:$D$101,"Brands")</x:f>
        <x:v>0</x:v>
      </x:c>
      <x:c r="H7" t="n">
        <x:f>SUMIFS('Monthly Project Activity'!$K$2:$K$101,'Monthly Project Activity'!$A$2:$A$101,$A7,'Monthly Project Activity'!$E$2:$E$101,$B7,'Monthly Project Activity'!$F$2:$F$101,$C7,'Monthly Project Activity'!$D$2:$D$101,"Brands")</x:f>
        <x:v>0</x:v>
      </x:c>
    </x:row>
    <x:row r="8">
      <x:c r="A8" t="str">
        <x:v>2026-09</x:v>
      </x:c>
      <x:c r="B8" t="str">
        <x:v>Chicago Pneumatic</x:v>
      </x:c>
      <x:c r="C8" t="str">
        <x:v>MX</x:v>
      </x:c>
      <x:c r="D8" t="n">
        <x:f>SUMIFS('Monthly Project Activity'!$G$2:$G$101,'Monthly Project Activity'!$A$2:$A$101,$A8,'Monthly Project Activity'!$E$2:$E$101,$B8,'Monthly Project Activity'!$F$2:$F$101,$C8,'Monthly Project Activity'!$D$2:$D$101,"Brands")</x:f>
        <x:v>0</x:v>
      </x:c>
      <x:c r="E8" t="n">
        <x:f>SUMIFS('Monthly Project Activity'!$H$2:$H$101,'Monthly Project Activity'!$A$2:$A$101,$A8,'Monthly Project Activity'!$E$2:$E$101,$B8,'Monthly Project Activity'!$F$2:$F$101,$C8,'Monthly Project Activity'!$D$2:$D$101,"Brands")</x:f>
        <x:v>0</x:v>
      </x:c>
      <x:c r="F8" t="n">
        <x:f>SUMIFS('Monthly Project Activity'!$I$2:$I$101,'Monthly Project Activity'!$A$2:$A$101,$A8,'Monthly Project Activity'!$E$2:$E$101,$B8,'Monthly Project Activity'!$F$2:$F$101,$C8,'Monthly Project Activity'!$D$2:$D$101,"Brands")</x:f>
        <x:v>0</x:v>
      </x:c>
      <x:c r="G8" t="n">
        <x:f>SUMIFS('Monthly Project Activity'!$J$2:$J$101,'Monthly Project Activity'!$A$2:$A$101,$A8,'Monthly Project Activity'!$E$2:$E$101,$B8,'Monthly Project Activity'!$F$2:$F$101,$C8,'Monthly Project Activity'!$D$2:$D$101,"Brands")</x:f>
        <x:v>0</x:v>
      </x:c>
      <x:c r="H8" t="n">
        <x:f>SUMIFS('Monthly Project Activity'!$K$2:$K$101,'Monthly Project Activity'!$A$2:$A$101,$A8,'Monthly Project Activity'!$E$2:$E$101,$B8,'Monthly Project Activity'!$F$2:$F$101,$C8,'Monthly Project Activity'!$D$2:$D$101,"Brands")</x:f>
        <x:v>0</x:v>
      </x:c>
    </x:row>
    <x:row r="9">
      <x:c r="A9" t="str">
        <x:v>2026-09</x:v>
      </x:c>
      <x:c r="B9" t="str">
        <x:v>Chicago Pneumatic</x:v>
      </x:c>
      <x:c r="C9" t="str">
        <x:v>US</x:v>
      </x:c>
      <x:c r="D9" t="n">
        <x:f>SUMIFS('Monthly Project Activity'!$G$2:$G$101,'Monthly Project Activity'!$A$2:$A$101,$A9,'Monthly Project Activity'!$E$2:$E$101,$B9,'Monthly Project Activity'!$F$2:$F$101,$C9,'Monthly Project Activity'!$D$2:$D$101,"Brands")</x:f>
        <x:v>0</x:v>
      </x:c>
      <x:c r="E9" t="n">
        <x:f>SUMIFS('Monthly Project Activity'!$H$2:$H$101,'Monthly Project Activity'!$A$2:$A$101,$A9,'Monthly Project Activity'!$E$2:$E$101,$B9,'Monthly Project Activity'!$F$2:$F$101,$C9,'Monthly Project Activity'!$D$2:$D$101,"Brands")</x:f>
        <x:v>0</x:v>
      </x:c>
      <x:c r="F9" t="n">
        <x:f>SUMIFS('Monthly Project Activity'!$I$2:$I$101,'Monthly Project Activity'!$A$2:$A$101,$A9,'Monthly Project Activity'!$E$2:$E$101,$B9,'Monthly Project Activity'!$F$2:$F$101,$C9,'Monthly Project Activity'!$D$2:$D$101,"Brands")</x:f>
        <x:v>0</x:v>
      </x:c>
      <x:c r="G9" t="n">
        <x:f>SUMIFS('Monthly Project Activity'!$J$2:$J$101,'Monthly Project Activity'!$A$2:$A$101,$A9,'Monthly Project Activity'!$E$2:$E$101,$B9,'Monthly Project Activity'!$F$2:$F$101,$C9,'Monthly Project Activity'!$D$2:$D$101,"Brands")</x:f>
        <x:v>0</x:v>
      </x:c>
      <x:c r="H9" t="n">
        <x:f>SUMIFS('Monthly Project Activity'!$K$2:$K$101,'Monthly Project Activity'!$A$2:$A$101,$A9,'Monthly Project Activity'!$E$2:$E$101,$B9,'Monthly Project Activity'!$F$2:$F$101,$C9,'Monthly Project Activity'!$D$2:$D$101,"Brands")</x:f>
        <x:v>0</x:v>
      </x:c>
    </x:row>
    <x:row r="10">
      <x:c r="A10" t="str">
        <x:v>2026-09</x:v>
      </x:c>
      <x:c r="B10" t="str">
        <x:v>Ohtake</x:v>
      </x:c>
      <x:c r="C10" t="str">
        <x:v>MX</x:v>
      </x:c>
      <x:c r="D10" t="n">
        <x:f>SUMIFS('Monthly Project Activity'!$G$2:$G$101,'Monthly Project Activity'!$A$2:$A$101,$A10,'Monthly Project Activity'!$E$2:$E$101,$B10,'Monthly Project Activity'!$F$2:$F$101,$C10,'Monthly Project Activity'!$D$2:$D$101,"Brands")</x:f>
        <x:v>0</x:v>
      </x:c>
      <x:c r="E10" t="n">
        <x:f>SUMIFS('Monthly Project Activity'!$H$2:$H$101,'Monthly Project Activity'!$A$2:$A$101,$A10,'Monthly Project Activity'!$E$2:$E$101,$B10,'Monthly Project Activity'!$F$2:$F$101,$C10,'Monthly Project Activity'!$D$2:$D$101,"Brands")</x:f>
        <x:v>0</x:v>
      </x:c>
      <x:c r="F10" t="n">
        <x:f>SUMIFS('Monthly Project Activity'!$I$2:$I$101,'Monthly Project Activity'!$A$2:$A$101,$A10,'Monthly Project Activity'!$E$2:$E$101,$B10,'Monthly Project Activity'!$F$2:$F$101,$C10,'Monthly Project Activity'!$D$2:$D$101,"Brands")</x:f>
        <x:v>0</x:v>
      </x:c>
      <x:c r="G10" t="n">
        <x:f>SUMIFS('Monthly Project Activity'!$J$2:$J$101,'Monthly Project Activity'!$A$2:$A$101,$A10,'Monthly Project Activity'!$E$2:$E$101,$B10,'Monthly Project Activity'!$F$2:$F$101,$C10,'Monthly Project Activity'!$D$2:$D$101,"Brands")</x:f>
        <x:v>0</x:v>
      </x:c>
      <x:c r="H10" t="n">
        <x:f>SUMIFS('Monthly Project Activity'!$K$2:$K$101,'Monthly Project Activity'!$A$2:$A$101,$A10,'Monthly Project Activity'!$E$2:$E$101,$B10,'Monthly Project Activity'!$F$2:$F$101,$C10,'Monthly Project Activity'!$D$2:$D$101,"Brands")</x:f>
        <x:v>0</x:v>
      </x:c>
    </x:row>
    <x:row r="11">
      <x:c r="A11" t="str">
        <x:v>2026-09</x:v>
      </x:c>
      <x:c r="B11" t="str">
        <x:v>Ohtake</x:v>
      </x:c>
      <x:c r="C11" t="str">
        <x:v>US</x:v>
      </x:c>
      <x:c r="D11" t="n">
        <x:f>SUMIFS('Monthly Project Activity'!$G$2:$G$101,'Monthly Project Activity'!$A$2:$A$101,$A11,'Monthly Project Activity'!$E$2:$E$101,$B11,'Monthly Project Activity'!$F$2:$F$101,$C11,'Monthly Project Activity'!$D$2:$D$101,"Brands")</x:f>
        <x:v>0</x:v>
      </x:c>
      <x:c r="E11" t="n">
        <x:f>SUMIFS('Monthly Project Activity'!$H$2:$H$101,'Monthly Project Activity'!$A$2:$A$101,$A11,'Monthly Project Activity'!$E$2:$E$101,$B11,'Monthly Project Activity'!$F$2:$F$101,$C11,'Monthly Project Activity'!$D$2:$D$101,"Brands")</x:f>
        <x:v>0</x:v>
      </x:c>
      <x:c r="F11" t="n">
        <x:f>SUMIFS('Monthly Project Activity'!$I$2:$I$101,'Monthly Project Activity'!$A$2:$A$101,$A11,'Monthly Project Activity'!$E$2:$E$101,$B11,'Monthly Project Activity'!$F$2:$F$101,$C11,'Monthly Project Activity'!$D$2:$D$101,"Brands")</x:f>
        <x:v>0</x:v>
      </x:c>
      <x:c r="G11" t="n">
        <x:f>SUMIFS('Monthly Project Activity'!$J$2:$J$101,'Monthly Project Activity'!$A$2:$A$101,$A11,'Monthly Project Activity'!$E$2:$E$101,$B11,'Monthly Project Activity'!$F$2:$F$101,$C11,'Monthly Project Activity'!$D$2:$D$101,"Brands")</x:f>
        <x:v>0</x:v>
      </x:c>
      <x:c r="H11" t="n">
        <x:f>SUMIFS('Monthly Project Activity'!$K$2:$K$101,'Monthly Project Activity'!$A$2:$A$101,$A11,'Monthly Project Activity'!$E$2:$E$101,$B11,'Monthly Project Activity'!$F$2:$F$101,$C11,'Monthly Project Activity'!$D$2:$D$101,"Brands")</x:f>
        <x:v>0</x:v>
      </x:c>
    </x:row>
    <x:row r="12">
      <x:c r="A12" t="str">
        <x:v>2026-09</x:v>
      </x:c>
      <x:c r="B12" t="str">
        <x:v>Other / configurable</x:v>
      </x:c>
      <x:c r="C12" t="str">
        <x:v>MX</x:v>
      </x:c>
      <x:c r="D12" t="n">
        <x:f>SUMIFS('Monthly Project Activity'!$G$2:$G$101,'Monthly Project Activity'!$A$2:$A$101,$A12,'Monthly Project Activity'!$E$2:$E$101,$B12,'Monthly Project Activity'!$F$2:$F$101,$C12,'Monthly Project Activity'!$D$2:$D$101,"Brands")</x:f>
        <x:v>0</x:v>
      </x:c>
      <x:c r="E12" t="n">
        <x:f>SUMIFS('Monthly Project Activity'!$H$2:$H$101,'Monthly Project Activity'!$A$2:$A$101,$A12,'Monthly Project Activity'!$E$2:$E$101,$B12,'Monthly Project Activity'!$F$2:$F$101,$C12,'Monthly Project Activity'!$D$2:$D$101,"Brands")</x:f>
        <x:v>0</x:v>
      </x:c>
      <x:c r="F12" t="n">
        <x:f>SUMIFS('Monthly Project Activity'!$I$2:$I$101,'Monthly Project Activity'!$A$2:$A$101,$A12,'Monthly Project Activity'!$E$2:$E$101,$B12,'Monthly Project Activity'!$F$2:$F$101,$C12,'Monthly Project Activity'!$D$2:$D$101,"Brands")</x:f>
        <x:v>0</x:v>
      </x:c>
      <x:c r="G12" t="n">
        <x:f>SUMIFS('Monthly Project Activity'!$J$2:$J$101,'Monthly Project Activity'!$A$2:$A$101,$A12,'Monthly Project Activity'!$E$2:$E$101,$B12,'Monthly Project Activity'!$F$2:$F$101,$C12,'Monthly Project Activity'!$D$2:$D$101,"Brands")</x:f>
        <x:v>0</x:v>
      </x:c>
      <x:c r="H12" t="n">
        <x:f>SUMIFS('Monthly Project Activity'!$K$2:$K$101,'Monthly Project Activity'!$A$2:$A$101,$A12,'Monthly Project Activity'!$E$2:$E$101,$B12,'Monthly Project Activity'!$F$2:$F$101,$C12,'Monthly Project Activity'!$D$2:$D$101,"Brands")</x:f>
        <x:v>0</x:v>
      </x:c>
    </x:row>
    <x:row r="13">
      <x:c r="A13" t="str">
        <x:v>2026-09</x:v>
      </x:c>
      <x:c r="B13" t="str">
        <x:v>Other / configurable</x:v>
      </x:c>
      <x:c r="C13" t="str">
        <x:v>US</x:v>
      </x:c>
      <x:c r="D13" t="n">
        <x:f>SUMIFS('Monthly Project Activity'!$G$2:$G$101,'Monthly Project Activity'!$A$2:$A$101,$A13,'Monthly Project Activity'!$E$2:$E$101,$B13,'Monthly Project Activity'!$F$2:$F$101,$C13,'Monthly Project Activity'!$D$2:$D$101,"Brands")</x:f>
        <x:v>0</x:v>
      </x:c>
      <x:c r="E13" t="n">
        <x:f>SUMIFS('Monthly Project Activity'!$H$2:$H$101,'Monthly Project Activity'!$A$2:$A$101,$A13,'Monthly Project Activity'!$E$2:$E$101,$B13,'Monthly Project Activity'!$F$2:$F$101,$C13,'Monthly Project Activity'!$D$2:$D$101,"Brands")</x:f>
        <x:v>0</x:v>
      </x:c>
      <x:c r="F13" t="n">
        <x:f>SUMIFS('Monthly Project Activity'!$I$2:$I$101,'Monthly Project Activity'!$A$2:$A$101,$A13,'Monthly Project Activity'!$E$2:$E$101,$B13,'Monthly Project Activity'!$F$2:$F$101,$C13,'Monthly Project Activity'!$D$2:$D$101,"Brands")</x:f>
        <x:v>0</x:v>
      </x:c>
      <x:c r="G13" t="n">
        <x:f>SUMIFS('Monthly Project Activity'!$J$2:$J$101,'Monthly Project Activity'!$A$2:$A$101,$A13,'Monthly Project Activity'!$E$2:$E$101,$B13,'Monthly Project Activity'!$F$2:$F$101,$C13,'Monthly Project Activity'!$D$2:$D$101,"Brands")</x:f>
        <x:v>0</x:v>
      </x:c>
      <x:c r="H13" t="n">
        <x:f>SUMIFS('Monthly Project Activity'!$K$2:$K$101,'Monthly Project Activity'!$A$2:$A$101,$A13,'Monthly Project Activity'!$E$2:$E$101,$B13,'Monthly Project Activity'!$F$2:$F$101,$C13,'Monthly Project Activity'!$D$2:$D$101,"Brands")</x:f>
        <x:v>0</x:v>
      </x:c>
    </x:row>
    <x:row r="14">
      <x:c r="A14" t="str">
        <x:v>2026-10</x:v>
      </x:c>
      <x:c r="B14" t="str">
        <x:v>Desoutter</x:v>
      </x:c>
      <x:c r="C14" t="str">
        <x:v>MX</x:v>
      </x:c>
      <x:c r="D14" t="n">
        <x:f>SUMIFS('Monthly Project Activity'!$G$2:$G$101,'Monthly Project Activity'!$A$2:$A$101,$A14,'Monthly Project Activity'!$E$2:$E$101,$B14,'Monthly Project Activity'!$F$2:$F$101,$C14,'Monthly Project Activity'!$D$2:$D$101,"Brands")</x:f>
        <x:v>0</x:v>
      </x:c>
      <x:c r="E14" t="n">
        <x:f>SUMIFS('Monthly Project Activity'!$H$2:$H$101,'Monthly Project Activity'!$A$2:$A$101,$A14,'Monthly Project Activity'!$E$2:$E$101,$B14,'Monthly Project Activity'!$F$2:$F$101,$C14,'Monthly Project Activity'!$D$2:$D$101,"Brands")</x:f>
        <x:v>20500</x:v>
      </x:c>
      <x:c r="F14" t="n">
        <x:f>SUMIFS('Monthly Project Activity'!$I$2:$I$101,'Monthly Project Activity'!$A$2:$A$101,$A14,'Monthly Project Activity'!$E$2:$E$101,$B14,'Monthly Project Activity'!$F$2:$F$101,$C14,'Monthly Project Activity'!$D$2:$D$101,"Brands")</x:f>
        <x:v>14000</x:v>
      </x:c>
      <x:c r="G14" t="n">
        <x:f>SUMIFS('Monthly Project Activity'!$J$2:$J$101,'Monthly Project Activity'!$A$2:$A$101,$A14,'Monthly Project Activity'!$E$2:$E$101,$B14,'Monthly Project Activity'!$F$2:$F$101,$C14,'Monthly Project Activity'!$D$2:$D$101,"Brands")</x:f>
        <x:v>2000</x:v>
      </x:c>
      <x:c r="H14" t="n">
        <x:f>SUMIFS('Monthly Project Activity'!$K$2:$K$101,'Monthly Project Activity'!$A$2:$A$101,$A14,'Monthly Project Activity'!$E$2:$E$101,$B14,'Monthly Project Activity'!$F$2:$F$101,$C14,'Monthly Project Activity'!$D$2:$D$101,"Brands")</x:f>
        <x:v>11000</x:v>
      </x:c>
    </x:row>
    <x:row r="15">
      <x:c r="A15" t="str">
        <x:v>2026-10</x:v>
      </x:c>
      <x:c r="B15" t="str">
        <x:v>Desoutter</x:v>
      </x:c>
      <x:c r="C15" t="str">
        <x:v>US</x:v>
      </x:c>
      <x:c r="D15" t="n">
        <x:f>SUMIFS('Monthly Project Activity'!$G$2:$G$101,'Monthly Project Activity'!$A$2:$A$101,$A15,'Monthly Project Activity'!$E$2:$E$101,$B15,'Monthly Project Activity'!$F$2:$F$101,$C15,'Monthly Project Activity'!$D$2:$D$101,"Brands")</x:f>
        <x:v>0</x:v>
      </x:c>
      <x:c r="E15" t="n">
        <x:f>SUMIFS('Monthly Project Activity'!$H$2:$H$101,'Monthly Project Activity'!$A$2:$A$101,$A15,'Monthly Project Activity'!$E$2:$E$101,$B15,'Monthly Project Activity'!$F$2:$F$101,$C15,'Monthly Project Activity'!$D$2:$D$101,"Brands")</x:f>
        <x:v>0</x:v>
      </x:c>
      <x:c r="F15" t="n">
        <x:f>SUMIFS('Monthly Project Activity'!$I$2:$I$101,'Monthly Project Activity'!$A$2:$A$101,$A15,'Monthly Project Activity'!$E$2:$E$101,$B15,'Monthly Project Activity'!$F$2:$F$101,$C15,'Monthly Project Activity'!$D$2:$D$101,"Brands")</x:f>
        <x:v>0</x:v>
      </x:c>
      <x:c r="G15" t="n">
        <x:f>SUMIFS('Monthly Project Activity'!$J$2:$J$101,'Monthly Project Activity'!$A$2:$A$101,$A15,'Monthly Project Activity'!$E$2:$E$101,$B15,'Monthly Project Activity'!$F$2:$F$101,$C15,'Monthly Project Activity'!$D$2:$D$101,"Brands")</x:f>
        <x:v>0</x:v>
      </x:c>
      <x:c r="H15" t="n">
        <x:f>SUMIFS('Monthly Project Activity'!$K$2:$K$101,'Monthly Project Activity'!$A$2:$A$101,$A15,'Monthly Project Activity'!$E$2:$E$101,$B15,'Monthly Project Activity'!$F$2:$F$101,$C15,'Monthly Project Activity'!$D$2:$D$101,"Brands")</x:f>
        <x:v>0</x:v>
      </x:c>
    </x:row>
    <x:row r="16">
      <x:c r="A16" t="str">
        <x:v>2026-10</x:v>
      </x:c>
      <x:c r="B16" t="str">
        <x:v>Datalogic</x:v>
      </x:c>
      <x:c r="C16" t="str">
        <x:v>MX</x:v>
      </x:c>
      <x:c r="D16" t="n">
        <x:f>SUMIFS('Monthly Project Activity'!$G$2:$G$101,'Monthly Project Activity'!$A$2:$A$101,$A16,'Monthly Project Activity'!$E$2:$E$101,$B16,'Monthly Project Activity'!$F$2:$F$101,$C16,'Monthly Project Activity'!$D$2:$D$101,"Brands")</x:f>
        <x:v>0</x:v>
      </x:c>
      <x:c r="E16" t="n">
        <x:f>SUMIFS('Monthly Project Activity'!$H$2:$H$101,'Monthly Project Activity'!$A$2:$A$101,$A16,'Monthly Project Activity'!$E$2:$E$101,$B16,'Monthly Project Activity'!$F$2:$F$101,$C16,'Monthly Project Activity'!$D$2:$D$101,"Brands")</x:f>
        <x:v>0</x:v>
      </x:c>
      <x:c r="F16" t="n">
        <x:f>SUMIFS('Monthly Project Activity'!$I$2:$I$101,'Monthly Project Activity'!$A$2:$A$101,$A16,'Monthly Project Activity'!$E$2:$E$101,$B16,'Monthly Project Activity'!$F$2:$F$101,$C16,'Monthly Project Activity'!$D$2:$D$101,"Brands")</x:f>
        <x:v>0</x:v>
      </x:c>
      <x:c r="G16" t="n">
        <x:f>SUMIFS('Monthly Project Activity'!$J$2:$J$101,'Monthly Project Activity'!$A$2:$A$101,$A16,'Monthly Project Activity'!$E$2:$E$101,$B16,'Monthly Project Activity'!$F$2:$F$101,$C16,'Monthly Project Activity'!$D$2:$D$101,"Brands")</x:f>
        <x:v>0</x:v>
      </x:c>
      <x:c r="H16" t="n">
        <x:f>SUMIFS('Monthly Project Activity'!$K$2:$K$101,'Monthly Project Activity'!$A$2:$A$101,$A16,'Monthly Project Activity'!$E$2:$E$101,$B16,'Monthly Project Activity'!$F$2:$F$101,$C16,'Monthly Project Activity'!$D$2:$D$101,"Brands")</x:f>
        <x:v>0</x:v>
      </x:c>
    </x:row>
    <x:row r="17">
      <x:c r="A17" t="str">
        <x:v>2026-10</x:v>
      </x:c>
      <x:c r="B17" t="str">
        <x:v>Datalogic</x:v>
      </x:c>
      <x:c r="C17" t="str">
        <x:v>US</x:v>
      </x:c>
      <x:c r="D17" t="n">
        <x:f>SUMIFS('Monthly Project Activity'!$G$2:$G$101,'Monthly Project Activity'!$A$2:$A$101,$A17,'Monthly Project Activity'!$E$2:$E$101,$B17,'Monthly Project Activity'!$F$2:$F$101,$C17,'Monthly Project Activity'!$D$2:$D$101,"Brands")</x:f>
        <x:v>0</x:v>
      </x:c>
      <x:c r="E17" t="n">
        <x:f>SUMIFS('Monthly Project Activity'!$H$2:$H$101,'Monthly Project Activity'!$A$2:$A$101,$A17,'Monthly Project Activity'!$E$2:$E$101,$B17,'Monthly Project Activity'!$F$2:$F$101,$C17,'Monthly Project Activity'!$D$2:$D$101,"Brands")</x:f>
        <x:v>4000</x:v>
      </x:c>
      <x:c r="F17" t="n">
        <x:f>SUMIFS('Monthly Project Activity'!$I$2:$I$101,'Monthly Project Activity'!$A$2:$A$101,$A17,'Monthly Project Activity'!$E$2:$E$101,$B17,'Monthly Project Activity'!$F$2:$F$101,$C17,'Monthly Project Activity'!$D$2:$D$101,"Brands")</x:f>
        <x:v>10000</x:v>
      </x:c>
      <x:c r="G17" t="n">
        <x:f>SUMIFS('Monthly Project Activity'!$J$2:$J$101,'Monthly Project Activity'!$A$2:$A$101,$A17,'Monthly Project Activity'!$E$2:$E$101,$B17,'Monthly Project Activity'!$F$2:$F$101,$C17,'Monthly Project Activity'!$D$2:$D$101,"Brands")</x:f>
        <x:v>7000</x:v>
      </x:c>
      <x:c r="H17" t="n">
        <x:f>SUMIFS('Monthly Project Activity'!$K$2:$K$101,'Monthly Project Activity'!$A$2:$A$101,$A17,'Monthly Project Activity'!$E$2:$E$101,$B17,'Monthly Project Activity'!$F$2:$F$101,$C17,'Monthly Project Activity'!$D$2:$D$101,"Brands")</x:f>
        <x:v>12000</x:v>
      </x:c>
    </x:row>
    <x:row r="18">
      <x:c r="A18" t="str">
        <x:v>2026-10</x:v>
      </x:c>
      <x:c r="B18" t="str">
        <x:v>Graco</x:v>
      </x:c>
      <x:c r="C18" t="str">
        <x:v>MX</x:v>
      </x:c>
      <x:c r="D18" t="n">
        <x:f>SUMIFS('Monthly Project Activity'!$G$2:$G$101,'Monthly Project Activity'!$A$2:$A$101,$A18,'Monthly Project Activity'!$E$2:$E$101,$B18,'Monthly Project Activity'!$F$2:$F$101,$C18,'Monthly Project Activity'!$D$2:$D$101,"Brands")</x:f>
        <x:v>0</x:v>
      </x:c>
      <x:c r="E18" t="n">
        <x:f>SUMIFS('Monthly Project Activity'!$H$2:$H$101,'Monthly Project Activity'!$A$2:$A$101,$A18,'Monthly Project Activity'!$E$2:$E$101,$B18,'Monthly Project Activity'!$F$2:$F$101,$C18,'Monthly Project Activity'!$D$2:$D$101,"Brands")</x:f>
        <x:v>0</x:v>
      </x:c>
      <x:c r="F18" t="n">
        <x:f>SUMIFS('Monthly Project Activity'!$I$2:$I$101,'Monthly Project Activity'!$A$2:$A$101,$A18,'Monthly Project Activity'!$E$2:$E$101,$B18,'Monthly Project Activity'!$F$2:$F$101,$C18,'Monthly Project Activity'!$D$2:$D$101,"Brands")</x:f>
        <x:v>0</x:v>
      </x:c>
      <x:c r="G18" t="n">
        <x:f>SUMIFS('Monthly Project Activity'!$J$2:$J$101,'Monthly Project Activity'!$A$2:$A$101,$A18,'Monthly Project Activity'!$E$2:$E$101,$B18,'Monthly Project Activity'!$F$2:$F$101,$C18,'Monthly Project Activity'!$D$2:$D$101,"Brands")</x:f>
        <x:v>0</x:v>
      </x:c>
      <x:c r="H18" t="n">
        <x:f>SUMIFS('Monthly Project Activity'!$K$2:$K$101,'Monthly Project Activity'!$A$2:$A$101,$A18,'Monthly Project Activity'!$E$2:$E$101,$B18,'Monthly Project Activity'!$F$2:$F$101,$C18,'Monthly Project Activity'!$D$2:$D$101,"Brands")</x:f>
        <x:v>0</x:v>
      </x:c>
    </x:row>
    <x:row r="19">
      <x:c r="A19" t="str">
        <x:v>2026-10</x:v>
      </x:c>
      <x:c r="B19" t="str">
        <x:v>Graco</x:v>
      </x:c>
      <x:c r="C19" t="str">
        <x:v>US</x:v>
      </x:c>
      <x:c r="D19" t="n">
        <x:f>SUMIFS('Monthly Project Activity'!$G$2:$G$101,'Monthly Project Activity'!$A$2:$A$101,$A19,'Monthly Project Activity'!$E$2:$E$101,$B19,'Monthly Project Activity'!$F$2:$F$101,$C19,'Monthly Project Activity'!$D$2:$D$101,"Brands")</x:f>
        <x:v>0</x:v>
      </x:c>
      <x:c r="E19" t="n">
        <x:f>SUMIFS('Monthly Project Activity'!$H$2:$H$101,'Monthly Project Activity'!$A$2:$A$101,$A19,'Monthly Project Activity'!$E$2:$E$101,$B19,'Monthly Project Activity'!$F$2:$F$101,$C19,'Monthly Project Activity'!$D$2:$D$101,"Brands")</x:f>
        <x:v>0</x:v>
      </x:c>
      <x:c r="F19" t="n">
        <x:f>SUMIFS('Monthly Project Activity'!$I$2:$I$101,'Monthly Project Activity'!$A$2:$A$101,$A19,'Monthly Project Activity'!$E$2:$E$101,$B19,'Monthly Project Activity'!$F$2:$F$101,$C19,'Monthly Project Activity'!$D$2:$D$101,"Brands")</x:f>
        <x:v>0</x:v>
      </x:c>
      <x:c r="G19" t="n">
        <x:f>SUMIFS('Monthly Project Activity'!$J$2:$J$101,'Monthly Project Activity'!$A$2:$A$101,$A19,'Monthly Project Activity'!$E$2:$E$101,$B19,'Monthly Project Activity'!$F$2:$F$101,$C19,'Monthly Project Activity'!$D$2:$D$101,"Brands")</x:f>
        <x:v>0</x:v>
      </x:c>
      <x:c r="H19" t="n">
        <x:f>SUMIFS('Monthly Project Activity'!$K$2:$K$101,'Monthly Project Activity'!$A$2:$A$101,$A19,'Monthly Project Activity'!$E$2:$E$101,$B19,'Monthly Project Activity'!$F$2:$F$101,$C19,'Monthly Project Activity'!$D$2:$D$101,"Brands")</x:f>
        <x:v>0</x:v>
      </x:c>
    </x:row>
    <x:row r="20">
      <x:c r="A20" t="str">
        <x:v>2026-10</x:v>
      </x:c>
      <x:c r="B20" t="str">
        <x:v>Chicago Pneumatic</x:v>
      </x:c>
      <x:c r="C20" t="str">
        <x:v>MX</x:v>
      </x:c>
      <x:c r="D20" t="n">
        <x:f>SUMIFS('Monthly Project Activity'!$G$2:$G$101,'Monthly Project Activity'!$A$2:$A$101,$A20,'Monthly Project Activity'!$E$2:$E$101,$B20,'Monthly Project Activity'!$F$2:$F$101,$C20,'Monthly Project Activity'!$D$2:$D$101,"Brands")</x:f>
        <x:v>0</x:v>
      </x:c>
      <x:c r="E20" t="n">
        <x:f>SUMIFS('Monthly Project Activity'!$H$2:$H$101,'Monthly Project Activity'!$A$2:$A$101,$A20,'Monthly Project Activity'!$E$2:$E$101,$B20,'Monthly Project Activity'!$F$2:$F$101,$C20,'Monthly Project Activity'!$D$2:$D$101,"Brands")</x:f>
        <x:v>0</x:v>
      </x:c>
      <x:c r="F20" t="n">
        <x:f>SUMIFS('Monthly Project Activity'!$I$2:$I$101,'Monthly Project Activity'!$A$2:$A$101,$A20,'Monthly Project Activity'!$E$2:$E$101,$B20,'Monthly Project Activity'!$F$2:$F$101,$C20,'Monthly Project Activity'!$D$2:$D$101,"Brands")</x:f>
        <x:v>0</x:v>
      </x:c>
      <x:c r="G20" t="n">
        <x:f>SUMIFS('Monthly Project Activity'!$J$2:$J$101,'Monthly Project Activity'!$A$2:$A$101,$A20,'Monthly Project Activity'!$E$2:$E$101,$B20,'Monthly Project Activity'!$F$2:$F$101,$C20,'Monthly Project Activity'!$D$2:$D$101,"Brands")</x:f>
        <x:v>0</x:v>
      </x:c>
      <x:c r="H20" t="n">
        <x:f>SUMIFS('Monthly Project Activity'!$K$2:$K$101,'Monthly Project Activity'!$A$2:$A$101,$A20,'Monthly Project Activity'!$E$2:$E$101,$B20,'Monthly Project Activity'!$F$2:$F$101,$C20,'Monthly Project Activity'!$D$2:$D$101,"Brands")</x:f>
        <x:v>0</x:v>
      </x:c>
    </x:row>
    <x:row r="21">
      <x:c r="A21" t="str">
        <x:v>2026-10</x:v>
      </x:c>
      <x:c r="B21" t="str">
        <x:v>Chicago Pneumatic</x:v>
      </x:c>
      <x:c r="C21" t="str">
        <x:v>US</x:v>
      </x:c>
      <x:c r="D21" t="n">
        <x:f>SUMIFS('Monthly Project Activity'!$G$2:$G$101,'Monthly Project Activity'!$A$2:$A$101,$A21,'Monthly Project Activity'!$E$2:$E$101,$B21,'Monthly Project Activity'!$F$2:$F$101,$C21,'Monthly Project Activity'!$D$2:$D$101,"Brands")</x:f>
        <x:v>0</x:v>
      </x:c>
      <x:c r="E21" t="n">
        <x:f>SUMIFS('Monthly Project Activity'!$H$2:$H$101,'Monthly Project Activity'!$A$2:$A$101,$A21,'Monthly Project Activity'!$E$2:$E$101,$B21,'Monthly Project Activity'!$F$2:$F$101,$C21,'Monthly Project Activity'!$D$2:$D$101,"Brands")</x:f>
        <x:v>0</x:v>
      </x:c>
      <x:c r="F21" t="n">
        <x:f>SUMIFS('Monthly Project Activity'!$I$2:$I$101,'Monthly Project Activity'!$A$2:$A$101,$A21,'Monthly Project Activity'!$E$2:$E$101,$B21,'Monthly Project Activity'!$F$2:$F$101,$C21,'Monthly Project Activity'!$D$2:$D$101,"Brands")</x:f>
        <x:v>0</x:v>
      </x:c>
      <x:c r="G21" t="n">
        <x:f>SUMIFS('Monthly Project Activity'!$J$2:$J$101,'Monthly Project Activity'!$A$2:$A$101,$A21,'Monthly Project Activity'!$E$2:$E$101,$B21,'Monthly Project Activity'!$F$2:$F$101,$C21,'Monthly Project Activity'!$D$2:$D$101,"Brands")</x:f>
        <x:v>0</x:v>
      </x:c>
      <x:c r="H21" t="n">
        <x:f>SUMIFS('Monthly Project Activity'!$K$2:$K$101,'Monthly Project Activity'!$A$2:$A$101,$A21,'Monthly Project Activity'!$E$2:$E$101,$B21,'Monthly Project Activity'!$F$2:$F$101,$C21,'Monthly Project Activity'!$D$2:$D$101,"Brands")</x:f>
        <x:v>0</x:v>
      </x:c>
    </x:row>
    <x:row r="22">
      <x:c r="A22" t="str">
        <x:v>2026-10</x:v>
      </x:c>
      <x:c r="B22" t="str">
        <x:v>Ohtake</x:v>
      </x:c>
      <x:c r="C22" t="str">
        <x:v>MX</x:v>
      </x:c>
      <x:c r="D22" t="n">
        <x:f>SUMIFS('Monthly Project Activity'!$G$2:$G$101,'Monthly Project Activity'!$A$2:$A$101,$A22,'Monthly Project Activity'!$E$2:$E$101,$B22,'Monthly Project Activity'!$F$2:$F$101,$C22,'Monthly Project Activity'!$D$2:$D$101,"Brands")</x:f>
        <x:v>0</x:v>
      </x:c>
      <x:c r="E22" t="n">
        <x:f>SUMIFS('Monthly Project Activity'!$H$2:$H$101,'Monthly Project Activity'!$A$2:$A$101,$A22,'Monthly Project Activity'!$E$2:$E$101,$B22,'Monthly Project Activity'!$F$2:$F$101,$C22,'Monthly Project Activity'!$D$2:$D$101,"Brands")</x:f>
        <x:v>0</x:v>
      </x:c>
      <x:c r="F22" t="n">
        <x:f>SUMIFS('Monthly Project Activity'!$I$2:$I$101,'Monthly Project Activity'!$A$2:$A$101,$A22,'Monthly Project Activity'!$E$2:$E$101,$B22,'Monthly Project Activity'!$F$2:$F$101,$C22,'Monthly Project Activity'!$D$2:$D$101,"Brands")</x:f>
        <x:v>0</x:v>
      </x:c>
      <x:c r="G22" t="n">
        <x:f>SUMIFS('Monthly Project Activity'!$J$2:$J$101,'Monthly Project Activity'!$A$2:$A$101,$A22,'Monthly Project Activity'!$E$2:$E$101,$B22,'Monthly Project Activity'!$F$2:$F$101,$C22,'Monthly Project Activity'!$D$2:$D$101,"Brands")</x:f>
        <x:v>0</x:v>
      </x:c>
      <x:c r="H22" t="n">
        <x:f>SUMIFS('Monthly Project Activity'!$K$2:$K$101,'Monthly Project Activity'!$A$2:$A$101,$A22,'Monthly Project Activity'!$E$2:$E$101,$B22,'Monthly Project Activity'!$F$2:$F$101,$C22,'Monthly Project Activity'!$D$2:$D$101,"Brands")</x:f>
        <x:v>0</x:v>
      </x:c>
    </x:row>
    <x:row r="23">
      <x:c r="A23" t="str">
        <x:v>2026-10</x:v>
      </x:c>
      <x:c r="B23" t="str">
        <x:v>Ohtake</x:v>
      </x:c>
      <x:c r="C23" t="str">
        <x:v>US</x:v>
      </x:c>
      <x:c r="D23" t="n">
        <x:f>SUMIFS('Monthly Project Activity'!$G$2:$G$101,'Monthly Project Activity'!$A$2:$A$101,$A23,'Monthly Project Activity'!$E$2:$E$101,$B23,'Monthly Project Activity'!$F$2:$F$101,$C23,'Monthly Project Activity'!$D$2:$D$101,"Brands")</x:f>
        <x:v>0</x:v>
      </x:c>
      <x:c r="E23" t="n">
        <x:f>SUMIFS('Monthly Project Activity'!$H$2:$H$101,'Monthly Project Activity'!$A$2:$A$101,$A23,'Monthly Project Activity'!$E$2:$E$101,$B23,'Monthly Project Activity'!$F$2:$F$101,$C23,'Monthly Project Activity'!$D$2:$D$101,"Brands")</x:f>
        <x:v>0</x:v>
      </x:c>
      <x:c r="F23" t="n">
        <x:f>SUMIFS('Monthly Project Activity'!$I$2:$I$101,'Monthly Project Activity'!$A$2:$A$101,$A23,'Monthly Project Activity'!$E$2:$E$101,$B23,'Monthly Project Activity'!$F$2:$F$101,$C23,'Monthly Project Activity'!$D$2:$D$101,"Brands")</x:f>
        <x:v>0</x:v>
      </x:c>
      <x:c r="G23" t="n">
        <x:f>SUMIFS('Monthly Project Activity'!$J$2:$J$101,'Monthly Project Activity'!$A$2:$A$101,$A23,'Monthly Project Activity'!$E$2:$E$101,$B23,'Monthly Project Activity'!$F$2:$F$101,$C23,'Monthly Project Activity'!$D$2:$D$101,"Brands")</x:f>
        <x:v>0</x:v>
      </x:c>
      <x:c r="H23" t="n">
        <x:f>SUMIFS('Monthly Project Activity'!$K$2:$K$101,'Monthly Project Activity'!$A$2:$A$101,$A23,'Monthly Project Activity'!$E$2:$E$101,$B23,'Monthly Project Activity'!$F$2:$F$101,$C23,'Monthly Project Activity'!$D$2:$D$101,"Brands")</x:f>
        <x:v>0</x:v>
      </x:c>
    </x:row>
    <x:row r="24">
      <x:c r="A24" t="str">
        <x:v>2026-10</x:v>
      </x:c>
      <x:c r="B24" t="str">
        <x:v>Other / configurable</x:v>
      </x:c>
      <x:c r="C24" t="str">
        <x:v>MX</x:v>
      </x:c>
      <x:c r="D24" t="n">
        <x:f>SUMIFS('Monthly Project Activity'!$G$2:$G$101,'Monthly Project Activity'!$A$2:$A$101,$A24,'Monthly Project Activity'!$E$2:$E$101,$B24,'Monthly Project Activity'!$F$2:$F$101,$C24,'Monthly Project Activity'!$D$2:$D$101,"Brands")</x:f>
        <x:v>0</x:v>
      </x:c>
      <x:c r="E24" t="n">
        <x:f>SUMIFS('Monthly Project Activity'!$H$2:$H$101,'Monthly Project Activity'!$A$2:$A$101,$A24,'Monthly Project Activity'!$E$2:$E$101,$B24,'Monthly Project Activity'!$F$2:$F$101,$C24,'Monthly Project Activity'!$D$2:$D$101,"Brands")</x:f>
        <x:v>0</x:v>
      </x:c>
      <x:c r="F24" t="n">
        <x:f>SUMIFS('Monthly Project Activity'!$I$2:$I$101,'Monthly Project Activity'!$A$2:$A$101,$A24,'Monthly Project Activity'!$E$2:$E$101,$B24,'Monthly Project Activity'!$F$2:$F$101,$C24,'Monthly Project Activity'!$D$2:$D$101,"Brands")</x:f>
        <x:v>0</x:v>
      </x:c>
      <x:c r="G24" t="n">
        <x:f>SUMIFS('Monthly Project Activity'!$J$2:$J$101,'Monthly Project Activity'!$A$2:$A$101,$A24,'Monthly Project Activity'!$E$2:$E$101,$B24,'Monthly Project Activity'!$F$2:$F$101,$C24,'Monthly Project Activity'!$D$2:$D$101,"Brands")</x:f>
        <x:v>0</x:v>
      </x:c>
      <x:c r="H24" t="n">
        <x:f>SUMIFS('Monthly Project Activity'!$K$2:$K$101,'Monthly Project Activity'!$A$2:$A$101,$A24,'Monthly Project Activity'!$E$2:$E$101,$B24,'Monthly Project Activity'!$F$2:$F$101,$C24,'Monthly Project Activity'!$D$2:$D$101,"Brands")</x:f>
        <x:v>0</x:v>
      </x:c>
    </x:row>
    <x:row r="25">
      <x:c r="A25" t="str">
        <x:v>2026-10</x:v>
      </x:c>
      <x:c r="B25" t="str">
        <x:v>Other / configurable</x:v>
      </x:c>
      <x:c r="C25" t="str">
        <x:v>US</x:v>
      </x:c>
      <x:c r="D25" t="n">
        <x:f>SUMIFS('Monthly Project Activity'!$G$2:$G$101,'Monthly Project Activity'!$A$2:$A$101,$A25,'Monthly Project Activity'!$E$2:$E$101,$B25,'Monthly Project Activity'!$F$2:$F$101,$C25,'Monthly Project Activity'!$D$2:$D$101,"Brands")</x:f>
        <x:v>0</x:v>
      </x:c>
      <x:c r="E25" t="n">
        <x:f>SUMIFS('Monthly Project Activity'!$H$2:$H$101,'Monthly Project Activity'!$A$2:$A$101,$A25,'Monthly Project Activity'!$E$2:$E$101,$B25,'Monthly Project Activity'!$F$2:$F$101,$C25,'Monthly Project Activity'!$D$2:$D$101,"Brands")</x:f>
        <x:v>0</x:v>
      </x:c>
      <x:c r="F25" t="n">
        <x:f>SUMIFS('Monthly Project Activity'!$I$2:$I$101,'Monthly Project Activity'!$A$2:$A$101,$A25,'Monthly Project Activity'!$E$2:$E$101,$B25,'Monthly Project Activity'!$F$2:$F$101,$C25,'Monthly Project Activity'!$D$2:$D$101,"Brands")</x:f>
        <x:v>0</x:v>
      </x:c>
      <x:c r="G25" t="n">
        <x:f>SUMIFS('Monthly Project Activity'!$J$2:$J$101,'Monthly Project Activity'!$A$2:$A$101,$A25,'Monthly Project Activity'!$E$2:$E$101,$B25,'Monthly Project Activity'!$F$2:$F$101,$C25,'Monthly Project Activity'!$D$2:$D$101,"Brands")</x:f>
        <x:v>0</x:v>
      </x:c>
      <x:c r="H25" t="n">
        <x:f>SUMIFS('Monthly Project Activity'!$K$2:$K$101,'Monthly Project Activity'!$A$2:$A$101,$A25,'Monthly Project Activity'!$E$2:$E$101,$B25,'Monthly Project Activity'!$F$2:$F$101,$C25,'Monthly Project Activity'!$D$2:$D$101,"Brands")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2" hidden="0" customWidth="1"/>
  </x:cols>
  <x:sheetData>
    <x:row r="1" ht="42" customHeight="1">
      <x:c r="A1" s="13" t="str">
        <x:v>Quotation ref</x:v>
      </x:c>
      <x:c r="B1" s="13" t="str">
        <x:v>Customer</x:v>
      </x:c>
      <x:c r="C1" s="13" t="str">
        <x:v>Business Unit</x:v>
      </x:c>
      <x:c r="D1" s="13" t="str">
        <x:v>Brand</x:v>
      </x:c>
      <x:c r="E1" s="13" t="str">
        <x:v>Proposed Selling Entity</x:v>
      </x:c>
      <x:c r="F1" s="13" t="str">
        <x:v>Currency</x:v>
      </x:c>
      <x:c r="G1" s="13" t="str">
        <x:v>Quoted amount original</x:v>
      </x:c>
      <x:c r="H1" s="13" t="str">
        <x:v>Customer PO ref</x:v>
      </x:c>
      <x:c r="I1" s="13" t="str">
        <x:v>ERP Project ID after award</x:v>
      </x:c>
      <x:c r="J1" s="13" t="str">
        <x:v>Quote / PO exception</x:v>
      </x:c>
    </x:row>
    <x:row r="2">
      <x:c r="A2" t="str">
        <x:v>Q-DEM-001</x:v>
      </x:c>
      <x:c r="B2" t="str">
        <x:v>Customer B</x:v>
      </x:c>
      <x:c r="C2" t="str">
        <x:v>Brands</x:v>
      </x:c>
      <x:c r="D2" t="str">
        <x:v>Desoutter</x:v>
      </x:c>
      <x:c r="E2" t="str">
        <x:v>MX</x:v>
      </x:c>
      <x:c r="F2" t="str">
        <x:v>MXN</x:v>
      </x:c>
      <x:c r="G2" t="n">
        <x:v>820000</x:v>
      </x:c>
      <x:c r="H2" t="str">
        <x:v>CPO-DEM-002</x:v>
      </x:c>
      <x:c r="I2" t="str">
        <x:v>100246</x:v>
      </x:c>
      <x:c r="J2" t="str">
        <x:v>Simulated; one brand per quotation</x:v>
      </x:c>
    </x:row>
    <x:row r="3">
      <x:c r="A3" t="str">
        <x:v>Q-DEM-002</x:v>
      </x:c>
      <x:c r="B3" t="str">
        <x:v>Customer C</x:v>
      </x:c>
      <x:c r="C3" t="str">
        <x:v>Brands</x:v>
      </x:c>
      <x:c r="D3" t="str">
        <x:v>Datalogic</x:v>
      </x:c>
      <x:c r="E3" t="str">
        <x:v>US</x:v>
      </x:c>
      <x:c r="F3" t="str">
        <x:v>USD</x:v>
      </x:c>
      <x:c r="G3" t="n">
        <x:v>34000</x:v>
      </x:c>
      <x:c r="H3" t="str">
        <x:v>CPO-DEM-003</x:v>
      </x:c>
      <x:c r="I3" t="str">
        <x:v>100247</x:v>
      </x:c>
      <x:c r="J3" t="str">
        <x:v>Simulated; one brand per quotation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6" hidden="0" customWidth="1"/>
  </x:cols>
  <x:sheetData>
    <x:row r="1" ht="42" customHeight="1">
      <x:c r="A1" s="13" t="str">
        <x:v>ID</x:v>
      </x:c>
      <x:c r="B1" s="13" t="str">
        <x:v>Rule / clarification</x:v>
      </x:c>
      <x:c r="C1" s="13" t="str">
        <x:v>Decision</x:v>
      </x:c>
    </x:row>
    <x:row r="2">
      <x:c r="A2" t="str">
        <x:v>SCOPE</x:v>
      </x:c>
      <x:c r="B2" t="str">
        <x:v>Internal commercial/operational project profitability management; not accounting or statutory statements.</x:v>
      </x:c>
      <x:c r="C2" t="str">
        <x:v>APPROVED</x:v>
      </x:c>
    </x:row>
    <x:row r="3">
      <x:c r="A3" t="str">
        <x:v>BU</x:v>
      </x:c>
      <x:c r="B3" t="str">
        <x:v>Business Units: Strategic Services, Brands; Automation and Machining recognized but out of scope.</x:v>
      </x:c>
      <x:c r="C3" t="str">
        <x:v>APPROVED</x:v>
      </x:c>
    </x:row>
    <x:row r="4">
      <x:c r="A4" t="str">
        <x:v>BRAND</x:v>
      </x:c>
      <x:c r="B4" t="str">
        <x:v>One brand per quotation; customer consolidated PO may reference several quotes/projects without duplicating order intake.</x:v>
      </x:c>
      <x:c r="C4" t="str">
        <x:v>APPROVED</x:v>
      </x:c>
    </x:row>
    <x:row r="5">
      <x:c r="A5" t="str">
        <x:v>ENTITY</x:v>
      </x:c>
      <x:c r="B5" t="str">
        <x:v>Selling Entity MX/US independent of Business Unit and Brand; monthly reporting by both dimensions.</x:v>
      </x:c>
      <x:c r="C5" t="str">
        <x:v>APPROVED</x:v>
      </x:c>
    </x:row>
    <x:row r="6">
      <x:c r="A6" t="str">
        <x:v>INTERCO</x:v>
      </x:c>
      <x:c r="B6" t="str">
        <x:v>For MX sale sourced via USA, USA is supplier to MX; use MX ERP purchase/cost for MX project, never double-count USA external purchase.</x:v>
      </x:c>
      <x:c r="C6" t="str">
        <x:v>APPROVED</x:v>
      </x:c>
    </x:row>
    <x:row r="7">
      <x:c r="A7" t="str">
        <x:v>MONTHLY</x:v>
      </x:c>
      <x:c r="B7" t="str">
        <x:v>ERP-derived monthly project activity preserved historically; weekly latest snapshot must not overwrite monthly close.</x:v>
      </x:c>
      <x:c r="C7" t="str">
        <x:v>APPROVED</x:v>
      </x:c>
    </x:row>
    <x:row r="8">
      <x:c r="A8" t="str">
        <x:v>PO INTAKE</x:v>
      </x:c>
      <x:c r="B8" t="str">
        <x:v>Count newly authorized customer PO value and approved incremental revisions in effective month, once only.</x:v>
      </x:c>
      <x:c r="C8" t="str">
        <x:v>PROPOSED / TEST</x:v>
      </x:c>
    </x:row>
    <x:row r="9">
      <x:c r="A9" t="str">
        <x:v>INVESTMENT</x:v>
      </x:c>
      <x:c r="B9" t="str">
        <x:v>Investment 1 paid is period flow; Investment 2 pending is end-of-month balance; never sum monthly outstanding balances.</x:v>
      </x:c>
      <x:c r="C9" t="str">
        <x:v>APPROVED</x:v>
      </x:c>
    </x:row>
    <x:row r="10">
      <x:c r="A10" t="str">
        <x:v>PROFIT</x:v>
      </x:c>
      <x:c r="B10" t="str">
        <x:v>Invoice minus monthly recognized cost is a timing-sensitive operational gap, not final project profit or accounting net income.</x:v>
      </x:c>
      <x:c r="C10" t="str">
        <x:v>APPROVED</x:v>
      </x:c>
    </x:row>
    <x:row r="11">
      <x:c r="A11" t="str">
        <x:v>FX</x:v>
      </x:c>
      <x:c r="B11" t="str">
        <x:v>USD reporting; demo values normalized. Official conversion basis from ERP/Finance remains to be confirmed.</x:v>
      </x:c>
      <x:c r="C11" t="str">
        <x:v>OPEN PL-001</x:v>
      </x:c>
    </x:row>
    <x:row r="12">
      <x:c r="A12" t="str">
        <x:v>ERP MAPPING</x:v>
      </x:c>
      <x:c r="B12" t="str">
        <x:v>Sample monthly ledger is fictional; requires actual ERP export field mapping and reconciliation.</x:v>
      </x:c>
      <x:c r="C12" t="str">
        <x:v>OPEN</x:v>
      </x:c>
    </x:row>
    <x:row r="13">
      <x:c r="A13" t="str">
        <x:v>PROJECT ID</x:v>
      </x:c>
      <x:c r="B13" t="str">
        <x:v>ERP generates official consecutive project identifier, Excel never assigns it.</x:v>
      </x:c>
      <x:c r="C13" t="str">
        <x:v>APPROVED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3" hidden="0" customWidth="1"/>
    <x:col min="3" max="3" width="91" hidden="0" customWidth="1"/>
  </x:cols>
  <x:sheetData>
    <x:row r="1" ht="38" customHeight="1">
      <x:c r="A1" s="17" t="str">
        <x:v>BUD v0.7 | MANAGEMENT REPORT</x:v>
      </x:c>
      <x:c r="B1" s="17" t="str">
        <x:v>VALUE / PERIOD</x:v>
      </x:c>
      <x:c r="C1" s="17" t="str">
        <x:v>BUSINESS INTERPRETATION</x:v>
      </x:c>
    </x:row>
    <x:row r="2">
      <x:c r="A2" t="str">
        <x:v>Reporting month</x:v>
      </x:c>
      <x:c r="B2" t="str">
        <x:v>2026-10</x:v>
      </x:c>
      <x:c r="C2" t="str">
        <x:v>Change B2 to YYYY-MM; source is Monthly Project Activity (simulated)</x:v>
      </x:c>
    </x:row>
    <x:row r="4">
      <x:c r="A4" s="15" t="str">
        <x:v>MONTHLY COMMERCIAL PERFORMANCE</x:v>
      </x:c>
      <x:c r="B4" s="15" t="str">
        <x:v>USD</x:v>
      </x:c>
      <x:c r="C4" s="15" t="str">
        <x:v>Reporting by invoice entity; not statutory revenue</x:v>
      </x:c>
    </x:row>
    <x:row r="5">
      <x:c r="A5" t="str">
        <x:v>Customer PO intake</x:v>
      </x:c>
      <x:c r="B5" s="18" t="n">
        <x:f>SUMIF('Monthly Project Activity'!$A$2:$A$101,$B$2,'Monthly Project Activity'!$G$2:$G$101)</x:f>
        <x:v>24000</x:v>
      </x:c>
      <x:c r="C5" t="str">
        <x:v>Authorized new POs and net approved revisions received this month</x:v>
      </x:c>
    </x:row>
    <x:row r="6">
      <x:c r="A6" t="str">
        <x:v>Invoiced this month</x:v>
      </x:c>
      <x:c r="B6" s="18" t="n">
        <x:f>SUMIF('Monthly Project Activity'!$A$2:$A$101,$B$2,'Monthly Project Activity'!$H$2:$H$101)</x:f>
        <x:v>34500</x:v>
      </x:c>
      <x:c r="C6" t="str">
        <x:v>Invoices issued in the selected month</x:v>
      </x:c>
    </x:row>
    <x:row r="7">
      <x:c r="A7" t="str">
        <x:v>Investment 1 — paid this month</x:v>
      </x:c>
      <x:c r="B7" s="18" t="n">
        <x:f>SUMIF('Monthly Project Activity'!$A$2:$A$101,$B$2,'Monthly Project Activity'!$I$2:$I$101)</x:f>
        <x:v>43000</x:v>
      </x:c>
      <x:c r="C7" t="str">
        <x:v>Cash disbursement flow; do not add to ERP recognized costs</x:v>
      </x:c>
    </x:row>
    <x:row r="8">
      <x:c r="A8" t="str">
        <x:v>Investment 2 — open at month end</x:v>
      </x:c>
      <x:c r="B8" s="18" t="n">
        <x:f>SUMIF('Monthly Project Activity'!$A$2:$A$101,$B$2,'Monthly Project Activity'!$J$2:$J$101)</x:f>
        <x:v>20000</x:v>
      </x:c>
      <x:c r="C8" t="str">
        <x:v>End-of-month outstanding balance; not a monthly additive flow</x:v>
      </x:c>
    </x:row>
    <x:row r="9">
      <x:c r="A9" t="str">
        <x:v>ERP recognized cost this month</x:v>
      </x:c>
      <x:c r="B9" s="18" t="n">
        <x:f>SUMIF('Monthly Project Activity'!$A$2:$A$101,$B$2,'Monthly Project Activity'!$K$2:$K$101)</x:f>
        <x:v>43000</x:v>
      </x:c>
      <x:c r="C9" t="str">
        <x:v>Accounting-sourced cost measure for operational monitoring</x:v>
      </x:c>
    </x:row>
    <x:row r="10">
      <x:c r="A10" t="str">
        <x:v>Invoice less recognized cost</x:v>
      </x:c>
      <x:c r="B10" s="18" t="n">
        <x:f>B6-B9</x:f>
        <x:v>-8500</x:v>
      </x:c>
      <x:c r="C10" t="str">
        <x:v>Timing-sensitive gap; NOT final project profit</x:v>
      </x:c>
    </x:row>
    <x:row r="11">
      <x:c r="A11" t="str">
        <x:v>Projects invoiced this month</x:v>
      </x:c>
      <x:c r="B11" t="n">
        <x:f>COUNTIFS('Monthly Project Activity'!$A$2:$A$101,$B$2,'Monthly Project Activity'!$H$2:$H$101,"&gt;0")</x:f>
        <x:v>3</x:v>
      </x:c>
      <x:c r="C11" t="str">
        <x:v>Unique Project IDs with invoicing &gt;0 in selected month</x:v>
      </x:c>
    </x:row>
    <x:row r="12">
      <x:c r="A12" t="str">
        <x:v>Projects with PO intake this month</x:v>
      </x:c>
      <x:c r="B12" t="n">
        <x:f>COUNTIFS('Monthly Project Activity'!$A$2:$A$101,$B$2,'Monthly Project Activity'!$G$2:$G$101,"&gt;0")</x:f>
        <x:v>1</x:v>
      </x:c>
      <x:c r="C12" t="str">
        <x:v>Unique Project IDs with new/adjusted authorized customer POs</x:v>
      </x:c>
    </x:row>
    <x:row r="14">
      <x:c r="A14" s="15" t="str">
        <x:v>MONTHLY INVOICE BY SELLING ENTITY</x:v>
      </x:c>
      <x:c r="B14" s="15" t="str">
        <x:v>USD</x:v>
      </x:c>
      <x:c r="C14" s="15" t="str">
        <x:v>MX and US must reconcile to total invoiced</x:v>
      </x:c>
    </x:row>
    <x:row r="15">
      <x:c r="A15" t="str">
        <x:v>Selling entity MX</x:v>
      </x:c>
      <x:c r="B15" s="18" t="n">
        <x:f>SUMIFS('Monthly Project Activity'!$H$2:$H$101,'Monthly Project Activity'!$A$2:$A$101,$B$2,'Monthly Project Activity'!$F$2:$F$101,"MX")</x:f>
        <x:v>30500</x:v>
      </x:c>
    </x:row>
    <x:row r="16">
      <x:c r="A16" t="str">
        <x:v>Selling entity US</x:v>
      </x:c>
      <x:c r="B16" s="18" t="n">
        <x:f>SUMIFS('Monthly Project Activity'!$H$2:$H$101,'Monthly Project Activity'!$A$2:$A$101,$B$2,'Monthly Project Activity'!$F$2:$F$101,"US")</x:f>
        <x:v>4000</x:v>
      </x:c>
    </x:row>
    <x:row r="17">
      <x:c r="A17" t="str">
        <x:v>Entity reconciliation</x:v>
      </x:c>
      <x:c r="B17" s="18" t="n">
        <x:f>B6-SUM(B15:B16)</x:f>
        <x:v>0</x:v>
      </x:c>
      <x:c r="C17" t="str">
        <x:v>Expected zero; flags missing or unknown selling entities</x:v>
      </x:c>
    </x:row>
    <x:row r="18">
      <x:c r="B18" s="18"/>
    </x:row>
    <x:row r="19">
      <x:c r="A19" s="15" t="str">
        <x:v>MONTHLY INVOICE BY BUSINESS UNIT</x:v>
      </x:c>
      <x:c r="B19" s="19" t="str">
        <x:v>USD</x:v>
      </x:c>
      <x:c r="C19" s="15" t="str">
        <x:v>Only the two business units in scope</x:v>
      </x:c>
    </x:row>
    <x:row r="20">
      <x:c r="A20" t="str">
        <x:v>Strategic Services</x:v>
      </x:c>
      <x:c r="B20" s="18" t="n">
        <x:f>SUMIFS('Monthly Project Activity'!$H$2:$H$101,'Monthly Project Activity'!$A$2:$A$101,$B$2,'Monthly Project Activity'!$D$2:$D$101,"Strategic Services")</x:f>
        <x:v>10000</x:v>
      </x:c>
    </x:row>
    <x:row r="21">
      <x:c r="A21" t="str">
        <x:v>Brands</x:v>
      </x:c>
      <x:c r="B21" s="18" t="n">
        <x:f>SUMIFS('Monthly Project Activity'!$H$2:$H$101,'Monthly Project Activity'!$A$2:$A$101,$B$2,'Monthly Project Activity'!$D$2:$D$101,"Brands")</x:f>
        <x:v>24500</x:v>
      </x:c>
    </x:row>
    <x:row r="22">
      <x:c r="A22" t="str">
        <x:v>BU reconciliation</x:v>
      </x:c>
      <x:c r="B22" s="18" t="n">
        <x:f>B6-SUM(B20:B21)</x:f>
        <x:v>0</x:v>
      </x:c>
      <x:c r="C22" t="str">
        <x:v>Expected zero; flags out-of-scope/unclassified entries</x:v>
      </x:c>
    </x:row>
    <x:row r="24">
      <x:c r="A24" s="15" t="str">
        <x:v>REPORTING CONSTRAINTS</x:v>
      </x:c>
      <x:c r="B24" s="15" t="str">
        <x:v>Status</x:v>
      </x:c>
      <x:c r="C24" s="15" t="str">
        <x:v>Meaning</x:v>
      </x:c>
    </x:row>
    <x:row r="25">
      <x:c r="A25" t="str">
        <x:v>ERP linkage</x:v>
      </x:c>
      <x:c r="B25" t="str">
        <x:v>NOT CONNECTED</x:v>
      </x:c>
      <x:c r="C25" t="str">
        <x:v>Workbook uses simulated project-month records, not an automated ERP feed</x:v>
      </x:c>
    </x:row>
    <x:row r="26">
      <x:c r="A26" t="str">
        <x:v>FX policy</x:v>
      </x:c>
      <x:c r="B26" t="str">
        <x:v>OPEN</x:v>
      </x:c>
      <x:c r="C26" t="str">
        <x:v>All demo monthly values assumed already normalized to USD</x:v>
      </x:c>
    </x:row>
    <x:row r="27">
      <x:c r="A27" t="str">
        <x:v>Monthly close</x:v>
      </x:c>
      <x:c r="B27" t="str">
        <x:v>PROTOTYPE</x:v>
      </x:c>
      <x:c r="C27" t="str">
        <x:v>Period records are not locked, approved, or reconciled to an actual ERP</x:v>
      </x:c>
    </x:row>
    <x:row r="28">
      <x:c r="A28" t="str">
        <x:v>Project profitability</x:v>
      </x:c>
      <x:c r="B28" t="str">
        <x:v>SEPARATE</x:v>
      </x:c>
      <x:c r="C28" t="str">
        <x:v>Use cumulative authorized sale and recognized project costs with open commitments; never treat monthly gap as final margin</x:v>
      </x:c>
    </x:row>
    <x:row r="29">
      <x:c r="A29" t="str">
        <x:v>Granularity</x:v>
      </x:c>
      <x:c r="B29" t="str">
        <x:v>ONE PROJECT / MONTH</x:v>
      </x:c>
      <x:c r="C29" t="str">
        <x:v>Monthly Project Activity requires one consolidated record per project-month; duplicate rows invalidate project counts and EOM balances</x:v>
      </x:c>
    </x:row>
  </x:sheetData>
  <x:dataValidations count="1">
    <x:dataValidation type="list" sqref="B2">
      <x:formula1>"2026-09,2026-10"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8" customHeight="1">
      <x:c r="A1" s="16" t="str">
        <x:v>Month YYYY-MM</x:v>
      </x:c>
      <x:c r="B1" s="16" t="str">
        <x:v>PO intake USD</x:v>
      </x:c>
      <x:c r="C1" s="16" t="str">
        <x:v>Invoiced USD</x:v>
      </x:c>
      <x:c r="D1" s="16" t="str">
        <x:v>Investment 1 paid USD</x:v>
      </x:c>
      <x:c r="E1" s="16" t="str">
        <x:v>Investment 2 open EOM USD</x:v>
      </x:c>
      <x:c r="F1" s="16" t="str">
        <x:v>ERP recognized cost USD</x:v>
      </x:c>
      <x:c r="G1" s="16" t="str">
        <x:v>Monthly invoice-cost gap USD</x:v>
      </x:c>
      <x:c r="H1" s="16" t="str">
        <x:v>MX invoiced USD</x:v>
      </x:c>
      <x:c r="I1" s="16" t="str">
        <x:v>US invoiced USD</x:v>
      </x:c>
      <x:c r="J1" s="16" t="str">
        <x:v>Reconciliation USD</x:v>
      </x:c>
    </x:row>
    <x:row r="2">
      <x:c r="A2" t="str">
        <x:v>2026-09</x:v>
      </x:c>
      <x:c r="B2" s="18" t="n">
        <x:f>SUMIF('Monthly Project Activity'!$A$2:$A$101,$A2,'Monthly Project Activity'!$G$2:$G$101)</x:f>
        <x:v>125000</x:v>
      </x:c>
      <x:c r="C2" s="18" t="n">
        <x:f>SUMIF('Monthly Project Activity'!$A$2:$A$101,$A2,'Monthly Project Activity'!$H$2:$H$101)</x:f>
        <x:v>46500</x:v>
      </x:c>
      <x:c r="D2" s="18" t="n">
        <x:f>SUMIF('Monthly Project Activity'!$A$2:$A$101,$A2,'Monthly Project Activity'!$I$2:$I$101)</x:f>
        <x:v>36000</x:v>
      </x:c>
      <x:c r="E2" s="18" t="n">
        <x:f>SUMIF('Monthly Project Activity'!$A$2:$A$101,$A2,'Monthly Project Activity'!$J$2:$J$101)</x:f>
        <x:v>23000</x:v>
      </x:c>
      <x:c r="F2" s="18" t="n">
        <x:f>SUMIF('Monthly Project Activity'!$A$2:$A$101,$A2,'Monthly Project Activity'!$K$2:$K$101)</x:f>
        <x:v>43000</x:v>
      </x:c>
      <x:c r="G2" s="18" t="n">
        <x:f>C2-F2</x:f>
        <x:v>3500</x:v>
      </x:c>
      <x:c r="H2" s="18" t="n">
        <x:f>SUMIFS('Monthly Project Activity'!$H$2:$H$101,'Monthly Project Activity'!$A$2:$A$101,$A2,'Monthly Project Activity'!$F$2:$F$101,"MX")</x:f>
        <x:v>38500</x:v>
      </x:c>
      <x:c r="I2" s="18" t="n">
        <x:f>SUMIFS('Monthly Project Activity'!$H$2:$H$101,'Monthly Project Activity'!$A$2:$A$101,$A2,'Monthly Project Activity'!$F$2:$F$101,"US")</x:f>
        <x:v>8000</x:v>
      </x:c>
      <x:c r="J2" s="18" t="n">
        <x:f>C2-H2-I2</x:f>
        <x:v>0</x:v>
      </x:c>
    </x:row>
    <x:row r="3">
      <x:c r="A3" t="str">
        <x:v>2026-10</x:v>
      </x:c>
      <x:c r="B3" s="18" t="n">
        <x:f>SUMIF('Monthly Project Activity'!$A$2:$A$101,$A3,'Monthly Project Activity'!$G$2:$G$101)</x:f>
        <x:v>24000</x:v>
      </x:c>
      <x:c r="C3" s="18" t="n">
        <x:f>SUMIF('Monthly Project Activity'!$A$2:$A$101,$A3,'Monthly Project Activity'!$H$2:$H$101)</x:f>
        <x:v>34500</x:v>
      </x:c>
      <x:c r="D3" s="18" t="n">
        <x:f>SUMIF('Monthly Project Activity'!$A$2:$A$101,$A3,'Monthly Project Activity'!$I$2:$I$101)</x:f>
        <x:v>43000</x:v>
      </x:c>
      <x:c r="E3" s="18" t="n">
        <x:f>SUMIF('Monthly Project Activity'!$A$2:$A$101,$A3,'Monthly Project Activity'!$J$2:$J$101)</x:f>
        <x:v>20000</x:v>
      </x:c>
      <x:c r="F3" s="18" t="n">
        <x:f>SUMIF('Monthly Project Activity'!$A$2:$A$101,$A3,'Monthly Project Activity'!$K$2:$K$101)</x:f>
        <x:v>43000</x:v>
      </x:c>
      <x:c r="G3" s="18" t="n">
        <x:f>C3-F3</x:f>
        <x:v>-8500</x:v>
      </x:c>
      <x:c r="H3" s="18" t="n">
        <x:f>SUMIFS('Monthly Project Activity'!$H$2:$H$101,'Monthly Project Activity'!$A$2:$A$101,$A3,'Monthly Project Activity'!$F$2:$F$101,"MX")</x:f>
        <x:v>30500</x:v>
      </x:c>
      <x:c r="I3" s="18" t="n">
        <x:f>SUMIFS('Monthly Project Activity'!$H$2:$H$101,'Monthly Project Activity'!$A$2:$A$101,$A3,'Monthly Project Activity'!$F$2:$F$101,"US")</x:f>
        <x:v>4000</x:v>
      </x:c>
      <x:c r="J3" s="18" t="n">
        <x:f>C3-H3-I3</x:f>
        <x:v>0</x:v>
      </x:c>
    </x:row>
  </x:sheetData>
  <x:pageMargins left="0.7" right="0.7" top="0.75" bottom="0.75" header="0.3" footer="0.3"/>
  <x:drawing xmlns:r="http://schemas.openxmlformats.org/officeDocument/2006/relationships" r:id="R8469b14f10c64260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8" customHeight="1">
      <x:c r="A1" s="16" t="str">
        <x:v>Month YYYY-MM</x:v>
      </x:c>
      <x:c r="B1" s="16" t="str">
        <x:v>Business Unit</x:v>
      </x:c>
      <x:c r="C1" s="16" t="str">
        <x:v>MX invoiced USD</x:v>
      </x:c>
      <x:c r="D1" s="16" t="str">
        <x:v>US invoiced USD</x:v>
      </x:c>
      <x:c r="E1" s="16" t="str">
        <x:v>Total invoiced USD</x:v>
      </x:c>
      <x:c r="F1" s="16" t="str">
        <x:v>MX PO intake USD</x:v>
      </x:c>
      <x:c r="G1" s="16" t="str">
        <x:v>US PO intake USD</x:v>
      </x:c>
      <x:c r="H1" s="16" t="str">
        <x:v>Total PO intake USD</x:v>
      </x:c>
      <x:c r="I1" s="16" t="str">
        <x:v>MX investment 1 USD</x:v>
      </x:c>
      <x:c r="J1" s="16" t="str">
        <x:v>US investment 1 USD</x:v>
      </x:c>
      <x:c r="K1" s="16" t="str">
        <x:v>Total investment 1 USD</x:v>
      </x:c>
      <x:c r="L1" s="16" t="str">
        <x:v>MX investment 2 EOM USD</x:v>
      </x:c>
      <x:c r="M1" s="16" t="str">
        <x:v>US investment 2 EOM USD</x:v>
      </x:c>
      <x:c r="N1" s="16" t="str">
        <x:v>Total investment 2 EOM USD</x:v>
      </x:c>
    </x:row>
    <x:row r="2">
      <x:c r="A2" t="str">
        <x:v>2026-09</x:v>
      </x:c>
      <x:c r="B2" t="str">
        <x:v>Strategic Services</x:v>
      </x:c>
      <x:c r="C2" t="n">
        <x:f>SUMIFS('Monthly Project Activity'!$H$2:$H$101,'Monthly Project Activity'!$A$2:$A$101,$A2,'Monthly Project Activity'!$D$2:$D$101,$B2,'Monthly Project Activity'!$F$2:$F$101,"MX")</x:f>
        <x:v>18000</x:v>
      </x:c>
      <x:c r="D2" t="n">
        <x:f>SUMIFS('Monthly Project Activity'!$H$2:$H$101,'Monthly Project Activity'!$A$2:$A$101,$A2,'Monthly Project Activity'!$D$2:$D$101,$B2,'Monthly Project Activity'!$F$2:$F$101,"US")</x:f>
        <x:v>0</x:v>
      </x:c>
      <x:c r="E2" t="n">
        <x:f>C2+D2</x:f>
        <x:v>18000</x:v>
      </x:c>
      <x:c r="F2" t="n">
        <x:f>SUMIFS('Monthly Project Activity'!$G$2:$G$101,'Monthly Project Activity'!$A$2:$A$101,$A2,'Monthly Project Activity'!$D$2:$D$101,$B2,'Monthly Project Activity'!$F$2:$F$101,"MX")</x:f>
        <x:v>50000</x:v>
      </x:c>
      <x:c r="G2" t="n">
        <x:f>SUMIFS('Monthly Project Activity'!$G$2:$G$101,'Monthly Project Activity'!$A$2:$A$101,$A2,'Monthly Project Activity'!$D$2:$D$101,$B2,'Monthly Project Activity'!$F$2:$F$101,"US")</x:f>
        <x:v>0</x:v>
      </x:c>
      <x:c r="H2" t="n">
        <x:f>F2+G2</x:f>
        <x:v>50000</x:v>
      </x:c>
      <x:c r="I2" t="n">
        <x:f>SUMIFS('Monthly Project Activity'!$I$2:$I$101,'Monthly Project Activity'!$A$2:$A$101,$A2,'Monthly Project Activity'!$D$2:$D$101,$B2,'Monthly Project Activity'!$F$2:$F$101,"MX")</x:f>
        <x:v>14000</x:v>
      </x:c>
      <x:c r="J2" t="n">
        <x:f>SUMIFS('Monthly Project Activity'!$I$2:$I$101,'Monthly Project Activity'!$A$2:$A$101,$A2,'Monthly Project Activity'!$D$2:$D$101,$B2,'Monthly Project Activity'!$F$2:$F$101,"US")</x:f>
        <x:v>0</x:v>
      </x:c>
      <x:c r="K2" t="n">
        <x:f>I2+J2</x:f>
        <x:v>14000</x:v>
      </x:c>
      <x:c r="L2" t="n">
        <x:f>SUMIFS('Monthly Project Activity'!$J$2:$J$101,'Monthly Project Activity'!$A$2:$A$101,$A2,'Monthly Project Activity'!$D$2:$D$101,$B2,'Monthly Project Activity'!$F$2:$F$101,"MX")</x:f>
        <x:v>10000</x:v>
      </x:c>
      <x:c r="M2" t="n">
        <x:f>SUMIFS('Monthly Project Activity'!$J$2:$J$101,'Monthly Project Activity'!$A$2:$A$101,$A2,'Monthly Project Activity'!$D$2:$D$101,$B2,'Monthly Project Activity'!$F$2:$F$101,"US")</x:f>
        <x:v>0</x:v>
      </x:c>
      <x:c r="N2" t="n">
        <x:f>L2+M2</x:f>
        <x:v>10000</x:v>
      </x:c>
    </x:row>
    <x:row r="3">
      <x:c r="A3" t="str">
        <x:v>2026-09</x:v>
      </x:c>
      <x:c r="B3" t="str">
        <x:v>Brands</x:v>
      </x:c>
      <x:c r="C3" t="n">
        <x:f>SUMIFS('Monthly Project Activity'!$H$2:$H$101,'Monthly Project Activity'!$A$2:$A$101,$A3,'Monthly Project Activity'!$D$2:$D$101,$B3,'Monthly Project Activity'!$F$2:$F$101,"MX")</x:f>
        <x:v>20500</x:v>
      </x:c>
      <x:c r="D3" t="n">
        <x:f>SUMIFS('Monthly Project Activity'!$H$2:$H$101,'Monthly Project Activity'!$A$2:$A$101,$A3,'Monthly Project Activity'!$D$2:$D$101,$B3,'Monthly Project Activity'!$F$2:$F$101,"US")</x:f>
        <x:v>8000</x:v>
      </x:c>
      <x:c r="E3" t="n">
        <x:f>C3+D3</x:f>
        <x:v>28500</x:v>
      </x:c>
      <x:c r="F3" t="n">
        <x:f>SUMIFS('Monthly Project Activity'!$G$2:$G$101,'Monthly Project Activity'!$A$2:$A$101,$A3,'Monthly Project Activity'!$D$2:$D$101,$B3,'Monthly Project Activity'!$F$2:$F$101,"MX")</x:f>
        <x:v>41000</x:v>
      </x:c>
      <x:c r="G3" t="n">
        <x:f>SUMIFS('Monthly Project Activity'!$G$2:$G$101,'Monthly Project Activity'!$A$2:$A$101,$A3,'Monthly Project Activity'!$D$2:$D$101,$B3,'Monthly Project Activity'!$F$2:$F$101,"US")</x:f>
        <x:v>34000</x:v>
      </x:c>
      <x:c r="H3" t="n">
        <x:f>F3+G3</x:f>
        <x:v>75000</x:v>
      </x:c>
      <x:c r="I3" t="n">
        <x:f>SUMIFS('Monthly Project Activity'!$I$2:$I$101,'Monthly Project Activity'!$A$2:$A$101,$A3,'Monthly Project Activity'!$D$2:$D$101,$B3,'Monthly Project Activity'!$F$2:$F$101,"MX")</x:f>
        <x:v>16000</x:v>
      </x:c>
      <x:c r="J3" t="n">
        <x:f>SUMIFS('Monthly Project Activity'!$I$2:$I$101,'Monthly Project Activity'!$A$2:$A$101,$A3,'Monthly Project Activity'!$D$2:$D$101,$B3,'Monthly Project Activity'!$F$2:$F$101,"US")</x:f>
        <x:v>6000</x:v>
      </x:c>
      <x:c r="K3" t="n">
        <x:f>I3+J3</x:f>
        <x:v>22000</x:v>
      </x:c>
      <x:c r="L3" t="n">
        <x:f>SUMIFS('Monthly Project Activity'!$J$2:$J$101,'Monthly Project Activity'!$A$2:$A$101,$A3,'Monthly Project Activity'!$D$2:$D$101,$B3,'Monthly Project Activity'!$F$2:$F$101,"MX")</x:f>
        <x:v>4000</x:v>
      </x:c>
      <x:c r="M3" t="n">
        <x:f>SUMIFS('Monthly Project Activity'!$J$2:$J$101,'Monthly Project Activity'!$A$2:$A$101,$A3,'Monthly Project Activity'!$D$2:$D$101,$B3,'Monthly Project Activity'!$F$2:$F$101,"US")</x:f>
        <x:v>9000</x:v>
      </x:c>
      <x:c r="N3" t="n">
        <x:f>L3+M3</x:f>
        <x:v>13000</x:v>
      </x:c>
    </x:row>
    <x:row r="4">
      <x:c r="A4" t="str">
        <x:v>2026-10</x:v>
      </x:c>
      <x:c r="B4" t="str">
        <x:v>Strategic Services</x:v>
      </x:c>
      <x:c r="C4" t="n">
        <x:f>SUMIFS('Monthly Project Activity'!$H$2:$H$101,'Monthly Project Activity'!$A$2:$A$101,$A4,'Monthly Project Activity'!$D$2:$D$101,$B4,'Monthly Project Activity'!$F$2:$F$101,"MX")</x:f>
        <x:v>10000</x:v>
      </x:c>
      <x:c r="D4" t="n">
        <x:f>SUMIFS('Monthly Project Activity'!$H$2:$H$101,'Monthly Project Activity'!$A$2:$A$101,$A4,'Monthly Project Activity'!$D$2:$D$101,$B4,'Monthly Project Activity'!$F$2:$F$101,"US")</x:f>
        <x:v>0</x:v>
      </x:c>
      <x:c r="E4" t="n">
        <x:f>C4+D4</x:f>
        <x:v>10000</x:v>
      </x:c>
      <x:c r="F4" t="n">
        <x:f>SUMIFS('Monthly Project Activity'!$G$2:$G$101,'Monthly Project Activity'!$A$2:$A$101,$A4,'Monthly Project Activity'!$D$2:$D$101,$B4,'Monthly Project Activity'!$F$2:$F$101,"MX")</x:f>
        <x:v>24000</x:v>
      </x:c>
      <x:c r="G4" t="n">
        <x:f>SUMIFS('Monthly Project Activity'!$G$2:$G$101,'Monthly Project Activity'!$A$2:$A$101,$A4,'Monthly Project Activity'!$D$2:$D$101,$B4,'Monthly Project Activity'!$F$2:$F$101,"US")</x:f>
        <x:v>0</x:v>
      </x:c>
      <x:c r="H4" t="n">
        <x:f>F4+G4</x:f>
        <x:v>24000</x:v>
      </x:c>
      <x:c r="I4" t="n">
        <x:f>SUMIFS('Monthly Project Activity'!$I$2:$I$101,'Monthly Project Activity'!$A$2:$A$101,$A4,'Monthly Project Activity'!$D$2:$D$101,$B4,'Monthly Project Activity'!$F$2:$F$101,"MX")</x:f>
        <x:v>19000</x:v>
      </x:c>
      <x:c r="J4" t="n">
        <x:f>SUMIFS('Monthly Project Activity'!$I$2:$I$101,'Monthly Project Activity'!$A$2:$A$101,$A4,'Monthly Project Activity'!$D$2:$D$101,$B4,'Monthly Project Activity'!$F$2:$F$101,"US")</x:f>
        <x:v>0</x:v>
      </x:c>
      <x:c r="K4" t="n">
        <x:f>I4+J4</x:f>
        <x:v>19000</x:v>
      </x:c>
      <x:c r="L4" t="n">
        <x:f>SUMIFS('Monthly Project Activity'!$J$2:$J$101,'Monthly Project Activity'!$A$2:$A$101,$A4,'Monthly Project Activity'!$D$2:$D$101,$B4,'Monthly Project Activity'!$F$2:$F$101,"MX")</x:f>
        <x:v>11000</x:v>
      </x:c>
      <x:c r="M4" t="n">
        <x:f>SUMIFS('Monthly Project Activity'!$J$2:$J$101,'Monthly Project Activity'!$A$2:$A$101,$A4,'Monthly Project Activity'!$D$2:$D$101,$B4,'Monthly Project Activity'!$F$2:$F$101,"US")</x:f>
        <x:v>0</x:v>
      </x:c>
      <x:c r="N4" t="n">
        <x:f>L4+M4</x:f>
        <x:v>11000</x:v>
      </x:c>
    </x:row>
    <x:row r="5">
      <x:c r="A5" t="str">
        <x:v>2026-10</x:v>
      </x:c>
      <x:c r="B5" t="str">
        <x:v>Brands</x:v>
      </x:c>
      <x:c r="C5" t="n">
        <x:f>SUMIFS('Monthly Project Activity'!$H$2:$H$101,'Monthly Project Activity'!$A$2:$A$101,$A5,'Monthly Project Activity'!$D$2:$D$101,$B5,'Monthly Project Activity'!$F$2:$F$101,"MX")</x:f>
        <x:v>20500</x:v>
      </x:c>
      <x:c r="D5" t="n">
        <x:f>SUMIFS('Monthly Project Activity'!$H$2:$H$101,'Monthly Project Activity'!$A$2:$A$101,$A5,'Monthly Project Activity'!$D$2:$D$101,$B5,'Monthly Project Activity'!$F$2:$F$101,"US")</x:f>
        <x:v>4000</x:v>
      </x:c>
      <x:c r="E5" t="n">
        <x:f>C5+D5</x:f>
        <x:v>24500</x:v>
      </x:c>
      <x:c r="F5" t="n">
        <x:f>SUMIFS('Monthly Project Activity'!$G$2:$G$101,'Monthly Project Activity'!$A$2:$A$101,$A5,'Monthly Project Activity'!$D$2:$D$101,$B5,'Monthly Project Activity'!$F$2:$F$101,"MX")</x:f>
        <x:v>0</x:v>
      </x:c>
      <x:c r="G5" t="n">
        <x:f>SUMIFS('Monthly Project Activity'!$G$2:$G$101,'Monthly Project Activity'!$A$2:$A$101,$A5,'Monthly Project Activity'!$D$2:$D$101,$B5,'Monthly Project Activity'!$F$2:$F$101,"US")</x:f>
        <x:v>0</x:v>
      </x:c>
      <x:c r="H5" t="n">
        <x:f>F5+G5</x:f>
        <x:v>0</x:v>
      </x:c>
      <x:c r="I5" t="n">
        <x:f>SUMIFS('Monthly Project Activity'!$I$2:$I$101,'Monthly Project Activity'!$A$2:$A$101,$A5,'Monthly Project Activity'!$D$2:$D$101,$B5,'Monthly Project Activity'!$F$2:$F$101,"MX")</x:f>
        <x:v>14000</x:v>
      </x:c>
      <x:c r="J5" t="n">
        <x:f>SUMIFS('Monthly Project Activity'!$I$2:$I$101,'Monthly Project Activity'!$A$2:$A$101,$A5,'Monthly Project Activity'!$D$2:$D$101,$B5,'Monthly Project Activity'!$F$2:$F$101,"US")</x:f>
        <x:v>10000</x:v>
      </x:c>
      <x:c r="K5" t="n">
        <x:f>I5+J5</x:f>
        <x:v>24000</x:v>
      </x:c>
      <x:c r="L5" t="n">
        <x:f>SUMIFS('Monthly Project Activity'!$J$2:$J$101,'Monthly Project Activity'!$A$2:$A$101,$A5,'Monthly Project Activity'!$D$2:$D$101,$B5,'Monthly Project Activity'!$F$2:$F$101,"MX")</x:f>
        <x:v>2000</x:v>
      </x:c>
      <x:c r="M5" t="n">
        <x:f>SUMIFS('Monthly Project Activity'!$J$2:$J$101,'Monthly Project Activity'!$A$2:$A$101,$A5,'Monthly Project Activity'!$D$2:$D$101,$B5,'Monthly Project Activity'!$F$2:$F$101,"US")</x:f>
        <x:v>7000</x:v>
      </x:c>
      <x:c r="N5" t="n">
        <x:f>L5+M5</x:f>
        <x:v>9000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78" hidden="0" customWidth="1"/>
    <x:col min="3" max="3" width="83" hidden="0" customWidth="1"/>
  </x:cols>
  <x:sheetData>
    <x:row r="1" ht="38" customHeight="1">
      <x:c r="A1" s="16" t="str">
        <x:v>Area</x:v>
      </x:c>
      <x:c r="B1" s="16" t="str">
        <x:v>Definition</x:v>
      </x:c>
      <x:c r="C1" s="16" t="str">
        <x:v>Control / caveat</x:v>
      </x:c>
    </x:row>
    <x:row r="2">
      <x:c r="A2" t="str">
        <x:v>Management Report</x:v>
      </x:c>
      <x:c r="B2" t="str">
        <x:v>Selected month financial/commercial performance</x:v>
      </x:c>
      <x:c r="C2" t="str">
        <x:v>All figures simulated; USD normalization assumed</x:v>
      </x:c>
    </x:row>
    <x:row r="3">
      <x:c r="A3" t="str">
        <x:v>Monthly Trend</x:v>
      </x:c>
      <x:c r="B3" t="str">
        <x:v>Month-over-month movements; no monthly summing of Investment 2</x:v>
      </x:c>
      <x:c r="C3" t="str">
        <x:v>Investment 2 is a balance at each month end</x:v>
      </x:c>
    </x:row>
    <x:row r="4">
      <x:c r="A4" t="str">
        <x:v>BU Entity Matrix</x:v>
      </x:c>
      <x:c r="B4" t="str">
        <x:v>Cross-tab business unit and selling entity for PO intake, invoices and investment</x:v>
      </x:c>
      <x:c r="C4" t="str">
        <x:v>MX + US equals each business-unit total</x:v>
      </x:c>
    </x:row>
    <x:row r="5">
      <x:c r="A5" t="str">
        <x:v>Monthly Project Activity</x:v>
      </x:c>
      <x:c r="B5" t="str">
        <x:v>One row per ERP Project ID per month</x:v>
      </x:c>
      <x:c r="C5" t="str">
        <x:v>Do not duplicate records or count project IDs twice</x:v>
      </x:c>
    </x:row>
    <x:row r="6">
      <x:c r="A6" t="str">
        <x:v>Customer PO intake</x:v>
      </x:c>
      <x:c r="B6" t="str">
        <x:v>New authorized customer PO amounts + approved net revisions in month</x:v>
      </x:c>
      <x:c r="C6" t="str">
        <x:v>Consolidated customer PO must not duplicate order intake across quotes</x:v>
      </x:c>
    </x:row>
    <x:row r="7">
      <x:c r="A7" t="str">
        <x:v>Invoiced amount</x:v>
      </x:c>
      <x:c r="B7" t="str">
        <x:v>Issued invoices assigned to selling entity</x:v>
      </x:c>
      <x:c r="C7" t="str">
        <x:v>Not equivalent to recognized accounting revenue</x:v>
      </x:c>
    </x:row>
    <x:row r="8">
      <x:c r="A8" t="str">
        <x:v>Investment 1</x:v>
      </x:c>
      <x:c r="B8" t="str">
        <x:v>Payments/disbursements during reporting month</x:v>
      </x:c>
      <x:c r="C8" t="str">
        <x:v>May overlap with recognized costs; not additive</x:v>
      </x:c>
    </x:row>
    <x:row r="9">
      <x:c r="A9" t="str">
        <x:v>Investment 2</x:v>
      </x:c>
      <x:c r="B9" t="str">
        <x:v>Unpaid/open disbursement exposure at reporting month end</x:v>
      </x:c>
      <x:c r="C9" t="str">
        <x:v>Stock balance, not a monthly flow; no cumulative sum</x:v>
      </x:c>
    </x:row>
    <x:row r="10">
      <x:c r="A10" t="str">
        <x:v>ERP recognized cost</x:v>
      </x:c>
      <x:c r="B10" t="str">
        <x:v>Costs ERP has recognized in reporting period</x:v>
      </x:c>
      <x:c r="C10" t="str">
        <x:v>Timing difference against invoice and cash</x:v>
      </x:c>
    </x:row>
    <x:row r="11">
      <x:c r="A11" t="str">
        <x:v>Intercompany</x:v>
      </x:c>
      <x:c r="B11" t="str">
        <x:v>For MX sales, US supplier entity invoices MX; MX project uses MX-side ERP purchase/cost</x:v>
      </x:c>
      <x:c r="C11" t="str">
        <x:v>Do not double count US original third-party acquisition</x:v>
      </x:c>
    </x:row>
    <x:row r="12">
      <x:c r="A12" t="str">
        <x:v>Brand control</x:v>
      </x:c>
      <x:c r="B12" t="str">
        <x:v>One brand per quotation; map brand to awarded ERP project</x:v>
      </x:c>
      <x:c r="C12" t="str">
        <x:v>Customer can issue consolidated PO: use cross-reference without duplication</x:v>
      </x:c>
    </x:row>
    <x:row r="13">
      <x:c r="A13" t="str">
        <x:v>Project profitability</x:v>
      </x:c>
      <x:c r="B13" t="str">
        <x:v>Analyze authorized sale, cumulative recognized costs, commitments and open billing</x:v>
      </x:c>
      <x:c r="C13" t="str">
        <x:v>Monthly invoice-cost gap is not definitive project profit</x:v>
      </x:c>
    </x:row>
    <x:row r="14">
      <x:c r="A14" t="str">
        <x:v>FX conversion</x:v>
      </x:c>
      <x:c r="B14" t="str">
        <x:v>ERP/Finance-approved FX mapping to USD</x:v>
      </x:c>
      <x:c r="C14" t="str">
        <x:v>Not yet specified; simulated USD values only</x:v>
      </x:c>
    </x:row>
    <x:row r="15">
      <x:c r="A15" t="str">
        <x:v>Close approval</x:v>
      </x:c>
      <x:c r="B15" t="str">
        <x:v>Internal management review, not accounting signoff</x:v>
      </x:c>
      <x:c r="C15" t="str">
        <x:v>No actual ERP validation or close-lock workflow implemented</x:v>
      </x:c>
    </x:row>
    <x:row r="16">
      <x:c r="A16" t="str">
        <x:v>Scope</x:v>
      </x:c>
      <x:c r="B16" t="str">
        <x:v>Only Strategic Services and Brands managed by portfolio owner</x:v>
      </x:c>
      <x:c r="C16" t="str">
        <x:v>Automation and Machining excluded from attributable results</x:v>
      </x:c>
    </x:row>
  </x:sheetData>
  <x:pageMargins left="0.7" right="0.7" top="0.75" bottom="0.75" header="0.3" footer="0.3"/>
</x:worksheet>
</file>